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theme/themeOverride1.xml" ContentType="application/vnd.openxmlformats-officedocument.themeOverride+xml"/>
  <Override PartName="/xl/charts/chart12.xml" ContentType="application/vnd.openxmlformats-officedocument.drawingml.chart+xml"/>
  <Override PartName="/xl/theme/themeOverride2.xml" ContentType="application/vnd.openxmlformats-officedocument.themeOverride+xml"/>
  <Override PartName="/xl/charts/chart13.xml" ContentType="application/vnd.openxmlformats-officedocument.drawingml.chart+xml"/>
  <Override PartName="/xl/theme/themeOverride3.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codeName="ThisWorkbook"/>
  <mc:AlternateContent xmlns:mc="http://schemas.openxmlformats.org/markup-compatibility/2006">
    <mc:Choice Requires="x15">
      <x15ac:absPath xmlns:x15ac="http://schemas.microsoft.com/office/spreadsheetml/2010/11/ac" url="https://aps0102-my.sharepoint.com/personal/m5271384265_aps0102_onmicrosoft_com/Documents/git/"/>
    </mc:Choice>
  </mc:AlternateContent>
  <xr:revisionPtr revIDLastSave="880" documentId="13_ncr:1_{E62EF04A-31FC-4701-84EB-DD82595B41D6}" xr6:coauthVersionLast="47" xr6:coauthVersionMax="47" xr10:uidLastSave="{20A197C2-58F6-4840-A600-1F656A32CC02}"/>
  <bookViews>
    <workbookView xWindow="-120" yWindow="-120" windowWidth="29040" windowHeight="15840" tabRatio="696" xr2:uid="{00000000-000D-0000-FFFF-FFFF00000000}"/>
  </bookViews>
  <sheets>
    <sheet name="1. Yahoo Finance瞭解財政狀況" sheetId="19" r:id="rId1"/>
    <sheet name="1-1. 瞭解收入變化(總收益Total Revenue)" sheetId="20" r:id="rId2"/>
    <sheet name="2. Investor Relation瞭解基本業務" sheetId="21" r:id="rId3"/>
    <sheet name="3. PE市盈率分析股價" sheetId="22" r:id="rId4"/>
  </sheets>
  <calcPr calcId="191029" calcCompleted="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1">
      <go:sheetsCustomData xmlns:go="http://customooxmlschemas.google.com/" r:id="rId23" roundtripDataSignature="AMtx7mi8D8ECo5TObUc7atfVIvxvlqEfXQ=="/>
    </ext>
  </extLst>
</workbook>
</file>

<file path=xl/calcChain.xml><?xml version="1.0" encoding="utf-8"?>
<calcChain xmlns="http://schemas.openxmlformats.org/spreadsheetml/2006/main">
  <c r="AN6" i="22" l="1"/>
  <c r="AN7" i="22" l="1"/>
  <c r="AB7" i="22"/>
  <c r="P7" i="22"/>
  <c r="D7" i="22"/>
  <c r="G19" i="19"/>
  <c r="G20" i="19"/>
  <c r="I19" i="19"/>
  <c r="I20" i="19"/>
  <c r="G17" i="19"/>
  <c r="G18" i="19"/>
  <c r="AQ6" i="22"/>
  <c r="AQ7" i="22" s="1"/>
  <c r="AM6" i="22"/>
  <c r="AL6" i="22"/>
  <c r="AE6" i="22"/>
  <c r="AB6" i="22"/>
  <c r="AA6" i="22"/>
  <c r="Z6" i="22"/>
  <c r="S6" i="22"/>
  <c r="S7" i="22" s="1"/>
  <c r="P6" i="22"/>
  <c r="O6" i="22"/>
  <c r="N6" i="22"/>
  <c r="B6" i="22"/>
  <c r="D6" i="22"/>
  <c r="C6" i="22"/>
  <c r="G6" i="22"/>
  <c r="R9" i="20"/>
  <c r="Q9" i="20"/>
  <c r="P9" i="20"/>
  <c r="N9" i="20"/>
  <c r="M9" i="20"/>
  <c r="L9" i="20"/>
  <c r="J9" i="20"/>
  <c r="I9" i="20"/>
  <c r="H9" i="20"/>
  <c r="F9" i="20"/>
  <c r="E9" i="20"/>
  <c r="D9" i="20"/>
  <c r="R8" i="20"/>
  <c r="Q8" i="20"/>
  <c r="P8" i="20"/>
  <c r="N8" i="20"/>
  <c r="M8" i="20"/>
  <c r="L8" i="20"/>
  <c r="J8" i="20"/>
  <c r="I8" i="20"/>
  <c r="H8" i="20"/>
  <c r="F8" i="20"/>
  <c r="E8" i="20"/>
  <c r="D8" i="20"/>
  <c r="R7" i="20"/>
  <c r="Q7" i="20"/>
  <c r="P7" i="20"/>
  <c r="O7" i="20"/>
  <c r="N7" i="20"/>
  <c r="M7" i="20"/>
  <c r="L7" i="20"/>
  <c r="K7" i="20"/>
  <c r="J7" i="20"/>
  <c r="I7" i="20"/>
  <c r="H7" i="20"/>
  <c r="G7" i="20"/>
  <c r="F7" i="20"/>
  <c r="E7" i="20"/>
  <c r="D7" i="20"/>
  <c r="C7" i="20"/>
  <c r="R3" i="20"/>
  <c r="Q3" i="20"/>
  <c r="P3" i="20"/>
  <c r="O3" i="20"/>
  <c r="N3" i="20"/>
  <c r="M3" i="20"/>
  <c r="L3" i="20"/>
  <c r="K3" i="20"/>
  <c r="J3" i="20"/>
  <c r="I3" i="20"/>
  <c r="H3" i="20"/>
  <c r="G3" i="20"/>
  <c r="F3" i="20"/>
  <c r="E3" i="20"/>
  <c r="D3" i="20"/>
  <c r="C3" i="20"/>
  <c r="H20" i="19"/>
  <c r="F20" i="19"/>
  <c r="H19" i="19"/>
  <c r="F19" i="19"/>
  <c r="I18" i="19"/>
  <c r="H18" i="19"/>
  <c r="F18" i="19"/>
  <c r="I17" i="19"/>
  <c r="H17" i="19"/>
  <c r="F17" i="19"/>
  <c r="AE7" i="22" l="1"/>
  <c r="G7"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5" authorId="0" shapeId="0" xr:uid="{00000000-0006-0000-0000-000001000000}">
      <text>
        <r>
          <rPr>
            <sz val="10"/>
            <color rgb="FF000000"/>
            <rFont val="Arial"/>
            <family val="2"/>
          </rPr>
          <t>======
ID#AAAAI-y4izY
    (2021-03-04 11:06:22)
1.市場對於股票"在未來盈利能力的期望"
2.高的PE可能意味著公司股價過高，但也表明投資者期望公司未來有高的增長
3.大部分的時間，市盈率："成長型股票"&gt;"價值型股票"</t>
        </r>
      </text>
    </comment>
    <comment ref="B8" authorId="0" shapeId="0" xr:uid="{00000000-0006-0000-0000-000002000000}">
      <text>
        <r>
          <rPr>
            <sz val="10"/>
            <color rgb="FF000000"/>
            <rFont val="Arial"/>
            <family val="2"/>
          </rPr>
          <t>======
ID#AAAAI-y4iy4
    (2021-03-04 11:06:22)
定義：它反映企業收入、支出及盈利的表現
投資者：
1.有沒有在賺錢
2.賺錢能力有再增加嗎
3.如果是在輸錢的話，輸多少，有沒有在改善</t>
        </r>
      </text>
    </comment>
    <comment ref="D8" authorId="0" shapeId="0" xr:uid="{00000000-0006-0000-0000-000003000000}">
      <text>
        <r>
          <rPr>
            <sz val="10"/>
            <color rgb="FF000000"/>
            <rFont val="Arial"/>
            <family val="2"/>
          </rPr>
          <t>======
ID#AAAAI-y4izA
    (2021-03-04 11:06:22)
1. 顯示的是一家公司在過去一季或一年中"從銷售所得的總收入"
2. 與過往3年比較增長幅度20%以上為良好</t>
        </r>
      </text>
    </comment>
    <comment ref="D9" authorId="0" shapeId="0" xr:uid="{00000000-0006-0000-0000-000004000000}">
      <text>
        <r>
          <rPr>
            <sz val="10"/>
            <color rgb="FF000000"/>
            <rFont val="Arial"/>
            <family val="2"/>
          </rPr>
          <t>======
ID#AAAAI-y4iy8
    (2021-03-04 11:06:22)
=稅後利潤</t>
        </r>
      </text>
    </comment>
    <comment ref="B11" authorId="0" shapeId="0" xr:uid="{00000000-0006-0000-0000-000005000000}">
      <text>
        <r>
          <rPr>
            <sz val="10"/>
            <color rgb="FF000000"/>
            <rFont val="Arial"/>
            <family val="2"/>
          </rPr>
          <t>======
ID#AAAAI-y4izU
    (2021-03-04 11:06:22)
定義：反映企業資產、負債、資本狀況
投資者：
1.瞭解財政管理的情況
2.會不會有太多的負債
3.會不會現金量不足</t>
        </r>
      </text>
    </comment>
    <comment ref="D12" authorId="0" shapeId="0" xr:uid="{00000000-0006-0000-0000-000006000000}">
      <text>
        <r>
          <rPr>
            <sz val="10"/>
            <color rgb="FF000000"/>
            <rFont val="Arial"/>
            <family val="2"/>
          </rPr>
          <t>======
ID#AAAAI-y4izM
    (2021-03-04 11:06:22)
企業可在一年內變成現金的能力</t>
        </r>
      </text>
    </comment>
    <comment ref="D14" authorId="0" shapeId="0" xr:uid="{00000000-0006-0000-0000-000007000000}">
      <text>
        <r>
          <rPr>
            <sz val="10"/>
            <color rgb="FF000000"/>
            <rFont val="Arial"/>
            <family val="2"/>
          </rPr>
          <t>======
ID#AAAAI-y4izE
    (2021-03-04 11:06:22)
企業一年內到期的負債</t>
        </r>
      </text>
    </comment>
    <comment ref="D17" authorId="0" shapeId="0" xr:uid="{00000000-0006-0000-0000-000008000000}">
      <text>
        <r>
          <rPr>
            <sz val="10"/>
            <color rgb="FF000000"/>
            <rFont val="Arial"/>
            <family val="2"/>
          </rPr>
          <t>======
ID#AAAAI-y4izQ
    (2021-03-04 11:06:22)
1. 衡量"短期債務清償的能力
2. 最常用的比率
3. 衡量企業"短期風險"的指標</t>
        </r>
      </text>
    </comment>
    <comment ref="D18" authorId="0" shapeId="0" xr:uid="{00000000-0006-0000-0000-000009000000}">
      <text>
        <r>
          <rPr>
            <sz val="10"/>
            <color rgb="FF000000"/>
            <rFont val="Arial"/>
            <family val="2"/>
          </rPr>
          <t>======
ID#AAAAI-y4iyw
    (2021-03-04 11:06:22)
一家公司所有的"資產中"有多少是從債務而來</t>
        </r>
      </text>
    </comment>
    <comment ref="D19" authorId="0" shapeId="0" xr:uid="{00000000-0006-0000-0000-00000A000000}">
      <text>
        <r>
          <rPr>
            <sz val="10"/>
            <color rgb="FF000000"/>
            <rFont val="Arial"/>
            <family val="2"/>
          </rPr>
          <t>======
ID#AAAAI-y4izk
    (2021-03-04 11:06:22)
每"銷售1美元所賺取利潤的數量</t>
        </r>
      </text>
    </comment>
    <comment ref="D20" authorId="0" shapeId="0" xr:uid="{00000000-0006-0000-0000-00000B000000}">
      <text>
        <r>
          <rPr>
            <sz val="10"/>
            <color rgb="FF000000"/>
            <rFont val="Arial"/>
            <family val="2"/>
          </rPr>
          <t>======
ID#AAAAI-y4izI
    (2021-03-04 11:06:22)
投資報酬率</t>
        </r>
      </text>
    </comment>
    <comment ref="O22" authorId="0" shapeId="0" xr:uid="{00000000-0006-0000-0000-00000C000000}">
      <text>
        <r>
          <rPr>
            <sz val="10"/>
            <color rgb="FF000000"/>
            <rFont val="Arial"/>
            <family val="2"/>
          </rPr>
          <t>======
ID#AAAAI-y4izg
WMR    (2021-03-04 11:06:22)
市銷率：股票總市值/過去12個月的營業額</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100-000001000000}">
      <text>
        <r>
          <rPr>
            <sz val="10"/>
            <color rgb="FF000000"/>
            <rFont val="Arial"/>
            <family val="2"/>
          </rPr>
          <t>======
ID#AAAAI-y4iy0
    (2021-03-04 11:06:22)
銷售收入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B4" authorId="0" shapeId="0" xr:uid="{00000000-0006-0000-0200-000001000000}">
      <text>
        <r>
          <rPr>
            <sz val="10"/>
            <color rgb="FF000000"/>
            <rFont val="Arial"/>
            <family val="2"/>
          </rPr>
          <t>======
ID#AAAAI-y4izc
    (2021-03-04 11:06:22)
.1	Business
..2	Company Background
..2	Products
..2	Services
..2	Markets and Distribution
..2	Competition
..2	Research and Development
..2	Intellectual property
.1	Management’s Discussion and Analysis of Financial Condition and Results of Operations
..2	Products and Services Performance
..2	Segment Operating Performance</t>
        </r>
      </text>
    </comment>
  </commentList>
</comments>
</file>

<file path=xl/sharedStrings.xml><?xml version="1.0" encoding="utf-8"?>
<sst xmlns="http://schemas.openxmlformats.org/spreadsheetml/2006/main" count="330" uniqueCount="210">
  <si>
    <t>輸入</t>
    <phoneticPr fontId="2" type="noConversion"/>
  </si>
  <si>
    <t>輸出</t>
    <phoneticPr fontId="2" type="noConversion"/>
  </si>
  <si>
    <t>總資產</t>
  </si>
  <si>
    <t>總負債</t>
  </si>
  <si>
    <t>重點</t>
    <phoneticPr fontId="2" type="noConversion"/>
  </si>
  <si>
    <t>內容摘要
Summary</t>
  </si>
  <si>
    <t>股票代碼</t>
  </si>
  <si>
    <t>股票市價</t>
  </si>
  <si>
    <t>Stock Price</t>
  </si>
  <si>
    <t>市值(Millions)</t>
  </si>
  <si>
    <t xml:space="preserve">Market Cap	</t>
  </si>
  <si>
    <r>
      <rPr>
        <sz val="10"/>
        <color theme="1"/>
        <rFont val="細明體"/>
        <family val="3"/>
        <charset val="136"/>
      </rPr>
      <t>市盈率</t>
    </r>
    <r>
      <rPr>
        <sz val="10"/>
        <color theme="1"/>
        <rFont val="Arial"/>
        <family val="2"/>
      </rPr>
      <t>(</t>
    </r>
    <r>
      <rPr>
        <sz val="10"/>
        <color theme="1"/>
        <rFont val="細明體"/>
        <family val="3"/>
        <charset val="136"/>
      </rPr>
      <t>近</t>
    </r>
    <r>
      <rPr>
        <sz val="10"/>
        <color theme="1"/>
        <rFont val="Arial"/>
        <family val="2"/>
      </rPr>
      <t>12</t>
    </r>
    <r>
      <rPr>
        <sz val="10"/>
        <color theme="1"/>
        <rFont val="細明體"/>
        <family val="3"/>
        <charset val="136"/>
      </rPr>
      <t>個月</t>
    </r>
    <r>
      <rPr>
        <sz val="10"/>
        <color theme="1"/>
        <rFont val="Arial"/>
        <family val="2"/>
      </rPr>
      <t>)</t>
    </r>
  </si>
  <si>
    <t>PE Ratio(TTM)</t>
  </si>
  <si>
    <r>
      <rPr>
        <sz val="10"/>
        <color theme="1"/>
        <rFont val="細明體"/>
        <family val="3"/>
        <charset val="136"/>
      </rPr>
      <t>每股盈利</t>
    </r>
    <r>
      <rPr>
        <sz val="10"/>
        <color theme="1"/>
        <rFont val="Arial"/>
        <family val="2"/>
      </rPr>
      <t>(</t>
    </r>
    <r>
      <rPr>
        <sz val="10"/>
        <color theme="1"/>
        <rFont val="細明體"/>
        <family val="3"/>
        <charset val="136"/>
      </rPr>
      <t>近</t>
    </r>
    <r>
      <rPr>
        <sz val="10"/>
        <color theme="1"/>
        <rFont val="Arial"/>
        <family val="2"/>
      </rPr>
      <t>12</t>
    </r>
    <r>
      <rPr>
        <sz val="10"/>
        <color theme="1"/>
        <rFont val="細明體"/>
        <family val="3"/>
        <charset val="136"/>
      </rPr>
      <t>個月</t>
    </r>
    <r>
      <rPr>
        <sz val="10"/>
        <color theme="1"/>
        <rFont val="Arial"/>
        <family val="2"/>
      </rPr>
      <t>)</t>
    </r>
  </si>
  <si>
    <t>EPS(TTM)</t>
  </si>
  <si>
    <r>
      <rPr>
        <sz val="10"/>
        <color theme="1"/>
        <rFont val="細明體"/>
        <family val="3"/>
        <charset val="136"/>
      </rPr>
      <t>股價營收比</t>
    </r>
    <r>
      <rPr>
        <sz val="10"/>
        <color theme="1"/>
        <rFont val="Arial"/>
        <family val="2"/>
      </rPr>
      <t>(</t>
    </r>
    <r>
      <rPr>
        <sz val="10"/>
        <color theme="1"/>
        <rFont val="細明體"/>
        <family val="3"/>
        <charset val="136"/>
      </rPr>
      <t>近</t>
    </r>
    <r>
      <rPr>
        <sz val="10"/>
        <color theme="1"/>
        <rFont val="Arial"/>
        <family val="2"/>
      </rPr>
      <t>12</t>
    </r>
    <r>
      <rPr>
        <sz val="10"/>
        <color theme="1"/>
        <rFont val="細明體"/>
        <family val="3"/>
        <charset val="136"/>
      </rPr>
      <t>個月</t>
    </r>
    <r>
      <rPr>
        <sz val="10"/>
        <color theme="1"/>
        <rFont val="Arial"/>
        <family val="2"/>
      </rPr>
      <t>)</t>
    </r>
  </si>
  <si>
    <t>Price/Sales (ttm)</t>
  </si>
  <si>
    <t>-</t>
  </si>
  <si>
    <r>
      <rPr>
        <sz val="10"/>
        <color theme="1"/>
        <rFont val="細明體"/>
        <family val="3"/>
        <charset val="136"/>
      </rPr>
      <t xml:space="preserve">損益表
</t>
    </r>
    <r>
      <rPr>
        <sz val="10"/>
        <color theme="1"/>
        <rFont val="Arial"/>
        <family val="2"/>
      </rPr>
      <t>Income Statement</t>
    </r>
  </si>
  <si>
    <t>總收益</t>
  </si>
  <si>
    <t>Total Revenue</t>
  </si>
  <si>
    <t>淨收益</t>
  </si>
  <si>
    <t>Net Income</t>
  </si>
  <si>
    <t>研究發展</t>
  </si>
  <si>
    <t>Research &amp; Development</t>
  </si>
  <si>
    <r>
      <rPr>
        <sz val="10"/>
        <color theme="1"/>
        <rFont val="細明體"/>
        <family val="3"/>
        <charset val="136"/>
      </rPr>
      <t xml:space="preserve">資產負債表
</t>
    </r>
    <r>
      <rPr>
        <sz val="10"/>
        <color theme="1"/>
        <rFont val="Arial"/>
        <family val="2"/>
      </rPr>
      <t>Balance Sheet</t>
    </r>
  </si>
  <si>
    <t>總現金</t>
  </si>
  <si>
    <t xml:space="preserve">Cash, Cash Equivalents &amp; Short Term Investments	</t>
  </si>
  <si>
    <t>目前資產</t>
  </si>
  <si>
    <t>Current Assets</t>
  </si>
  <si>
    <t>Total Assets</t>
  </si>
  <si>
    <t>目前負債</t>
  </si>
  <si>
    <t>Current Liabilities</t>
  </si>
  <si>
    <t>Total Liabilities Net Minority Interest</t>
  </si>
  <si>
    <t>股東權益</t>
  </si>
  <si>
    <t>Stockholders' Equity</t>
  </si>
  <si>
    <t>財政比率</t>
  </si>
  <si>
    <t>流動比率</t>
  </si>
  <si>
    <t>Current Ratio</t>
  </si>
  <si>
    <t>負債比率</t>
  </si>
  <si>
    <t>Debt Ratio</t>
  </si>
  <si>
    <t>銷貨報酬率</t>
  </si>
  <si>
    <t>ROS</t>
  </si>
  <si>
    <t>股東權益報酬率</t>
  </si>
  <si>
    <t>ROE</t>
  </si>
  <si>
    <t>市值 Market Cap</t>
  </si>
  <si>
    <r>
      <rPr>
        <b/>
        <sz val="10"/>
        <color rgb="FF0070C0"/>
        <rFont val="細明體"/>
        <family val="3"/>
        <charset val="136"/>
      </rPr>
      <t>流動比率</t>
    </r>
    <r>
      <rPr>
        <b/>
        <sz val="10"/>
        <color rgb="FF0070C0"/>
        <rFont val="Arial"/>
        <family val="2"/>
      </rPr>
      <t xml:space="preserve"> Current Ratio</t>
    </r>
  </si>
  <si>
    <t>負債比率 Debt Ratio</t>
  </si>
  <si>
    <t>股東權益報酬率 ROE</t>
  </si>
  <si>
    <t>股價淨值比 PB Ratio</t>
  </si>
  <si>
    <t>股價營收比 PS Ratio</t>
  </si>
  <si>
    <t>典型標準</t>
  </si>
  <si>
    <t>注釋</t>
  </si>
  <si>
    <t>標準美國大型公司</t>
  </si>
  <si>
    <t>超級大盤股</t>
  </si>
  <si>
    <t>Mega Cap</t>
  </si>
  <si>
    <t>2000億</t>
  </si>
  <si>
    <t>市場領導者</t>
  </si>
  <si>
    <t>良好</t>
  </si>
  <si>
    <t>&gt;2</t>
  </si>
  <si>
    <t>50%-60%</t>
  </si>
  <si>
    <t>&gt;20%</t>
  </si>
  <si>
    <t>&lt;1</t>
  </si>
  <si>
    <t>可能低估</t>
  </si>
  <si>
    <t>大盤股</t>
  </si>
  <si>
    <t>Large Cap</t>
  </si>
  <si>
    <t>100億-2000億</t>
  </si>
  <si>
    <t>發展成熟</t>
  </si>
  <si>
    <t>一般</t>
  </si>
  <si>
    <t>備註: 需和同行業比較為準</t>
  </si>
  <si>
    <t>不錯</t>
  </si>
  <si>
    <t>10%-20%</t>
  </si>
  <si>
    <t>1-3</t>
  </si>
  <si>
    <t>1-2</t>
  </si>
  <si>
    <t>中盤股</t>
  </si>
  <si>
    <t>Mid Cap</t>
  </si>
  <si>
    <t>20億至100億</t>
  </si>
  <si>
    <t>安全 / 普遍多寶石</t>
  </si>
  <si>
    <t>不良</t>
  </si>
  <si>
    <t>銷貨報酬率 ROS</t>
  </si>
  <si>
    <t>低發展</t>
  </si>
  <si>
    <t>&lt;10%</t>
  </si>
  <si>
    <t>&gt;3</t>
  </si>
  <si>
    <t>可能高估</t>
  </si>
  <si>
    <t>小盤股</t>
  </si>
  <si>
    <t>Small Cap</t>
  </si>
  <si>
    <t>3億-20億</t>
  </si>
  <si>
    <t>風險高</t>
  </si>
  <si>
    <t>需和過往比率or同行業相比</t>
  </si>
  <si>
    <t>注意:合適多實物資產的公司</t>
  </si>
  <si>
    <t>注意:合適沒開始盈利的新興公司</t>
  </si>
  <si>
    <t>微盤股</t>
  </si>
  <si>
    <t>MIicro Cap</t>
  </si>
  <si>
    <t>&lt;3億</t>
  </si>
  <si>
    <t>風險極高</t>
  </si>
  <si>
    <t>*低PB 有可能是公司有經營問題</t>
  </si>
  <si>
    <t>輸入</t>
  </si>
  <si>
    <t>輸出</t>
  </si>
  <si>
    <t>年度</t>
  </si>
  <si>
    <r>
      <rPr>
        <sz val="10"/>
        <color theme="1"/>
        <rFont val="細明體"/>
        <family val="3"/>
        <charset val="136"/>
      </rPr>
      <t>總收益</t>
    </r>
    <r>
      <rPr>
        <sz val="10"/>
        <color theme="1"/>
        <rFont val="Arial"/>
        <family val="2"/>
      </rPr>
      <t xml:space="preserve"> Total Revenue</t>
    </r>
  </si>
  <si>
    <r>
      <rPr>
        <sz val="10"/>
        <color theme="1"/>
        <rFont val="細明體"/>
        <family val="3"/>
        <charset val="136"/>
      </rPr>
      <t>淨收益</t>
    </r>
    <r>
      <rPr>
        <sz val="10"/>
        <color theme="1"/>
        <rFont val="Calibri"/>
        <family val="2"/>
      </rPr>
      <t xml:space="preserve"> Net Income</t>
    </r>
  </si>
  <si>
    <r>
      <rPr>
        <sz val="10"/>
        <color theme="1"/>
        <rFont val="細明體"/>
        <family val="3"/>
        <charset val="136"/>
      </rPr>
      <t xml:space="preserve">毛利 </t>
    </r>
    <r>
      <rPr>
        <sz val="10"/>
        <color theme="1"/>
        <rFont val="Calibri"/>
        <family val="2"/>
      </rPr>
      <t>Gross Profit</t>
    </r>
  </si>
  <si>
    <t>毛利率 Gross Margin</t>
  </si>
  <si>
    <t>銷售收入變化</t>
  </si>
  <si>
    <t>淨收入變化</t>
  </si>
  <si>
    <t xml:space="preserve">銷售收入 Revenue </t>
  </si>
  <si>
    <t>變化標準</t>
  </si>
  <si>
    <t>&gt;25%</t>
  </si>
  <si>
    <t>10-25%</t>
  </si>
  <si>
    <t>完蛋</t>
  </si>
  <si>
    <t>&lt;0%</t>
  </si>
  <si>
    <t>第一步</t>
  </si>
  <si>
    <t>AAPL為例</t>
  </si>
  <si>
    <t>第二步</t>
  </si>
  <si>
    <t>找10-K文件</t>
  </si>
  <si>
    <t>第三步</t>
  </si>
  <si>
    <t>找關鍵字</t>
  </si>
  <si>
    <t>.1</t>
  </si>
  <si>
    <t>..2</t>
  </si>
  <si>
    <t>Company Background</t>
  </si>
  <si>
    <t>Products</t>
  </si>
  <si>
    <t>Services</t>
  </si>
  <si>
    <t>Competition</t>
  </si>
  <si>
    <t>Research and Development</t>
  </si>
  <si>
    <t>Intellectual property</t>
  </si>
  <si>
    <t>市盈率</t>
  </si>
  <si>
    <t>平均預估</t>
  </si>
  <si>
    <t>歷史股價</t>
  </si>
  <si>
    <t>預測市盈率</t>
  </si>
  <si>
    <t>預估股價</t>
  </si>
  <si>
    <t>PE</t>
  </si>
  <si>
    <t>EPS</t>
  </si>
  <si>
    <t>FPE</t>
  </si>
  <si>
    <t>[PE數據]</t>
  </si>
  <si>
    <t>https://www.macrotrends.net/</t>
  </si>
  <si>
    <r>
      <rPr>
        <sz val="12"/>
        <color theme="1"/>
        <rFont val="Calibri"/>
        <family val="2"/>
        <scheme val="minor"/>
      </rPr>
      <t>日期</t>
    </r>
  </si>
  <si>
    <r>
      <rPr>
        <sz val="12"/>
        <color theme="1"/>
        <rFont val="Calibri"/>
        <family val="2"/>
        <scheme val="minor"/>
      </rPr>
      <t>股票價格</t>
    </r>
  </si>
  <si>
    <r>
      <t>TTM</t>
    </r>
    <r>
      <rPr>
        <sz val="12"/>
        <color theme="1"/>
        <rFont val="Calibri"/>
        <family val="2"/>
        <scheme val="minor"/>
      </rPr>
      <t>淨每股收益</t>
    </r>
  </si>
  <si>
    <r>
      <rPr>
        <sz val="12"/>
        <color theme="1"/>
        <rFont val="Calibri"/>
        <family val="2"/>
        <scheme val="minor"/>
      </rPr>
      <t>市盈率</t>
    </r>
  </si>
  <si>
    <t>nan</t>
  </si>
  <si>
    <t xml:space="preserve">Investor relation </t>
    <phoneticPr fontId="2" type="noConversion"/>
  </si>
  <si>
    <t>SRNE</t>
  </si>
  <si>
    <t>SRNE</t>
    <phoneticPr fontId="2" type="noConversion"/>
  </si>
  <si>
    <t>獲利空間</t>
    <phoneticPr fontId="2" type="noConversion"/>
  </si>
  <si>
    <t>現價</t>
    <phoneticPr fontId="2" type="noConversion"/>
  </si>
  <si>
    <r>
      <t>PE</t>
    </r>
    <r>
      <rPr>
        <b/>
        <sz val="10"/>
        <color rgb="FF0070C0"/>
        <rFont val="細明體"/>
        <family val="3"/>
        <charset val="136"/>
      </rPr>
      <t>計算股價</t>
    </r>
  </si>
  <si>
    <r>
      <t>FPE</t>
    </r>
    <r>
      <rPr>
        <b/>
        <sz val="10"/>
        <color rgb="FF0070C0"/>
        <rFont val="細明體"/>
        <family val="3"/>
        <charset val="136"/>
      </rPr>
      <t>計算股價</t>
    </r>
  </si>
  <si>
    <t>Markets and Distribution</t>
    <phoneticPr fontId="2" type="noConversion"/>
  </si>
  <si>
    <t>Management’s Discussion and Analysis of Financial Condition and Results of Operations</t>
    <phoneticPr fontId="2" type="noConversion"/>
  </si>
  <si>
    <t>item1</t>
    <phoneticPr fontId="2" type="noConversion"/>
  </si>
  <si>
    <t>營收來源等重要訊息</t>
    <phoneticPr fontId="2" type="noConversion"/>
  </si>
  <si>
    <t>從中了解生意本質</t>
    <phoneticPr fontId="2" type="noConversion"/>
  </si>
  <si>
    <t>全球分布狀況/未來發展重點</t>
    <phoneticPr fontId="2" type="noConversion"/>
  </si>
  <si>
    <t>星巴克</t>
    <phoneticPr fontId="2" type="noConversion"/>
  </si>
  <si>
    <t>都差不多，都有匯率風險</t>
    <phoneticPr fontId="2" type="noConversion"/>
  </si>
  <si>
    <t>挑不同地方看就好</t>
    <phoneticPr fontId="2" type="noConversion"/>
  </si>
  <si>
    <t>item5</t>
    <phoneticPr fontId="2" type="noConversion"/>
  </si>
  <si>
    <t>item6</t>
    <phoneticPr fontId="2" type="noConversion"/>
  </si>
  <si>
    <t>財務數據研讀</t>
    <phoneticPr fontId="2" type="noConversion"/>
  </si>
  <si>
    <t>尤其註釋部分，會說明財報不合理狀況</t>
    <phoneticPr fontId="2" type="noConversion"/>
  </si>
  <si>
    <t>item7</t>
    <phoneticPr fontId="2" type="noConversion"/>
  </si>
  <si>
    <t>高層對未來展望</t>
    <phoneticPr fontId="2" type="noConversion"/>
  </si>
  <si>
    <t>美國證券交易委員會SEC</t>
    <phoneticPr fontId="2" type="noConversion"/>
  </si>
  <si>
    <t>item2</t>
    <phoneticPr fontId="2" type="noConversion"/>
  </si>
  <si>
    <t>Business</t>
    <phoneticPr fontId="2" type="noConversion"/>
  </si>
  <si>
    <t>管理層說明</t>
    <phoneticPr fontId="2" type="noConversion"/>
  </si>
  <si>
    <t>手機</t>
    <phoneticPr fontId="2" type="noConversion"/>
  </si>
  <si>
    <t>電腦</t>
    <phoneticPr fontId="2" type="noConversion"/>
  </si>
  <si>
    <t>平板</t>
    <phoneticPr fontId="2" type="noConversion"/>
  </si>
  <si>
    <t>廣告</t>
    <phoneticPr fontId="2" type="noConversion"/>
  </si>
  <si>
    <t>蘋果照護</t>
    <phoneticPr fontId="2" type="noConversion"/>
  </si>
  <si>
    <t>數碼內容</t>
    <phoneticPr fontId="2" type="noConversion"/>
  </si>
  <si>
    <t>來自平台下載</t>
    <phoneticPr fontId="2" type="noConversion"/>
  </si>
  <si>
    <t>書籍音樂市頻遊戲</t>
    <phoneticPr fontId="2" type="noConversion"/>
  </si>
  <si>
    <t>雲端服務</t>
    <phoneticPr fontId="2" type="noConversion"/>
  </si>
  <si>
    <t>支付服務</t>
    <phoneticPr fontId="2" type="noConversion"/>
  </si>
  <si>
    <t>競爭</t>
    <phoneticPr fontId="2" type="noConversion"/>
  </si>
  <si>
    <t>研究與發展</t>
    <phoneticPr fontId="2" type="noConversion"/>
  </si>
  <si>
    <t>知識產權</t>
    <phoneticPr fontId="2" type="noConversion"/>
  </si>
  <si>
    <t>業務收入的年份比例</t>
    <phoneticPr fontId="2" type="noConversion"/>
  </si>
  <si>
    <t>不同國家的收入</t>
    <phoneticPr fontId="2" type="noConversion"/>
  </si>
  <si>
    <t>Products and Services Performance</t>
    <phoneticPr fontId="2" type="noConversion"/>
  </si>
  <si>
    <t>Fiscal Year Highlights</t>
    <phoneticPr fontId="2" type="noConversion"/>
  </si>
  <si>
    <t>財政年度亮點</t>
    <phoneticPr fontId="2" type="noConversion"/>
  </si>
  <si>
    <t>COVID-19</t>
    <phoneticPr fontId="2" type="noConversion"/>
  </si>
  <si>
    <t>轉三大報表</t>
    <phoneticPr fontId="2" type="noConversion"/>
  </si>
  <si>
    <t>Segment Operating Performance</t>
    <phoneticPr fontId="2" type="noConversion"/>
  </si>
  <si>
    <t>..2</t>
    <phoneticPr fontId="2" type="noConversion"/>
  </si>
  <si>
    <t>Company Stock Performance</t>
    <phoneticPr fontId="2" type="noConversion"/>
  </si>
  <si>
    <r>
      <t>"</t>
    </r>
    <r>
      <rPr>
        <u/>
        <sz val="11"/>
        <color rgb="FF1155CC"/>
        <rFont val="細明體"/>
        <family val="3"/>
        <charset val="136"/>
      </rPr>
      <t>公司</t>
    </r>
    <r>
      <rPr>
        <u/>
        <sz val="11"/>
        <color rgb="FF1155CC"/>
        <rFont val="Arial"/>
        <family val="2"/>
      </rPr>
      <t>"</t>
    </r>
    <r>
      <rPr>
        <u/>
        <sz val="11"/>
        <color rgb="FF1155CC"/>
        <rFont val="細明體"/>
        <family val="3"/>
        <charset val="136"/>
      </rPr>
      <t>＋</t>
    </r>
    <r>
      <rPr>
        <u/>
        <sz val="11"/>
        <color rgb="FF1155CC"/>
        <rFont val="Arial"/>
        <family val="2"/>
      </rPr>
      <t>investor relation</t>
    </r>
    <phoneticPr fontId="2" type="noConversion"/>
  </si>
  <si>
    <r>
      <rPr>
        <sz val="11"/>
        <color theme="1"/>
        <rFont val="細明體"/>
        <family val="2"/>
        <charset val="136"/>
      </rPr>
      <t>業務</t>
    </r>
    <r>
      <rPr>
        <sz val="11"/>
        <color theme="1"/>
        <rFont val="Arial"/>
        <family val="2"/>
      </rPr>
      <t>1</t>
    </r>
    <phoneticPr fontId="2" type="noConversion"/>
  </si>
  <si>
    <r>
      <rPr>
        <sz val="11"/>
        <color theme="1"/>
        <rFont val="細明體"/>
        <family val="2"/>
        <charset val="136"/>
      </rPr>
      <t>業務</t>
    </r>
    <r>
      <rPr>
        <sz val="11"/>
        <color theme="1"/>
        <rFont val="Arial"/>
        <family val="2"/>
      </rPr>
      <t>2</t>
    </r>
    <phoneticPr fontId="2" type="noConversion"/>
  </si>
  <si>
    <r>
      <rPr>
        <sz val="11"/>
        <color theme="1"/>
        <rFont val="細明體"/>
        <family val="2"/>
        <charset val="136"/>
      </rPr>
      <t>公司股價</t>
    </r>
    <r>
      <rPr>
        <sz val="11"/>
        <color theme="1"/>
        <rFont val="Arial"/>
        <family val="2"/>
      </rPr>
      <t>PK</t>
    </r>
    <r>
      <rPr>
        <sz val="11"/>
        <color theme="1"/>
        <rFont val="細明體"/>
        <family val="2"/>
        <charset val="136"/>
      </rPr>
      <t>同行</t>
    </r>
    <r>
      <rPr>
        <sz val="11"/>
        <color theme="1"/>
        <rFont val="Arial"/>
        <family val="2"/>
      </rPr>
      <t>&amp;</t>
    </r>
    <r>
      <rPr>
        <sz val="11"/>
        <color theme="1"/>
        <rFont val="細明體"/>
        <family val="2"/>
        <charset val="136"/>
      </rPr>
      <t>大盤表現</t>
    </r>
    <phoneticPr fontId="2" type="noConversion"/>
  </si>
  <si>
    <t>企業概況</t>
    <phoneticPr fontId="2" type="noConversion"/>
  </si>
  <si>
    <t>也就是業務板塊</t>
    <phoneticPr fontId="2" type="noConversion"/>
  </si>
  <si>
    <t>市場分布</t>
    <phoneticPr fontId="2" type="noConversion"/>
  </si>
  <si>
    <r>
      <rPr>
        <strike/>
        <sz val="11"/>
        <color theme="1"/>
        <rFont val="PMingLiu"/>
        <family val="1"/>
        <charset val="136"/>
      </rPr>
      <t>注意股票回購狀況，會影響</t>
    </r>
    <r>
      <rPr>
        <strike/>
        <sz val="11"/>
        <rFont val="Calibri"/>
        <family val="2"/>
      </rPr>
      <t>EPS</t>
    </r>
    <phoneticPr fontId="2" type="noConversion"/>
  </si>
  <si>
    <t>Risk Factors</t>
    <phoneticPr fontId="2" type="noConversion"/>
  </si>
  <si>
    <t>風險因素</t>
    <phoneticPr fontId="2" type="noConversion"/>
  </si>
  <si>
    <t>icloud空間</t>
    <phoneticPr fontId="2" type="noConversion"/>
  </si>
  <si>
    <t>公司股票表現</t>
    <phoneticPr fontId="2" type="noConversion"/>
  </si>
  <si>
    <t>背景</t>
    <phoneticPr fontId="2" type="noConversion"/>
  </si>
  <si>
    <t>inf</t>
  </si>
  <si>
    <t>U</t>
  </si>
  <si>
    <t>U</t>
    <phoneticPr fontId="2" type="noConversion"/>
  </si>
  <si>
    <t>EA</t>
  </si>
  <si>
    <t>EA</t>
    <phoneticPr fontId="2" type="noConversion"/>
  </si>
  <si>
    <t>ATVI</t>
  </si>
  <si>
    <t>ATVI</t>
    <phoneticPr fontId="2" type="noConversion"/>
  </si>
  <si>
    <t>None</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</si>
</sst>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8" formatCode="&quot;$&quot;#,##0.00;[Red]\-&quot;$&quot;#,##0.00"/>
    <numFmt numFmtId="176" formatCode="#,##0;\(#,##0\)"/>
    <numFmt numFmtId="177" formatCode="0.0"/>
    <numFmt numFmtId="178" formatCode="m\-d"/>
    <numFmt numFmtId="179" formatCode="0.0%"/>
  </numFmts>
  <fonts count="56">
    <font>
      <sz val="12"/>
      <color rgb="FF000000"/>
      <name val="PMingLiu"/>
    </font>
    <font>
      <sz val="12"/>
      <color theme="1"/>
      <name val="Calibri"/>
      <family val="2"/>
      <charset val="136"/>
      <scheme val="minor"/>
    </font>
    <font>
      <sz val="9"/>
      <name val="細明體"/>
      <family val="3"/>
      <charset val="136"/>
    </font>
    <font>
      <b/>
      <sz val="12"/>
      <name val="PMingLiu"/>
      <family val="1"/>
      <charset val="136"/>
    </font>
    <font>
      <b/>
      <sz val="12"/>
      <color theme="9" tint="-0.249977111117893"/>
      <name val="PMingLiu"/>
      <family val="1"/>
      <charset val="136"/>
    </font>
    <font>
      <sz val="10"/>
      <color theme="1"/>
      <name val="Arial"/>
      <family val="2"/>
    </font>
    <font>
      <sz val="10"/>
      <name val="Arial"/>
      <family val="2"/>
    </font>
    <font>
      <b/>
      <sz val="12"/>
      <color rgb="FF34A853"/>
      <name val="Comic Sans MS"/>
      <family val="4"/>
    </font>
    <font>
      <sz val="10"/>
      <color theme="1"/>
      <name val="細明體"/>
      <family val="3"/>
      <charset val="136"/>
    </font>
    <font>
      <sz val="10"/>
      <color theme="1"/>
      <name val="MingLiu"/>
      <family val="3"/>
      <charset val="136"/>
    </font>
    <font>
      <sz val="10"/>
      <color rgb="FF999999"/>
      <name val="Arial"/>
      <family val="2"/>
    </font>
    <font>
      <b/>
      <sz val="10"/>
      <color rgb="FFFF0000"/>
      <name val="Arial"/>
      <family val="2"/>
    </font>
    <font>
      <sz val="9"/>
      <color rgb="FF000000"/>
      <name val="Arial"/>
      <family val="2"/>
    </font>
    <font>
      <b/>
      <sz val="11"/>
      <color theme="1"/>
      <name val="Calibri"/>
      <family val="2"/>
    </font>
    <font>
      <b/>
      <sz val="10"/>
      <color rgb="FF0070C0"/>
      <name val="Arial"/>
      <family val="2"/>
    </font>
    <font>
      <b/>
      <sz val="10"/>
      <color rgb="FF0070C0"/>
      <name val="細明體"/>
      <family val="3"/>
      <charset val="136"/>
    </font>
    <font>
      <b/>
      <sz val="11"/>
      <color rgb="FF000000"/>
      <name val="Arial"/>
      <family val="2"/>
    </font>
    <font>
      <sz val="11"/>
      <color theme="1"/>
      <name val="Calibri"/>
      <family val="2"/>
    </font>
    <font>
      <sz val="10"/>
      <color rgb="FF000000"/>
      <name val="MingLiu"/>
      <family val="3"/>
      <charset val="136"/>
    </font>
    <font>
      <sz val="10"/>
      <color rgb="FF000000"/>
      <name val="Arial"/>
      <family val="2"/>
    </font>
    <font>
      <sz val="10"/>
      <color theme="1"/>
      <name val="Calibri"/>
      <family val="2"/>
    </font>
    <font>
      <sz val="11"/>
      <color rgb="FF030303"/>
      <name val="Arial"/>
      <family val="2"/>
    </font>
    <font>
      <u/>
      <sz val="10"/>
      <color theme="10"/>
      <name val="Arial"/>
      <family val="2"/>
    </font>
    <font>
      <sz val="10"/>
      <color rgb="FF000000"/>
      <name val="PMingLiu"/>
      <family val="1"/>
      <charset val="136"/>
    </font>
    <font>
      <sz val="12"/>
      <name val="Arial"/>
      <family val="2"/>
    </font>
    <font>
      <b/>
      <sz val="10"/>
      <color theme="9" tint="-0.249977111117893"/>
      <name val="Arial"/>
      <family val="2"/>
    </font>
    <font>
      <sz val="11"/>
      <color theme="1"/>
      <name val="Arial"/>
      <family val="2"/>
    </font>
    <font>
      <b/>
      <sz val="10"/>
      <name val="PMingLiu"/>
      <family val="1"/>
      <charset val="136"/>
    </font>
    <font>
      <b/>
      <sz val="10"/>
      <name val="PMingLiu"/>
      <family val="1"/>
    </font>
    <font>
      <sz val="12"/>
      <color rgb="FF000000"/>
      <name val="微軟正黑體"/>
      <family val="2"/>
      <charset val="136"/>
    </font>
    <font>
      <sz val="12"/>
      <color theme="1"/>
      <name val="Calibri"/>
      <family val="2"/>
      <scheme val="minor"/>
    </font>
    <font>
      <u/>
      <sz val="12"/>
      <color theme="10"/>
      <name val="PMingLiu"/>
      <family val="1"/>
      <charset val="136"/>
    </font>
    <font>
      <sz val="12"/>
      <color rgb="FF000000"/>
      <name val="PMingLiu"/>
      <family val="1"/>
      <charset val="136"/>
    </font>
    <font>
      <i/>
      <sz val="11"/>
      <color theme="1"/>
      <name val="Arial"/>
      <family val="2"/>
    </font>
    <font>
      <sz val="11"/>
      <color rgb="FF000000"/>
      <name val="PMingLiu"/>
      <family val="1"/>
      <charset val="136"/>
    </font>
    <font>
      <u/>
      <sz val="11"/>
      <color rgb="FF1155CC"/>
      <name val="Arial"/>
      <family val="2"/>
    </font>
    <font>
      <u/>
      <sz val="11"/>
      <color rgb="FF1155CC"/>
      <name val="細明體"/>
      <family val="3"/>
      <charset val="136"/>
    </font>
    <font>
      <u/>
      <sz val="11"/>
      <color theme="10"/>
      <name val="PMingLiu"/>
      <family val="1"/>
      <charset val="136"/>
    </font>
    <font>
      <sz val="11"/>
      <color theme="1"/>
      <name val="Arial"/>
      <family val="2"/>
      <charset val="136"/>
    </font>
    <font>
      <sz val="11"/>
      <color theme="1"/>
      <name val="PMingLiu"/>
      <family val="1"/>
      <charset val="136"/>
    </font>
    <font>
      <u/>
      <sz val="11"/>
      <color theme="1"/>
      <name val="PMingLiu"/>
      <family val="1"/>
      <charset val="136"/>
    </font>
    <font>
      <sz val="11"/>
      <color theme="1"/>
      <name val="細明體"/>
      <family val="2"/>
      <charset val="136"/>
    </font>
    <font>
      <u/>
      <sz val="11"/>
      <color theme="1"/>
      <name val="Arial"/>
      <family val="2"/>
    </font>
    <font>
      <sz val="11"/>
      <color theme="1"/>
      <name val="細明體"/>
      <family val="3"/>
      <charset val="136"/>
    </font>
    <font>
      <strike/>
      <sz val="11"/>
      <color theme="1"/>
      <name val="Calibri"/>
      <family val="2"/>
    </font>
    <font>
      <strike/>
      <sz val="11"/>
      <color theme="1"/>
      <name val="PMingLiu"/>
      <family val="1"/>
      <charset val="136"/>
    </font>
    <font>
      <strike/>
      <sz val="11"/>
      <name val="Calibri"/>
      <family val="2"/>
    </font>
    <font>
      <sz val="11"/>
      <color theme="4"/>
      <name val="細明體"/>
      <family val="2"/>
      <charset val="136"/>
    </font>
    <font>
      <sz val="11"/>
      <color theme="4"/>
      <name val="PMingLiu"/>
      <family val="1"/>
      <charset val="136"/>
    </font>
    <font>
      <sz val="11"/>
      <name val="細明體"/>
      <family val="2"/>
      <charset val="136"/>
    </font>
    <font>
      <sz val="11"/>
      <name val="PMingLiu"/>
      <family val="1"/>
      <charset val="136"/>
    </font>
    <font>
      <b/>
      <sz val="11"/>
      <color theme="1"/>
      <name val="細明體"/>
      <family val="3"/>
      <charset val="136"/>
    </font>
    <font>
      <b/>
      <sz val="11"/>
      <name val="Arial"/>
      <family val="2"/>
    </font>
    <font>
      <b/>
      <sz val="11"/>
      <name val="細明體"/>
      <family val="3"/>
      <charset val="136"/>
    </font>
    <font>
      <sz val="11"/>
      <color rgb="FFC00000"/>
      <name val="Arial"/>
      <family val="2"/>
    </font>
    <font>
      <sz val="11"/>
      <color rgb="FFC00000"/>
      <name val="細明體"/>
      <family val="2"/>
      <charset val="136"/>
    </font>
  </fonts>
  <fills count="13">
    <fill>
      <patternFill patternType="none"/>
    </fill>
    <fill>
      <patternFill patternType="gray125"/>
    </fill>
    <fill>
      <patternFill patternType="solid">
        <fgColor theme="0"/>
        <bgColor indexed="64"/>
      </patternFill>
    </fill>
    <fill>
      <patternFill patternType="solid">
        <fgColor theme="5" tint="0.79998168889431442"/>
        <bgColor indexed="64"/>
      </patternFill>
    </fill>
    <fill>
      <patternFill patternType="solid">
        <fgColor rgb="FFFEE1CC"/>
        <bgColor rgb="FFFEE1CC"/>
      </patternFill>
    </fill>
    <fill>
      <patternFill patternType="solid">
        <fgColor rgb="FFD9E6FC"/>
        <bgColor rgb="FFD9E6FC"/>
      </patternFill>
    </fill>
    <fill>
      <patternFill patternType="solid">
        <fgColor rgb="FFFFFF00"/>
        <bgColor rgb="FFFFFF00"/>
      </patternFill>
    </fill>
    <fill>
      <patternFill patternType="solid">
        <fgColor theme="8" tint="0.79998168889431442"/>
        <bgColor rgb="FFD9E6FC"/>
      </patternFill>
    </fill>
    <fill>
      <patternFill patternType="solid">
        <fgColor theme="8" tint="0.79998168889431442"/>
        <bgColor rgb="FFFEE1CC"/>
      </patternFill>
    </fill>
    <fill>
      <patternFill patternType="solid">
        <fgColor theme="4" tint="0.79998168889431442"/>
        <bgColor indexed="65"/>
      </patternFill>
    </fill>
    <fill>
      <patternFill patternType="solid">
        <fgColor theme="9" tint="0.79998168889431442"/>
        <bgColor indexed="64"/>
      </patternFill>
    </fill>
    <fill>
      <patternFill patternType="solid">
        <fgColor theme="4" tint="0.79998168889431442"/>
        <bgColor rgb="FFFEE1CC"/>
      </patternFill>
    </fill>
    <fill>
      <patternFill patternType="solid">
        <fgColor rgb="FFFFFF99"/>
        <bgColor rgb="FFD9E6FC"/>
      </patternFill>
    </fill>
  </fills>
  <borders count="42">
    <border>
      <left/>
      <right/>
      <top/>
      <bottom/>
      <diagonal/>
    </border>
    <border>
      <left/>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right style="medium">
        <color rgb="FF000000"/>
      </right>
      <top style="medium">
        <color rgb="FF000000"/>
      </top>
      <bottom/>
      <diagonal/>
    </border>
    <border>
      <left style="medium">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style="thin">
        <color rgb="FF000000"/>
      </left>
      <right/>
      <top/>
      <bottom style="medium">
        <color rgb="FF000000"/>
      </bottom>
      <diagonal/>
    </border>
    <border>
      <left/>
      <right style="medium">
        <color rgb="FF000000"/>
      </right>
      <top/>
      <bottom style="medium">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style="medium">
        <color rgb="FF000000"/>
      </right>
      <top style="medium">
        <color rgb="FF000000"/>
      </top>
      <bottom style="thin">
        <color rgb="FF000000"/>
      </bottom>
      <diagonal/>
    </border>
    <border>
      <left/>
      <right/>
      <top style="medium">
        <color indexed="64"/>
      </top>
      <bottom/>
      <diagonal/>
    </border>
    <border>
      <left/>
      <right/>
      <top/>
      <bottom style="medium">
        <color indexed="64"/>
      </bottom>
      <diagonal/>
    </border>
  </borders>
  <cellStyleXfs count="4">
    <xf numFmtId="0" fontId="0" fillId="0" borderId="0"/>
    <xf numFmtId="0" fontId="1" fillId="9" borderId="0" applyNumberFormat="0" applyBorder="0" applyAlignment="0" applyProtection="0">
      <alignment vertical="center"/>
    </xf>
    <xf numFmtId="0" fontId="31" fillId="0" borderId="0" applyNumberFormat="0" applyFill="0" applyBorder="0" applyAlignment="0" applyProtection="0"/>
    <xf numFmtId="9" fontId="32" fillId="0" borderId="0" applyFont="0" applyFill="0" applyBorder="0" applyAlignment="0" applyProtection="0">
      <alignment vertical="center"/>
    </xf>
  </cellStyleXfs>
  <cellXfs count="242">
    <xf numFmtId="0" fontId="0" fillId="0" borderId="0" xfId="0" applyFont="1" applyAlignment="1"/>
    <xf numFmtId="0" fontId="3" fillId="2" borderId="0" xfId="0" applyFont="1" applyFill="1" applyAlignment="1" applyProtection="1">
      <alignment horizontal="center" vertical="center"/>
    </xf>
    <xf numFmtId="1" fontId="3" fillId="2" borderId="1" xfId="0" applyNumberFormat="1" applyFont="1" applyFill="1" applyBorder="1" applyAlignment="1" applyProtection="1">
      <alignment horizontal="center" vertical="center"/>
    </xf>
    <xf numFmtId="0" fontId="4" fillId="2" borderId="0" xfId="0" applyFont="1" applyFill="1" applyAlignment="1" applyProtection="1">
      <alignment horizontal="center" vertical="center"/>
    </xf>
    <xf numFmtId="0" fontId="5" fillId="0" borderId="0" xfId="0" applyFont="1" applyAlignment="1">
      <alignment vertical="center" wrapText="1"/>
    </xf>
    <xf numFmtId="0" fontId="7" fillId="4" borderId="6" xfId="0" applyFont="1" applyFill="1" applyBorder="1" applyAlignment="1">
      <alignment horizontal="center" vertical="center" wrapText="1"/>
    </xf>
    <xf numFmtId="0" fontId="7" fillId="4" borderId="7" xfId="0" applyFont="1" applyFill="1" applyBorder="1" applyAlignment="1">
      <alignment horizontal="center" vertical="center" wrapText="1"/>
    </xf>
    <xf numFmtId="0" fontId="7" fillId="4" borderId="8" xfId="0" applyFont="1" applyFill="1" applyBorder="1" applyAlignment="1">
      <alignment horizontal="center" vertical="center" wrapText="1"/>
    </xf>
    <xf numFmtId="0" fontId="5" fillId="0" borderId="9" xfId="0" applyFont="1" applyBorder="1" applyAlignment="1">
      <alignment vertical="center" wrapText="1"/>
    </xf>
    <xf numFmtId="0" fontId="0" fillId="0" borderId="0" xfId="0" applyFont="1"/>
    <xf numFmtId="0" fontId="9" fillId="0" borderId="6" xfId="0" applyFont="1" applyBorder="1" applyAlignment="1">
      <alignment vertical="center" wrapText="1"/>
    </xf>
    <xf numFmtId="0" fontId="5" fillId="0" borderId="7" xfId="0" applyFont="1" applyBorder="1" applyAlignment="1">
      <alignment vertical="center" wrapText="1"/>
    </xf>
    <xf numFmtId="0" fontId="10" fillId="0" borderId="11" xfId="0" applyFont="1" applyBorder="1" applyAlignment="1">
      <alignment vertical="center" wrapText="1"/>
    </xf>
    <xf numFmtId="0" fontId="10" fillId="0" borderId="12" xfId="0" applyFont="1" applyBorder="1" applyAlignment="1">
      <alignment vertical="center" wrapText="1"/>
    </xf>
    <xf numFmtId="0" fontId="10" fillId="0" borderId="6" xfId="0" applyFont="1" applyBorder="1" applyAlignment="1">
      <alignment vertical="center" wrapText="1"/>
    </xf>
    <xf numFmtId="0" fontId="10" fillId="0" borderId="8" xfId="0" applyFont="1" applyBorder="1" applyAlignment="1">
      <alignment horizontal="left" vertical="center" wrapText="1"/>
    </xf>
    <xf numFmtId="0" fontId="5" fillId="0" borderId="10" xfId="0" applyFont="1" applyBorder="1" applyAlignment="1">
      <alignment horizontal="left" vertical="center" wrapText="1"/>
    </xf>
    <xf numFmtId="0" fontId="5" fillId="0" borderId="11" xfId="0" applyFont="1" applyBorder="1" applyAlignment="1">
      <alignment vertical="center" wrapText="1"/>
    </xf>
    <xf numFmtId="0" fontId="5" fillId="0" borderId="13" xfId="0" applyFont="1" applyBorder="1" applyAlignment="1">
      <alignment vertical="center" wrapText="1"/>
    </xf>
    <xf numFmtId="0" fontId="5" fillId="0" borderId="6" xfId="0" applyFont="1" applyBorder="1" applyAlignment="1">
      <alignment vertical="center" wrapText="1"/>
    </xf>
    <xf numFmtId="0" fontId="5" fillId="0" borderId="8" xfId="0" applyFont="1" applyBorder="1" applyAlignment="1">
      <alignment vertical="center" wrapText="1"/>
    </xf>
    <xf numFmtId="0" fontId="5" fillId="0" borderId="10" xfId="0" applyFont="1" applyBorder="1" applyAlignment="1">
      <alignment vertical="center" wrapText="1"/>
    </xf>
    <xf numFmtId="0" fontId="5" fillId="0" borderId="9" xfId="0" applyFont="1" applyFill="1" applyBorder="1" applyAlignment="1">
      <alignment vertical="center" wrapText="1"/>
    </xf>
    <xf numFmtId="0" fontId="12" fillId="0" borderId="11" xfId="0" applyFont="1" applyFill="1" applyBorder="1" applyAlignment="1">
      <alignment horizontal="left" vertical="center" wrapText="1"/>
    </xf>
    <xf numFmtId="177" fontId="0" fillId="0" borderId="0" xfId="0" applyNumberFormat="1" applyFont="1"/>
    <xf numFmtId="0" fontId="17" fillId="0" borderId="23" xfId="0" applyFont="1" applyBorder="1" applyAlignment="1">
      <alignment horizontal="center"/>
    </xf>
    <xf numFmtId="0" fontId="17" fillId="0" borderId="27" xfId="0" applyFont="1" applyBorder="1" applyAlignment="1">
      <alignment horizontal="center"/>
    </xf>
    <xf numFmtId="0" fontId="17" fillId="0" borderId="0" xfId="0" applyFont="1" applyAlignment="1">
      <alignment horizontal="center"/>
    </xf>
    <xf numFmtId="0" fontId="17" fillId="0" borderId="0" xfId="0" applyFont="1" applyAlignment="1">
      <alignment horizontal="left"/>
    </xf>
    <xf numFmtId="0" fontId="0" fillId="0" borderId="27" xfId="0" applyFont="1" applyBorder="1" applyAlignment="1">
      <alignment horizontal="center" vertical="center" wrapText="1"/>
    </xf>
    <xf numFmtId="0" fontId="11" fillId="0" borderId="10" xfId="0" applyFont="1" applyBorder="1" applyAlignment="1">
      <alignment horizontal="center" vertical="center" wrapText="1"/>
    </xf>
    <xf numFmtId="0" fontId="0" fillId="0" borderId="9" xfId="0" applyFont="1" applyBorder="1" applyAlignment="1">
      <alignment horizontal="center" vertical="center" wrapText="1"/>
    </xf>
    <xf numFmtId="0" fontId="17" fillId="0" borderId="9" xfId="0" applyFont="1" applyBorder="1" applyAlignment="1">
      <alignment horizontal="center"/>
    </xf>
    <xf numFmtId="0" fontId="17" fillId="0" borderId="10" xfId="0" applyFont="1" applyBorder="1" applyAlignment="1">
      <alignment horizontal="center"/>
    </xf>
    <xf numFmtId="178" fontId="11" fillId="0" borderId="10" xfId="0" applyNumberFormat="1" applyFont="1" applyBorder="1" applyAlignment="1">
      <alignment horizontal="center" vertical="center" wrapText="1"/>
    </xf>
    <xf numFmtId="0" fontId="17" fillId="0" borderId="29" xfId="0" applyFont="1" applyBorder="1" applyAlignment="1">
      <alignment horizontal="center"/>
    </xf>
    <xf numFmtId="0" fontId="17" fillId="0" borderId="30" xfId="0" applyFont="1" applyBorder="1" applyAlignment="1">
      <alignment horizontal="center"/>
    </xf>
    <xf numFmtId="0" fontId="17" fillId="0" borderId="30" xfId="0" applyFont="1" applyBorder="1" applyAlignment="1">
      <alignment horizontal="left"/>
    </xf>
    <xf numFmtId="0" fontId="18" fillId="0" borderId="0" xfId="0" applyFont="1"/>
    <xf numFmtId="2" fontId="0" fillId="0" borderId="0" xfId="0" applyNumberFormat="1" applyFont="1"/>
    <xf numFmtId="0" fontId="9" fillId="4" borderId="1" xfId="0" applyFont="1" applyFill="1" applyBorder="1" applyAlignment="1">
      <alignment horizontal="center" vertical="center" wrapText="1"/>
    </xf>
    <xf numFmtId="0" fontId="9" fillId="5" borderId="1" xfId="0" applyFont="1" applyFill="1" applyBorder="1" applyAlignment="1">
      <alignment horizontal="center" vertical="center" wrapText="1"/>
    </xf>
    <xf numFmtId="0" fontId="20" fillId="0" borderId="37" xfId="0" applyFont="1" applyBorder="1" applyAlignment="1">
      <alignment horizontal="left"/>
    </xf>
    <xf numFmtId="0" fontId="0" fillId="0" borderId="38" xfId="0" applyFont="1" applyBorder="1" applyAlignment="1"/>
    <xf numFmtId="0" fontId="18" fillId="0" borderId="37" xfId="0" applyFont="1" applyBorder="1" applyAlignment="1">
      <alignment horizontal="left" vertical="center"/>
    </xf>
    <xf numFmtId="0" fontId="18" fillId="0" borderId="5" xfId="0" applyFont="1" applyBorder="1" applyAlignment="1">
      <alignment horizontal="left" vertical="center"/>
    </xf>
    <xf numFmtId="0" fontId="0" fillId="0" borderId="2" xfId="0" applyFont="1" applyBorder="1" applyAlignment="1"/>
    <xf numFmtId="0" fontId="20" fillId="0" borderId="27" xfId="0" applyFont="1" applyBorder="1" applyAlignment="1">
      <alignment horizontal="center"/>
    </xf>
    <xf numFmtId="0" fontId="11" fillId="0" borderId="28" xfId="0" applyFont="1" applyBorder="1" applyAlignment="1">
      <alignment horizontal="center" vertical="center" wrapText="1"/>
    </xf>
    <xf numFmtId="0" fontId="20" fillId="0" borderId="29" xfId="0" applyFont="1" applyBorder="1" applyAlignment="1">
      <alignment horizontal="center"/>
    </xf>
    <xf numFmtId="0" fontId="11" fillId="0" borderId="33" xfId="0" applyFont="1" applyBorder="1" applyAlignment="1">
      <alignment horizontal="center" vertical="center" wrapText="1"/>
    </xf>
    <xf numFmtId="0" fontId="5" fillId="0" borderId="27" xfId="0" applyFont="1" applyBorder="1" applyAlignment="1">
      <alignment horizontal="center" vertical="center" wrapText="1"/>
    </xf>
    <xf numFmtId="0" fontId="5" fillId="0" borderId="0" xfId="0" applyFont="1" applyAlignment="1">
      <alignment horizontal="center" vertical="center" wrapText="1"/>
    </xf>
    <xf numFmtId="0" fontId="5" fillId="0" borderId="28" xfId="0" applyFont="1" applyBorder="1" applyAlignment="1">
      <alignment horizontal="center" vertical="center" wrapText="1"/>
    </xf>
    <xf numFmtId="0" fontId="21" fillId="0" borderId="0" xfId="0" applyFont="1"/>
    <xf numFmtId="0" fontId="5" fillId="0" borderId="10" xfId="0" applyFont="1" applyBorder="1" applyAlignment="1">
      <alignment horizontal="left" vertical="center"/>
    </xf>
    <xf numFmtId="0" fontId="5" fillId="0" borderId="1" xfId="0" applyFont="1" applyBorder="1" applyAlignment="1">
      <alignment horizontal="center"/>
    </xf>
    <xf numFmtId="0" fontId="5" fillId="0" borderId="28" xfId="0" applyFont="1" applyBorder="1" applyAlignment="1">
      <alignment horizontal="center"/>
    </xf>
    <xf numFmtId="177" fontId="25" fillId="0" borderId="7" xfId="0" applyNumberFormat="1" applyFont="1" applyFill="1" applyBorder="1" applyAlignment="1">
      <alignment vertical="center" wrapText="1"/>
    </xf>
    <xf numFmtId="177" fontId="25" fillId="0" borderId="8" xfId="0" applyNumberFormat="1" applyFont="1" applyFill="1" applyBorder="1" applyAlignment="1">
      <alignment vertical="center" wrapText="1"/>
    </xf>
    <xf numFmtId="9" fontId="25" fillId="0" borderId="1" xfId="0" applyNumberFormat="1" applyFont="1" applyFill="1" applyBorder="1" applyAlignment="1">
      <alignment vertical="center" wrapText="1"/>
    </xf>
    <xf numFmtId="9" fontId="25" fillId="0" borderId="10" xfId="0" applyNumberFormat="1" applyFont="1" applyFill="1" applyBorder="1" applyAlignment="1">
      <alignment vertical="center" wrapText="1"/>
    </xf>
    <xf numFmtId="9" fontId="25" fillId="0" borderId="12" xfId="0" applyNumberFormat="1" applyFont="1" applyFill="1" applyBorder="1" applyAlignment="1">
      <alignment vertical="center" wrapText="1"/>
    </xf>
    <xf numFmtId="9" fontId="25" fillId="0" borderId="13" xfId="0" applyNumberFormat="1" applyFont="1" applyFill="1" applyBorder="1" applyAlignment="1">
      <alignment vertical="center" wrapText="1"/>
    </xf>
    <xf numFmtId="0" fontId="26" fillId="0" borderId="28" xfId="0" applyFont="1" applyBorder="1" applyAlignment="1">
      <alignment horizontal="center"/>
    </xf>
    <xf numFmtId="0" fontId="26" fillId="0" borderId="28" xfId="0" quotePrefix="1" applyFont="1" applyBorder="1" applyAlignment="1">
      <alignment horizontal="center"/>
    </xf>
    <xf numFmtId="0" fontId="26" fillId="0" borderId="0" xfId="0" applyFont="1" applyAlignment="1">
      <alignment horizontal="center"/>
    </xf>
    <xf numFmtId="16" fontId="26" fillId="0" borderId="0" xfId="0" quotePrefix="1" applyNumberFormat="1" applyFont="1" applyAlignment="1">
      <alignment horizontal="center"/>
    </xf>
    <xf numFmtId="1" fontId="5" fillId="7" borderId="9" xfId="0" applyNumberFormat="1" applyFont="1" applyFill="1" applyBorder="1" applyAlignment="1">
      <alignment horizontal="right" vertical="center" wrapText="1"/>
    </xf>
    <xf numFmtId="1" fontId="5" fillId="7" borderId="1" xfId="0" applyNumberFormat="1" applyFont="1" applyFill="1" applyBorder="1" applyAlignment="1">
      <alignment horizontal="right" vertical="center" wrapText="1"/>
    </xf>
    <xf numFmtId="1" fontId="5" fillId="7" borderId="10" xfId="0" applyNumberFormat="1" applyFont="1" applyFill="1" applyBorder="1" applyAlignment="1">
      <alignment horizontal="right" vertical="center" wrapText="1"/>
    </xf>
    <xf numFmtId="0" fontId="27" fillId="2" borderId="0" xfId="0" applyFont="1" applyFill="1" applyAlignment="1" applyProtection="1">
      <alignment horizontal="center" vertical="center"/>
    </xf>
    <xf numFmtId="1" fontId="28" fillId="2" borderId="1" xfId="0" applyNumberFormat="1" applyFont="1" applyFill="1" applyBorder="1" applyAlignment="1" applyProtection="1">
      <alignment horizontal="center" vertical="center"/>
    </xf>
    <xf numFmtId="176" fontId="10" fillId="8" borderId="1" xfId="0" applyNumberFormat="1" applyFont="1" applyFill="1" applyBorder="1" applyAlignment="1">
      <alignment horizontal="right" vertical="center" wrapText="1"/>
    </xf>
    <xf numFmtId="176" fontId="10" fillId="8" borderId="12" xfId="0" applyNumberFormat="1" applyFont="1" applyFill="1" applyBorder="1" applyAlignment="1">
      <alignment horizontal="right" vertical="center" wrapText="1"/>
    </xf>
    <xf numFmtId="0" fontId="19" fillId="7" borderId="9" xfId="0" applyFont="1" applyFill="1" applyBorder="1" applyAlignment="1">
      <alignment horizontal="right" vertical="center" wrapText="1"/>
    </xf>
    <xf numFmtId="0" fontId="19" fillId="7" borderId="1" xfId="0" applyFont="1" applyFill="1" applyBorder="1" applyAlignment="1">
      <alignment horizontal="right" vertical="center" wrapText="1"/>
    </xf>
    <xf numFmtId="0" fontId="19" fillId="7" borderId="10" xfId="0" applyFont="1" applyFill="1" applyBorder="1" applyAlignment="1">
      <alignment horizontal="right" vertical="center" wrapText="1"/>
    </xf>
    <xf numFmtId="3" fontId="5" fillId="7" borderId="9" xfId="0" applyNumberFormat="1" applyFont="1" applyFill="1" applyBorder="1" applyAlignment="1">
      <alignment horizontal="right" vertical="center" wrapText="1"/>
    </xf>
    <xf numFmtId="3" fontId="5" fillId="7" borderId="1" xfId="0" applyNumberFormat="1" applyFont="1" applyFill="1" applyBorder="1" applyAlignment="1">
      <alignment horizontal="right" vertical="center" wrapText="1"/>
    </xf>
    <xf numFmtId="3" fontId="5" fillId="7" borderId="10" xfId="0" applyNumberFormat="1" applyFont="1" applyFill="1" applyBorder="1" applyAlignment="1">
      <alignment horizontal="right" vertical="center" wrapText="1"/>
    </xf>
    <xf numFmtId="0" fontId="5" fillId="7" borderId="9" xfId="0" applyFont="1" applyFill="1" applyBorder="1" applyAlignment="1">
      <alignment horizontal="right" vertical="center" wrapText="1"/>
    </xf>
    <xf numFmtId="0" fontId="5" fillId="7" borderId="1" xfId="0" applyFont="1" applyFill="1" applyBorder="1" applyAlignment="1">
      <alignment horizontal="right" vertical="center" wrapText="1"/>
    </xf>
    <xf numFmtId="0" fontId="5" fillId="7" borderId="10" xfId="0" applyFont="1" applyFill="1" applyBorder="1" applyAlignment="1">
      <alignment horizontal="right" vertical="center" wrapText="1"/>
    </xf>
    <xf numFmtId="176" fontId="5" fillId="8" borderId="6" xfId="0" applyNumberFormat="1" applyFont="1" applyFill="1" applyBorder="1" applyAlignment="1">
      <alignment horizontal="right" vertical="center" wrapText="1"/>
    </xf>
    <xf numFmtId="176" fontId="5" fillId="8" borderId="7" xfId="0" applyNumberFormat="1" applyFont="1" applyFill="1" applyBorder="1" applyAlignment="1">
      <alignment horizontal="right" vertical="center" wrapText="1"/>
    </xf>
    <xf numFmtId="176" fontId="5" fillId="8" borderId="8" xfId="0" applyNumberFormat="1" applyFont="1" applyFill="1" applyBorder="1" applyAlignment="1">
      <alignment horizontal="right" vertical="center" wrapText="1"/>
    </xf>
    <xf numFmtId="176" fontId="5" fillId="8" borderId="9" xfId="0" applyNumberFormat="1" applyFont="1" applyFill="1" applyBorder="1" applyAlignment="1">
      <alignment horizontal="right" vertical="center" wrapText="1"/>
    </xf>
    <xf numFmtId="176" fontId="5" fillId="8" borderId="1" xfId="0" applyNumberFormat="1" applyFont="1" applyFill="1" applyBorder="1" applyAlignment="1">
      <alignment horizontal="right" vertical="center" wrapText="1"/>
    </xf>
    <xf numFmtId="176" fontId="5" fillId="8" borderId="10" xfId="0" applyNumberFormat="1" applyFont="1" applyFill="1" applyBorder="1" applyAlignment="1">
      <alignment horizontal="right" vertical="center" wrapText="1"/>
    </xf>
    <xf numFmtId="176" fontId="10" fillId="8" borderId="11" xfId="0" applyNumberFormat="1" applyFont="1" applyFill="1" applyBorder="1" applyAlignment="1">
      <alignment horizontal="right" vertical="center" wrapText="1"/>
    </xf>
    <xf numFmtId="176" fontId="10" fillId="8" borderId="13" xfId="0" applyNumberFormat="1" applyFont="1" applyFill="1" applyBorder="1" applyAlignment="1">
      <alignment horizontal="right" vertical="center" wrapText="1"/>
    </xf>
    <xf numFmtId="176" fontId="10" fillId="8" borderId="10" xfId="0" applyNumberFormat="1" applyFont="1" applyFill="1" applyBorder="1" applyAlignment="1">
      <alignment horizontal="right" vertical="center" wrapText="1"/>
    </xf>
    <xf numFmtId="176" fontId="5" fillId="8" borderId="12" xfId="0" applyNumberFormat="1" applyFont="1" applyFill="1" applyBorder="1" applyAlignment="1">
      <alignment horizontal="right" vertical="center" wrapText="1"/>
    </xf>
    <xf numFmtId="176" fontId="5" fillId="8" borderId="13" xfId="0" applyNumberFormat="1" applyFont="1" applyFill="1" applyBorder="1" applyAlignment="1">
      <alignment horizontal="right" vertical="center" wrapText="1"/>
    </xf>
    <xf numFmtId="2" fontId="11" fillId="5" borderId="33" xfId="0" applyNumberFormat="1" applyFont="1" applyFill="1" applyBorder="1" applyAlignment="1">
      <alignment horizontal="center" vertical="center"/>
    </xf>
    <xf numFmtId="0" fontId="1" fillId="9" borderId="1" xfId="1" applyBorder="1" applyAlignment="1">
      <alignment horizontal="center" vertical="center" wrapText="1"/>
    </xf>
    <xf numFmtId="14" fontId="1" fillId="9" borderId="1" xfId="1" applyNumberFormat="1" applyBorder="1" applyAlignment="1">
      <alignment horizontal="center" vertical="center" wrapText="1"/>
    </xf>
    <xf numFmtId="8" fontId="1" fillId="9" borderId="1" xfId="1" applyNumberFormat="1" applyBorder="1" applyAlignment="1">
      <alignment horizontal="center" vertical="center" wrapText="1"/>
    </xf>
    <xf numFmtId="14" fontId="1" fillId="9" borderId="1" xfId="1" applyNumberFormat="1" applyBorder="1" applyAlignment="1">
      <alignment horizontal="center" vertical="center"/>
    </xf>
    <xf numFmtId="0" fontId="1" fillId="9" borderId="1" xfId="1" applyBorder="1" applyAlignment="1">
      <alignment horizontal="center" vertical="center"/>
    </xf>
    <xf numFmtId="8" fontId="1" fillId="9" borderId="1" xfId="1" applyNumberFormat="1" applyBorder="1" applyAlignment="1">
      <alignment horizontal="center" vertical="center"/>
    </xf>
    <xf numFmtId="14" fontId="1" fillId="9" borderId="1" xfId="1" applyNumberFormat="1" applyBorder="1" applyAlignment="1">
      <alignment vertical="center"/>
    </xf>
    <xf numFmtId="0" fontId="1" fillId="9" borderId="1" xfId="1" applyBorder="1" applyAlignment="1">
      <alignment vertical="center"/>
    </xf>
    <xf numFmtId="8" fontId="1" fillId="9" borderId="1" xfId="1" applyNumberFormat="1" applyBorder="1" applyAlignment="1">
      <alignment vertical="center"/>
    </xf>
    <xf numFmtId="2" fontId="11" fillId="5" borderId="28" xfId="0" applyNumberFormat="1" applyFont="1" applyFill="1" applyBorder="1" applyAlignment="1">
      <alignment horizontal="center"/>
    </xf>
    <xf numFmtId="0" fontId="19" fillId="0" borderId="27" xfId="0" applyFont="1" applyBorder="1" applyAlignment="1">
      <alignment horizontal="center" vertical="center"/>
    </xf>
    <xf numFmtId="0" fontId="19" fillId="0" borderId="0" xfId="0" applyFont="1" applyAlignment="1">
      <alignment horizontal="center" vertical="center"/>
    </xf>
    <xf numFmtId="0" fontId="19" fillId="0" borderId="28" xfId="0" applyFont="1" applyBorder="1" applyAlignment="1">
      <alignment horizontal="center" vertical="center"/>
    </xf>
    <xf numFmtId="2" fontId="19" fillId="5" borderId="27" xfId="0" applyNumberFormat="1" applyFont="1" applyFill="1" applyBorder="1" applyAlignment="1">
      <alignment horizontal="center"/>
    </xf>
    <xf numFmtId="2" fontId="19" fillId="5" borderId="1" xfId="0" applyNumberFormat="1" applyFont="1" applyFill="1" applyBorder="1" applyAlignment="1">
      <alignment horizontal="center"/>
    </xf>
    <xf numFmtId="0" fontId="19" fillId="4" borderId="27" xfId="0" applyFont="1" applyFill="1" applyBorder="1" applyAlignment="1">
      <alignment horizontal="center"/>
    </xf>
    <xf numFmtId="0" fontId="19" fillId="4" borderId="1" xfId="0" applyFont="1" applyFill="1" applyBorder="1" applyAlignment="1">
      <alignment horizontal="center"/>
    </xf>
    <xf numFmtId="2" fontId="19" fillId="5" borderId="29" xfId="0" applyNumberFormat="1" applyFont="1" applyFill="1" applyBorder="1" applyAlignment="1">
      <alignment horizontal="center" vertical="center"/>
    </xf>
    <xf numFmtId="2" fontId="19" fillId="5" borderId="30" xfId="0" applyNumberFormat="1" applyFont="1" applyFill="1" applyBorder="1" applyAlignment="1">
      <alignment horizontal="center" vertical="center"/>
    </xf>
    <xf numFmtId="0" fontId="19" fillId="4" borderId="29" xfId="0" applyFont="1" applyFill="1" applyBorder="1" applyAlignment="1">
      <alignment horizontal="center" vertical="center"/>
    </xf>
    <xf numFmtId="0" fontId="19" fillId="4" borderId="30" xfId="0" applyFont="1" applyFill="1" applyBorder="1" applyAlignment="1">
      <alignment horizontal="center" vertical="center"/>
    </xf>
    <xf numFmtId="176" fontId="5" fillId="11" borderId="1" xfId="0" applyNumberFormat="1" applyFont="1" applyFill="1" applyBorder="1" applyAlignment="1">
      <alignment horizontal="right" vertical="center" wrapText="1"/>
    </xf>
    <xf numFmtId="176" fontId="5" fillId="11" borderId="28" xfId="0" applyNumberFormat="1" applyFont="1" applyFill="1" applyBorder="1" applyAlignment="1">
      <alignment horizontal="right" vertical="center" wrapText="1"/>
    </xf>
    <xf numFmtId="9" fontId="19" fillId="12" borderId="1" xfId="0" applyNumberFormat="1" applyFont="1" applyFill="1" applyBorder="1" applyAlignment="1">
      <alignment horizontal="right"/>
    </xf>
    <xf numFmtId="9" fontId="19" fillId="12" borderId="28" xfId="0" applyNumberFormat="1" applyFont="1" applyFill="1" applyBorder="1" applyAlignment="1">
      <alignment horizontal="right"/>
    </xf>
    <xf numFmtId="0" fontId="19" fillId="12" borderId="1" xfId="0" applyFont="1" applyFill="1" applyBorder="1" applyAlignment="1">
      <alignment horizontal="right" vertical="center"/>
    </xf>
    <xf numFmtId="9" fontId="11" fillId="12" borderId="1" xfId="0" applyNumberFormat="1" applyFont="1" applyFill="1" applyBorder="1" applyAlignment="1">
      <alignment horizontal="right"/>
    </xf>
    <xf numFmtId="9" fontId="11" fillId="12" borderId="28" xfId="0" applyNumberFormat="1" applyFont="1" applyFill="1" applyBorder="1" applyAlignment="1">
      <alignment horizontal="right"/>
    </xf>
    <xf numFmtId="0" fontId="19" fillId="12" borderId="30" xfId="0" applyFont="1" applyFill="1" applyBorder="1" applyAlignment="1">
      <alignment horizontal="right" vertical="center"/>
    </xf>
    <xf numFmtId="9" fontId="19" fillId="12" borderId="30" xfId="0" applyNumberFormat="1" applyFont="1" applyFill="1" applyBorder="1" applyAlignment="1">
      <alignment horizontal="right"/>
    </xf>
    <xf numFmtId="9" fontId="19" fillId="12" borderId="33" xfId="0" applyNumberFormat="1" applyFont="1" applyFill="1" applyBorder="1" applyAlignment="1">
      <alignment horizontal="right"/>
    </xf>
    <xf numFmtId="0" fontId="26" fillId="0" borderId="1" xfId="0" applyFont="1" applyBorder="1" applyAlignment="1">
      <alignment wrapText="1"/>
    </xf>
    <xf numFmtId="0" fontId="34" fillId="0" borderId="1" xfId="0" applyFont="1" applyBorder="1" applyAlignment="1"/>
    <xf numFmtId="0" fontId="38" fillId="0" borderId="1" xfId="0" applyFont="1" applyBorder="1" applyAlignment="1">
      <alignment wrapText="1"/>
    </xf>
    <xf numFmtId="0" fontId="39" fillId="0" borderId="1" xfId="0" applyFont="1" applyBorder="1" applyAlignment="1"/>
    <xf numFmtId="0" fontId="26" fillId="0" borderId="1" xfId="0" applyFont="1" applyBorder="1" applyAlignment="1">
      <alignment vertical="center" wrapText="1"/>
    </xf>
    <xf numFmtId="0" fontId="35" fillId="0" borderId="1" xfId="0" applyFont="1" applyBorder="1" applyAlignment="1">
      <alignment vertical="center" wrapText="1"/>
    </xf>
    <xf numFmtId="0" fontId="34" fillId="0" borderId="1" xfId="0" applyFont="1" applyBorder="1" applyAlignment="1">
      <alignment vertical="center"/>
    </xf>
    <xf numFmtId="0" fontId="37" fillId="0" borderId="1" xfId="2" applyFont="1" applyBorder="1" applyAlignment="1">
      <alignment vertical="center"/>
    </xf>
    <xf numFmtId="0" fontId="37" fillId="0" borderId="1" xfId="2" applyFont="1" applyBorder="1" applyAlignment="1">
      <alignment vertical="center" wrapText="1"/>
    </xf>
    <xf numFmtId="0" fontId="39" fillId="0" borderId="1" xfId="0" applyFont="1" applyBorder="1" applyAlignment="1">
      <alignment vertical="center"/>
    </xf>
    <xf numFmtId="0" fontId="40" fillId="0" borderId="1" xfId="2" applyFont="1" applyBorder="1" applyAlignment="1">
      <alignment vertical="center" wrapText="1"/>
    </xf>
    <xf numFmtId="49" fontId="26" fillId="0" borderId="1" xfId="0" applyNumberFormat="1" applyFont="1" applyBorder="1" applyAlignment="1">
      <alignment vertical="center" wrapText="1"/>
    </xf>
    <xf numFmtId="0" fontId="41" fillId="0" borderId="1" xfId="0" applyFont="1" applyBorder="1" applyAlignment="1">
      <alignment vertical="center" wrapText="1"/>
    </xf>
    <xf numFmtId="0" fontId="38" fillId="0" borderId="1" xfId="0" applyFont="1" applyBorder="1" applyAlignment="1">
      <alignment vertical="center" wrapText="1"/>
    </xf>
    <xf numFmtId="0" fontId="42" fillId="0" borderId="1" xfId="0" applyFont="1" applyBorder="1" applyAlignment="1">
      <alignment horizontal="left" vertical="center" wrapText="1"/>
    </xf>
    <xf numFmtId="0" fontId="43" fillId="0" borderId="1" xfId="0" applyFont="1" applyBorder="1" applyAlignment="1">
      <alignment vertical="center" wrapText="1"/>
    </xf>
    <xf numFmtId="0" fontId="44" fillId="0" borderId="1" xfId="0" applyFont="1" applyBorder="1" applyAlignment="1">
      <alignment vertical="center"/>
    </xf>
    <xf numFmtId="0" fontId="33" fillId="0" borderId="40" xfId="0" applyFont="1" applyBorder="1" applyAlignment="1">
      <alignment horizontal="center" vertical="center" wrapText="1"/>
    </xf>
    <xf numFmtId="0" fontId="33" fillId="0" borderId="40" xfId="0" applyFont="1" applyBorder="1" applyAlignment="1">
      <alignment wrapText="1"/>
    </xf>
    <xf numFmtId="0" fontId="26" fillId="0" borderId="40" xfId="0" applyFont="1" applyBorder="1" applyAlignment="1">
      <alignment wrapText="1"/>
    </xf>
    <xf numFmtId="0" fontId="34" fillId="0" borderId="40" xfId="0" applyFont="1" applyBorder="1" applyAlignment="1"/>
    <xf numFmtId="0" fontId="26" fillId="0" borderId="37" xfId="0" applyFont="1" applyBorder="1" applyAlignment="1">
      <alignment vertical="center" wrapText="1"/>
    </xf>
    <xf numFmtId="0" fontId="26" fillId="0" borderId="5" xfId="0" applyFont="1" applyBorder="1" applyAlignment="1">
      <alignment vertical="center" wrapText="1"/>
    </xf>
    <xf numFmtId="0" fontId="26" fillId="0" borderId="41" xfId="0" applyFont="1" applyBorder="1" applyAlignment="1">
      <alignment vertical="center" wrapText="1"/>
    </xf>
    <xf numFmtId="0" fontId="39" fillId="0" borderId="41" xfId="0" applyFont="1" applyBorder="1" applyAlignment="1">
      <alignment vertical="center"/>
    </xf>
    <xf numFmtId="0" fontId="40" fillId="0" borderId="41" xfId="2" applyFont="1" applyBorder="1" applyAlignment="1">
      <alignment vertical="center" wrapText="1"/>
    </xf>
    <xf numFmtId="0" fontId="26" fillId="0" borderId="41" xfId="0" applyFont="1" applyBorder="1" applyAlignment="1">
      <alignment wrapText="1"/>
    </xf>
    <xf numFmtId="0" fontId="39" fillId="0" borderId="41" xfId="0" applyFont="1" applyBorder="1" applyAlignment="1"/>
    <xf numFmtId="0" fontId="26" fillId="0" borderId="3" xfId="0" applyFont="1" applyBorder="1" applyAlignment="1">
      <alignment vertical="center" wrapText="1"/>
    </xf>
    <xf numFmtId="0" fontId="26" fillId="0" borderId="40" xfId="0" applyFont="1" applyBorder="1" applyAlignment="1">
      <alignment vertical="center" wrapText="1"/>
    </xf>
    <xf numFmtId="0" fontId="47" fillId="0" borderId="1" xfId="0" applyFont="1" applyBorder="1" applyAlignment="1">
      <alignment vertical="center" wrapText="1"/>
    </xf>
    <xf numFmtId="0" fontId="48" fillId="0" borderId="1" xfId="0" applyFont="1" applyBorder="1" applyAlignment="1">
      <alignment vertical="center"/>
    </xf>
    <xf numFmtId="0" fontId="49" fillId="0" borderId="1" xfId="0" applyFont="1" applyBorder="1" applyAlignment="1">
      <alignment vertical="center" wrapText="1"/>
    </xf>
    <xf numFmtId="0" fontId="50" fillId="0" borderId="1" xfId="0" applyFont="1" applyBorder="1" applyAlignment="1">
      <alignment vertical="center"/>
    </xf>
    <xf numFmtId="0" fontId="51" fillId="0" borderId="1" xfId="0" applyFont="1" applyBorder="1" applyAlignment="1">
      <alignment vertical="center" wrapText="1"/>
    </xf>
    <xf numFmtId="0" fontId="52" fillId="0" borderId="1" xfId="0" applyFont="1" applyBorder="1" applyAlignment="1">
      <alignment vertical="center" wrapText="1"/>
    </xf>
    <xf numFmtId="0" fontId="53" fillId="0" borderId="1" xfId="0" applyFont="1" applyBorder="1" applyAlignment="1">
      <alignment vertical="center" wrapText="1"/>
    </xf>
    <xf numFmtId="0" fontId="54" fillId="0" borderId="1" xfId="0" applyFont="1" applyBorder="1" applyAlignment="1">
      <alignment vertical="center" wrapText="1"/>
    </xf>
    <xf numFmtId="0" fontId="55" fillId="0" borderId="1" xfId="0" applyFont="1" applyBorder="1" applyAlignment="1">
      <alignment vertical="center" wrapText="1"/>
    </xf>
    <xf numFmtId="0" fontId="31" fillId="0" borderId="1" xfId="2" applyBorder="1" applyAlignment="1">
      <alignment horizontal="right" vertical="center" wrapText="1"/>
    </xf>
    <xf numFmtId="0" fontId="31" fillId="0" borderId="41" xfId="2" applyBorder="1" applyAlignment="1">
      <alignment horizontal="right" vertical="center" wrapText="1"/>
    </xf>
    <xf numFmtId="0" fontId="13" fillId="0" borderId="23" xfId="0" applyFont="1" applyBorder="1" applyAlignment="1">
      <alignment horizontal="center"/>
    </xf>
    <xf numFmtId="0" fontId="6" fillId="0" borderId="26" xfId="0" applyFont="1" applyBorder="1"/>
    <xf numFmtId="0" fontId="11" fillId="0" borderId="9" xfId="0" applyFont="1" applyBorder="1" applyAlignment="1">
      <alignment horizontal="center" vertical="center" wrapText="1"/>
    </xf>
    <xf numFmtId="0" fontId="6" fillId="0" borderId="10" xfId="0" applyFont="1" applyBorder="1"/>
    <xf numFmtId="0" fontId="0" fillId="0" borderId="11" xfId="0" applyFont="1" applyBorder="1" applyAlignment="1">
      <alignment horizontal="center" vertical="center" wrapText="1"/>
    </xf>
    <xf numFmtId="0" fontId="6" fillId="0" borderId="13" xfId="0" applyFont="1" applyBorder="1"/>
    <xf numFmtId="0" fontId="14" fillId="0" borderId="25" xfId="0" applyFont="1" applyBorder="1" applyAlignment="1">
      <alignment horizontal="center" vertical="center" wrapText="1"/>
    </xf>
    <xf numFmtId="0" fontId="6" fillId="0" borderId="24" xfId="0" applyFont="1" applyBorder="1"/>
    <xf numFmtId="0" fontId="23" fillId="0" borderId="27" xfId="0" applyFont="1" applyBorder="1" applyAlignment="1">
      <alignment horizontal="center" vertical="center" wrapText="1"/>
    </xf>
    <xf numFmtId="0" fontId="6" fillId="0" borderId="29" xfId="0" applyFont="1" applyBorder="1"/>
    <xf numFmtId="0" fontId="6" fillId="0" borderId="31" xfId="0" applyFont="1" applyBorder="1"/>
    <xf numFmtId="0" fontId="11" fillId="0" borderId="6" xfId="0" applyFont="1" applyBorder="1" applyAlignment="1">
      <alignment horizontal="center" vertical="center" wrapText="1"/>
    </xf>
    <xf numFmtId="0" fontId="6" fillId="0" borderId="8" xfId="0" applyFont="1" applyBorder="1"/>
    <xf numFmtId="0" fontId="6" fillId="0" borderId="32" xfId="0" applyFont="1" applyBorder="1"/>
    <xf numFmtId="0" fontId="23" fillId="0" borderId="9" xfId="0" applyFont="1" applyBorder="1" applyAlignment="1">
      <alignment horizontal="center" vertical="center" wrapText="1"/>
    </xf>
    <xf numFmtId="0" fontId="20" fillId="6" borderId="9" xfId="0" applyFont="1" applyFill="1" applyBorder="1" applyAlignment="1">
      <alignment horizontal="center"/>
    </xf>
    <xf numFmtId="0" fontId="6" fillId="0" borderId="1" xfId="0" applyFont="1" applyBorder="1"/>
    <xf numFmtId="0" fontId="20" fillId="6" borderId="1" xfId="0" applyFont="1" applyFill="1" applyBorder="1" applyAlignment="1">
      <alignment horizontal="center"/>
    </xf>
    <xf numFmtId="0" fontId="6" fillId="0" borderId="28" xfId="0" applyFont="1" applyBorder="1"/>
    <xf numFmtId="0" fontId="20" fillId="6" borderId="32" xfId="0" applyFont="1" applyFill="1" applyBorder="1" applyAlignment="1">
      <alignment horizontal="center"/>
    </xf>
    <xf numFmtId="0" fontId="6" fillId="0" borderId="30" xfId="0" applyFont="1" applyBorder="1"/>
    <xf numFmtId="0" fontId="20" fillId="6" borderId="30" xfId="0" applyFont="1" applyFill="1" applyBorder="1" applyAlignment="1">
      <alignment horizontal="center"/>
    </xf>
    <xf numFmtId="0" fontId="6" fillId="0" borderId="33" xfId="0" applyFont="1" applyBorder="1"/>
    <xf numFmtId="0" fontId="14" fillId="0" borderId="14" xfId="0" applyFont="1" applyBorder="1" applyAlignment="1">
      <alignment horizontal="center" vertical="center" wrapText="1"/>
    </xf>
    <xf numFmtId="0" fontId="6" fillId="0" borderId="16" xfId="0" applyFont="1" applyBorder="1"/>
    <xf numFmtId="0" fontId="14" fillId="0" borderId="17" xfId="0" applyFont="1" applyBorder="1" applyAlignment="1">
      <alignment horizontal="center" vertical="center" wrapText="1"/>
    </xf>
    <xf numFmtId="0" fontId="13" fillId="0" borderId="18" xfId="0" applyFont="1" applyBorder="1" applyAlignment="1">
      <alignment horizontal="center"/>
    </xf>
    <xf numFmtId="0" fontId="6" fillId="0" borderId="19" xfId="0" applyFont="1" applyBorder="1"/>
    <xf numFmtId="0" fontId="6" fillId="0" borderId="20" xfId="0" applyFont="1" applyBorder="1"/>
    <xf numFmtId="0" fontId="16" fillId="0" borderId="19" xfId="0" applyFont="1" applyBorder="1" applyAlignment="1">
      <alignment horizontal="center"/>
    </xf>
    <xf numFmtId="0" fontId="6" fillId="0" borderId="21" xfId="0" applyFont="1" applyBorder="1"/>
    <xf numFmtId="0" fontId="13" fillId="0" borderId="22" xfId="0" applyFont="1" applyBorder="1" applyAlignment="1">
      <alignment horizontal="center"/>
    </xf>
    <xf numFmtId="0" fontId="6" fillId="0" borderId="23" xfId="0" applyFont="1" applyBorder="1"/>
    <xf numFmtId="0" fontId="0" fillId="0" borderId="22" xfId="0" applyFont="1" applyBorder="1" applyAlignment="1">
      <alignment horizontal="center" vertical="center" wrapText="1"/>
    </xf>
    <xf numFmtId="0" fontId="0" fillId="0" borderId="25" xfId="0" applyFont="1" applyBorder="1" applyAlignment="1">
      <alignment horizontal="center" vertical="center" wrapText="1"/>
    </xf>
    <xf numFmtId="0" fontId="13" fillId="0" borderId="25" xfId="0" applyFont="1" applyBorder="1" applyAlignment="1">
      <alignment horizontal="center"/>
    </xf>
    <xf numFmtId="0" fontId="13" fillId="0" borderId="14" xfId="0" applyFont="1" applyBorder="1" applyAlignment="1">
      <alignment horizontal="center"/>
    </xf>
    <xf numFmtId="0" fontId="6" fillId="0" borderId="15" xfId="0" applyFont="1" applyBorder="1"/>
    <xf numFmtId="0" fontId="5" fillId="0" borderId="6" xfId="0" applyFont="1" applyBorder="1" applyAlignment="1">
      <alignment horizontal="center" vertical="center" wrapText="1"/>
    </xf>
    <xf numFmtId="0" fontId="6" fillId="0" borderId="7" xfId="0" applyFont="1" applyBorder="1"/>
    <xf numFmtId="0" fontId="6" fillId="0" borderId="9" xfId="0" applyFont="1" applyBorder="1"/>
    <xf numFmtId="0" fontId="0" fillId="0" borderId="0" xfId="0" applyFont="1" applyAlignment="1"/>
    <xf numFmtId="0" fontId="6" fillId="0" borderId="11" xfId="0" applyFont="1" applyBorder="1"/>
    <xf numFmtId="0" fontId="6" fillId="0" borderId="12" xfId="0" applyFont="1" applyBorder="1"/>
    <xf numFmtId="0" fontId="20" fillId="0" borderId="27" xfId="0" applyFont="1" applyBorder="1" applyAlignment="1">
      <alignment horizontal="center"/>
    </xf>
    <xf numFmtId="0" fontId="24" fillId="3" borderId="34" xfId="0" applyFont="1" applyFill="1" applyBorder="1" applyAlignment="1">
      <alignment horizontal="center" vertical="center"/>
    </xf>
    <xf numFmtId="0" fontId="24" fillId="3" borderId="35" xfId="0" applyFont="1" applyFill="1" applyBorder="1" applyAlignment="1">
      <alignment horizontal="center" vertical="center"/>
    </xf>
    <xf numFmtId="0" fontId="24" fillId="3" borderId="36" xfId="0" applyFont="1" applyFill="1" applyBorder="1" applyAlignment="1">
      <alignment horizontal="center" vertical="center"/>
    </xf>
    <xf numFmtId="0" fontId="9" fillId="0" borderId="3" xfId="0" applyFont="1" applyBorder="1" applyAlignment="1">
      <alignment horizontal="center"/>
    </xf>
    <xf numFmtId="0" fontId="9" fillId="0" borderId="4" xfId="0" applyFont="1" applyBorder="1" applyAlignment="1">
      <alignment horizontal="center"/>
    </xf>
    <xf numFmtId="0" fontId="6" fillId="0" borderId="39" xfId="0" applyFont="1" applyBorder="1"/>
    <xf numFmtId="0" fontId="54" fillId="0" borderId="1" xfId="0" applyFont="1" applyBorder="1" applyAlignment="1">
      <alignment horizontal="center" vertical="center" wrapText="1"/>
    </xf>
    <xf numFmtId="0" fontId="41" fillId="0" borderId="1" xfId="0" applyFont="1" applyBorder="1" applyAlignment="1">
      <alignment horizontal="left" vertical="center" wrapText="1"/>
    </xf>
    <xf numFmtId="0" fontId="26" fillId="0" borderId="1" xfId="0" applyFont="1" applyBorder="1" applyAlignment="1">
      <alignment horizontal="center" vertical="center" wrapText="1"/>
    </xf>
    <xf numFmtId="0" fontId="5" fillId="0" borderId="3" xfId="0" applyFont="1" applyBorder="1" applyAlignment="1">
      <alignment horizontal="center" vertical="center" wrapText="1"/>
    </xf>
    <xf numFmtId="0" fontId="5" fillId="0" borderId="40" xfId="0" applyFont="1" applyBorder="1" applyAlignment="1">
      <alignment horizontal="center" vertical="center" wrapText="1"/>
    </xf>
    <xf numFmtId="0" fontId="5" fillId="0" borderId="5" xfId="0" applyFont="1" applyBorder="1" applyAlignment="1">
      <alignment horizontal="center" vertical="center" wrapText="1"/>
    </xf>
    <xf numFmtId="0" fontId="5" fillId="0" borderId="41" xfId="0" applyFont="1" applyBorder="1" applyAlignment="1">
      <alignment horizontal="center" vertical="center" wrapText="1"/>
    </xf>
    <xf numFmtId="179" fontId="11" fillId="10" borderId="4" xfId="3" applyNumberFormat="1" applyFont="1" applyFill="1" applyBorder="1" applyAlignment="1">
      <alignment horizontal="center" vertical="center" wrapText="1"/>
    </xf>
    <xf numFmtId="179" fontId="11" fillId="10" borderId="2" xfId="3" applyNumberFormat="1" applyFont="1" applyFill="1" applyBorder="1" applyAlignment="1">
      <alignment horizontal="center" vertical="center" wrapText="1"/>
    </xf>
    <xf numFmtId="0" fontId="5" fillId="10" borderId="4" xfId="0" applyFont="1" applyFill="1" applyBorder="1" applyAlignment="1">
      <alignment horizontal="center" vertical="center" wrapText="1"/>
    </xf>
    <xf numFmtId="0" fontId="5" fillId="10" borderId="2" xfId="0" applyFont="1" applyFill="1" applyBorder="1" applyAlignment="1">
      <alignment horizontal="center" vertical="center" wrapText="1"/>
    </xf>
    <xf numFmtId="0" fontId="14" fillId="0" borderId="27" xfId="0" applyFont="1" applyBorder="1" applyAlignment="1">
      <alignment horizontal="center" vertical="center" wrapText="1"/>
    </xf>
    <xf numFmtId="0" fontId="6" fillId="0" borderId="1" xfId="0" applyFont="1" applyBorder="1" applyAlignment="1">
      <alignment horizontal="center" vertical="center"/>
    </xf>
    <xf numFmtId="0" fontId="6" fillId="0" borderId="28" xfId="0" applyFont="1" applyBorder="1" applyAlignment="1">
      <alignment horizontal="center" vertical="center"/>
    </xf>
    <xf numFmtId="0" fontId="5" fillId="0" borderId="34" xfId="0" applyFont="1" applyBorder="1" applyAlignment="1">
      <alignment horizontal="center" vertical="center" wrapText="1"/>
    </xf>
    <xf numFmtId="0" fontId="5" fillId="0" borderId="35" xfId="0" applyFont="1" applyBorder="1" applyAlignment="1">
      <alignment horizontal="center" vertical="center" wrapText="1"/>
    </xf>
    <xf numFmtId="0" fontId="5" fillId="0" borderId="36" xfId="0" applyFont="1" applyBorder="1" applyAlignment="1">
      <alignment horizontal="center" vertical="center" wrapText="1"/>
    </xf>
    <xf numFmtId="0" fontId="19" fillId="0" borderId="34" xfId="0" applyFont="1" applyBorder="1" applyAlignment="1">
      <alignment horizontal="center" vertical="center"/>
    </xf>
    <xf numFmtId="0" fontId="19" fillId="0" borderId="35" xfId="0" applyFont="1" applyBorder="1" applyAlignment="1">
      <alignment horizontal="center" vertical="center"/>
    </xf>
    <xf numFmtId="0" fontId="19" fillId="0" borderId="36" xfId="0" applyFont="1" applyBorder="1" applyAlignment="1">
      <alignment horizontal="center" vertical="center"/>
    </xf>
    <xf numFmtId="0" fontId="6" fillId="0" borderId="1" xfId="0" applyFont="1" applyBorder="1" applyAlignment="1">
      <alignment horizontal="center"/>
    </xf>
    <xf numFmtId="0" fontId="6" fillId="0" borderId="28" xfId="0" applyFont="1" applyBorder="1" applyAlignment="1">
      <alignment horizontal="center"/>
    </xf>
    <xf numFmtId="0" fontId="22" fillId="0" borderId="0" xfId="0" applyFont="1" applyAlignment="1">
      <alignment horizontal="left"/>
    </xf>
  </cellXfs>
  <cellStyles count="4">
    <cellStyle name="20% - 輔色1" xfId="1" builtinId="30"/>
    <cellStyle name="一般" xfId="0" builtinId="0"/>
    <cellStyle name="百分比" xfId="3" builtinId="5"/>
    <cellStyle name="超連結" xfId="2" builtinId="8"/>
  </cellStyles>
  <dxfs count="15">
    <dxf>
      <fill>
        <patternFill>
          <bgColor rgb="FFFFFF99"/>
        </patternFill>
      </fill>
    </dxf>
    <dxf>
      <fill>
        <patternFill>
          <bgColor theme="9" tint="0.79998168889431442"/>
        </patternFill>
      </fill>
    </dxf>
    <dxf>
      <fill>
        <patternFill>
          <bgColor theme="8" tint="0.79998168889431442"/>
        </patternFill>
      </fill>
    </dxf>
    <dxf>
      <fill>
        <patternFill>
          <bgColor rgb="FFFFFF99"/>
        </patternFill>
      </fill>
    </dxf>
    <dxf>
      <fill>
        <patternFill>
          <bgColor rgb="FFFFFF99"/>
        </patternFill>
      </fill>
    </dxf>
    <dxf>
      <fill>
        <patternFill>
          <bgColor theme="9" tint="0.79998168889431442"/>
        </patternFill>
      </fill>
    </dxf>
    <dxf>
      <fill>
        <patternFill>
          <bgColor theme="8" tint="0.79998168889431442"/>
        </patternFill>
      </fill>
    </dxf>
    <dxf>
      <fill>
        <patternFill patternType="solid">
          <fgColor rgb="FFDBE5F1"/>
          <bgColor rgb="FFDBE5F1"/>
        </patternFill>
      </fill>
    </dxf>
    <dxf>
      <fill>
        <patternFill patternType="solid">
          <fgColor rgb="FFDBE5F1"/>
          <bgColor rgb="FFDBE5F1"/>
        </patternFill>
      </fill>
    </dxf>
    <dxf>
      <fill>
        <patternFill patternType="solid">
          <fgColor rgb="FFFFFFFF"/>
          <bgColor rgb="FFFFFFFF"/>
        </patternFill>
      </fill>
    </dxf>
    <dxf>
      <fill>
        <patternFill patternType="solid">
          <fgColor rgb="FF4F81BD"/>
          <bgColor rgb="FF4F81BD"/>
        </patternFill>
      </fill>
    </dxf>
    <dxf>
      <fill>
        <patternFill patternType="solid">
          <fgColor rgb="FFDBE5F1"/>
          <bgColor rgb="FFDBE5F1"/>
        </patternFill>
      </fill>
    </dxf>
    <dxf>
      <fill>
        <patternFill patternType="solid">
          <fgColor rgb="FFDBE5F1"/>
          <bgColor rgb="FFDBE5F1"/>
        </patternFill>
      </fill>
    </dxf>
    <dxf>
      <fill>
        <patternFill patternType="solid">
          <fgColor rgb="FFFFFFFF"/>
          <bgColor rgb="FFFFFFFF"/>
        </patternFill>
      </fill>
    </dxf>
    <dxf>
      <fill>
        <patternFill patternType="solid">
          <fgColor rgb="FF4F81BD"/>
          <bgColor rgb="FF4F81BD"/>
        </patternFill>
      </fill>
    </dxf>
  </dxfs>
  <tableStyles count="2">
    <tableStyle name="6. 自由大門-style" pivot="0" count="4" xr9:uid="{00000000-0011-0000-FFFF-FFFF00000000}">
      <tableStyleElement type="headerRow" dxfId="14"/>
      <tableStyleElement type="totalRow" dxfId="13"/>
      <tableStyleElement type="firstRowStripe" dxfId="12"/>
      <tableStyleElement type="secondRowStripe" dxfId="11"/>
    </tableStyle>
    <tableStyle name="財務自由計算器-style" pivot="0" count="4" xr9:uid="{00000000-0011-0000-FFFF-FFFF01000000}">
      <tableStyleElement type="headerRow" dxfId="10"/>
      <tableStyleElement type="totalRow" dxfId="9"/>
      <tableStyleElement type="firstRowStripe" dxfId="8"/>
      <tableStyleElement type="secondRowStripe" dxfId="7"/>
    </tableStyle>
  </tableStyles>
  <colors>
    <mruColors>
      <color rgb="FFFFFF99"/>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sharedStrings" Target="sharedStrings.xml"/><Relationship Id="rId3" Type="http://schemas.openxmlformats.org/officeDocument/2006/relationships/worksheet" Target="worksheets/sheet3.xml"/><Relationship Id="rId25"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24" Type="http://schemas.openxmlformats.org/officeDocument/2006/relationships/theme" Target="theme/theme1.xml"/><Relationship Id="rId23" Type="http://customschemas.google.com/relationships/workbookmetadata" Target="metadata"/><Relationship Id="rId28" Type="http://schemas.microsoft.com/office/2006/relationships/vbaProject" Target="vbaProject.bin"/><Relationship Id="rId4" Type="http://schemas.openxmlformats.org/officeDocument/2006/relationships/worksheet" Target="worksheets/sheet4.xml"/><Relationship Id="rId27" Type="http://schemas.openxmlformats.org/officeDocument/2006/relationships/calcChain" Target="calcChain.xml"/></Relationships>
</file>

<file path=xl/charts/_rels/chart1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1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1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1"/>
        <c:ser>
          <c:idx val="0"/>
          <c:order val="0"/>
          <c:tx>
            <c:v>流動比率 Current Ratio</c:v>
          </c:tx>
          <c:spPr>
            <a:solidFill>
              <a:srgbClr val="4285F4"/>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 Yahoo Finance瞭解財政狀況'!$F$2:$I$2</c:f>
              <c:strCache>
                <c:ptCount val="4"/>
                <c:pt idx="0">
                  <c:v>U</c:v>
                </c:pt>
                <c:pt idx="1">
                  <c:v>EA</c:v>
                </c:pt>
                <c:pt idx="2">
                  <c:v>ATVI</c:v>
                </c:pt>
                <c:pt idx="3">
                  <c:v>SRNE</c:v>
                </c:pt>
              </c:strCache>
            </c:strRef>
          </c:cat>
          <c:val>
            <c:numRef>
              <c:f>'1. Yahoo Finance瞭解財政狀況'!$F$17:$I$17</c:f>
              <c:numCache>
                <c:formatCode>0.0</c:formatCode>
                <c:ptCount val="4"/>
                <c:pt idx="0">
                  <c:v>4.1346761469093165</c:v>
                </c:pt>
                <c:pt idx="1">
                  <c:v>2.4335357624831309</c:v>
                </c:pt>
                <c:pt idx="2">
                  <c:v>3.4080645161290324</c:v>
                </c:pt>
                <c:pt idx="3">
                  <c:v>0.89380182421227194</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3610-420A-ACC8-94A681370CAD}"/>
            </c:ext>
          </c:extLst>
        </c:ser>
        <c:ser>
          <c:idx val="1"/>
          <c:order val="1"/>
          <c:tx>
            <c:v>負債比率 Debt Ratio</c:v>
          </c:tx>
          <c:spPr>
            <a:solidFill>
              <a:srgbClr val="EA4335"/>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 Yahoo Finance瞭解財政狀況'!$F$2:$I$2</c:f>
              <c:strCache>
                <c:ptCount val="4"/>
                <c:pt idx="0">
                  <c:v>U</c:v>
                </c:pt>
                <c:pt idx="1">
                  <c:v>EA</c:v>
                </c:pt>
                <c:pt idx="2">
                  <c:v>ATVI</c:v>
                </c:pt>
                <c:pt idx="3">
                  <c:v>SRNE</c:v>
                </c:pt>
              </c:strCache>
            </c:strRef>
          </c:cat>
          <c:val>
            <c:numRef>
              <c:f>'1. Yahoo Finance瞭解財政狀況'!$F$18:$I$18</c:f>
              <c:numCache>
                <c:formatCode>0%</c:formatCode>
                <c:ptCount val="4"/>
                <c:pt idx="0">
                  <c:v>0.23737498713137231</c:v>
                </c:pt>
                <c:pt idx="1">
                  <c:v>0.4099939795304034</c:v>
                </c:pt>
                <c:pt idx="2">
                  <c:v>0.3493011380847289</c:v>
                </c:pt>
                <c:pt idx="3">
                  <c:v>0.73735494249956146</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3610-420A-ACC8-94A681370CAD}"/>
            </c:ext>
          </c:extLst>
        </c:ser>
        <c:ser>
          <c:idx val="2"/>
          <c:order val="2"/>
          <c:tx>
            <c:v>銷貨報酬率 ROS</c:v>
          </c:tx>
          <c:spPr>
            <a:solidFill>
              <a:srgbClr val="FBBC04"/>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 Yahoo Finance瞭解財政狀況'!$F$2:$I$2</c:f>
              <c:strCache>
                <c:ptCount val="4"/>
                <c:pt idx="0">
                  <c:v>U</c:v>
                </c:pt>
                <c:pt idx="1">
                  <c:v>EA</c:v>
                </c:pt>
                <c:pt idx="2">
                  <c:v>ATVI</c:v>
                </c:pt>
                <c:pt idx="3">
                  <c:v>SRNE</c:v>
                </c:pt>
              </c:strCache>
            </c:strRef>
          </c:cat>
          <c:val>
            <c:numRef>
              <c:f>'1. Yahoo Finance瞭解財政狀況'!$F$19:$I$19</c:f>
              <c:numCache>
                <c:formatCode>0%</c:formatCode>
                <c:ptCount val="4"/>
                <c:pt idx="0">
                  <c:v>-0.36547326994154922</c:v>
                </c:pt>
                <c:pt idx="1">
                  <c:v>0.14869426185823414</c:v>
                </c:pt>
                <c:pt idx="2">
                  <c:v>0.27170418006430869</c:v>
                </c:pt>
                <c:pt idx="3">
                  <c:v>-7.464137448106837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2-3610-420A-ACC8-94A681370CAD}"/>
            </c:ext>
          </c:extLst>
        </c:ser>
        <c:ser>
          <c:idx val="3"/>
          <c:order val="3"/>
          <c:tx>
            <c:v>股東權益報酬率 ROE</c:v>
          </c:tx>
          <c:spPr>
            <a:solidFill>
              <a:srgbClr val="34A853"/>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 Yahoo Finance瞭解財政狀況'!$F$2:$I$2</c:f>
              <c:strCache>
                <c:ptCount val="4"/>
                <c:pt idx="0">
                  <c:v>U</c:v>
                </c:pt>
                <c:pt idx="1">
                  <c:v>EA</c:v>
                </c:pt>
                <c:pt idx="2">
                  <c:v>ATVI</c:v>
                </c:pt>
                <c:pt idx="3">
                  <c:v>SRNE</c:v>
                </c:pt>
              </c:strCache>
            </c:strRef>
          </c:cat>
          <c:val>
            <c:numRef>
              <c:f>'1. Yahoo Finance瞭解財政狀況'!$F$20:$I$20</c:f>
              <c:numCache>
                <c:formatCode>0%</c:formatCode>
                <c:ptCount val="4"/>
                <c:pt idx="0">
                  <c:v>-0.13858035493826404</c:v>
                </c:pt>
                <c:pt idx="1">
                  <c:v>0.10676020408163266</c:v>
                </c:pt>
                <c:pt idx="2">
                  <c:v>0.1461062711977123</c:v>
                </c:pt>
                <c:pt idx="3">
                  <c:v>-1.8072006830113048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3-3610-420A-ACC8-94A681370CAD}"/>
            </c:ext>
          </c:extLst>
        </c:ser>
        <c:dLbls>
          <c:showLegendKey val="0"/>
          <c:showVal val="0"/>
          <c:showCatName val="0"/>
          <c:showSerName val="0"/>
          <c:showPercent val="0"/>
          <c:showBubbleSize val="0"/>
        </c:dLbls>
        <c:gapWidth val="150"/>
        <c:axId val="281791392"/>
        <c:axId val="281793568"/>
      </c:barChart>
      <c:catAx>
        <c:axId val="281791392"/>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General" sourceLinked="1"/>
        <c:majorTickMark val="out"/>
        <c:minorTickMark val="none"/>
        <c:tickLblPos val="low"/>
        <c:txPr>
          <a:bodyPr/>
          <a:lstStyle/>
          <a:p>
            <a:pPr lvl="0">
              <a:defRPr sz="900" b="0" i="0">
                <a:solidFill>
                  <a:srgbClr val="000000"/>
                </a:solidFill>
                <a:latin typeface="+mn-lt"/>
              </a:defRPr>
            </a:pPr>
            <a:endParaRPr lang="zh-TW"/>
          </a:p>
        </c:txPr>
        <c:crossAx val="281793568"/>
        <c:crosses val="autoZero"/>
        <c:auto val="1"/>
        <c:lblAlgn val="ctr"/>
        <c:lblOffset val="0"/>
        <c:noMultiLvlLbl val="1"/>
      </c:catAx>
      <c:valAx>
        <c:axId val="281793568"/>
        <c:scaling>
          <c:orientation val="minMax"/>
        </c:scaling>
        <c:delete val="0"/>
        <c:axPos val="l"/>
        <c:title>
          <c:tx>
            <c:rich>
              <a:bodyPr/>
              <a:lstStyle/>
              <a:p>
                <a:pPr lvl="0">
                  <a:defRPr b="0">
                    <a:solidFill>
                      <a:srgbClr val="000000"/>
                    </a:solidFill>
                    <a:latin typeface="+mn-lt"/>
                  </a:defRPr>
                </a:pPr>
                <a:endParaRPr lang="zh-TW" altLang="en-US"/>
              </a:p>
            </c:rich>
          </c:tx>
          <c:overlay val="0"/>
        </c:title>
        <c:numFmt formatCode="0.0" sourceLinked="1"/>
        <c:majorTickMark val="none"/>
        <c:minorTickMark val="none"/>
        <c:tickLblPos val="nextTo"/>
        <c:spPr>
          <a:ln/>
        </c:spPr>
        <c:txPr>
          <a:bodyPr/>
          <a:lstStyle/>
          <a:p>
            <a:pPr lvl="0">
              <a:defRPr b="0">
                <a:solidFill>
                  <a:srgbClr val="000000"/>
                </a:solidFill>
                <a:latin typeface="+mn-lt"/>
              </a:defRPr>
            </a:pPr>
            <a:endParaRPr lang="zh-TW"/>
          </a:p>
        </c:txPr>
        <c:crossAx val="281791392"/>
        <c:crosses val="autoZero"/>
        <c:crossBetween val="between"/>
      </c:valAx>
    </c:plotArea>
    <c:legend>
      <c:legendPos val="t"/>
      <c:overlay val="0"/>
      <c:txPr>
        <a:bodyPr/>
        <a:lstStyle/>
        <a:p>
          <a:pPr lvl="0">
            <a:defRPr sz="900" b="0" i="0">
              <a:solidFill>
                <a:srgbClr val="1A1A1A"/>
              </a:solidFill>
              <a:latin typeface="+mn-lt"/>
            </a:defRPr>
          </a:pPr>
          <a:endParaRPr lang="zh-TW"/>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18366013071897"/>
          <c:y val="0.19593227317173589"/>
          <c:w val="0.82016274509803933"/>
          <c:h val="0.64456898770006688"/>
        </c:manualLayout>
      </c:layout>
      <c:barChart>
        <c:barDir val="col"/>
        <c:grouping val="clustered"/>
        <c:varyColors val="1"/>
        <c:ser>
          <c:idx val="0"/>
          <c:order val="0"/>
          <c:tx>
            <c:v>銷售收入變化</c:v>
          </c:tx>
          <c:spPr>
            <a:solidFill>
              <a:srgbClr val="4285F4"/>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'1-1. 瞭解收入變化(總收益Total Revenue)'!$D$3:$F$3</c:f>
              <c:numCache>
                <c:formatCode>General</c:formatCode>
                <c:ptCount val="3"/>
                <c:pt idx="0">
                  <c:v>2019</c:v>
                </c:pt>
                <c:pt idx="1">
                  <c:v>2020</c:v>
                </c:pt>
                <c:pt idx="2">
                  <c:v>2021</c:v>
                </c:pt>
              </c:numCache>
            </c:numRef>
          </c:cat>
          <c:val>
            <c:numRef>
              <c:f>'1-1. 瞭解收入變化(總收益Total Revenue)'!$D$8:$F$8</c:f>
              <c:numCache>
                <c:formatCode>0%</c:formatCode>
                <c:ptCount val="3"/>
                <c:pt idx="0">
                  <c:v>0</c:v>
                </c:pt>
                <c:pt idx="1">
                  <c:v>0.42290711875090281</c:v>
                </c:pt>
                <c:pt idx="2">
                  <c:v>0.42575662770243955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5C13-40E3-AD04-9139142E2ECE}"/>
            </c:ext>
          </c:extLst>
        </c:ser>
        <c:ser>
          <c:idx val="1"/>
          <c:order val="1"/>
          <c:tx>
            <c:v>淨收入變化</c:v>
          </c:tx>
          <c:spPr>
            <a:solidFill>
              <a:srgbClr val="EA4335"/>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'1-1. 瞭解收入變化(總收益Total Revenue)'!$D$3:$F$3</c:f>
              <c:numCache>
                <c:formatCode>General</c:formatCode>
                <c:ptCount val="3"/>
                <c:pt idx="0">
                  <c:v>2019</c:v>
                </c:pt>
                <c:pt idx="1">
                  <c:v>2020</c:v>
                </c:pt>
                <c:pt idx="2">
                  <c:v>2021</c:v>
                </c:pt>
              </c:numCache>
            </c:numRef>
          </c:cat>
          <c:val>
            <c:numRef>
              <c:f>'1-1. 瞭解收入變化(總收益Total Revenue)'!$D$9:$F$9</c:f>
              <c:numCache>
                <c:formatCode>0%</c:formatCode>
                <c:ptCount val="3"/>
                <c:pt idx="0">
                  <c:v>0</c:v>
                </c:pt>
                <c:pt idx="1">
                  <c:v>0.24002674731387061</c:v>
                </c:pt>
                <c:pt idx="2">
                  <c:v>0.72993443225687848</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5C13-40E3-AD04-9139142E2ECE}"/>
            </c:ext>
          </c:extLst>
        </c:ser>
        <c:dLbls>
          <c:showLegendKey val="0"/>
          <c:showVal val="0"/>
          <c:showCatName val="0"/>
          <c:showSerName val="0"/>
          <c:showPercent val="0"/>
          <c:showBubbleSize val="0"/>
        </c:dLbls>
        <c:gapWidth val="150"/>
        <c:axId val="281791936"/>
        <c:axId val="281799008"/>
      </c:barChart>
      <c:catAx>
        <c:axId val="281791936"/>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General" sourceLinked="1"/>
        <c:majorTickMark val="out"/>
        <c:minorTickMark val="none"/>
        <c:tickLblPos val="low"/>
        <c:txPr>
          <a:bodyPr/>
          <a:lstStyle/>
          <a:p>
            <a:pPr lvl="0">
              <a:defRPr sz="900" b="0" i="0">
                <a:solidFill>
                  <a:srgbClr val="000000"/>
                </a:solidFill>
                <a:latin typeface="+mn-lt"/>
              </a:defRPr>
            </a:pPr>
            <a:endParaRPr lang="zh-TW"/>
          </a:p>
        </c:txPr>
        <c:crossAx val="281799008"/>
        <c:crosses val="autoZero"/>
        <c:auto val="1"/>
        <c:lblAlgn val="ctr"/>
        <c:lblOffset val="300"/>
        <c:noMultiLvlLbl val="1"/>
      </c:catAx>
      <c:valAx>
        <c:axId val="281799008"/>
        <c:scaling>
          <c:orientation val="minMax"/>
        </c:scaling>
        <c:delete val="0"/>
        <c:axPos val="l"/>
        <c:title>
          <c:tx>
            <c:rich>
              <a:bodyPr/>
              <a:lstStyle/>
              <a:p>
                <a:pPr lvl="0">
                  <a:defRPr b="0">
                    <a:solidFill>
                      <a:srgbClr val="000000"/>
                    </a:solidFill>
                    <a:latin typeface="+mn-lt"/>
                  </a:defRPr>
                </a:pPr>
                <a:endParaRPr lang="zh-TW" altLang="en-US"/>
              </a:p>
            </c:rich>
          </c:tx>
          <c:overlay val="0"/>
        </c:title>
        <c:numFmt formatCode="0%" sourceLinked="1"/>
        <c:majorTickMark val="out"/>
        <c:minorTickMark val="none"/>
        <c:tickLblPos val="nextTo"/>
        <c:spPr>
          <a:ln/>
        </c:spPr>
        <c:txPr>
          <a:bodyPr/>
          <a:lstStyle/>
          <a:p>
            <a:pPr lvl="0">
              <a:defRPr b="0">
                <a:solidFill>
                  <a:srgbClr val="000000"/>
                </a:solidFill>
                <a:latin typeface="+mn-lt"/>
              </a:defRPr>
            </a:pPr>
            <a:endParaRPr lang="zh-TW"/>
          </a:p>
        </c:txPr>
        <c:crossAx val="281791936"/>
        <c:crosses val="autoZero"/>
        <c:crossBetween val="between"/>
        <c:majorUnit val="0.1"/>
      </c:valAx>
    </c:plotArea>
    <c:legend>
      <c:legendPos val="t"/>
      <c:overlay val="0"/>
      <c:txPr>
        <a:bodyPr/>
        <a:lstStyle/>
        <a:p>
          <a:pPr lvl="0">
            <a:defRPr sz="900" b="0" i="0">
              <a:solidFill>
                <a:srgbClr val="1A1A1A"/>
              </a:solidFill>
              <a:latin typeface="+mn-lt"/>
            </a:defRPr>
          </a:pPr>
          <a:endParaRPr lang="zh-TW"/>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毛利率 Gross Margin</c:v>
          </c:tx>
          <c:spPr>
            <a:ln w="28575" cmpd="sng">
              <a:solidFill>
                <a:schemeClr val="accent1"/>
              </a:solidFill>
            </a:ln>
          </c:spPr>
          <c:marker>
            <c:symbol val="none"/>
          </c:marker>
          <c:cat>
            <c:numRef>
              <c:f>'1-1. 瞭解收入變化(總收益Total Revenue)'!$C$3:$F$3</c:f>
              <c:numCache>
                <c:formatCode>General</c:formatCode>
                <c:ptCount val="4"/>
                <c:pt idx="0">
                  <c:v>2018</c:v>
                </c:pt>
                <c:pt idx="1">
                  <c:v>2019</c:v>
                </c:pt>
                <c:pt idx="2">
                  <c:v>2020</c:v>
                </c:pt>
                <c:pt idx="3">
                  <c:v>2021</c:v>
                </c:pt>
              </c:numCache>
            </c:numRef>
          </c:cat>
          <c:val>
            <c:numRef>
              <c:f>'1-1. 瞭解收入變化(總收益Total Revenue)'!$C$7:$F$7</c:f>
              <c:numCache>
                <c:formatCode>0%</c:formatCode>
                <c:ptCount val="4"/>
                <c:pt idx="0">
                  <c:v>0</c:v>
                </c:pt>
                <c:pt idx="1">
                  <c:v>0.21343646176675291</c:v>
                </c:pt>
                <c:pt idx="2">
                  <c:v>0.21890291059638708</c:v>
                </c:pt>
                <c:pt idx="3">
                  <c:v>0.22311879810213026</c:v>
                </c:pt>
              </c:numCache>
            </c:numRef>
          </c:val>
          <c:smooth val="0"/>
          <c:extLst>
            <c:ext xmlns:c16="http://schemas.microsoft.com/office/drawing/2014/chart" uri="{C3380CC4-5D6E-409C-BE32-E72D297353CC}">
              <c16:uniqueId val="{00000000-9B9D-4E32-A346-BE337862F189}"/>
            </c:ext>
          </c:extLst>
        </c:ser>
        <c:dLbls>
          <c:showLegendKey val="0"/>
          <c:showVal val="0"/>
          <c:showCatName val="0"/>
          <c:showSerName val="0"/>
          <c:showPercent val="0"/>
          <c:showBubbleSize val="0"/>
        </c:dLbls>
        <c:smooth val="0"/>
        <c:axId val="281800096"/>
        <c:axId val="281787584"/>
      </c:lineChart>
      <c:catAx>
        <c:axId val="281800096"/>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zh-TW"/>
          </a:p>
        </c:txPr>
        <c:crossAx val="281787584"/>
        <c:crosses val="autoZero"/>
        <c:auto val="1"/>
        <c:lblAlgn val="ctr"/>
        <c:lblOffset val="100"/>
        <c:noMultiLvlLbl val="1"/>
      </c:catAx>
      <c:valAx>
        <c:axId val="28178758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zh-TW" altLang="en-US"/>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zh-TW"/>
          </a:p>
        </c:txPr>
        <c:crossAx val="281800096"/>
        <c:crosses val="autoZero"/>
        <c:crossBetween val="between"/>
      </c:valAx>
    </c:plotArea>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毛利率 Gross Margin</c:v>
          </c:tx>
          <c:spPr>
            <a:ln w="28575" cmpd="sng">
              <a:solidFill>
                <a:schemeClr val="accent1"/>
              </a:solidFill>
            </a:ln>
          </c:spPr>
          <c:marker>
            <c:symbol val="none"/>
          </c:marker>
          <c:cat>
            <c:numRef>
              <c:f>'1-1. 瞭解收入變化(總收益Total Revenue)'!$G$3:$J$3</c:f>
              <c:numCache>
                <c:formatCode>General</c:formatCode>
                <c:ptCount val="4"/>
                <c:pt idx="0">
                  <c:v>2018</c:v>
                </c:pt>
                <c:pt idx="1">
                  <c:v>2019</c:v>
                </c:pt>
                <c:pt idx="2">
                  <c:v>2020</c:v>
                </c:pt>
                <c:pt idx="3">
                  <c:v>2021</c:v>
                </c:pt>
              </c:numCache>
            </c:numRef>
          </c:cat>
          <c:val>
            <c:numRef>
              <c:f>'1-1. 瞭解收入變化(總收益Total Revenue)'!$G$7:$J$7</c:f>
              <c:numCache>
                <c:formatCode>0%</c:formatCode>
                <c:ptCount val="4"/>
                <c:pt idx="0">
                  <c:v>0.24796116504854368</c:v>
                </c:pt>
                <c:pt idx="1">
                  <c:v>0.26707070707070707</c:v>
                </c:pt>
                <c:pt idx="2">
                  <c:v>0.24724580097525736</c:v>
                </c:pt>
                <c:pt idx="3">
                  <c:v>0.2654112631017943</c:v>
                </c:pt>
              </c:numCache>
            </c:numRef>
          </c:val>
          <c:smooth val="0"/>
          <c:extLst>
            <c:ext xmlns:c16="http://schemas.microsoft.com/office/drawing/2014/chart" uri="{C3380CC4-5D6E-409C-BE32-E72D297353CC}">
              <c16:uniqueId val="{00000000-DDFC-4CBA-AA05-C1EEA420E162}"/>
            </c:ext>
          </c:extLst>
        </c:ser>
        <c:dLbls>
          <c:showLegendKey val="0"/>
          <c:showVal val="0"/>
          <c:showCatName val="0"/>
          <c:showSerName val="0"/>
          <c:showPercent val="0"/>
          <c:showBubbleSize val="0"/>
        </c:dLbls>
        <c:smooth val="0"/>
        <c:axId val="281788672"/>
        <c:axId val="281785952"/>
      </c:lineChart>
      <c:catAx>
        <c:axId val="281788672"/>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zh-TW"/>
          </a:p>
        </c:txPr>
        <c:crossAx val="281785952"/>
        <c:crosses val="autoZero"/>
        <c:auto val="1"/>
        <c:lblAlgn val="ctr"/>
        <c:lblOffset val="100"/>
        <c:noMultiLvlLbl val="1"/>
      </c:catAx>
      <c:valAx>
        <c:axId val="28178595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zh-TW" altLang="en-US"/>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zh-TW"/>
          </a:p>
        </c:txPr>
        <c:crossAx val="281788672"/>
        <c:crosses val="autoZero"/>
        <c:crossBetween val="between"/>
      </c:valAx>
    </c:plotArea>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毛利率 Gross Margin</c:v>
          </c:tx>
          <c:spPr>
            <a:ln w="28575" cmpd="sng">
              <a:solidFill>
                <a:schemeClr val="accent1"/>
              </a:solidFill>
            </a:ln>
          </c:spPr>
          <c:marker>
            <c:symbol val="none"/>
          </c:marker>
          <c:cat>
            <c:numRef>
              <c:f>'1-1. 瞭解收入變化(總收益Total Revenue)'!$K$3:$N$3</c:f>
              <c:numCache>
                <c:formatCode>General</c:formatCode>
                <c:ptCount val="4"/>
                <c:pt idx="0">
                  <c:v>2018</c:v>
                </c:pt>
                <c:pt idx="1">
                  <c:v>2019</c:v>
                </c:pt>
                <c:pt idx="2">
                  <c:v>2020</c:v>
                </c:pt>
                <c:pt idx="3">
                  <c:v>2021</c:v>
                </c:pt>
              </c:numCache>
            </c:numRef>
          </c:cat>
          <c:val>
            <c:numRef>
              <c:f>'1-1. 瞭解收入變化(總收益Total Revenue)'!$K$7:$N$7</c:f>
              <c:numCache>
                <c:formatCode>0%</c:formatCode>
                <c:ptCount val="4"/>
                <c:pt idx="0">
                  <c:v>0.35642012255949834</c:v>
                </c:pt>
                <c:pt idx="1">
                  <c:v>0.33560000000000001</c:v>
                </c:pt>
                <c:pt idx="2">
                  <c:v>0.32192941901679767</c:v>
                </c:pt>
                <c:pt idx="3">
                  <c:v>0.27949542418995793</c:v>
                </c:pt>
              </c:numCache>
            </c:numRef>
          </c:val>
          <c:smooth val="0"/>
          <c:extLst>
            <c:ext xmlns:c16="http://schemas.microsoft.com/office/drawing/2014/chart" uri="{C3380CC4-5D6E-409C-BE32-E72D297353CC}">
              <c16:uniqueId val="{00000000-87C3-421F-B7CF-8569FB1EC34A}"/>
            </c:ext>
          </c:extLst>
        </c:ser>
        <c:dLbls>
          <c:showLegendKey val="0"/>
          <c:showVal val="0"/>
          <c:showCatName val="0"/>
          <c:showSerName val="0"/>
          <c:showPercent val="0"/>
          <c:showBubbleSize val="0"/>
        </c:dLbls>
        <c:smooth val="0"/>
        <c:axId val="281794656"/>
        <c:axId val="281800640"/>
      </c:lineChart>
      <c:catAx>
        <c:axId val="281794656"/>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zh-TW"/>
          </a:p>
        </c:txPr>
        <c:crossAx val="281800640"/>
        <c:crosses val="autoZero"/>
        <c:auto val="1"/>
        <c:lblAlgn val="ctr"/>
        <c:lblOffset val="100"/>
        <c:noMultiLvlLbl val="1"/>
      </c:catAx>
      <c:valAx>
        <c:axId val="28180064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zh-TW" altLang="en-US"/>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zh-TW"/>
          </a:p>
        </c:txPr>
        <c:crossAx val="281794656"/>
        <c:crosses val="autoZero"/>
        <c:crossBetween val="between"/>
      </c:valAx>
    </c:plotArea>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毛利率 Gross Margin</c:v>
          </c:tx>
          <c:spPr>
            <a:ln w="28575" cmpd="sng">
              <a:solidFill>
                <a:schemeClr val="accent1"/>
              </a:solidFill>
            </a:ln>
          </c:spPr>
          <c:marker>
            <c:symbol val="none"/>
          </c:marker>
          <c:cat>
            <c:numRef>
              <c:f>'1-1. 瞭解收入變化(總收益Total Revenue)'!$O$3:$R$3</c:f>
              <c:numCache>
                <c:formatCode>General</c:formatCode>
                <c:ptCount val="4"/>
                <c:pt idx="0">
                  <c:v>2018</c:v>
                </c:pt>
                <c:pt idx="1">
                  <c:v>2019</c:v>
                </c:pt>
                <c:pt idx="2">
                  <c:v>2020</c:v>
                </c:pt>
                <c:pt idx="3">
                  <c:v>2021</c:v>
                </c:pt>
              </c:numCache>
            </c:numRef>
          </c:cat>
          <c:val>
            <c:numRef>
              <c:f>'1-1. 瞭解收入變化(總收益Total Revenue)'!$O$7:$R$7</c:f>
              <c:numCache>
                <c:formatCode>0%</c:formatCode>
                <c:ptCount val="4"/>
                <c:pt idx="0">
                  <c:v>0.39166710567906438</c:v>
                </c:pt>
                <c:pt idx="1">
                  <c:v>3.9646581418392866</c:v>
                </c:pt>
                <c:pt idx="2">
                  <c:v>3.7896411300585391</c:v>
                </c:pt>
                <c:pt idx="3">
                  <c:v>3.0330615715500424</c:v>
                </c:pt>
              </c:numCache>
            </c:numRef>
          </c:val>
          <c:smooth val="0"/>
          <c:extLst>
            <c:ext xmlns:c16="http://schemas.microsoft.com/office/drawing/2014/chart" uri="{C3380CC4-5D6E-409C-BE32-E72D297353CC}">
              <c16:uniqueId val="{00000000-26D5-4859-BB55-983E57C4AAF3}"/>
            </c:ext>
          </c:extLst>
        </c:ser>
        <c:dLbls>
          <c:showLegendKey val="0"/>
          <c:showVal val="0"/>
          <c:showCatName val="0"/>
          <c:showSerName val="0"/>
          <c:showPercent val="0"/>
          <c:showBubbleSize val="0"/>
        </c:dLbls>
        <c:smooth val="0"/>
        <c:axId val="281793024"/>
        <c:axId val="281795200"/>
      </c:lineChart>
      <c:catAx>
        <c:axId val="281793024"/>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zh-TW"/>
          </a:p>
        </c:txPr>
        <c:crossAx val="281795200"/>
        <c:crosses val="autoZero"/>
        <c:auto val="1"/>
        <c:lblAlgn val="ctr"/>
        <c:lblOffset val="100"/>
        <c:noMultiLvlLbl val="1"/>
      </c:catAx>
      <c:valAx>
        <c:axId val="28179520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zh-TW" altLang="en-US"/>
              </a:p>
            </c:rich>
          </c:tx>
          <c:overlay val="0"/>
        </c:title>
        <c:numFmt formatCode="0%" sourceLinked="1"/>
        <c:majorTickMark val="none"/>
        <c:minorTickMark val="none"/>
        <c:tickLblPos val="nextTo"/>
        <c:spPr>
          <a:ln/>
        </c:spPr>
        <c:txPr>
          <a:bodyPr/>
          <a:lstStyle/>
          <a:p>
            <a:pPr lvl="0">
              <a:defRPr sz="900" b="0" i="0">
                <a:solidFill>
                  <a:srgbClr val="000000"/>
                </a:solidFill>
                <a:latin typeface="+mn-lt"/>
              </a:defRPr>
            </a:pPr>
            <a:endParaRPr lang="zh-TW"/>
          </a:p>
        </c:txPr>
        <c:crossAx val="281793024"/>
        <c:crosses val="autoZero"/>
        <c:crossBetween val="between"/>
      </c:valAx>
    </c:plotArea>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26797385620915"/>
          <c:y val="0.20900416859657248"/>
          <c:w val="0.77807843137254906"/>
          <c:h val="0.63149709227523032"/>
        </c:manualLayout>
      </c:layout>
      <c:barChart>
        <c:barDir val="col"/>
        <c:grouping val="clustered"/>
        <c:varyColors val="1"/>
        <c:ser>
          <c:idx val="0"/>
          <c:order val="0"/>
          <c:tx>
            <c:v>銷售收入變化</c:v>
          </c:tx>
          <c:spPr>
            <a:solidFill>
              <a:srgbClr val="4285F4"/>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'1-1. 瞭解收入變化(總收益Total Revenue)'!$H$3:$J$3</c:f>
              <c:numCache>
                <c:formatCode>General</c:formatCode>
                <c:ptCount val="3"/>
                <c:pt idx="0">
                  <c:v>2019</c:v>
                </c:pt>
                <c:pt idx="1">
                  <c:v>2020</c:v>
                </c:pt>
                <c:pt idx="2">
                  <c:v>2021</c:v>
                </c:pt>
              </c:numCache>
            </c:numRef>
          </c:cat>
          <c:val>
            <c:numRef>
              <c:f>'1-1. 瞭解收入變化(總收益Total Revenue)'!$H$8:$J$8</c:f>
              <c:numCache>
                <c:formatCode>0%</c:formatCode>
                <c:ptCount val="3"/>
                <c:pt idx="0">
                  <c:v>-3.8834951456310676E-2</c:v>
                </c:pt>
                <c:pt idx="1">
                  <c:v>0.11858585858585859</c:v>
                </c:pt>
                <c:pt idx="2">
                  <c:v>1.6615495755824453E-2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1390-4192-8BB9-F1AB1879A891}"/>
            </c:ext>
          </c:extLst>
        </c:ser>
        <c:ser>
          <c:idx val="1"/>
          <c:order val="1"/>
          <c:tx>
            <c:v>淨收入變化</c:v>
          </c:tx>
          <c:spPr>
            <a:solidFill>
              <a:srgbClr val="EA4335"/>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'1-1. 瞭解收入變化(總收益Total Revenue)'!$H$3:$J$3</c:f>
              <c:numCache>
                <c:formatCode>General</c:formatCode>
                <c:ptCount val="3"/>
                <c:pt idx="0">
                  <c:v>2019</c:v>
                </c:pt>
                <c:pt idx="1">
                  <c:v>2020</c:v>
                </c:pt>
                <c:pt idx="2">
                  <c:v>2021</c:v>
                </c:pt>
              </c:numCache>
            </c:numRef>
          </c:cat>
          <c:val>
            <c:numRef>
              <c:f>'1-1. 瞭解收入變化(總收益Total Revenue)'!$H$9:$J$9</c:f>
              <c:numCache>
                <c:formatCode>0%</c:formatCode>
                <c:ptCount val="3"/>
                <c:pt idx="0">
                  <c:v>-2.3010546500479387E-2</c:v>
                </c:pt>
                <c:pt idx="1">
                  <c:v>1.9823356231599607</c:v>
                </c:pt>
                <c:pt idx="2">
                  <c:v>-0.72458045409674232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1390-4192-8BB9-F1AB1879A891}"/>
            </c:ext>
          </c:extLst>
        </c:ser>
        <c:dLbls>
          <c:showLegendKey val="0"/>
          <c:showVal val="0"/>
          <c:showCatName val="0"/>
          <c:showSerName val="0"/>
          <c:showPercent val="0"/>
          <c:showBubbleSize val="0"/>
        </c:dLbls>
        <c:gapWidth val="150"/>
        <c:axId val="281796288"/>
        <c:axId val="281797376"/>
      </c:barChart>
      <c:catAx>
        <c:axId val="281796288"/>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General" sourceLinked="1"/>
        <c:majorTickMark val="out"/>
        <c:minorTickMark val="none"/>
        <c:tickLblPos val="low"/>
        <c:txPr>
          <a:bodyPr/>
          <a:lstStyle/>
          <a:p>
            <a:pPr lvl="0">
              <a:defRPr sz="900" b="0" i="0">
                <a:solidFill>
                  <a:srgbClr val="000000"/>
                </a:solidFill>
                <a:latin typeface="+mn-lt"/>
              </a:defRPr>
            </a:pPr>
            <a:endParaRPr lang="zh-TW"/>
          </a:p>
        </c:txPr>
        <c:crossAx val="281797376"/>
        <c:crosses val="autoZero"/>
        <c:auto val="1"/>
        <c:lblAlgn val="ctr"/>
        <c:lblOffset val="300"/>
        <c:noMultiLvlLbl val="1"/>
      </c:catAx>
      <c:valAx>
        <c:axId val="281797376"/>
        <c:scaling>
          <c:orientation val="minMax"/>
        </c:scaling>
        <c:delete val="0"/>
        <c:axPos val="l"/>
        <c:title>
          <c:tx>
            <c:rich>
              <a:bodyPr/>
              <a:lstStyle/>
              <a:p>
                <a:pPr lvl="0">
                  <a:defRPr b="0">
                    <a:solidFill>
                      <a:srgbClr val="000000"/>
                    </a:solidFill>
                    <a:latin typeface="+mn-lt"/>
                  </a:defRPr>
                </a:pPr>
                <a:endParaRPr lang="zh-TW" altLang="en-US"/>
              </a:p>
            </c:rich>
          </c:tx>
          <c:overlay val="0"/>
        </c:title>
        <c:numFmt formatCode="0%" sourceLinked="1"/>
        <c:majorTickMark val="out"/>
        <c:minorTickMark val="none"/>
        <c:tickLblPos val="nextTo"/>
        <c:spPr>
          <a:ln/>
        </c:spPr>
        <c:txPr>
          <a:bodyPr/>
          <a:lstStyle/>
          <a:p>
            <a:pPr lvl="0">
              <a:defRPr b="0">
                <a:solidFill>
                  <a:srgbClr val="000000"/>
                </a:solidFill>
                <a:latin typeface="+mn-lt"/>
              </a:defRPr>
            </a:pPr>
            <a:endParaRPr lang="zh-TW"/>
          </a:p>
        </c:txPr>
        <c:crossAx val="281796288"/>
        <c:crosses val="autoZero"/>
        <c:crossBetween val="between"/>
        <c:majorUnit val="0.1"/>
      </c:valAx>
    </c:plotArea>
    <c:legend>
      <c:legendPos val="t"/>
      <c:overlay val="0"/>
      <c:txPr>
        <a:bodyPr/>
        <a:lstStyle/>
        <a:p>
          <a:pPr lvl="0">
            <a:defRPr sz="900" b="0" i="0">
              <a:solidFill>
                <a:srgbClr val="1A1A1A"/>
              </a:solidFill>
              <a:latin typeface="+mn-lt"/>
            </a:defRPr>
          </a:pPr>
          <a:endParaRPr lang="zh-TW"/>
        </a:p>
      </c:txPr>
    </c:legend>
    <c:plotVisOnly val="1"/>
    <c:dispBlanksAs val="zero"/>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522581699346405"/>
          <c:y val="0.2024682208841542"/>
          <c:w val="0.79912058823529408"/>
          <c:h val="0.6380330399876486"/>
        </c:manualLayout>
      </c:layout>
      <c:barChart>
        <c:barDir val="col"/>
        <c:grouping val="clustered"/>
        <c:varyColors val="1"/>
        <c:ser>
          <c:idx val="0"/>
          <c:order val="0"/>
          <c:tx>
            <c:v>銷售收入變化</c:v>
          </c:tx>
          <c:spPr>
            <a:solidFill>
              <a:srgbClr val="4285F4"/>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'1-1. 瞭解收入變化(總收益Total Revenue)'!$L$3:$N$3</c:f>
              <c:numCache>
                <c:formatCode>General</c:formatCode>
                <c:ptCount val="3"/>
                <c:pt idx="0">
                  <c:v>2019</c:v>
                </c:pt>
                <c:pt idx="1">
                  <c:v>2020</c:v>
                </c:pt>
                <c:pt idx="2">
                  <c:v>2021</c:v>
                </c:pt>
              </c:numCache>
            </c:numRef>
          </c:cat>
          <c:val>
            <c:numRef>
              <c:f>'1-1. 瞭解收入變化(總收益Total Revenue)'!$L$8:$N$8</c:f>
              <c:numCache>
                <c:formatCode>0%</c:formatCode>
                <c:ptCount val="3"/>
                <c:pt idx="0">
                  <c:v>6.8832834544677216E-2</c:v>
                </c:pt>
                <c:pt idx="1">
                  <c:v>-0.1348</c:v>
                </c:pt>
                <c:pt idx="2">
                  <c:v>0.24610879950685777</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9B22-4763-91D9-B21374ADBA58}"/>
            </c:ext>
          </c:extLst>
        </c:ser>
        <c:ser>
          <c:idx val="1"/>
          <c:order val="1"/>
          <c:tx>
            <c:v>淨收入變化</c:v>
          </c:tx>
          <c:spPr>
            <a:solidFill>
              <a:srgbClr val="EA4335"/>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'1-1. 瞭解收入變化(總收益Total Revenue)'!$L$3:$N$3</c:f>
              <c:numCache>
                <c:formatCode>General</c:formatCode>
                <c:ptCount val="3"/>
                <c:pt idx="0">
                  <c:v>2019</c:v>
                </c:pt>
                <c:pt idx="1">
                  <c:v>2020</c:v>
                </c:pt>
                <c:pt idx="2">
                  <c:v>2021</c:v>
                </c:pt>
              </c:numCache>
            </c:numRef>
          </c:cat>
          <c:val>
            <c:numRef>
              <c:f>'1-1. 瞭解收入變化(總收益Total Revenue)'!$L$9:$N$9</c:f>
              <c:numCache>
                <c:formatCode>0%</c:formatCode>
                <c:ptCount val="3"/>
                <c:pt idx="0">
                  <c:v>5.7692307692307692</c:v>
                </c:pt>
                <c:pt idx="1">
                  <c:v>-0.18668831168831168</c:v>
                </c:pt>
                <c:pt idx="2">
                  <c:v>0.46174318030605455</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9B22-4763-91D9-B21374ADBA58}"/>
            </c:ext>
          </c:extLst>
        </c:ser>
        <c:dLbls>
          <c:showLegendKey val="0"/>
          <c:showVal val="0"/>
          <c:showCatName val="0"/>
          <c:showSerName val="0"/>
          <c:showPercent val="0"/>
          <c:showBubbleSize val="0"/>
        </c:dLbls>
        <c:gapWidth val="150"/>
        <c:axId val="281786496"/>
        <c:axId val="281801184"/>
      </c:barChart>
      <c:catAx>
        <c:axId val="281786496"/>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General" sourceLinked="1"/>
        <c:majorTickMark val="out"/>
        <c:minorTickMark val="none"/>
        <c:tickLblPos val="low"/>
        <c:txPr>
          <a:bodyPr/>
          <a:lstStyle/>
          <a:p>
            <a:pPr lvl="0">
              <a:defRPr sz="900" b="0" i="0">
                <a:solidFill>
                  <a:srgbClr val="000000"/>
                </a:solidFill>
                <a:latin typeface="+mn-lt"/>
              </a:defRPr>
            </a:pPr>
            <a:endParaRPr lang="zh-TW"/>
          </a:p>
        </c:txPr>
        <c:crossAx val="281801184"/>
        <c:crosses val="autoZero"/>
        <c:auto val="1"/>
        <c:lblAlgn val="ctr"/>
        <c:lblOffset val="300"/>
        <c:noMultiLvlLbl val="1"/>
      </c:catAx>
      <c:valAx>
        <c:axId val="281801184"/>
        <c:scaling>
          <c:orientation val="minMax"/>
        </c:scaling>
        <c:delete val="0"/>
        <c:axPos val="l"/>
        <c:title>
          <c:tx>
            <c:rich>
              <a:bodyPr/>
              <a:lstStyle/>
              <a:p>
                <a:pPr lvl="0">
                  <a:defRPr b="0">
                    <a:solidFill>
                      <a:srgbClr val="000000"/>
                    </a:solidFill>
                    <a:latin typeface="+mn-lt"/>
                  </a:defRPr>
                </a:pPr>
                <a:endParaRPr lang="zh-TW" altLang="en-US"/>
              </a:p>
            </c:rich>
          </c:tx>
          <c:overlay val="0"/>
        </c:title>
        <c:numFmt formatCode="0%" sourceLinked="1"/>
        <c:majorTickMark val="out"/>
        <c:minorTickMark val="none"/>
        <c:tickLblPos val="nextTo"/>
        <c:spPr>
          <a:ln/>
        </c:spPr>
        <c:txPr>
          <a:bodyPr/>
          <a:lstStyle/>
          <a:p>
            <a:pPr lvl="0">
              <a:defRPr b="0">
                <a:solidFill>
                  <a:srgbClr val="000000"/>
                </a:solidFill>
                <a:latin typeface="+mn-lt"/>
              </a:defRPr>
            </a:pPr>
            <a:endParaRPr lang="zh-TW"/>
          </a:p>
        </c:txPr>
        <c:crossAx val="281786496"/>
        <c:crosses val="autoZero"/>
        <c:crossBetween val="between"/>
        <c:majorUnit val="0.1"/>
      </c:valAx>
    </c:plotArea>
    <c:legend>
      <c:legendPos val="t"/>
      <c:overlay val="0"/>
      <c:txPr>
        <a:bodyPr/>
        <a:lstStyle/>
        <a:p>
          <a:pPr lvl="0">
            <a:defRPr sz="900" b="0" i="0">
              <a:solidFill>
                <a:srgbClr val="1A1A1A"/>
              </a:solidFill>
              <a:latin typeface="+mn-lt"/>
            </a:defRPr>
          </a:pPr>
          <a:endParaRPr lang="zh-TW"/>
        </a:p>
      </c:txPr>
    </c:legend>
    <c:plotVisOnly val="1"/>
    <c:dispBlanksAs val="zero"/>
    <c:showDLblsOverMax val="1"/>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252581699346406"/>
          <c:y val="0.2024682208841542"/>
          <c:w val="0.81182058823529413"/>
          <c:h val="0.6380330399876486"/>
        </c:manualLayout>
      </c:layout>
      <c:barChart>
        <c:barDir val="col"/>
        <c:grouping val="clustered"/>
        <c:varyColors val="1"/>
        <c:ser>
          <c:idx val="0"/>
          <c:order val="0"/>
          <c:tx>
            <c:v>銷售收入變化</c:v>
          </c:tx>
          <c:spPr>
            <a:solidFill>
              <a:srgbClr val="4285F4"/>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'1-1. 瞭解收入變化(總收益Total Revenue)'!$P$3:$R$3</c:f>
              <c:numCache>
                <c:formatCode>General</c:formatCode>
                <c:ptCount val="3"/>
                <c:pt idx="0">
                  <c:v>2019</c:v>
                </c:pt>
                <c:pt idx="1">
                  <c:v>2020</c:v>
                </c:pt>
                <c:pt idx="2">
                  <c:v>2021</c:v>
                </c:pt>
              </c:numCache>
            </c:numRef>
          </c:cat>
          <c:val>
            <c:numRef>
              <c:f>'1-1. 瞭解收入變化(總收益Total Revenue)'!$P$8:$R$8</c:f>
              <c:numCache>
                <c:formatCode>0%</c:formatCode>
                <c:ptCount val="3"/>
                <c:pt idx="0">
                  <c:v>-0.86044015382994421</c:v>
                </c:pt>
                <c:pt idx="1">
                  <c:v>0.48313122257349123</c:v>
                </c:pt>
                <c:pt idx="2">
                  <c:v>0.27214303894120639</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49AE-4058-8B07-AAF516E39D52}"/>
            </c:ext>
          </c:extLst>
        </c:ser>
        <c:ser>
          <c:idx val="1"/>
          <c:order val="1"/>
          <c:tx>
            <c:v>淨收入變化</c:v>
          </c:tx>
          <c:spPr>
            <a:solidFill>
              <a:srgbClr val="EA4335"/>
            </a:solidFill>
            <a:ln cmpd="sng">
              <a:solidFill>
                <a:srgbClr val="000000"/>
              </a:solidFill>
            </a:ln>
          </c:spPr>
          <c:invertIfNegative val="1"/>
          <c:dLbls>
            <c:spPr>
              <a:noFill/>
              <a:ln>
                <a:noFill/>
              </a:ln>
              <a:effectLst/>
            </c:spPr>
            <c:txPr>
              <a:bodyPr/>
              <a:lstStyle/>
              <a:p>
                <a:pPr lvl="0">
                  <a:defRPr sz="900" b="0" i="0">
                    <a:latin typeface="+mn-lt"/>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'1-1. 瞭解收入變化(總收益Total Revenue)'!$P$3:$R$3</c:f>
              <c:numCache>
                <c:formatCode>General</c:formatCode>
                <c:ptCount val="3"/>
                <c:pt idx="0">
                  <c:v>2019</c:v>
                </c:pt>
                <c:pt idx="1">
                  <c:v>2020</c:v>
                </c:pt>
                <c:pt idx="2">
                  <c:v>2021</c:v>
                </c:pt>
              </c:numCache>
            </c:numRef>
          </c:cat>
          <c:val>
            <c:numRef>
              <c:f>'1-1. 瞭解收入變化(總收益Total Revenue)'!$P$9:$R$9</c:f>
              <c:numCache>
                <c:formatCode>0%</c:formatCode>
                <c:ptCount val="3"/>
                <c:pt idx="0">
                  <c:v>-23.288655278142794</c:v>
                </c:pt>
                <c:pt idx="1">
                  <c:v>0.434941534833448</c:v>
                </c:pt>
                <c:pt idx="2">
                  <c:v>2.1888738239040223E-2</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49AE-4058-8B07-AAF516E39D52}"/>
            </c:ext>
          </c:extLst>
        </c:ser>
        <c:dLbls>
          <c:showLegendKey val="0"/>
          <c:showVal val="0"/>
          <c:showCatName val="0"/>
          <c:showSerName val="0"/>
          <c:showPercent val="0"/>
          <c:showBubbleSize val="0"/>
        </c:dLbls>
        <c:gapWidth val="150"/>
        <c:axId val="281787040"/>
        <c:axId val="281797920"/>
      </c:barChart>
      <c:catAx>
        <c:axId val="281787040"/>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General" sourceLinked="1"/>
        <c:majorTickMark val="out"/>
        <c:minorTickMark val="none"/>
        <c:tickLblPos val="low"/>
        <c:txPr>
          <a:bodyPr/>
          <a:lstStyle/>
          <a:p>
            <a:pPr lvl="0">
              <a:defRPr sz="900" b="0" i="0">
                <a:solidFill>
                  <a:srgbClr val="000000"/>
                </a:solidFill>
                <a:latin typeface="+mn-lt"/>
              </a:defRPr>
            </a:pPr>
            <a:endParaRPr lang="zh-TW"/>
          </a:p>
        </c:txPr>
        <c:crossAx val="281797920"/>
        <c:crosses val="autoZero"/>
        <c:auto val="1"/>
        <c:lblAlgn val="ctr"/>
        <c:lblOffset val="300"/>
        <c:noMultiLvlLbl val="1"/>
      </c:catAx>
      <c:valAx>
        <c:axId val="281797920"/>
        <c:scaling>
          <c:orientation val="minMax"/>
        </c:scaling>
        <c:delete val="0"/>
        <c:axPos val="l"/>
        <c:title>
          <c:tx>
            <c:rich>
              <a:bodyPr/>
              <a:lstStyle/>
              <a:p>
                <a:pPr lvl="0">
                  <a:defRPr b="0">
                    <a:solidFill>
                      <a:srgbClr val="000000"/>
                    </a:solidFill>
                    <a:latin typeface="+mn-lt"/>
                  </a:defRPr>
                </a:pPr>
                <a:endParaRPr lang="zh-TW" altLang="en-US"/>
              </a:p>
            </c:rich>
          </c:tx>
          <c:overlay val="0"/>
        </c:title>
        <c:numFmt formatCode="0%" sourceLinked="1"/>
        <c:majorTickMark val="out"/>
        <c:minorTickMark val="none"/>
        <c:tickLblPos val="nextTo"/>
        <c:spPr>
          <a:ln/>
        </c:spPr>
        <c:txPr>
          <a:bodyPr/>
          <a:lstStyle/>
          <a:p>
            <a:pPr lvl="0">
              <a:defRPr b="0">
                <a:solidFill>
                  <a:srgbClr val="000000"/>
                </a:solidFill>
                <a:latin typeface="+mn-lt"/>
              </a:defRPr>
            </a:pPr>
            <a:endParaRPr lang="zh-TW"/>
          </a:p>
        </c:txPr>
        <c:crossAx val="281787040"/>
        <c:crosses val="autoZero"/>
        <c:crossBetween val="between"/>
        <c:majorUnit val="0.1"/>
      </c:valAx>
    </c:plotArea>
    <c:legend>
      <c:legendPos val="t"/>
      <c:overlay val="0"/>
      <c:txPr>
        <a:bodyPr/>
        <a:lstStyle/>
        <a:p>
          <a:pPr lvl="0">
            <a:defRPr sz="900" b="0" i="0">
              <a:solidFill>
                <a:srgbClr val="1A1A1A"/>
              </a:solidFill>
              <a:latin typeface="+mn-lt"/>
            </a:defRPr>
          </a:pPr>
          <a:endParaRPr lang="zh-TW"/>
        </a:p>
      </c:txPr>
    </c:legend>
    <c:plotVisOnly val="1"/>
    <c:dispBlanksAs val="zero"/>
    <c:showDLblsOverMax val="1"/>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48554200572945"/>
          <c:y val="2.3114244926944427E-2"/>
          <c:w val="0.80646127727567785"/>
          <c:h val="0.82104643828844059"/>
        </c:manualLayout>
      </c:layout>
      <c:lineChart>
        <c:grouping val="standard"/>
        <c:varyColors val="1"/>
        <c:ser>
          <c:idx val="0"/>
          <c:order val="0"/>
          <c:tx>
            <c:v>股票價格</c:v>
          </c:tx>
          <c:spPr>
            <a:ln w="28575" cmpd="sng">
              <a:solidFill>
                <a:schemeClr val="accent1"/>
              </a:solidFill>
            </a:ln>
          </c:spPr>
          <c:marker>
            <c:symbol val="none"/>
          </c:marker>
          <c:cat>
            <c:numRef>
              <c:f>'3. PE市盈率分析股價'!$I$2:$I$59</c:f>
              <c:numCache>
                <c:formatCode>m/d/yyyy</c:formatCode>
                <c:ptCount val="58"/>
                <c:pt idx="0">
                  <c:v>44414</c:v>
                </c:pt>
              </c:numCache>
            </c:numRef>
          </c:cat>
          <c:val>
            <c:numRef>
              <c:f>'3. PE市盈率分析股價'!$J$2:$J$59</c:f>
              <c:numCache>
                <c:formatCode>General</c:formatCode>
                <c:ptCount val="58"/>
                <c:pt idx="0">
                  <c:v>107</c:v>
                </c:pt>
              </c:numCache>
            </c:numRef>
          </c:val>
          <c:smooth val="0"/>
          <c:extLst>
            <c:ext xmlns:c16="http://schemas.microsoft.com/office/drawing/2014/chart" uri="{C3380CC4-5D6E-409C-BE32-E72D297353CC}">
              <c16:uniqueId val="{00000000-5A91-480E-B211-8D0989CD859E}"/>
            </c:ext>
          </c:extLst>
        </c:ser>
        <c:ser>
          <c:idx val="1"/>
          <c:order val="1"/>
          <c:tx>
            <c:v>TTM淨每股收益</c:v>
          </c:tx>
          <c:spPr>
            <a:ln w="28575" cmpd="sng">
              <a:solidFill>
                <a:schemeClr val="accent2"/>
              </a:solidFill>
            </a:ln>
          </c:spPr>
          <c:marker>
            <c:symbol val="none"/>
          </c:marker>
          <c:cat>
            <c:numRef>
              <c:f>'3. PE市盈率分析股價'!$I$2:$I$59</c:f>
              <c:numCache>
                <c:formatCode>m/d/yyyy</c:formatCode>
                <c:ptCount val="58"/>
                <c:pt idx="0">
                  <c:v>44414</c:v>
                </c:pt>
              </c:numCache>
            </c:numRef>
          </c:cat>
          <c:val>
            <c:numRef>
              <c:f>'3. PE市盈率分析股價'!$K$2:$K$59</c:f>
              <c:numCache>
                <c:formatCode>"$"#,##0.00_);[Red]\("$"#,##0.00\)</c:formatCode>
                <c:ptCount val="58"/>
                <c:pt idx="0" formatCode="General">
                  <c:v>0</c:v>
                </c:pt>
              </c:numCache>
            </c:numRef>
          </c:val>
          <c:smooth val="0"/>
          <c:extLst>
            <c:ext xmlns:c16="http://schemas.microsoft.com/office/drawing/2014/chart" uri="{C3380CC4-5D6E-409C-BE32-E72D297353CC}">
              <c16:uniqueId val="{00000001-5A91-480E-B211-8D0989CD859E}"/>
            </c:ext>
          </c:extLst>
        </c:ser>
        <c:ser>
          <c:idx val="2"/>
          <c:order val="2"/>
          <c:tx>
            <c:v>市盈率</c:v>
          </c:tx>
          <c:spPr>
            <a:ln w="28575" cmpd="sng">
              <a:solidFill>
                <a:schemeClr val="accent3"/>
              </a:solidFill>
            </a:ln>
          </c:spPr>
          <c:marker>
            <c:symbol val="none"/>
          </c:marker>
          <c:cat>
            <c:numRef>
              <c:f>'3. PE市盈率分析股價'!$I$2:$I$59</c:f>
              <c:numCache>
                <c:formatCode>m/d/yyyy</c:formatCode>
                <c:ptCount val="58"/>
                <c:pt idx="0">
                  <c:v>44414</c:v>
                </c:pt>
              </c:numCache>
            </c:numRef>
          </c:cat>
          <c:val>
            <c:numRef>
              <c:f>'3. PE市盈率分析股價'!$L$2:$L$59</c:f>
              <c:numCache>
                <c:formatCode>General</c:formatCode>
                <c:ptCount val="58"/>
                <c:pt idx="0">
                  <c:v>0</c:v>
                </c:pt>
              </c:numCache>
            </c:numRef>
          </c:val>
          <c:smooth val="0"/>
          <c:extLst>
            <c:ext xmlns:c16="http://schemas.microsoft.com/office/drawing/2014/chart" uri="{C3380CC4-5D6E-409C-BE32-E72D297353CC}">
              <c16:uniqueId val="{00000002-5A91-480E-B211-8D0989CD859E}"/>
            </c:ext>
          </c:extLst>
        </c:ser>
        <c:dLbls>
          <c:showLegendKey val="0"/>
          <c:showVal val="0"/>
          <c:showCatName val="0"/>
          <c:showSerName val="0"/>
          <c:showPercent val="0"/>
          <c:showBubbleSize val="0"/>
        </c:dLbls>
        <c:smooth val="0"/>
        <c:axId val="281798464"/>
        <c:axId val="281789760"/>
      </c:lineChart>
      <c:dateAx>
        <c:axId val="281798464"/>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m/d/yyyy" sourceLinked="1"/>
        <c:majorTickMark val="out"/>
        <c:minorTickMark val="none"/>
        <c:tickLblPos val="nextTo"/>
        <c:txPr>
          <a:bodyPr/>
          <a:lstStyle/>
          <a:p>
            <a:pPr lvl="0">
              <a:defRPr sz="900" b="0" i="0">
                <a:solidFill>
                  <a:srgbClr val="000000"/>
                </a:solidFill>
                <a:latin typeface="+mn-lt"/>
              </a:defRPr>
            </a:pPr>
            <a:endParaRPr lang="zh-TW"/>
          </a:p>
        </c:txPr>
        <c:crossAx val="281789760"/>
        <c:crosses val="autoZero"/>
        <c:auto val="1"/>
        <c:lblOffset val="100"/>
        <c:baseTimeUnit val="months"/>
      </c:dateAx>
      <c:valAx>
        <c:axId val="28178976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zh-TW" altLang="en-US"/>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zh-TW"/>
          </a:p>
        </c:txPr>
        <c:crossAx val="281798464"/>
        <c:crosses val="autoZero"/>
        <c:crossBetween val="between"/>
      </c:valAx>
    </c:plotArea>
    <c:legend>
      <c:legendPos val="b"/>
      <c:overlay val="0"/>
      <c:txPr>
        <a:bodyPr/>
        <a:lstStyle/>
        <a:p>
          <a:pPr lvl="0">
            <a:defRPr sz="900" b="0" i="0">
              <a:solidFill>
                <a:srgbClr val="1A1A1A"/>
              </a:solidFill>
              <a:latin typeface="+mn-lt"/>
            </a:defRPr>
          </a:pPr>
          <a:endParaRPr lang="zh-TW"/>
        </a:p>
      </c:txPr>
    </c:legend>
    <c:plotVisOnly val="1"/>
    <c:dispBlanksAs val="zero"/>
    <c:showDLblsOverMax val="1"/>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5848554200572945"/>
          <c:y val="2.3086421548472562E-2"/>
          <c:w val="0.80646127727567785"/>
          <c:h val="0.90328855085358617"/>
        </c:manualLayout>
      </c:layout>
      <c:lineChart>
        <c:grouping val="standard"/>
        <c:varyColors val="1"/>
        <c:ser>
          <c:idx val="0"/>
          <c:order val="0"/>
          <c:tx>
            <c:v>股票價格</c:v>
          </c:tx>
          <c:spPr>
            <a:ln w="28575" cmpd="sng">
              <a:solidFill>
                <a:schemeClr val="accent1"/>
              </a:solidFill>
            </a:ln>
          </c:spPr>
          <c:marker>
            <c:symbol val="none"/>
          </c:marker>
          <c:cat>
            <c:numRef>
              <c:f>'3. PE市盈率分析股價'!$U$2:$U$59</c:f>
              <c:numCache>
                <c:formatCode>m/d/yyyy</c:formatCode>
                <c:ptCount val="58"/>
                <c:pt idx="0">
                  <c:v>44414</c:v>
                </c:pt>
                <c:pt idx="1">
                  <c:v>44377</c:v>
                </c:pt>
                <c:pt idx="2">
                  <c:v>44286</c:v>
                </c:pt>
                <c:pt idx="3">
                  <c:v>44196</c:v>
                </c:pt>
                <c:pt idx="4">
                  <c:v>44104</c:v>
                </c:pt>
                <c:pt idx="5">
                  <c:v>44012</c:v>
                </c:pt>
                <c:pt idx="6">
                  <c:v>43921</c:v>
                </c:pt>
                <c:pt idx="7">
                  <c:v>43830</c:v>
                </c:pt>
                <c:pt idx="8">
                  <c:v>43738</c:v>
                </c:pt>
                <c:pt idx="9">
                  <c:v>43646</c:v>
                </c:pt>
                <c:pt idx="10">
                  <c:v>43555</c:v>
                </c:pt>
                <c:pt idx="11">
                  <c:v>43465</c:v>
                </c:pt>
                <c:pt idx="12">
                  <c:v>43373</c:v>
                </c:pt>
                <c:pt idx="13">
                  <c:v>43281</c:v>
                </c:pt>
                <c:pt idx="14">
                  <c:v>43190</c:v>
                </c:pt>
                <c:pt idx="15">
                  <c:v>43100</c:v>
                </c:pt>
                <c:pt idx="16">
                  <c:v>43008</c:v>
                </c:pt>
                <c:pt idx="17">
                  <c:v>42916</c:v>
                </c:pt>
                <c:pt idx="18">
                  <c:v>42825</c:v>
                </c:pt>
                <c:pt idx="19">
                  <c:v>42735</c:v>
                </c:pt>
                <c:pt idx="20">
                  <c:v>42643</c:v>
                </c:pt>
                <c:pt idx="21">
                  <c:v>42551</c:v>
                </c:pt>
                <c:pt idx="22">
                  <c:v>42460</c:v>
                </c:pt>
                <c:pt idx="23">
                  <c:v>42369</c:v>
                </c:pt>
                <c:pt idx="24">
                  <c:v>42277</c:v>
                </c:pt>
                <c:pt idx="25">
                  <c:v>42185</c:v>
                </c:pt>
                <c:pt idx="26">
                  <c:v>42094</c:v>
                </c:pt>
                <c:pt idx="27">
                  <c:v>42004</c:v>
                </c:pt>
                <c:pt idx="28">
                  <c:v>41912</c:v>
                </c:pt>
                <c:pt idx="29">
                  <c:v>41820</c:v>
                </c:pt>
                <c:pt idx="30">
                  <c:v>41729</c:v>
                </c:pt>
                <c:pt idx="31">
                  <c:v>41639</c:v>
                </c:pt>
                <c:pt idx="32">
                  <c:v>41547</c:v>
                </c:pt>
                <c:pt idx="33">
                  <c:v>41455</c:v>
                </c:pt>
                <c:pt idx="34">
                  <c:v>41364</c:v>
                </c:pt>
                <c:pt idx="35">
                  <c:v>41274</c:v>
                </c:pt>
                <c:pt idx="36">
                  <c:v>41182</c:v>
                </c:pt>
                <c:pt idx="37">
                  <c:v>41090</c:v>
                </c:pt>
                <c:pt idx="38">
                  <c:v>40999</c:v>
                </c:pt>
                <c:pt idx="39">
                  <c:v>40908</c:v>
                </c:pt>
                <c:pt idx="40">
                  <c:v>40816</c:v>
                </c:pt>
                <c:pt idx="41">
                  <c:v>40724</c:v>
                </c:pt>
                <c:pt idx="42">
                  <c:v>40633</c:v>
                </c:pt>
                <c:pt idx="43">
                  <c:v>40543</c:v>
                </c:pt>
                <c:pt idx="44">
                  <c:v>40451</c:v>
                </c:pt>
                <c:pt idx="45">
                  <c:v>40359</c:v>
                </c:pt>
                <c:pt idx="46">
                  <c:v>40268</c:v>
                </c:pt>
                <c:pt idx="47">
                  <c:v>40178</c:v>
                </c:pt>
                <c:pt idx="48">
                  <c:v>40086</c:v>
                </c:pt>
                <c:pt idx="49">
                  <c:v>39994</c:v>
                </c:pt>
                <c:pt idx="50">
                  <c:v>39903</c:v>
                </c:pt>
                <c:pt idx="51">
                  <c:v>39813</c:v>
                </c:pt>
                <c:pt idx="52">
                  <c:v>39721</c:v>
                </c:pt>
                <c:pt idx="53">
                  <c:v>39629</c:v>
                </c:pt>
                <c:pt idx="54">
                  <c:v>39538</c:v>
                </c:pt>
                <c:pt idx="55">
                  <c:v>39447</c:v>
                </c:pt>
                <c:pt idx="56">
                  <c:v>39355</c:v>
                </c:pt>
                <c:pt idx="57">
                  <c:v>39263</c:v>
                </c:pt>
              </c:numCache>
            </c:numRef>
          </c:cat>
          <c:val>
            <c:numRef>
              <c:f>'3. PE市盈率分析股價'!$V$2:$V$59</c:f>
              <c:numCache>
                <c:formatCode>General</c:formatCode>
                <c:ptCount val="58"/>
                <c:pt idx="0">
                  <c:v>136.34</c:v>
                </c:pt>
                <c:pt idx="1">
                  <c:v>143.83000000000001</c:v>
                </c:pt>
                <c:pt idx="2">
                  <c:v>135.21</c:v>
                </c:pt>
                <c:pt idx="3">
                  <c:v>143.25</c:v>
                </c:pt>
                <c:pt idx="4">
                  <c:v>129.91999999999999</c:v>
                </c:pt>
                <c:pt idx="5">
                  <c:v>131.55000000000001</c:v>
                </c:pt>
                <c:pt idx="6">
                  <c:v>99.79</c:v>
                </c:pt>
                <c:pt idx="7">
                  <c:v>107.11</c:v>
                </c:pt>
                <c:pt idx="8">
                  <c:v>97.45</c:v>
                </c:pt>
                <c:pt idx="9">
                  <c:v>100.88</c:v>
                </c:pt>
                <c:pt idx="10">
                  <c:v>101.25</c:v>
                </c:pt>
                <c:pt idx="11">
                  <c:v>78.61</c:v>
                </c:pt>
                <c:pt idx="12">
                  <c:v>120.04</c:v>
                </c:pt>
                <c:pt idx="13">
                  <c:v>140.49</c:v>
                </c:pt>
                <c:pt idx="14">
                  <c:v>120.79</c:v>
                </c:pt>
                <c:pt idx="15">
                  <c:v>104.67</c:v>
                </c:pt>
                <c:pt idx="16">
                  <c:v>117.62</c:v>
                </c:pt>
                <c:pt idx="17">
                  <c:v>105.32</c:v>
                </c:pt>
                <c:pt idx="18">
                  <c:v>89.18</c:v>
                </c:pt>
                <c:pt idx="19">
                  <c:v>78.459999999999994</c:v>
                </c:pt>
                <c:pt idx="20">
                  <c:v>85.08</c:v>
                </c:pt>
                <c:pt idx="21">
                  <c:v>75.48</c:v>
                </c:pt>
                <c:pt idx="22">
                  <c:v>65.86</c:v>
                </c:pt>
                <c:pt idx="23">
                  <c:v>68.459999999999994</c:v>
                </c:pt>
                <c:pt idx="24">
                  <c:v>67.5</c:v>
                </c:pt>
                <c:pt idx="25">
                  <c:v>66.25</c:v>
                </c:pt>
                <c:pt idx="26">
                  <c:v>58.59</c:v>
                </c:pt>
                <c:pt idx="27">
                  <c:v>46.84</c:v>
                </c:pt>
                <c:pt idx="28">
                  <c:v>35.479999999999997</c:v>
                </c:pt>
                <c:pt idx="29">
                  <c:v>35.74</c:v>
                </c:pt>
                <c:pt idx="30">
                  <c:v>28.9</c:v>
                </c:pt>
                <c:pt idx="31">
                  <c:v>22.85</c:v>
                </c:pt>
                <c:pt idx="32">
                  <c:v>25.45</c:v>
                </c:pt>
                <c:pt idx="33">
                  <c:v>22.9</c:v>
                </c:pt>
                <c:pt idx="34">
                  <c:v>17.63</c:v>
                </c:pt>
                <c:pt idx="35">
                  <c:v>14.47</c:v>
                </c:pt>
                <c:pt idx="36">
                  <c:v>12.64</c:v>
                </c:pt>
                <c:pt idx="37">
                  <c:v>12.3</c:v>
                </c:pt>
                <c:pt idx="38">
                  <c:v>16.420000000000002</c:v>
                </c:pt>
                <c:pt idx="39">
                  <c:v>20.52</c:v>
                </c:pt>
                <c:pt idx="40">
                  <c:v>20.37</c:v>
                </c:pt>
                <c:pt idx="41">
                  <c:v>23.51</c:v>
                </c:pt>
                <c:pt idx="42">
                  <c:v>19.46</c:v>
                </c:pt>
                <c:pt idx="43">
                  <c:v>16.32</c:v>
                </c:pt>
                <c:pt idx="44">
                  <c:v>16.39</c:v>
                </c:pt>
                <c:pt idx="45">
                  <c:v>14.35</c:v>
                </c:pt>
                <c:pt idx="46">
                  <c:v>18.59</c:v>
                </c:pt>
                <c:pt idx="47">
                  <c:v>17.68</c:v>
                </c:pt>
                <c:pt idx="48">
                  <c:v>18.98</c:v>
                </c:pt>
                <c:pt idx="49">
                  <c:v>21.64</c:v>
                </c:pt>
                <c:pt idx="50">
                  <c:v>18.12</c:v>
                </c:pt>
                <c:pt idx="51">
                  <c:v>15.98</c:v>
                </c:pt>
                <c:pt idx="52">
                  <c:v>36.85</c:v>
                </c:pt>
                <c:pt idx="53">
                  <c:v>44.26</c:v>
                </c:pt>
                <c:pt idx="54">
                  <c:v>49.73</c:v>
                </c:pt>
                <c:pt idx="55">
                  <c:v>58.19</c:v>
                </c:pt>
                <c:pt idx="56">
                  <c:v>55.78</c:v>
                </c:pt>
                <c:pt idx="57">
                  <c:v>47.14</c:v>
                </c:pt>
              </c:numCache>
            </c:numRef>
          </c:val>
          <c:smooth val="0"/>
          <c:extLst>
            <c:ext xmlns:c16="http://schemas.microsoft.com/office/drawing/2014/chart" uri="{C3380CC4-5D6E-409C-BE32-E72D297353CC}">
              <c16:uniqueId val="{00000000-5A91-480E-B211-8D0989CD859E}"/>
            </c:ext>
          </c:extLst>
        </c:ser>
        <c:ser>
          <c:idx val="1"/>
          <c:order val="1"/>
          <c:tx>
            <c:v>TTM淨每股收益</c:v>
          </c:tx>
          <c:spPr>
            <a:ln w="28575" cmpd="sng">
              <a:solidFill>
                <a:schemeClr val="accent2"/>
              </a:solidFill>
            </a:ln>
          </c:spPr>
          <c:marker>
            <c:symbol val="none"/>
          </c:marker>
          <c:cat>
            <c:numRef>
              <c:f>'3. PE市盈率分析股價'!$U$2:$U$59</c:f>
              <c:numCache>
                <c:formatCode>m/d/yyyy</c:formatCode>
                <c:ptCount val="58"/>
                <c:pt idx="0">
                  <c:v>44414</c:v>
                </c:pt>
                <c:pt idx="1">
                  <c:v>44377</c:v>
                </c:pt>
                <c:pt idx="2">
                  <c:v>44286</c:v>
                </c:pt>
                <c:pt idx="3">
                  <c:v>44196</c:v>
                </c:pt>
                <c:pt idx="4">
                  <c:v>44104</c:v>
                </c:pt>
                <c:pt idx="5">
                  <c:v>44012</c:v>
                </c:pt>
                <c:pt idx="6">
                  <c:v>43921</c:v>
                </c:pt>
                <c:pt idx="7">
                  <c:v>43830</c:v>
                </c:pt>
                <c:pt idx="8">
                  <c:v>43738</c:v>
                </c:pt>
                <c:pt idx="9">
                  <c:v>43646</c:v>
                </c:pt>
                <c:pt idx="10">
                  <c:v>43555</c:v>
                </c:pt>
                <c:pt idx="11">
                  <c:v>43465</c:v>
                </c:pt>
                <c:pt idx="12">
                  <c:v>43373</c:v>
                </c:pt>
                <c:pt idx="13">
                  <c:v>43281</c:v>
                </c:pt>
                <c:pt idx="14">
                  <c:v>43190</c:v>
                </c:pt>
                <c:pt idx="15">
                  <c:v>43100</c:v>
                </c:pt>
                <c:pt idx="16">
                  <c:v>43008</c:v>
                </c:pt>
                <c:pt idx="17">
                  <c:v>42916</c:v>
                </c:pt>
                <c:pt idx="18">
                  <c:v>42825</c:v>
                </c:pt>
                <c:pt idx="19">
                  <c:v>42735</c:v>
                </c:pt>
                <c:pt idx="20">
                  <c:v>42643</c:v>
                </c:pt>
                <c:pt idx="21">
                  <c:v>42551</c:v>
                </c:pt>
                <c:pt idx="22">
                  <c:v>42460</c:v>
                </c:pt>
                <c:pt idx="23">
                  <c:v>42369</c:v>
                </c:pt>
                <c:pt idx="24">
                  <c:v>42277</c:v>
                </c:pt>
                <c:pt idx="25">
                  <c:v>42185</c:v>
                </c:pt>
                <c:pt idx="26">
                  <c:v>42094</c:v>
                </c:pt>
                <c:pt idx="27">
                  <c:v>42004</c:v>
                </c:pt>
                <c:pt idx="28">
                  <c:v>41912</c:v>
                </c:pt>
                <c:pt idx="29">
                  <c:v>41820</c:v>
                </c:pt>
                <c:pt idx="30">
                  <c:v>41729</c:v>
                </c:pt>
                <c:pt idx="31">
                  <c:v>41639</c:v>
                </c:pt>
                <c:pt idx="32">
                  <c:v>41547</c:v>
                </c:pt>
                <c:pt idx="33">
                  <c:v>41455</c:v>
                </c:pt>
                <c:pt idx="34">
                  <c:v>41364</c:v>
                </c:pt>
                <c:pt idx="35">
                  <c:v>41274</c:v>
                </c:pt>
                <c:pt idx="36">
                  <c:v>41182</c:v>
                </c:pt>
                <c:pt idx="37">
                  <c:v>41090</c:v>
                </c:pt>
                <c:pt idx="38">
                  <c:v>40999</c:v>
                </c:pt>
                <c:pt idx="39">
                  <c:v>40908</c:v>
                </c:pt>
                <c:pt idx="40">
                  <c:v>40816</c:v>
                </c:pt>
                <c:pt idx="41">
                  <c:v>40724</c:v>
                </c:pt>
                <c:pt idx="42">
                  <c:v>40633</c:v>
                </c:pt>
                <c:pt idx="43">
                  <c:v>40543</c:v>
                </c:pt>
                <c:pt idx="44">
                  <c:v>40451</c:v>
                </c:pt>
                <c:pt idx="45">
                  <c:v>40359</c:v>
                </c:pt>
                <c:pt idx="46">
                  <c:v>40268</c:v>
                </c:pt>
                <c:pt idx="47">
                  <c:v>40178</c:v>
                </c:pt>
                <c:pt idx="48">
                  <c:v>40086</c:v>
                </c:pt>
                <c:pt idx="49">
                  <c:v>39994</c:v>
                </c:pt>
                <c:pt idx="50">
                  <c:v>39903</c:v>
                </c:pt>
                <c:pt idx="51">
                  <c:v>39813</c:v>
                </c:pt>
                <c:pt idx="52">
                  <c:v>39721</c:v>
                </c:pt>
                <c:pt idx="53">
                  <c:v>39629</c:v>
                </c:pt>
                <c:pt idx="54">
                  <c:v>39538</c:v>
                </c:pt>
                <c:pt idx="55">
                  <c:v>39447</c:v>
                </c:pt>
                <c:pt idx="56">
                  <c:v>39355</c:v>
                </c:pt>
                <c:pt idx="57">
                  <c:v>39263</c:v>
                </c:pt>
              </c:numCache>
            </c:numRef>
          </c:cat>
          <c:val>
            <c:numRef>
              <c:f>'3. PE市盈率分析股價'!$W$2:$W$59</c:f>
              <c:numCache>
                <c:formatCode>"$"#,##0.00_);[Red]\("$"#,##0.00\)</c:formatCode>
                <c:ptCount val="58"/>
                <c:pt idx="0" formatCode="General">
                  <c:v>0</c:v>
                </c:pt>
                <c:pt idx="1">
                  <c:v>1.61</c:v>
                </c:pt>
                <c:pt idx="2">
                  <c:v>2.86</c:v>
                </c:pt>
                <c:pt idx="3">
                  <c:v>4.03</c:v>
                </c:pt>
                <c:pt idx="4">
                  <c:v>4.49</c:v>
                </c:pt>
                <c:pt idx="5">
                  <c:v>6.75</c:v>
                </c:pt>
                <c:pt idx="6">
                  <c:v>10.25</c:v>
                </c:pt>
                <c:pt idx="7">
                  <c:v>9.51</c:v>
                </c:pt>
                <c:pt idx="8">
                  <c:v>9.19</c:v>
                </c:pt>
                <c:pt idx="9">
                  <c:v>7.13</c:v>
                </c:pt>
                <c:pt idx="10">
                  <c:v>3.33</c:v>
                </c:pt>
                <c:pt idx="11">
                  <c:v>4.59</c:v>
                </c:pt>
                <c:pt idx="12">
                  <c:v>3.13</c:v>
                </c:pt>
                <c:pt idx="13">
                  <c:v>2.23</c:v>
                </c:pt>
                <c:pt idx="14">
                  <c:v>3.34</c:v>
                </c:pt>
                <c:pt idx="15">
                  <c:v>3.2</c:v>
                </c:pt>
                <c:pt idx="16">
                  <c:v>3.8</c:v>
                </c:pt>
                <c:pt idx="17">
                  <c:v>3.74</c:v>
                </c:pt>
                <c:pt idx="18">
                  <c:v>3.08</c:v>
                </c:pt>
                <c:pt idx="19">
                  <c:v>4.0599999999999996</c:v>
                </c:pt>
                <c:pt idx="20">
                  <c:v>3.92</c:v>
                </c:pt>
                <c:pt idx="21">
                  <c:v>3.6</c:v>
                </c:pt>
                <c:pt idx="22">
                  <c:v>3.52</c:v>
                </c:pt>
                <c:pt idx="23">
                  <c:v>1.92</c:v>
                </c:pt>
                <c:pt idx="24">
                  <c:v>2.5</c:v>
                </c:pt>
                <c:pt idx="25">
                  <c:v>2.96</c:v>
                </c:pt>
                <c:pt idx="26">
                  <c:v>2.68</c:v>
                </c:pt>
                <c:pt idx="27">
                  <c:v>2.64</c:v>
                </c:pt>
                <c:pt idx="28">
                  <c:v>1.2</c:v>
                </c:pt>
                <c:pt idx="29">
                  <c:v>0.3</c:v>
                </c:pt>
                <c:pt idx="30">
                  <c:v>-0.03</c:v>
                </c:pt>
                <c:pt idx="31">
                  <c:v>-0.13</c:v>
                </c:pt>
                <c:pt idx="32">
                  <c:v>0.72</c:v>
                </c:pt>
                <c:pt idx="33">
                  <c:v>0.4</c:v>
                </c:pt>
                <c:pt idx="34">
                  <c:v>0.32</c:v>
                </c:pt>
                <c:pt idx="35">
                  <c:v>0.47</c:v>
                </c:pt>
                <c:pt idx="36">
                  <c:v>0</c:v>
                </c:pt>
                <c:pt idx="37">
                  <c:v>0.18</c:v>
                </c:pt>
                <c:pt idx="38">
                  <c:v>0.21</c:v>
                </c:pt>
                <c:pt idx="39">
                  <c:v>-0.54</c:v>
                </c:pt>
                <c:pt idx="40">
                  <c:v>-0.89</c:v>
                </c:pt>
                <c:pt idx="41">
                  <c:v>-0.47</c:v>
                </c:pt>
                <c:pt idx="42">
                  <c:v>-0.84</c:v>
                </c:pt>
                <c:pt idx="43">
                  <c:v>-1.2</c:v>
                </c:pt>
                <c:pt idx="44">
                  <c:v>-0.48</c:v>
                </c:pt>
                <c:pt idx="45">
                  <c:v>-1.08</c:v>
                </c:pt>
                <c:pt idx="46">
                  <c:v>-2.09</c:v>
                </c:pt>
                <c:pt idx="47">
                  <c:v>-2.31</c:v>
                </c:pt>
                <c:pt idx="48">
                  <c:v>-4.0599999999999996</c:v>
                </c:pt>
                <c:pt idx="49">
                  <c:v>-3.82</c:v>
                </c:pt>
                <c:pt idx="50">
                  <c:v>-3.4</c:v>
                </c:pt>
                <c:pt idx="51">
                  <c:v>-3.57</c:v>
                </c:pt>
                <c:pt idx="52">
                  <c:v>-1.68</c:v>
                </c:pt>
                <c:pt idx="53">
                  <c:v>-1.33</c:v>
                </c:pt>
                <c:pt idx="54">
                  <c:v>-1.45</c:v>
                </c:pt>
                <c:pt idx="55">
                  <c:v>-1.23</c:v>
                </c:pt>
                <c:pt idx="56">
                  <c:v>-0.62</c:v>
                </c:pt>
                <c:pt idx="57">
                  <c:v>7.0000000000000007E-2</c:v>
                </c:pt>
              </c:numCache>
            </c:numRef>
          </c:val>
          <c:smooth val="0"/>
          <c:extLst>
            <c:ext xmlns:c16="http://schemas.microsoft.com/office/drawing/2014/chart" uri="{C3380CC4-5D6E-409C-BE32-E72D297353CC}">
              <c16:uniqueId val="{00000001-5A91-480E-B211-8D0989CD859E}"/>
            </c:ext>
          </c:extLst>
        </c:ser>
        <c:ser>
          <c:idx val="2"/>
          <c:order val="2"/>
          <c:tx>
            <c:v>市盈率</c:v>
          </c:tx>
          <c:spPr>
            <a:ln w="28575" cmpd="sng">
              <a:solidFill>
                <a:schemeClr val="accent3"/>
              </a:solidFill>
            </a:ln>
          </c:spPr>
          <c:marker>
            <c:symbol val="none"/>
          </c:marker>
          <c:cat>
            <c:numRef>
              <c:f>'3. PE市盈率分析股價'!$U$2:$U$59</c:f>
              <c:numCache>
                <c:formatCode>m/d/yyyy</c:formatCode>
                <c:ptCount val="58"/>
                <c:pt idx="0">
                  <c:v>44414</c:v>
                </c:pt>
                <c:pt idx="1">
                  <c:v>44377</c:v>
                </c:pt>
                <c:pt idx="2">
                  <c:v>44286</c:v>
                </c:pt>
                <c:pt idx="3">
                  <c:v>44196</c:v>
                </c:pt>
                <c:pt idx="4">
                  <c:v>44104</c:v>
                </c:pt>
                <c:pt idx="5">
                  <c:v>44012</c:v>
                </c:pt>
                <c:pt idx="6">
                  <c:v>43921</c:v>
                </c:pt>
                <c:pt idx="7">
                  <c:v>43830</c:v>
                </c:pt>
                <c:pt idx="8">
                  <c:v>43738</c:v>
                </c:pt>
                <c:pt idx="9">
                  <c:v>43646</c:v>
                </c:pt>
                <c:pt idx="10">
                  <c:v>43555</c:v>
                </c:pt>
                <c:pt idx="11">
                  <c:v>43465</c:v>
                </c:pt>
                <c:pt idx="12">
                  <c:v>43373</c:v>
                </c:pt>
                <c:pt idx="13">
                  <c:v>43281</c:v>
                </c:pt>
                <c:pt idx="14">
                  <c:v>43190</c:v>
                </c:pt>
                <c:pt idx="15">
                  <c:v>43100</c:v>
                </c:pt>
                <c:pt idx="16">
                  <c:v>43008</c:v>
                </c:pt>
                <c:pt idx="17">
                  <c:v>42916</c:v>
                </c:pt>
                <c:pt idx="18">
                  <c:v>42825</c:v>
                </c:pt>
                <c:pt idx="19">
                  <c:v>42735</c:v>
                </c:pt>
                <c:pt idx="20">
                  <c:v>42643</c:v>
                </c:pt>
                <c:pt idx="21">
                  <c:v>42551</c:v>
                </c:pt>
                <c:pt idx="22">
                  <c:v>42460</c:v>
                </c:pt>
                <c:pt idx="23">
                  <c:v>42369</c:v>
                </c:pt>
                <c:pt idx="24">
                  <c:v>42277</c:v>
                </c:pt>
                <c:pt idx="25">
                  <c:v>42185</c:v>
                </c:pt>
                <c:pt idx="26">
                  <c:v>42094</c:v>
                </c:pt>
                <c:pt idx="27">
                  <c:v>42004</c:v>
                </c:pt>
                <c:pt idx="28">
                  <c:v>41912</c:v>
                </c:pt>
                <c:pt idx="29">
                  <c:v>41820</c:v>
                </c:pt>
                <c:pt idx="30">
                  <c:v>41729</c:v>
                </c:pt>
                <c:pt idx="31">
                  <c:v>41639</c:v>
                </c:pt>
                <c:pt idx="32">
                  <c:v>41547</c:v>
                </c:pt>
                <c:pt idx="33">
                  <c:v>41455</c:v>
                </c:pt>
                <c:pt idx="34">
                  <c:v>41364</c:v>
                </c:pt>
                <c:pt idx="35">
                  <c:v>41274</c:v>
                </c:pt>
                <c:pt idx="36">
                  <c:v>41182</c:v>
                </c:pt>
                <c:pt idx="37">
                  <c:v>41090</c:v>
                </c:pt>
                <c:pt idx="38">
                  <c:v>40999</c:v>
                </c:pt>
                <c:pt idx="39">
                  <c:v>40908</c:v>
                </c:pt>
                <c:pt idx="40">
                  <c:v>40816</c:v>
                </c:pt>
                <c:pt idx="41">
                  <c:v>40724</c:v>
                </c:pt>
                <c:pt idx="42">
                  <c:v>40633</c:v>
                </c:pt>
                <c:pt idx="43">
                  <c:v>40543</c:v>
                </c:pt>
                <c:pt idx="44">
                  <c:v>40451</c:v>
                </c:pt>
                <c:pt idx="45">
                  <c:v>40359</c:v>
                </c:pt>
                <c:pt idx="46">
                  <c:v>40268</c:v>
                </c:pt>
                <c:pt idx="47">
                  <c:v>40178</c:v>
                </c:pt>
                <c:pt idx="48">
                  <c:v>40086</c:v>
                </c:pt>
                <c:pt idx="49">
                  <c:v>39994</c:v>
                </c:pt>
                <c:pt idx="50">
                  <c:v>39903</c:v>
                </c:pt>
                <c:pt idx="51">
                  <c:v>39813</c:v>
                </c:pt>
                <c:pt idx="52">
                  <c:v>39721</c:v>
                </c:pt>
                <c:pt idx="53">
                  <c:v>39629</c:v>
                </c:pt>
                <c:pt idx="54">
                  <c:v>39538</c:v>
                </c:pt>
                <c:pt idx="55">
                  <c:v>39447</c:v>
                </c:pt>
                <c:pt idx="56">
                  <c:v>39355</c:v>
                </c:pt>
                <c:pt idx="57">
                  <c:v>39263</c:v>
                </c:pt>
              </c:numCache>
            </c:numRef>
          </c:cat>
          <c:val>
            <c:numRef>
              <c:f>'3. PE市盈率分析股價'!$X$2:$X$59</c:f>
              <c:numCache>
                <c:formatCode>General</c:formatCode>
                <c:ptCount val="58"/>
                <c:pt idx="0">
                  <c:v>84.68</c:v>
                </c:pt>
                <c:pt idx="1">
                  <c:v>89.34</c:v>
                </c:pt>
                <c:pt idx="2">
                  <c:v>47.28</c:v>
                </c:pt>
                <c:pt idx="3">
                  <c:v>35.549999999999997</c:v>
                </c:pt>
                <c:pt idx="4">
                  <c:v>28.94</c:v>
                </c:pt>
                <c:pt idx="5">
                  <c:v>19.489999999999998</c:v>
                </c:pt>
                <c:pt idx="6">
                  <c:v>9.74</c:v>
                </c:pt>
                <c:pt idx="7">
                  <c:v>11.26</c:v>
                </c:pt>
                <c:pt idx="8">
                  <c:v>10.6</c:v>
                </c:pt>
                <c:pt idx="9">
                  <c:v>14.15</c:v>
                </c:pt>
                <c:pt idx="10">
                  <c:v>30.4</c:v>
                </c:pt>
                <c:pt idx="11">
                  <c:v>17.13</c:v>
                </c:pt>
                <c:pt idx="12">
                  <c:v>38.35</c:v>
                </c:pt>
                <c:pt idx="13">
                  <c:v>63</c:v>
                </c:pt>
                <c:pt idx="14">
                  <c:v>36.159999999999997</c:v>
                </c:pt>
                <c:pt idx="15">
                  <c:v>32.71</c:v>
                </c:pt>
                <c:pt idx="16">
                  <c:v>30.95</c:v>
                </c:pt>
                <c:pt idx="17">
                  <c:v>28.16</c:v>
                </c:pt>
                <c:pt idx="18">
                  <c:v>28.96</c:v>
                </c:pt>
                <c:pt idx="19">
                  <c:v>19.329999999999998</c:v>
                </c:pt>
                <c:pt idx="20">
                  <c:v>21.7</c:v>
                </c:pt>
                <c:pt idx="21">
                  <c:v>20.97</c:v>
                </c:pt>
                <c:pt idx="22">
                  <c:v>18.71</c:v>
                </c:pt>
                <c:pt idx="23">
                  <c:v>35.659999999999997</c:v>
                </c:pt>
                <c:pt idx="24">
                  <c:v>27</c:v>
                </c:pt>
                <c:pt idx="25">
                  <c:v>22.38</c:v>
                </c:pt>
                <c:pt idx="26">
                  <c:v>21.86</c:v>
                </c:pt>
                <c:pt idx="27">
                  <c:v>17.739999999999998</c:v>
                </c:pt>
                <c:pt idx="28">
                  <c:v>29.56</c:v>
                </c:pt>
                <c:pt idx="29">
                  <c:v>119.12</c:v>
                </c:pt>
                <c:pt idx="30">
                  <c:v>0</c:v>
                </c:pt>
                <c:pt idx="31">
                  <c:v>0</c:v>
                </c:pt>
                <c:pt idx="32">
                  <c:v>35.35</c:v>
                </c:pt>
                <c:pt idx="33">
                  <c:v>57.26</c:v>
                </c:pt>
                <c:pt idx="34">
                  <c:v>55.11</c:v>
                </c:pt>
                <c:pt idx="35">
                  <c:v>30.78</c:v>
                </c:pt>
                <c:pt idx="36">
                  <c:v>0</c:v>
                </c:pt>
                <c:pt idx="37">
                  <c:v>68.349999999999994</c:v>
                </c:pt>
                <c:pt idx="38">
                  <c:v>78.209999999999994</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673.46</c:v>
                </c:pt>
              </c:numCache>
            </c:numRef>
          </c:val>
          <c:smooth val="0"/>
          <c:extLst>
            <c:ext xmlns:c16="http://schemas.microsoft.com/office/drawing/2014/chart" uri="{C3380CC4-5D6E-409C-BE32-E72D297353CC}">
              <c16:uniqueId val="{00000002-5A91-480E-B211-8D0989CD859E}"/>
            </c:ext>
          </c:extLst>
        </c:ser>
        <c:dLbls>
          <c:showLegendKey val="0"/>
          <c:showVal val="0"/>
          <c:showCatName val="0"/>
          <c:showSerName val="0"/>
          <c:showPercent val="0"/>
          <c:showBubbleSize val="0"/>
        </c:dLbls>
        <c:smooth val="0"/>
        <c:axId val="281792480"/>
        <c:axId val="281790304"/>
      </c:lineChart>
      <c:dateAx>
        <c:axId val="281792480"/>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m/d/yyyy" sourceLinked="1"/>
        <c:majorTickMark val="out"/>
        <c:minorTickMark val="none"/>
        <c:tickLblPos val="nextTo"/>
        <c:txPr>
          <a:bodyPr/>
          <a:lstStyle/>
          <a:p>
            <a:pPr lvl="0">
              <a:defRPr sz="900" b="0" i="0">
                <a:solidFill>
                  <a:srgbClr val="000000"/>
                </a:solidFill>
                <a:latin typeface="+mn-lt"/>
              </a:defRPr>
            </a:pPr>
            <a:endParaRPr lang="zh-TW"/>
          </a:p>
        </c:txPr>
        <c:crossAx val="281790304"/>
        <c:crosses val="autoZero"/>
        <c:auto val="1"/>
        <c:lblOffset val="100"/>
        <c:baseTimeUnit val="months"/>
      </c:dateAx>
      <c:valAx>
        <c:axId val="28179030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zh-TW" altLang="en-US"/>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zh-TW"/>
          </a:p>
        </c:txPr>
        <c:crossAx val="281792480"/>
        <c:crosses val="autoZero"/>
        <c:crossBetween val="between"/>
      </c:valAx>
      <c:spPr>
        <a:ln>
          <a:noFill/>
        </a:ln>
      </c:spPr>
    </c:plotArea>
    <c:legend>
      <c:legendPos val="b"/>
      <c:overlay val="0"/>
      <c:txPr>
        <a:bodyPr/>
        <a:lstStyle/>
        <a:p>
          <a:pPr lvl="0">
            <a:defRPr sz="900" b="0" i="0">
              <a:solidFill>
                <a:srgbClr val="1A1A1A"/>
              </a:solidFill>
              <a:latin typeface="+mn-lt"/>
            </a:defRPr>
          </a:pPr>
          <a:endParaRPr lang="zh-TW"/>
        </a:p>
      </c:txPr>
    </c:legend>
    <c:plotVisOnly val="1"/>
    <c:dispBlanksAs val="zero"/>
    <c:showDLblsOverMax val="1"/>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lineChart>
        <c:grouping val="standard"/>
        <c:varyColors val="1"/>
        <c:ser>
          <c:idx val="0"/>
          <c:order val="0"/>
          <c:tx>
            <c:v>股票價格</c:v>
          </c:tx>
          <c:spPr>
            <a:ln w="28575" cmpd="sng">
              <a:solidFill>
                <a:schemeClr val="accent1"/>
              </a:solidFill>
            </a:ln>
          </c:spPr>
          <c:marker>
            <c:symbol val="none"/>
          </c:marker>
          <c:cat>
            <c:numRef>
              <c:f>'3. PE市盈率分析股價'!$AG$2:$AG$59</c:f>
              <c:numCache>
                <c:formatCode>m/d/yyyy</c:formatCode>
                <c:ptCount val="58"/>
                <c:pt idx="0">
                  <c:v>44414</c:v>
                </c:pt>
                <c:pt idx="1">
                  <c:v>44377</c:v>
                </c:pt>
                <c:pt idx="2">
                  <c:v>44286</c:v>
                </c:pt>
                <c:pt idx="3">
                  <c:v>44196</c:v>
                </c:pt>
                <c:pt idx="4">
                  <c:v>44104</c:v>
                </c:pt>
                <c:pt idx="5">
                  <c:v>44012</c:v>
                </c:pt>
                <c:pt idx="6">
                  <c:v>43921</c:v>
                </c:pt>
                <c:pt idx="7">
                  <c:v>43830</c:v>
                </c:pt>
                <c:pt idx="8">
                  <c:v>43738</c:v>
                </c:pt>
                <c:pt idx="9">
                  <c:v>43646</c:v>
                </c:pt>
                <c:pt idx="10">
                  <c:v>43555</c:v>
                </c:pt>
                <c:pt idx="11">
                  <c:v>43465</c:v>
                </c:pt>
                <c:pt idx="12">
                  <c:v>43373</c:v>
                </c:pt>
                <c:pt idx="13">
                  <c:v>43281</c:v>
                </c:pt>
                <c:pt idx="14">
                  <c:v>43190</c:v>
                </c:pt>
                <c:pt idx="15">
                  <c:v>43100</c:v>
                </c:pt>
                <c:pt idx="16">
                  <c:v>43008</c:v>
                </c:pt>
                <c:pt idx="17">
                  <c:v>42916</c:v>
                </c:pt>
                <c:pt idx="18">
                  <c:v>42825</c:v>
                </c:pt>
                <c:pt idx="19">
                  <c:v>42735</c:v>
                </c:pt>
                <c:pt idx="20">
                  <c:v>42643</c:v>
                </c:pt>
                <c:pt idx="21">
                  <c:v>42551</c:v>
                </c:pt>
                <c:pt idx="22">
                  <c:v>42460</c:v>
                </c:pt>
                <c:pt idx="23">
                  <c:v>42369</c:v>
                </c:pt>
                <c:pt idx="24">
                  <c:v>42277</c:v>
                </c:pt>
                <c:pt idx="25">
                  <c:v>42185</c:v>
                </c:pt>
                <c:pt idx="26">
                  <c:v>42094</c:v>
                </c:pt>
                <c:pt idx="27">
                  <c:v>42004</c:v>
                </c:pt>
                <c:pt idx="28">
                  <c:v>41912</c:v>
                </c:pt>
                <c:pt idx="29">
                  <c:v>41820</c:v>
                </c:pt>
                <c:pt idx="30">
                  <c:v>41729</c:v>
                </c:pt>
                <c:pt idx="31">
                  <c:v>41639</c:v>
                </c:pt>
                <c:pt idx="32">
                  <c:v>41547</c:v>
                </c:pt>
                <c:pt idx="33">
                  <c:v>41455</c:v>
                </c:pt>
                <c:pt idx="34">
                  <c:v>41364</c:v>
                </c:pt>
                <c:pt idx="35">
                  <c:v>41274</c:v>
                </c:pt>
                <c:pt idx="36">
                  <c:v>41182</c:v>
                </c:pt>
                <c:pt idx="37">
                  <c:v>41090</c:v>
                </c:pt>
                <c:pt idx="38">
                  <c:v>40999</c:v>
                </c:pt>
                <c:pt idx="39">
                  <c:v>40908</c:v>
                </c:pt>
                <c:pt idx="40">
                  <c:v>40816</c:v>
                </c:pt>
                <c:pt idx="41">
                  <c:v>40724</c:v>
                </c:pt>
                <c:pt idx="42">
                  <c:v>40633</c:v>
                </c:pt>
                <c:pt idx="43">
                  <c:v>40543</c:v>
                </c:pt>
                <c:pt idx="44">
                  <c:v>40451</c:v>
                </c:pt>
                <c:pt idx="45">
                  <c:v>40359</c:v>
                </c:pt>
                <c:pt idx="46">
                  <c:v>40268</c:v>
                </c:pt>
                <c:pt idx="47">
                  <c:v>40178</c:v>
                </c:pt>
                <c:pt idx="48">
                  <c:v>40086</c:v>
                </c:pt>
                <c:pt idx="49">
                  <c:v>39994</c:v>
                </c:pt>
                <c:pt idx="50">
                  <c:v>39903</c:v>
                </c:pt>
                <c:pt idx="51">
                  <c:v>39813</c:v>
                </c:pt>
                <c:pt idx="52">
                  <c:v>39721</c:v>
                </c:pt>
                <c:pt idx="53">
                  <c:v>39629</c:v>
                </c:pt>
                <c:pt idx="54">
                  <c:v>39538</c:v>
                </c:pt>
                <c:pt idx="55">
                  <c:v>39447</c:v>
                </c:pt>
                <c:pt idx="56">
                  <c:v>39355</c:v>
                </c:pt>
                <c:pt idx="57">
                  <c:v>39263</c:v>
                </c:pt>
              </c:numCache>
            </c:numRef>
          </c:cat>
          <c:val>
            <c:numRef>
              <c:f>'3. PE市盈率分析股價'!$AH$2:$AH$59</c:f>
              <c:numCache>
                <c:formatCode>General</c:formatCode>
                <c:ptCount val="58"/>
                <c:pt idx="0">
                  <c:v>82.43</c:v>
                </c:pt>
                <c:pt idx="1">
                  <c:v>95.44</c:v>
                </c:pt>
                <c:pt idx="2">
                  <c:v>92.55</c:v>
                </c:pt>
                <c:pt idx="3">
                  <c:v>92.4</c:v>
                </c:pt>
                <c:pt idx="4">
                  <c:v>80.56</c:v>
                </c:pt>
                <c:pt idx="5">
                  <c:v>75.53</c:v>
                </c:pt>
                <c:pt idx="6">
                  <c:v>58.81</c:v>
                </c:pt>
                <c:pt idx="7">
                  <c:v>58.75</c:v>
                </c:pt>
                <c:pt idx="8">
                  <c:v>52.33</c:v>
                </c:pt>
                <c:pt idx="9">
                  <c:v>46.67</c:v>
                </c:pt>
                <c:pt idx="10">
                  <c:v>45.02</c:v>
                </c:pt>
                <c:pt idx="11">
                  <c:v>45.68</c:v>
                </c:pt>
                <c:pt idx="12">
                  <c:v>81.59</c:v>
                </c:pt>
                <c:pt idx="13">
                  <c:v>74.849999999999994</c:v>
                </c:pt>
                <c:pt idx="14">
                  <c:v>66.16</c:v>
                </c:pt>
                <c:pt idx="15">
                  <c:v>61.78</c:v>
                </c:pt>
                <c:pt idx="16">
                  <c:v>62.95</c:v>
                </c:pt>
                <c:pt idx="17">
                  <c:v>56.17</c:v>
                </c:pt>
                <c:pt idx="18">
                  <c:v>48.65</c:v>
                </c:pt>
                <c:pt idx="19">
                  <c:v>35.020000000000003</c:v>
                </c:pt>
                <c:pt idx="20">
                  <c:v>42.97</c:v>
                </c:pt>
                <c:pt idx="21">
                  <c:v>38.44</c:v>
                </c:pt>
                <c:pt idx="22">
                  <c:v>32.82</c:v>
                </c:pt>
                <c:pt idx="23">
                  <c:v>37.24</c:v>
                </c:pt>
                <c:pt idx="24">
                  <c:v>29.72</c:v>
                </c:pt>
                <c:pt idx="25">
                  <c:v>23.29</c:v>
                </c:pt>
                <c:pt idx="26">
                  <c:v>21.86</c:v>
                </c:pt>
                <c:pt idx="27">
                  <c:v>19.190000000000001</c:v>
                </c:pt>
                <c:pt idx="28">
                  <c:v>19.8</c:v>
                </c:pt>
                <c:pt idx="29">
                  <c:v>21.24</c:v>
                </c:pt>
                <c:pt idx="30">
                  <c:v>19.47</c:v>
                </c:pt>
                <c:pt idx="31">
                  <c:v>16.82</c:v>
                </c:pt>
                <c:pt idx="32">
                  <c:v>15.74</c:v>
                </c:pt>
                <c:pt idx="33">
                  <c:v>13.45</c:v>
                </c:pt>
                <c:pt idx="34">
                  <c:v>13.75</c:v>
                </c:pt>
                <c:pt idx="35">
                  <c:v>9.89</c:v>
                </c:pt>
                <c:pt idx="36">
                  <c:v>10.5</c:v>
                </c:pt>
                <c:pt idx="37">
                  <c:v>11.16</c:v>
                </c:pt>
                <c:pt idx="38">
                  <c:v>11.94</c:v>
                </c:pt>
                <c:pt idx="39">
                  <c:v>11.31</c:v>
                </c:pt>
                <c:pt idx="40">
                  <c:v>10.92</c:v>
                </c:pt>
                <c:pt idx="41">
                  <c:v>10.72</c:v>
                </c:pt>
                <c:pt idx="42">
                  <c:v>10.07</c:v>
                </c:pt>
                <c:pt idx="43">
                  <c:v>11.25</c:v>
                </c:pt>
                <c:pt idx="44">
                  <c:v>9.7799999999999994</c:v>
                </c:pt>
                <c:pt idx="45">
                  <c:v>9.49</c:v>
                </c:pt>
                <c:pt idx="46">
                  <c:v>10.9</c:v>
                </c:pt>
                <c:pt idx="47">
                  <c:v>9.91</c:v>
                </c:pt>
                <c:pt idx="48">
                  <c:v>11.05</c:v>
                </c:pt>
                <c:pt idx="49">
                  <c:v>11.27</c:v>
                </c:pt>
                <c:pt idx="50">
                  <c:v>9.33</c:v>
                </c:pt>
                <c:pt idx="51">
                  <c:v>7.71</c:v>
                </c:pt>
                <c:pt idx="52">
                  <c:v>13.76</c:v>
                </c:pt>
                <c:pt idx="53">
                  <c:v>15.19</c:v>
                </c:pt>
                <c:pt idx="54">
                  <c:v>12.18</c:v>
                </c:pt>
                <c:pt idx="55">
                  <c:v>13.25</c:v>
                </c:pt>
                <c:pt idx="56">
                  <c:v>9.6300000000000008</c:v>
                </c:pt>
                <c:pt idx="57">
                  <c:v>8.33</c:v>
                </c:pt>
              </c:numCache>
            </c:numRef>
          </c:val>
          <c:smooth val="0"/>
          <c:extLst>
            <c:ext xmlns:c16="http://schemas.microsoft.com/office/drawing/2014/chart" uri="{C3380CC4-5D6E-409C-BE32-E72D297353CC}">
              <c16:uniqueId val="{00000000-5A91-480E-B211-8D0989CD859E}"/>
            </c:ext>
          </c:extLst>
        </c:ser>
        <c:ser>
          <c:idx val="1"/>
          <c:order val="1"/>
          <c:tx>
            <c:v>TTM淨每股收益</c:v>
          </c:tx>
          <c:spPr>
            <a:ln w="28575" cmpd="sng">
              <a:solidFill>
                <a:schemeClr val="accent2"/>
              </a:solidFill>
            </a:ln>
          </c:spPr>
          <c:marker>
            <c:symbol val="none"/>
          </c:marker>
          <c:cat>
            <c:numRef>
              <c:f>'3. PE市盈率分析股價'!$AG$2:$AG$59</c:f>
              <c:numCache>
                <c:formatCode>m/d/yyyy</c:formatCode>
                <c:ptCount val="58"/>
                <c:pt idx="0">
                  <c:v>44414</c:v>
                </c:pt>
                <c:pt idx="1">
                  <c:v>44377</c:v>
                </c:pt>
                <c:pt idx="2">
                  <c:v>44286</c:v>
                </c:pt>
                <c:pt idx="3">
                  <c:v>44196</c:v>
                </c:pt>
                <c:pt idx="4">
                  <c:v>44104</c:v>
                </c:pt>
                <c:pt idx="5">
                  <c:v>44012</c:v>
                </c:pt>
                <c:pt idx="6">
                  <c:v>43921</c:v>
                </c:pt>
                <c:pt idx="7">
                  <c:v>43830</c:v>
                </c:pt>
                <c:pt idx="8">
                  <c:v>43738</c:v>
                </c:pt>
                <c:pt idx="9">
                  <c:v>43646</c:v>
                </c:pt>
                <c:pt idx="10">
                  <c:v>43555</c:v>
                </c:pt>
                <c:pt idx="11">
                  <c:v>43465</c:v>
                </c:pt>
                <c:pt idx="12">
                  <c:v>43373</c:v>
                </c:pt>
                <c:pt idx="13">
                  <c:v>43281</c:v>
                </c:pt>
                <c:pt idx="14">
                  <c:v>43190</c:v>
                </c:pt>
                <c:pt idx="15">
                  <c:v>43100</c:v>
                </c:pt>
                <c:pt idx="16">
                  <c:v>43008</c:v>
                </c:pt>
                <c:pt idx="17">
                  <c:v>42916</c:v>
                </c:pt>
                <c:pt idx="18">
                  <c:v>42825</c:v>
                </c:pt>
                <c:pt idx="19">
                  <c:v>42735</c:v>
                </c:pt>
                <c:pt idx="20">
                  <c:v>42643</c:v>
                </c:pt>
                <c:pt idx="21">
                  <c:v>42551</c:v>
                </c:pt>
                <c:pt idx="22">
                  <c:v>42460</c:v>
                </c:pt>
                <c:pt idx="23">
                  <c:v>42369</c:v>
                </c:pt>
                <c:pt idx="24">
                  <c:v>42277</c:v>
                </c:pt>
                <c:pt idx="25">
                  <c:v>42185</c:v>
                </c:pt>
                <c:pt idx="26">
                  <c:v>42094</c:v>
                </c:pt>
                <c:pt idx="27">
                  <c:v>42004</c:v>
                </c:pt>
                <c:pt idx="28">
                  <c:v>41912</c:v>
                </c:pt>
                <c:pt idx="29">
                  <c:v>41820</c:v>
                </c:pt>
                <c:pt idx="30">
                  <c:v>41729</c:v>
                </c:pt>
                <c:pt idx="31">
                  <c:v>41639</c:v>
                </c:pt>
                <c:pt idx="32">
                  <c:v>41547</c:v>
                </c:pt>
                <c:pt idx="33">
                  <c:v>41455</c:v>
                </c:pt>
                <c:pt idx="34">
                  <c:v>41364</c:v>
                </c:pt>
                <c:pt idx="35">
                  <c:v>41274</c:v>
                </c:pt>
                <c:pt idx="36">
                  <c:v>41182</c:v>
                </c:pt>
                <c:pt idx="37">
                  <c:v>41090</c:v>
                </c:pt>
                <c:pt idx="38">
                  <c:v>40999</c:v>
                </c:pt>
                <c:pt idx="39">
                  <c:v>40908</c:v>
                </c:pt>
                <c:pt idx="40">
                  <c:v>40816</c:v>
                </c:pt>
                <c:pt idx="41">
                  <c:v>40724</c:v>
                </c:pt>
                <c:pt idx="42">
                  <c:v>40633</c:v>
                </c:pt>
                <c:pt idx="43">
                  <c:v>40543</c:v>
                </c:pt>
                <c:pt idx="44">
                  <c:v>40451</c:v>
                </c:pt>
                <c:pt idx="45">
                  <c:v>40359</c:v>
                </c:pt>
                <c:pt idx="46">
                  <c:v>40268</c:v>
                </c:pt>
                <c:pt idx="47">
                  <c:v>40178</c:v>
                </c:pt>
                <c:pt idx="48">
                  <c:v>40086</c:v>
                </c:pt>
                <c:pt idx="49">
                  <c:v>39994</c:v>
                </c:pt>
                <c:pt idx="50">
                  <c:v>39903</c:v>
                </c:pt>
                <c:pt idx="51">
                  <c:v>39813</c:v>
                </c:pt>
                <c:pt idx="52">
                  <c:v>39721</c:v>
                </c:pt>
                <c:pt idx="53">
                  <c:v>39629</c:v>
                </c:pt>
                <c:pt idx="54">
                  <c:v>39538</c:v>
                </c:pt>
                <c:pt idx="55">
                  <c:v>39447</c:v>
                </c:pt>
                <c:pt idx="56">
                  <c:v>39355</c:v>
                </c:pt>
                <c:pt idx="57">
                  <c:v>39263</c:v>
                </c:pt>
              </c:numCache>
            </c:numRef>
          </c:cat>
          <c:val>
            <c:numRef>
              <c:f>'3. PE市盈率分析股價'!$AI$2:$AI$59</c:f>
              <c:numCache>
                <c:formatCode>"$"#,##0.00_);[Red]\("$"#,##0.00\)</c:formatCode>
                <c:ptCount val="58"/>
                <c:pt idx="0" formatCode="General">
                  <c:v>0</c:v>
                </c:pt>
                <c:pt idx="1">
                  <c:v>2.2200000000000002</c:v>
                </c:pt>
                <c:pt idx="2">
                  <c:v>2.97</c:v>
                </c:pt>
                <c:pt idx="3">
                  <c:v>2.83</c:v>
                </c:pt>
                <c:pt idx="4">
                  <c:v>2.86</c:v>
                </c:pt>
                <c:pt idx="5">
                  <c:v>2.34</c:v>
                </c:pt>
                <c:pt idx="6">
                  <c:v>2.02</c:v>
                </c:pt>
                <c:pt idx="7">
                  <c:v>1.95</c:v>
                </c:pt>
                <c:pt idx="8">
                  <c:v>2.11</c:v>
                </c:pt>
                <c:pt idx="9">
                  <c:v>2.19</c:v>
                </c:pt>
                <c:pt idx="10">
                  <c:v>2.2799999999999998</c:v>
                </c:pt>
                <c:pt idx="11">
                  <c:v>2.35</c:v>
                </c:pt>
                <c:pt idx="12">
                  <c:v>0.74</c:v>
                </c:pt>
                <c:pt idx="13">
                  <c:v>0.65</c:v>
                </c:pt>
                <c:pt idx="14">
                  <c:v>0.45</c:v>
                </c:pt>
                <c:pt idx="15">
                  <c:v>0.36</c:v>
                </c:pt>
                <c:pt idx="16">
                  <c:v>1.46</c:v>
                </c:pt>
                <c:pt idx="17">
                  <c:v>1.47</c:v>
                </c:pt>
                <c:pt idx="18">
                  <c:v>1.32</c:v>
                </c:pt>
                <c:pt idx="19">
                  <c:v>1.21</c:v>
                </c:pt>
                <c:pt idx="20">
                  <c:v>1.0900000000000001</c:v>
                </c:pt>
                <c:pt idx="21">
                  <c:v>1</c:v>
                </c:pt>
                <c:pt idx="22">
                  <c:v>1.1200000000000001</c:v>
                </c:pt>
                <c:pt idx="23">
                  <c:v>1.2</c:v>
                </c:pt>
                <c:pt idx="24">
                  <c:v>1.48</c:v>
                </c:pt>
                <c:pt idx="25">
                  <c:v>1.28</c:v>
                </c:pt>
                <c:pt idx="26">
                  <c:v>1.27</c:v>
                </c:pt>
                <c:pt idx="27">
                  <c:v>1.1399999999999999</c:v>
                </c:pt>
                <c:pt idx="28">
                  <c:v>0.87</c:v>
                </c:pt>
                <c:pt idx="29">
                  <c:v>0.95</c:v>
                </c:pt>
                <c:pt idx="30">
                  <c:v>0.95</c:v>
                </c:pt>
                <c:pt idx="31">
                  <c:v>0.95</c:v>
                </c:pt>
                <c:pt idx="32">
                  <c:v>1.04</c:v>
                </c:pt>
                <c:pt idx="33">
                  <c:v>1.19</c:v>
                </c:pt>
                <c:pt idx="34">
                  <c:v>1.07</c:v>
                </c:pt>
                <c:pt idx="35">
                  <c:v>1</c:v>
                </c:pt>
                <c:pt idx="36">
                  <c:v>0.77</c:v>
                </c:pt>
                <c:pt idx="37">
                  <c:v>0.7</c:v>
                </c:pt>
                <c:pt idx="38">
                  <c:v>0.83</c:v>
                </c:pt>
                <c:pt idx="39">
                  <c:v>0.92</c:v>
                </c:pt>
                <c:pt idx="40">
                  <c:v>0.64</c:v>
                </c:pt>
                <c:pt idx="41">
                  <c:v>0.55000000000000004</c:v>
                </c:pt>
                <c:pt idx="42">
                  <c:v>0.43</c:v>
                </c:pt>
                <c:pt idx="43">
                  <c:v>0.31</c:v>
                </c:pt>
                <c:pt idx="44">
                  <c:v>0.28000000000000003</c:v>
                </c:pt>
                <c:pt idx="45">
                  <c:v>0.25</c:v>
                </c:pt>
                <c:pt idx="46">
                  <c:v>0.23</c:v>
                </c:pt>
                <c:pt idx="47">
                  <c:v>7.0000000000000007E-2</c:v>
                </c:pt>
                <c:pt idx="48">
                  <c:v>0.25</c:v>
                </c:pt>
                <c:pt idx="49">
                  <c:v>0.16</c:v>
                </c:pt>
                <c:pt idx="50">
                  <c:v>0.1</c:v>
                </c:pt>
                <c:pt idx="51">
                  <c:v>0.03</c:v>
                </c:pt>
                <c:pt idx="52">
                  <c:v>0.51</c:v>
                </c:pt>
                <c:pt idx="53">
                  <c:v>0.59</c:v>
                </c:pt>
                <c:pt idx="54">
                  <c:v>0.55000000000000004</c:v>
                </c:pt>
                <c:pt idx="55">
                  <c:v>0.45</c:v>
                </c:pt>
                <c:pt idx="56">
                  <c:v>0.23</c:v>
                </c:pt>
                <c:pt idx="57">
                  <c:v>0.16</c:v>
                </c:pt>
              </c:numCache>
            </c:numRef>
          </c:val>
          <c:smooth val="0"/>
          <c:extLst>
            <c:ext xmlns:c16="http://schemas.microsoft.com/office/drawing/2014/chart" uri="{C3380CC4-5D6E-409C-BE32-E72D297353CC}">
              <c16:uniqueId val="{00000001-5A91-480E-B211-8D0989CD859E}"/>
            </c:ext>
          </c:extLst>
        </c:ser>
        <c:ser>
          <c:idx val="2"/>
          <c:order val="2"/>
          <c:tx>
            <c:v>市盈率</c:v>
          </c:tx>
          <c:spPr>
            <a:ln w="28575" cmpd="sng">
              <a:solidFill>
                <a:schemeClr val="accent3"/>
              </a:solidFill>
            </a:ln>
          </c:spPr>
          <c:marker>
            <c:symbol val="none"/>
          </c:marker>
          <c:cat>
            <c:numRef>
              <c:f>'3. PE市盈率分析股價'!$AG$2:$AG$59</c:f>
              <c:numCache>
                <c:formatCode>m/d/yyyy</c:formatCode>
                <c:ptCount val="58"/>
                <c:pt idx="0">
                  <c:v>44414</c:v>
                </c:pt>
                <c:pt idx="1">
                  <c:v>44377</c:v>
                </c:pt>
                <c:pt idx="2">
                  <c:v>44286</c:v>
                </c:pt>
                <c:pt idx="3">
                  <c:v>44196</c:v>
                </c:pt>
                <c:pt idx="4">
                  <c:v>44104</c:v>
                </c:pt>
                <c:pt idx="5">
                  <c:v>44012</c:v>
                </c:pt>
                <c:pt idx="6">
                  <c:v>43921</c:v>
                </c:pt>
                <c:pt idx="7">
                  <c:v>43830</c:v>
                </c:pt>
                <c:pt idx="8">
                  <c:v>43738</c:v>
                </c:pt>
                <c:pt idx="9">
                  <c:v>43646</c:v>
                </c:pt>
                <c:pt idx="10">
                  <c:v>43555</c:v>
                </c:pt>
                <c:pt idx="11">
                  <c:v>43465</c:v>
                </c:pt>
                <c:pt idx="12">
                  <c:v>43373</c:v>
                </c:pt>
                <c:pt idx="13">
                  <c:v>43281</c:v>
                </c:pt>
                <c:pt idx="14">
                  <c:v>43190</c:v>
                </c:pt>
                <c:pt idx="15">
                  <c:v>43100</c:v>
                </c:pt>
                <c:pt idx="16">
                  <c:v>43008</c:v>
                </c:pt>
                <c:pt idx="17">
                  <c:v>42916</c:v>
                </c:pt>
                <c:pt idx="18">
                  <c:v>42825</c:v>
                </c:pt>
                <c:pt idx="19">
                  <c:v>42735</c:v>
                </c:pt>
                <c:pt idx="20">
                  <c:v>42643</c:v>
                </c:pt>
                <c:pt idx="21">
                  <c:v>42551</c:v>
                </c:pt>
                <c:pt idx="22">
                  <c:v>42460</c:v>
                </c:pt>
                <c:pt idx="23">
                  <c:v>42369</c:v>
                </c:pt>
                <c:pt idx="24">
                  <c:v>42277</c:v>
                </c:pt>
                <c:pt idx="25">
                  <c:v>42185</c:v>
                </c:pt>
                <c:pt idx="26">
                  <c:v>42094</c:v>
                </c:pt>
                <c:pt idx="27">
                  <c:v>42004</c:v>
                </c:pt>
                <c:pt idx="28">
                  <c:v>41912</c:v>
                </c:pt>
                <c:pt idx="29">
                  <c:v>41820</c:v>
                </c:pt>
                <c:pt idx="30">
                  <c:v>41729</c:v>
                </c:pt>
                <c:pt idx="31">
                  <c:v>41639</c:v>
                </c:pt>
                <c:pt idx="32">
                  <c:v>41547</c:v>
                </c:pt>
                <c:pt idx="33">
                  <c:v>41455</c:v>
                </c:pt>
                <c:pt idx="34">
                  <c:v>41364</c:v>
                </c:pt>
                <c:pt idx="35">
                  <c:v>41274</c:v>
                </c:pt>
                <c:pt idx="36">
                  <c:v>41182</c:v>
                </c:pt>
                <c:pt idx="37">
                  <c:v>41090</c:v>
                </c:pt>
                <c:pt idx="38">
                  <c:v>40999</c:v>
                </c:pt>
                <c:pt idx="39">
                  <c:v>40908</c:v>
                </c:pt>
                <c:pt idx="40">
                  <c:v>40816</c:v>
                </c:pt>
                <c:pt idx="41">
                  <c:v>40724</c:v>
                </c:pt>
                <c:pt idx="42">
                  <c:v>40633</c:v>
                </c:pt>
                <c:pt idx="43">
                  <c:v>40543</c:v>
                </c:pt>
                <c:pt idx="44">
                  <c:v>40451</c:v>
                </c:pt>
                <c:pt idx="45">
                  <c:v>40359</c:v>
                </c:pt>
                <c:pt idx="46">
                  <c:v>40268</c:v>
                </c:pt>
                <c:pt idx="47">
                  <c:v>40178</c:v>
                </c:pt>
                <c:pt idx="48">
                  <c:v>40086</c:v>
                </c:pt>
                <c:pt idx="49">
                  <c:v>39994</c:v>
                </c:pt>
                <c:pt idx="50">
                  <c:v>39903</c:v>
                </c:pt>
                <c:pt idx="51">
                  <c:v>39813</c:v>
                </c:pt>
                <c:pt idx="52">
                  <c:v>39721</c:v>
                </c:pt>
                <c:pt idx="53">
                  <c:v>39629</c:v>
                </c:pt>
                <c:pt idx="54">
                  <c:v>39538</c:v>
                </c:pt>
                <c:pt idx="55">
                  <c:v>39447</c:v>
                </c:pt>
                <c:pt idx="56">
                  <c:v>39355</c:v>
                </c:pt>
                <c:pt idx="57">
                  <c:v>39263</c:v>
                </c:pt>
              </c:numCache>
            </c:numRef>
          </c:cat>
          <c:val>
            <c:numRef>
              <c:f>'3. PE市盈率分析股價'!$AJ$2:$AJ$59</c:f>
              <c:numCache>
                <c:formatCode>General</c:formatCode>
                <c:ptCount val="58"/>
                <c:pt idx="0">
                  <c:v>37.130000000000003</c:v>
                </c:pt>
                <c:pt idx="1">
                  <c:v>42.99</c:v>
                </c:pt>
                <c:pt idx="2">
                  <c:v>31.16</c:v>
                </c:pt>
                <c:pt idx="3">
                  <c:v>32.65</c:v>
                </c:pt>
                <c:pt idx="4">
                  <c:v>28.17</c:v>
                </c:pt>
                <c:pt idx="5">
                  <c:v>32.28</c:v>
                </c:pt>
                <c:pt idx="6">
                  <c:v>29.11</c:v>
                </c:pt>
                <c:pt idx="7">
                  <c:v>30.13</c:v>
                </c:pt>
                <c:pt idx="8">
                  <c:v>24.8</c:v>
                </c:pt>
                <c:pt idx="9">
                  <c:v>21.31</c:v>
                </c:pt>
                <c:pt idx="10">
                  <c:v>19.739999999999998</c:v>
                </c:pt>
                <c:pt idx="11">
                  <c:v>19.440000000000001</c:v>
                </c:pt>
                <c:pt idx="12">
                  <c:v>110.26</c:v>
                </c:pt>
                <c:pt idx="13">
                  <c:v>115.16</c:v>
                </c:pt>
                <c:pt idx="14">
                  <c:v>147.03</c:v>
                </c:pt>
                <c:pt idx="15">
                  <c:v>171.62</c:v>
                </c:pt>
                <c:pt idx="16">
                  <c:v>43.11</c:v>
                </c:pt>
                <c:pt idx="17">
                  <c:v>38.21</c:v>
                </c:pt>
                <c:pt idx="18">
                  <c:v>36.86</c:v>
                </c:pt>
                <c:pt idx="19">
                  <c:v>28.94</c:v>
                </c:pt>
                <c:pt idx="20">
                  <c:v>39.42</c:v>
                </c:pt>
                <c:pt idx="21">
                  <c:v>38.44</c:v>
                </c:pt>
                <c:pt idx="22">
                  <c:v>29.31</c:v>
                </c:pt>
                <c:pt idx="23">
                  <c:v>31.04</c:v>
                </c:pt>
                <c:pt idx="24">
                  <c:v>20.079999999999998</c:v>
                </c:pt>
                <c:pt idx="25">
                  <c:v>18.2</c:v>
                </c:pt>
                <c:pt idx="26">
                  <c:v>17.22</c:v>
                </c:pt>
                <c:pt idx="27">
                  <c:v>16.829999999999998</c:v>
                </c:pt>
                <c:pt idx="28">
                  <c:v>22.76</c:v>
                </c:pt>
                <c:pt idx="29">
                  <c:v>22.36</c:v>
                </c:pt>
                <c:pt idx="30">
                  <c:v>20.49</c:v>
                </c:pt>
                <c:pt idx="31">
                  <c:v>17.71</c:v>
                </c:pt>
                <c:pt idx="32">
                  <c:v>15.13</c:v>
                </c:pt>
                <c:pt idx="33">
                  <c:v>11.31</c:v>
                </c:pt>
                <c:pt idx="34">
                  <c:v>12.85</c:v>
                </c:pt>
                <c:pt idx="35">
                  <c:v>9.89</c:v>
                </c:pt>
                <c:pt idx="36">
                  <c:v>13.64</c:v>
                </c:pt>
                <c:pt idx="37">
                  <c:v>15.95</c:v>
                </c:pt>
                <c:pt idx="38">
                  <c:v>14.38</c:v>
                </c:pt>
                <c:pt idx="39">
                  <c:v>12.29</c:v>
                </c:pt>
                <c:pt idx="40">
                  <c:v>17.07</c:v>
                </c:pt>
                <c:pt idx="41">
                  <c:v>19.489999999999998</c:v>
                </c:pt>
                <c:pt idx="42">
                  <c:v>23.42</c:v>
                </c:pt>
                <c:pt idx="43">
                  <c:v>36.29</c:v>
                </c:pt>
                <c:pt idx="44">
                  <c:v>34.94</c:v>
                </c:pt>
                <c:pt idx="45">
                  <c:v>37.94</c:v>
                </c:pt>
                <c:pt idx="46">
                  <c:v>47.38</c:v>
                </c:pt>
                <c:pt idx="47">
                  <c:v>141.57</c:v>
                </c:pt>
                <c:pt idx="48">
                  <c:v>44.21</c:v>
                </c:pt>
                <c:pt idx="49">
                  <c:v>70.41</c:v>
                </c:pt>
                <c:pt idx="50">
                  <c:v>93.3</c:v>
                </c:pt>
                <c:pt idx="51">
                  <c:v>256.88</c:v>
                </c:pt>
                <c:pt idx="52">
                  <c:v>26.99</c:v>
                </c:pt>
                <c:pt idx="53">
                  <c:v>25.75</c:v>
                </c:pt>
                <c:pt idx="54">
                  <c:v>22.14</c:v>
                </c:pt>
                <c:pt idx="55">
                  <c:v>29.43</c:v>
                </c:pt>
                <c:pt idx="56">
                  <c:v>41.86</c:v>
                </c:pt>
                <c:pt idx="57">
                  <c:v>52.04</c:v>
                </c:pt>
              </c:numCache>
            </c:numRef>
          </c:val>
          <c:smooth val="0"/>
          <c:extLst>
            <c:ext xmlns:c16="http://schemas.microsoft.com/office/drawing/2014/chart" uri="{C3380CC4-5D6E-409C-BE32-E72D297353CC}">
              <c16:uniqueId val="{00000002-5A91-480E-B211-8D0989CD859E}"/>
            </c:ext>
          </c:extLst>
        </c:ser>
        <c:dLbls>
          <c:showLegendKey val="0"/>
          <c:showVal val="0"/>
          <c:showCatName val="0"/>
          <c:showSerName val="0"/>
          <c:showPercent val="0"/>
          <c:showBubbleSize val="0"/>
        </c:dLbls>
        <c:smooth val="0"/>
        <c:axId val="283612080"/>
        <c:axId val="283609360"/>
      </c:lineChart>
      <c:dateAx>
        <c:axId val="283612080"/>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m/d/yyyy" sourceLinked="1"/>
        <c:majorTickMark val="out"/>
        <c:minorTickMark val="none"/>
        <c:tickLblPos val="nextTo"/>
        <c:txPr>
          <a:bodyPr/>
          <a:lstStyle/>
          <a:p>
            <a:pPr lvl="0">
              <a:defRPr sz="900" b="0" i="0">
                <a:solidFill>
                  <a:srgbClr val="000000"/>
                </a:solidFill>
                <a:latin typeface="+mn-lt"/>
              </a:defRPr>
            </a:pPr>
            <a:endParaRPr lang="zh-TW"/>
          </a:p>
        </c:txPr>
        <c:crossAx val="283609360"/>
        <c:crosses val="autoZero"/>
        <c:auto val="1"/>
        <c:lblOffset val="100"/>
        <c:baseTimeUnit val="months"/>
      </c:dateAx>
      <c:valAx>
        <c:axId val="28360936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zh-TW" altLang="en-US"/>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zh-TW"/>
          </a:p>
        </c:txPr>
        <c:crossAx val="283612080"/>
        <c:crosses val="autoZero"/>
        <c:crossBetween val="between"/>
      </c:valAx>
    </c:plotArea>
    <c:legend>
      <c:legendPos val="b"/>
      <c:overlay val="0"/>
      <c:txPr>
        <a:bodyPr/>
        <a:lstStyle/>
        <a:p>
          <a:pPr lvl="0">
            <a:defRPr sz="900" b="0" i="0">
              <a:solidFill>
                <a:srgbClr val="1A1A1A"/>
              </a:solidFill>
              <a:latin typeface="+mn-lt"/>
            </a:defRPr>
          </a:pPr>
          <a:endParaRPr lang="zh-TW"/>
        </a:p>
      </c:txPr>
    </c:legend>
    <c:plotVisOnly val="1"/>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1"/>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lineChart>
        <c:grouping val="standard"/>
        <c:varyColors val="1"/>
        <c:ser>
          <c:idx val="0"/>
          <c:order val="0"/>
          <c:tx>
            <c:v>股票價格</c:v>
          </c:tx>
          <c:spPr>
            <a:ln w="28575" cmpd="sng">
              <a:solidFill>
                <a:schemeClr val="accent1"/>
              </a:solidFill>
            </a:ln>
          </c:spPr>
          <c:marker>
            <c:symbol val="none"/>
          </c:marker>
          <c:cat>
            <c:numRef>
              <c:f>'3. PE市盈率分析股價'!$AS$2:$AS$59</c:f>
              <c:numCache>
                <c:formatCode>m/d/yyyy</c:formatCode>
                <c:ptCount val="58"/>
                <c:pt idx="0">
                  <c:v>44414</c:v>
                </c:pt>
                <c:pt idx="1">
                  <c:v>44286</c:v>
                </c:pt>
                <c:pt idx="2">
                  <c:v>44196</c:v>
                </c:pt>
                <c:pt idx="3">
                  <c:v>44104</c:v>
                </c:pt>
                <c:pt idx="4">
                  <c:v>44012</c:v>
                </c:pt>
                <c:pt idx="5">
                  <c:v>43921</c:v>
                </c:pt>
                <c:pt idx="6">
                  <c:v>43830</c:v>
                </c:pt>
                <c:pt idx="7">
                  <c:v>43738</c:v>
                </c:pt>
                <c:pt idx="8">
                  <c:v>43646</c:v>
                </c:pt>
                <c:pt idx="9">
                  <c:v>43555</c:v>
                </c:pt>
                <c:pt idx="10">
                  <c:v>43465</c:v>
                </c:pt>
                <c:pt idx="11">
                  <c:v>43373</c:v>
                </c:pt>
                <c:pt idx="12">
                  <c:v>43281</c:v>
                </c:pt>
                <c:pt idx="13">
                  <c:v>43190</c:v>
                </c:pt>
                <c:pt idx="14">
                  <c:v>43100</c:v>
                </c:pt>
                <c:pt idx="15">
                  <c:v>43008</c:v>
                </c:pt>
                <c:pt idx="16">
                  <c:v>42916</c:v>
                </c:pt>
                <c:pt idx="17">
                  <c:v>42825</c:v>
                </c:pt>
                <c:pt idx="18">
                  <c:v>42735</c:v>
                </c:pt>
                <c:pt idx="19">
                  <c:v>42643</c:v>
                </c:pt>
                <c:pt idx="20">
                  <c:v>42551</c:v>
                </c:pt>
                <c:pt idx="21">
                  <c:v>42460</c:v>
                </c:pt>
                <c:pt idx="22">
                  <c:v>42369</c:v>
                </c:pt>
                <c:pt idx="23">
                  <c:v>42277</c:v>
                </c:pt>
                <c:pt idx="24">
                  <c:v>42185</c:v>
                </c:pt>
                <c:pt idx="25">
                  <c:v>42094</c:v>
                </c:pt>
                <c:pt idx="26">
                  <c:v>42004</c:v>
                </c:pt>
                <c:pt idx="27">
                  <c:v>41912</c:v>
                </c:pt>
                <c:pt idx="28">
                  <c:v>41820</c:v>
                </c:pt>
                <c:pt idx="29">
                  <c:v>41729</c:v>
                </c:pt>
                <c:pt idx="30">
                  <c:v>41639</c:v>
                </c:pt>
                <c:pt idx="31">
                  <c:v>41547</c:v>
                </c:pt>
                <c:pt idx="32">
                  <c:v>41455</c:v>
                </c:pt>
                <c:pt idx="33">
                  <c:v>41364</c:v>
                </c:pt>
                <c:pt idx="34">
                  <c:v>41274</c:v>
                </c:pt>
                <c:pt idx="35">
                  <c:v>41182</c:v>
                </c:pt>
                <c:pt idx="36">
                  <c:v>41090</c:v>
                </c:pt>
                <c:pt idx="37">
                  <c:v>40999</c:v>
                </c:pt>
                <c:pt idx="38">
                  <c:v>40908</c:v>
                </c:pt>
                <c:pt idx="39">
                  <c:v>40816</c:v>
                </c:pt>
                <c:pt idx="40">
                  <c:v>40724</c:v>
                </c:pt>
                <c:pt idx="41">
                  <c:v>40633</c:v>
                </c:pt>
                <c:pt idx="42">
                  <c:v>40543</c:v>
                </c:pt>
                <c:pt idx="43">
                  <c:v>40451</c:v>
                </c:pt>
                <c:pt idx="44">
                  <c:v>40359</c:v>
                </c:pt>
                <c:pt idx="45">
                  <c:v>40268</c:v>
                </c:pt>
                <c:pt idx="46">
                  <c:v>40178</c:v>
                </c:pt>
                <c:pt idx="47">
                  <c:v>40086</c:v>
                </c:pt>
                <c:pt idx="48">
                  <c:v>39994</c:v>
                </c:pt>
                <c:pt idx="49">
                  <c:v>39903</c:v>
                </c:pt>
                <c:pt idx="50">
                  <c:v>39813</c:v>
                </c:pt>
                <c:pt idx="51">
                  <c:v>39721</c:v>
                </c:pt>
                <c:pt idx="52">
                  <c:v>39629</c:v>
                </c:pt>
                <c:pt idx="53">
                  <c:v>39538</c:v>
                </c:pt>
                <c:pt idx="54">
                  <c:v>39447</c:v>
                </c:pt>
              </c:numCache>
            </c:numRef>
          </c:cat>
          <c:val>
            <c:numRef>
              <c:f>'3. PE市盈率分析股價'!$AT$2:$AT$59</c:f>
              <c:numCache>
                <c:formatCode>General</c:formatCode>
                <c:ptCount val="58"/>
                <c:pt idx="0">
                  <c:v>8.39</c:v>
                </c:pt>
                <c:pt idx="1">
                  <c:v>8.27</c:v>
                </c:pt>
                <c:pt idx="2">
                  <c:v>6.83</c:v>
                </c:pt>
                <c:pt idx="3">
                  <c:v>11.15</c:v>
                </c:pt>
                <c:pt idx="4">
                  <c:v>6.28</c:v>
                </c:pt>
                <c:pt idx="5">
                  <c:v>1.84</c:v>
                </c:pt>
                <c:pt idx="6">
                  <c:v>3.38</c:v>
                </c:pt>
                <c:pt idx="7">
                  <c:v>2.14</c:v>
                </c:pt>
                <c:pt idx="8">
                  <c:v>2.67</c:v>
                </c:pt>
                <c:pt idx="9">
                  <c:v>4.75</c:v>
                </c:pt>
                <c:pt idx="10">
                  <c:v>2.4</c:v>
                </c:pt>
                <c:pt idx="11">
                  <c:v>4.4000000000000004</c:v>
                </c:pt>
                <c:pt idx="12">
                  <c:v>7.2</c:v>
                </c:pt>
                <c:pt idx="13">
                  <c:v>5.15</c:v>
                </c:pt>
                <c:pt idx="14">
                  <c:v>3.8</c:v>
                </c:pt>
                <c:pt idx="15">
                  <c:v>1.7</c:v>
                </c:pt>
                <c:pt idx="16">
                  <c:v>2</c:v>
                </c:pt>
                <c:pt idx="17">
                  <c:v>3.95</c:v>
                </c:pt>
                <c:pt idx="18">
                  <c:v>4.9000000000000004</c:v>
                </c:pt>
                <c:pt idx="19">
                  <c:v>7.74</c:v>
                </c:pt>
                <c:pt idx="20">
                  <c:v>5.6</c:v>
                </c:pt>
                <c:pt idx="21">
                  <c:v>5.38</c:v>
                </c:pt>
                <c:pt idx="22">
                  <c:v>8.7100000000000009</c:v>
                </c:pt>
                <c:pt idx="23">
                  <c:v>8.39</c:v>
                </c:pt>
                <c:pt idx="24">
                  <c:v>17.62</c:v>
                </c:pt>
                <c:pt idx="25">
                  <c:v>11.56</c:v>
                </c:pt>
                <c:pt idx="26">
                  <c:v>10.07</c:v>
                </c:pt>
                <c:pt idx="27">
                  <c:v>4.5199999999999996</c:v>
                </c:pt>
                <c:pt idx="28">
                  <c:v>6.75</c:v>
                </c:pt>
                <c:pt idx="29">
                  <c:v>12.82</c:v>
                </c:pt>
                <c:pt idx="30">
                  <c:v>8.1</c:v>
                </c:pt>
                <c:pt idx="31">
                  <c:v>9.59</c:v>
                </c:pt>
                <c:pt idx="32">
                  <c:v>7.25</c:v>
                </c:pt>
                <c:pt idx="33">
                  <c:v>5</c:v>
                </c:pt>
                <c:pt idx="34">
                  <c:v>3.75</c:v>
                </c:pt>
                <c:pt idx="35">
                  <c:v>6.25</c:v>
                </c:pt>
                <c:pt idx="36">
                  <c:v>6.75</c:v>
                </c:pt>
                <c:pt idx="37">
                  <c:v>14.75</c:v>
                </c:pt>
                <c:pt idx="38">
                  <c:v>5</c:v>
                </c:pt>
                <c:pt idx="39">
                  <c:v>5.75</c:v>
                </c:pt>
                <c:pt idx="40">
                  <c:v>7.5</c:v>
                </c:pt>
                <c:pt idx="41">
                  <c:v>7.5</c:v>
                </c:pt>
                <c:pt idx="42">
                  <c:v>15</c:v>
                </c:pt>
                <c:pt idx="43">
                  <c:v>43.75</c:v>
                </c:pt>
                <c:pt idx="44">
                  <c:v>43.75</c:v>
                </c:pt>
                <c:pt idx="45">
                  <c:v>74.75</c:v>
                </c:pt>
                <c:pt idx="46">
                  <c:v>48</c:v>
                </c:pt>
                <c:pt idx="47">
                  <c:v>12.5</c:v>
                </c:pt>
                <c:pt idx="48">
                  <c:v>2.5</c:v>
                </c:pt>
                <c:pt idx="49">
                  <c:v>2.5</c:v>
                </c:pt>
                <c:pt idx="50">
                  <c:v>11.25</c:v>
                </c:pt>
                <c:pt idx="51">
                  <c:v>25</c:v>
                </c:pt>
                <c:pt idx="52">
                  <c:v>32.5</c:v>
                </c:pt>
                <c:pt idx="53">
                  <c:v>32.5</c:v>
                </c:pt>
                <c:pt idx="54">
                  <c:v>37.5</c:v>
                </c:pt>
              </c:numCache>
            </c:numRef>
          </c:val>
          <c:smooth val="0"/>
          <c:extLst>
            <c:ext xmlns:c16="http://schemas.microsoft.com/office/drawing/2014/chart" uri="{C3380CC4-5D6E-409C-BE32-E72D297353CC}">
              <c16:uniqueId val="{00000000-5A91-480E-B211-8D0989CD859E}"/>
            </c:ext>
          </c:extLst>
        </c:ser>
        <c:ser>
          <c:idx val="1"/>
          <c:order val="1"/>
          <c:tx>
            <c:v>TTM淨每股收益</c:v>
          </c:tx>
          <c:spPr>
            <a:ln w="28575" cmpd="sng">
              <a:solidFill>
                <a:schemeClr val="accent2"/>
              </a:solidFill>
            </a:ln>
          </c:spPr>
          <c:marker>
            <c:symbol val="none"/>
          </c:marker>
          <c:cat>
            <c:numRef>
              <c:f>'3. PE市盈率分析股價'!$AS$2:$AS$59</c:f>
              <c:numCache>
                <c:formatCode>m/d/yyyy</c:formatCode>
                <c:ptCount val="58"/>
                <c:pt idx="0">
                  <c:v>44414</c:v>
                </c:pt>
                <c:pt idx="1">
                  <c:v>44286</c:v>
                </c:pt>
                <c:pt idx="2">
                  <c:v>44196</c:v>
                </c:pt>
                <c:pt idx="3">
                  <c:v>44104</c:v>
                </c:pt>
                <c:pt idx="4">
                  <c:v>44012</c:v>
                </c:pt>
                <c:pt idx="5">
                  <c:v>43921</c:v>
                </c:pt>
                <c:pt idx="6">
                  <c:v>43830</c:v>
                </c:pt>
                <c:pt idx="7">
                  <c:v>43738</c:v>
                </c:pt>
                <c:pt idx="8">
                  <c:v>43646</c:v>
                </c:pt>
                <c:pt idx="9">
                  <c:v>43555</c:v>
                </c:pt>
                <c:pt idx="10">
                  <c:v>43465</c:v>
                </c:pt>
                <c:pt idx="11">
                  <c:v>43373</c:v>
                </c:pt>
                <c:pt idx="12">
                  <c:v>43281</c:v>
                </c:pt>
                <c:pt idx="13">
                  <c:v>43190</c:v>
                </c:pt>
                <c:pt idx="14">
                  <c:v>43100</c:v>
                </c:pt>
                <c:pt idx="15">
                  <c:v>43008</c:v>
                </c:pt>
                <c:pt idx="16">
                  <c:v>42916</c:v>
                </c:pt>
                <c:pt idx="17">
                  <c:v>42825</c:v>
                </c:pt>
                <c:pt idx="18">
                  <c:v>42735</c:v>
                </c:pt>
                <c:pt idx="19">
                  <c:v>42643</c:v>
                </c:pt>
                <c:pt idx="20">
                  <c:v>42551</c:v>
                </c:pt>
                <c:pt idx="21">
                  <c:v>42460</c:v>
                </c:pt>
                <c:pt idx="22">
                  <c:v>42369</c:v>
                </c:pt>
                <c:pt idx="23">
                  <c:v>42277</c:v>
                </c:pt>
                <c:pt idx="24">
                  <c:v>42185</c:v>
                </c:pt>
                <c:pt idx="25">
                  <c:v>42094</c:v>
                </c:pt>
                <c:pt idx="26">
                  <c:v>42004</c:v>
                </c:pt>
                <c:pt idx="27">
                  <c:v>41912</c:v>
                </c:pt>
                <c:pt idx="28">
                  <c:v>41820</c:v>
                </c:pt>
                <c:pt idx="29">
                  <c:v>41729</c:v>
                </c:pt>
                <c:pt idx="30">
                  <c:v>41639</c:v>
                </c:pt>
                <c:pt idx="31">
                  <c:v>41547</c:v>
                </c:pt>
                <c:pt idx="32">
                  <c:v>41455</c:v>
                </c:pt>
                <c:pt idx="33">
                  <c:v>41364</c:v>
                </c:pt>
                <c:pt idx="34">
                  <c:v>41274</c:v>
                </c:pt>
                <c:pt idx="35">
                  <c:v>41182</c:v>
                </c:pt>
                <c:pt idx="36">
                  <c:v>41090</c:v>
                </c:pt>
                <c:pt idx="37">
                  <c:v>40999</c:v>
                </c:pt>
                <c:pt idx="38">
                  <c:v>40908</c:v>
                </c:pt>
                <c:pt idx="39">
                  <c:v>40816</c:v>
                </c:pt>
                <c:pt idx="40">
                  <c:v>40724</c:v>
                </c:pt>
                <c:pt idx="41">
                  <c:v>40633</c:v>
                </c:pt>
                <c:pt idx="42">
                  <c:v>40543</c:v>
                </c:pt>
                <c:pt idx="43">
                  <c:v>40451</c:v>
                </c:pt>
                <c:pt idx="44">
                  <c:v>40359</c:v>
                </c:pt>
                <c:pt idx="45">
                  <c:v>40268</c:v>
                </c:pt>
                <c:pt idx="46">
                  <c:v>40178</c:v>
                </c:pt>
                <c:pt idx="47">
                  <c:v>40086</c:v>
                </c:pt>
                <c:pt idx="48">
                  <c:v>39994</c:v>
                </c:pt>
                <c:pt idx="49">
                  <c:v>39903</c:v>
                </c:pt>
                <c:pt idx="50">
                  <c:v>39813</c:v>
                </c:pt>
                <c:pt idx="51">
                  <c:v>39721</c:v>
                </c:pt>
                <c:pt idx="52">
                  <c:v>39629</c:v>
                </c:pt>
                <c:pt idx="53">
                  <c:v>39538</c:v>
                </c:pt>
                <c:pt idx="54">
                  <c:v>39447</c:v>
                </c:pt>
              </c:numCache>
            </c:numRef>
          </c:cat>
          <c:val>
            <c:numRef>
              <c:f>'3. PE市盈率分析股價'!$AU$2:$AU$59</c:f>
              <c:numCache>
                <c:formatCode>"$"#,##0.00_);[Red]\("$"#,##0.00\)</c:formatCode>
                <c:ptCount val="58"/>
                <c:pt idx="0" formatCode="General">
                  <c:v>0</c:v>
                </c:pt>
                <c:pt idx="1">
                  <c:v>-0.95</c:v>
                </c:pt>
                <c:pt idx="2">
                  <c:v>-1.32</c:v>
                </c:pt>
                <c:pt idx="3">
                  <c:v>-1.46</c:v>
                </c:pt>
                <c:pt idx="4">
                  <c:v>-1.63</c:v>
                </c:pt>
                <c:pt idx="5">
                  <c:v>-1.74</c:v>
                </c:pt>
                <c:pt idx="6">
                  <c:v>-2.2599999999999998</c:v>
                </c:pt>
                <c:pt idx="7">
                  <c:v>-2.25</c:v>
                </c:pt>
                <c:pt idx="8">
                  <c:v>-2.15</c:v>
                </c:pt>
                <c:pt idx="9">
                  <c:v>-2.41</c:v>
                </c:pt>
                <c:pt idx="10">
                  <c:v>-1.91</c:v>
                </c:pt>
                <c:pt idx="11">
                  <c:v>-0.79</c:v>
                </c:pt>
                <c:pt idx="12">
                  <c:v>0.05</c:v>
                </c:pt>
                <c:pt idx="13">
                  <c:v>0.57999999999999996</c:v>
                </c:pt>
                <c:pt idx="14">
                  <c:v>0.51</c:v>
                </c:pt>
                <c:pt idx="15">
                  <c:v>-0.51</c:v>
                </c:pt>
                <c:pt idx="16">
                  <c:v>-0.73</c:v>
                </c:pt>
                <c:pt idx="17">
                  <c:v>-1.5</c:v>
                </c:pt>
                <c:pt idx="18">
                  <c:v>-1.53</c:v>
                </c:pt>
                <c:pt idx="19">
                  <c:v>-1.86</c:v>
                </c:pt>
                <c:pt idx="20">
                  <c:v>-2.11</c:v>
                </c:pt>
                <c:pt idx="21">
                  <c:v>-1.44</c:v>
                </c:pt>
                <c:pt idx="22">
                  <c:v>-1.25</c:v>
                </c:pt>
                <c:pt idx="23">
                  <c:v>-0.9</c:v>
                </c:pt>
                <c:pt idx="24">
                  <c:v>-1.1399999999999999</c:v>
                </c:pt>
                <c:pt idx="25">
                  <c:v>-1.17</c:v>
                </c:pt>
                <c:pt idx="26">
                  <c:v>-1.32</c:v>
                </c:pt>
                <c:pt idx="27">
                  <c:v>-1.7</c:v>
                </c:pt>
                <c:pt idx="28">
                  <c:v>-1.67</c:v>
                </c:pt>
                <c:pt idx="29">
                  <c:v>-1.69</c:v>
                </c:pt>
                <c:pt idx="30">
                  <c:v>-1.26</c:v>
                </c:pt>
                <c:pt idx="31">
                  <c:v>-0.6</c:v>
                </c:pt>
                <c:pt idx="32">
                  <c:v>-0.36</c:v>
                </c:pt>
                <c:pt idx="33">
                  <c:v>-0.01</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numCache>
            </c:numRef>
          </c:val>
          <c:smooth val="0"/>
          <c:extLst>
            <c:ext xmlns:c16="http://schemas.microsoft.com/office/drawing/2014/chart" uri="{C3380CC4-5D6E-409C-BE32-E72D297353CC}">
              <c16:uniqueId val="{00000001-5A91-480E-B211-8D0989CD859E}"/>
            </c:ext>
          </c:extLst>
        </c:ser>
        <c:ser>
          <c:idx val="2"/>
          <c:order val="2"/>
          <c:tx>
            <c:v>市盈率</c:v>
          </c:tx>
          <c:spPr>
            <a:ln w="28575" cmpd="sng">
              <a:solidFill>
                <a:schemeClr val="accent3"/>
              </a:solidFill>
            </a:ln>
          </c:spPr>
          <c:marker>
            <c:symbol val="none"/>
          </c:marker>
          <c:cat>
            <c:numRef>
              <c:f>'3. PE市盈率分析股價'!$AS$2:$AS$59</c:f>
              <c:numCache>
                <c:formatCode>m/d/yyyy</c:formatCode>
                <c:ptCount val="58"/>
                <c:pt idx="0">
                  <c:v>44414</c:v>
                </c:pt>
                <c:pt idx="1">
                  <c:v>44286</c:v>
                </c:pt>
                <c:pt idx="2">
                  <c:v>44196</c:v>
                </c:pt>
                <c:pt idx="3">
                  <c:v>44104</c:v>
                </c:pt>
                <c:pt idx="4">
                  <c:v>44012</c:v>
                </c:pt>
                <c:pt idx="5">
                  <c:v>43921</c:v>
                </c:pt>
                <c:pt idx="6">
                  <c:v>43830</c:v>
                </c:pt>
                <c:pt idx="7">
                  <c:v>43738</c:v>
                </c:pt>
                <c:pt idx="8">
                  <c:v>43646</c:v>
                </c:pt>
                <c:pt idx="9">
                  <c:v>43555</c:v>
                </c:pt>
                <c:pt idx="10">
                  <c:v>43465</c:v>
                </c:pt>
                <c:pt idx="11">
                  <c:v>43373</c:v>
                </c:pt>
                <c:pt idx="12">
                  <c:v>43281</c:v>
                </c:pt>
                <c:pt idx="13">
                  <c:v>43190</c:v>
                </c:pt>
                <c:pt idx="14">
                  <c:v>43100</c:v>
                </c:pt>
                <c:pt idx="15">
                  <c:v>43008</c:v>
                </c:pt>
                <c:pt idx="16">
                  <c:v>42916</c:v>
                </c:pt>
                <c:pt idx="17">
                  <c:v>42825</c:v>
                </c:pt>
                <c:pt idx="18">
                  <c:v>42735</c:v>
                </c:pt>
                <c:pt idx="19">
                  <c:v>42643</c:v>
                </c:pt>
                <c:pt idx="20">
                  <c:v>42551</c:v>
                </c:pt>
                <c:pt idx="21">
                  <c:v>42460</c:v>
                </c:pt>
                <c:pt idx="22">
                  <c:v>42369</c:v>
                </c:pt>
                <c:pt idx="23">
                  <c:v>42277</c:v>
                </c:pt>
                <c:pt idx="24">
                  <c:v>42185</c:v>
                </c:pt>
                <c:pt idx="25">
                  <c:v>42094</c:v>
                </c:pt>
                <c:pt idx="26">
                  <c:v>42004</c:v>
                </c:pt>
                <c:pt idx="27">
                  <c:v>41912</c:v>
                </c:pt>
                <c:pt idx="28">
                  <c:v>41820</c:v>
                </c:pt>
                <c:pt idx="29">
                  <c:v>41729</c:v>
                </c:pt>
                <c:pt idx="30">
                  <c:v>41639</c:v>
                </c:pt>
                <c:pt idx="31">
                  <c:v>41547</c:v>
                </c:pt>
                <c:pt idx="32">
                  <c:v>41455</c:v>
                </c:pt>
                <c:pt idx="33">
                  <c:v>41364</c:v>
                </c:pt>
                <c:pt idx="34">
                  <c:v>41274</c:v>
                </c:pt>
                <c:pt idx="35">
                  <c:v>41182</c:v>
                </c:pt>
                <c:pt idx="36">
                  <c:v>41090</c:v>
                </c:pt>
                <c:pt idx="37">
                  <c:v>40999</c:v>
                </c:pt>
                <c:pt idx="38">
                  <c:v>40908</c:v>
                </c:pt>
                <c:pt idx="39">
                  <c:v>40816</c:v>
                </c:pt>
                <c:pt idx="40">
                  <c:v>40724</c:v>
                </c:pt>
                <c:pt idx="41">
                  <c:v>40633</c:v>
                </c:pt>
                <c:pt idx="42">
                  <c:v>40543</c:v>
                </c:pt>
                <c:pt idx="43">
                  <c:v>40451</c:v>
                </c:pt>
                <c:pt idx="44">
                  <c:v>40359</c:v>
                </c:pt>
                <c:pt idx="45">
                  <c:v>40268</c:v>
                </c:pt>
                <c:pt idx="46">
                  <c:v>40178</c:v>
                </c:pt>
                <c:pt idx="47">
                  <c:v>40086</c:v>
                </c:pt>
                <c:pt idx="48">
                  <c:v>39994</c:v>
                </c:pt>
                <c:pt idx="49">
                  <c:v>39903</c:v>
                </c:pt>
                <c:pt idx="50">
                  <c:v>39813</c:v>
                </c:pt>
                <c:pt idx="51">
                  <c:v>39721</c:v>
                </c:pt>
                <c:pt idx="52">
                  <c:v>39629</c:v>
                </c:pt>
                <c:pt idx="53">
                  <c:v>39538</c:v>
                </c:pt>
                <c:pt idx="54">
                  <c:v>39447</c:v>
                </c:pt>
              </c:numCache>
            </c:numRef>
          </c:cat>
          <c:val>
            <c:numRef>
              <c:f>'3. PE市盈率分析股價'!$AV$2:$AV$59</c:f>
              <c:numCache>
                <c:formatCode>General</c:formatCode>
                <c:ptCount val="58"/>
                <c:pt idx="0">
                  <c:v>0</c:v>
                </c:pt>
                <c:pt idx="1">
                  <c:v>0</c:v>
                </c:pt>
                <c:pt idx="2">
                  <c:v>0</c:v>
                </c:pt>
                <c:pt idx="3">
                  <c:v>0</c:v>
                </c:pt>
                <c:pt idx="4">
                  <c:v>0</c:v>
                </c:pt>
                <c:pt idx="5">
                  <c:v>0</c:v>
                </c:pt>
                <c:pt idx="6">
                  <c:v>0</c:v>
                </c:pt>
                <c:pt idx="7">
                  <c:v>0</c:v>
                </c:pt>
                <c:pt idx="8">
                  <c:v>0</c:v>
                </c:pt>
                <c:pt idx="9">
                  <c:v>0</c:v>
                </c:pt>
                <c:pt idx="10">
                  <c:v>0</c:v>
                </c:pt>
                <c:pt idx="11">
                  <c:v>0</c:v>
                </c:pt>
                <c:pt idx="12">
                  <c:v>144</c:v>
                </c:pt>
                <c:pt idx="13">
                  <c:v>8.8800000000000008</c:v>
                </c:pt>
                <c:pt idx="14">
                  <c:v>7.45</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numCache>
            </c:numRef>
          </c:val>
          <c:smooth val="0"/>
          <c:extLst>
            <c:ext xmlns:c16="http://schemas.microsoft.com/office/drawing/2014/chart" uri="{C3380CC4-5D6E-409C-BE32-E72D297353CC}">
              <c16:uniqueId val="{00000002-5A91-480E-B211-8D0989CD859E}"/>
            </c:ext>
          </c:extLst>
        </c:ser>
        <c:dLbls>
          <c:showLegendKey val="0"/>
          <c:showVal val="0"/>
          <c:showCatName val="0"/>
          <c:showSerName val="0"/>
          <c:showPercent val="0"/>
          <c:showBubbleSize val="0"/>
        </c:dLbls>
        <c:smooth val="0"/>
        <c:axId val="283614256"/>
        <c:axId val="283609904"/>
      </c:lineChart>
      <c:dateAx>
        <c:axId val="283614256"/>
        <c:scaling>
          <c:orientation val="minMax"/>
        </c:scaling>
        <c:delete val="0"/>
        <c:axPos val="b"/>
        <c:title>
          <c:tx>
            <c:rich>
              <a:bodyPr/>
              <a:lstStyle/>
              <a:p>
                <a:pPr lvl="0">
                  <a:defRPr b="0">
                    <a:solidFill>
                      <a:srgbClr val="000000"/>
                    </a:solidFill>
                    <a:latin typeface="+mn-lt"/>
                  </a:defRPr>
                </a:pPr>
                <a:endParaRPr lang="zh-TW" altLang="en-US"/>
              </a:p>
            </c:rich>
          </c:tx>
          <c:overlay val="0"/>
        </c:title>
        <c:numFmt formatCode="m/d/yyyy" sourceLinked="1"/>
        <c:majorTickMark val="out"/>
        <c:minorTickMark val="none"/>
        <c:tickLblPos val="nextTo"/>
        <c:txPr>
          <a:bodyPr/>
          <a:lstStyle/>
          <a:p>
            <a:pPr lvl="0">
              <a:defRPr sz="900" b="0" i="0">
                <a:solidFill>
                  <a:srgbClr val="000000"/>
                </a:solidFill>
                <a:latin typeface="+mn-lt"/>
              </a:defRPr>
            </a:pPr>
            <a:endParaRPr lang="zh-TW"/>
          </a:p>
        </c:txPr>
        <c:crossAx val="283609904"/>
        <c:crosses val="autoZero"/>
        <c:auto val="1"/>
        <c:lblOffset val="100"/>
        <c:baseTimeUnit val="months"/>
      </c:dateAx>
      <c:valAx>
        <c:axId val="28360990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zh-TW" altLang="en-US"/>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zh-TW"/>
          </a:p>
        </c:txPr>
        <c:crossAx val="283614256"/>
        <c:crosses val="autoZero"/>
        <c:crossBetween val="between"/>
      </c:valAx>
    </c:plotArea>
    <c:legend>
      <c:legendPos val="b"/>
      <c:overlay val="0"/>
      <c:txPr>
        <a:bodyPr/>
        <a:lstStyle/>
        <a:p>
          <a:pPr lvl="0">
            <a:defRPr sz="900" b="0" i="0">
              <a:solidFill>
                <a:srgbClr val="1A1A1A"/>
              </a:solidFill>
              <a:latin typeface="+mn-lt"/>
            </a:defRPr>
          </a:pPr>
          <a:endParaRPr lang="zh-TW"/>
        </a:p>
      </c:txPr>
    </c:legend>
    <c:plotVisOnly val="1"/>
    <c:dispBlanksAs val="zero"/>
    <c:showDLblsOverMax val="1"/>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oneCellAnchor>
    <xdr:from>
      <xdr:col>9</xdr:col>
      <xdr:colOff>26503</xdr:colOff>
      <xdr:row>0</xdr:row>
      <xdr:rowOff>331305</xdr:rowOff>
    </xdr:from>
    <xdr:ext cx="5341327" cy="3905250"/>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mc:AlternateContent xmlns:mc="http://schemas.openxmlformats.org/markup-compatibility/2006">
    <mc:Choice xmlns:a14="http://schemas.microsoft.com/office/drawing/2010/main" Requires="a14">
      <xdr:twoCellAnchor editAs="oneCell">
        <xdr:from>
          <xdr:col>5</xdr:col>
          <xdr:colOff>19050</xdr:colOff>
          <xdr:row>0</xdr:row>
          <xdr:rowOff>57150</xdr:rowOff>
        </xdr:from>
        <xdr:to>
          <xdr:col>5</xdr:col>
          <xdr:colOff>542925</xdr:colOff>
          <xdr:row>0</xdr:row>
          <xdr:rowOff>285750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0" i="0" u="none" strike="noStrike" baseline="0">
                  <a:solidFill>
                    <a:srgbClr val="000000"/>
                  </a:solidFill>
                  <a:latin typeface="微軟正黑體"/>
                  <a:ea typeface="微軟正黑體"/>
                </a:rPr>
                <a:t>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0</xdr:row>
          <xdr:rowOff>57150</xdr:rowOff>
        </xdr:from>
        <xdr:to>
          <xdr:col>6</xdr:col>
          <xdr:colOff>542925</xdr:colOff>
          <xdr:row>0</xdr:row>
          <xdr:rowOff>285750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0" i="0" u="none" strike="noStrike" baseline="0">
                  <a:solidFill>
                    <a:srgbClr val="000000"/>
                  </a:solidFill>
                  <a:latin typeface="微軟正黑體"/>
                  <a:ea typeface="微軟正黑體"/>
                </a:rPr>
                <a:t>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0</xdr:row>
          <xdr:rowOff>57150</xdr:rowOff>
        </xdr:from>
        <xdr:to>
          <xdr:col>7</xdr:col>
          <xdr:colOff>533400</xdr:colOff>
          <xdr:row>0</xdr:row>
          <xdr:rowOff>285750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0" i="0" u="none" strike="noStrike" baseline="0">
                  <a:solidFill>
                    <a:srgbClr val="000000"/>
                  </a:solidFill>
                  <a:latin typeface="微軟正黑體"/>
                  <a:ea typeface="微軟正黑體"/>
                </a:rPr>
                <a:t>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0</xdr:row>
          <xdr:rowOff>57150</xdr:rowOff>
        </xdr:from>
        <xdr:to>
          <xdr:col>8</xdr:col>
          <xdr:colOff>542925</xdr:colOff>
          <xdr:row>0</xdr:row>
          <xdr:rowOff>285750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000-000010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0" i="0" u="none" strike="noStrike" baseline="0">
                  <a:solidFill>
                    <a:srgbClr val="000000"/>
                  </a:solidFill>
                  <a:latin typeface="微軟正黑體"/>
                  <a:ea typeface="微軟正黑體"/>
                </a:rPr>
                <a:t>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200025</xdr:colOff>
          <xdr:row>0</xdr:row>
          <xdr:rowOff>57150</xdr:rowOff>
        </xdr:from>
        <xdr:to>
          <xdr:col>4</xdr:col>
          <xdr:colOff>1085850</xdr:colOff>
          <xdr:row>0</xdr:row>
          <xdr:rowOff>285750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0" i="0" u="none" strike="noStrike" baseline="0">
                  <a:solidFill>
                    <a:srgbClr val="000000"/>
                  </a:solidFill>
                  <a:latin typeface="微軟正黑體"/>
                  <a:ea typeface="微軟正黑體"/>
                </a:rPr>
                <a:t>全部更新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46510</xdr:colOff>
      <xdr:row>22</xdr:row>
      <xdr:rowOff>733</xdr:rowOff>
    </xdr:from>
    <xdr:ext cx="3060000" cy="1943100"/>
    <xdr:graphicFrame macro="">
      <xdr:nvGraphicFramePr>
        <xdr:cNvPr id="2" name="Chart 2">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2</xdr:col>
      <xdr:colOff>34433</xdr:colOff>
      <xdr:row>9</xdr:row>
      <xdr:rowOff>51288</xdr:rowOff>
    </xdr:from>
    <xdr:ext cx="3060000" cy="1943100"/>
    <xdr:graphicFrame macro="">
      <xdr:nvGraphicFramePr>
        <xdr:cNvPr id="3" name="Chart 3">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6</xdr:col>
      <xdr:colOff>51288</xdr:colOff>
      <xdr:row>9</xdr:row>
      <xdr:rowOff>58615</xdr:rowOff>
    </xdr:from>
    <xdr:ext cx="3060000" cy="1943100"/>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10</xdr:col>
      <xdr:colOff>36636</xdr:colOff>
      <xdr:row>9</xdr:row>
      <xdr:rowOff>58613</xdr:rowOff>
    </xdr:from>
    <xdr:ext cx="3060000" cy="1943100"/>
    <xdr:graphicFrame macro="">
      <xdr:nvGraphicFramePr>
        <xdr:cNvPr id="5" name="Chart 3">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14</xdr:col>
      <xdr:colOff>43961</xdr:colOff>
      <xdr:row>9</xdr:row>
      <xdr:rowOff>51287</xdr:rowOff>
    </xdr:from>
    <xdr:ext cx="3060000" cy="1943100"/>
    <xdr:graphicFrame macro="">
      <xdr:nvGraphicFramePr>
        <xdr:cNvPr id="6" name="Chart 3">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6</xdr:col>
      <xdr:colOff>36634</xdr:colOff>
      <xdr:row>22</xdr:row>
      <xdr:rowOff>2930</xdr:rowOff>
    </xdr:from>
    <xdr:ext cx="3060000" cy="1943100"/>
    <xdr:graphicFrame macro="">
      <xdr:nvGraphicFramePr>
        <xdr:cNvPr id="7" name="Chart 2">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10</xdr:col>
      <xdr:colOff>43961</xdr:colOff>
      <xdr:row>22</xdr:row>
      <xdr:rowOff>0</xdr:rowOff>
    </xdr:from>
    <xdr:ext cx="3060000" cy="1943100"/>
    <xdr:graphicFrame macro="">
      <xdr:nvGraphicFramePr>
        <xdr:cNvPr id="8" name="Chart 2">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oneCellAnchor>
  <xdr:oneCellAnchor>
    <xdr:from>
      <xdr:col>14</xdr:col>
      <xdr:colOff>43961</xdr:colOff>
      <xdr:row>21</xdr:row>
      <xdr:rowOff>153867</xdr:rowOff>
    </xdr:from>
    <xdr:ext cx="3060000" cy="1943100"/>
    <xdr:graphicFrame macro="">
      <xdr:nvGraphicFramePr>
        <xdr:cNvPr id="9" name="Chart 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7</xdr:col>
      <xdr:colOff>760159</xdr:colOff>
      <xdr:row>5</xdr:row>
      <xdr:rowOff>95249</xdr:rowOff>
    </xdr:from>
    <xdr:ext cx="7315035" cy="5898686"/>
    <xdr:pic>
      <xdr:nvPicPr>
        <xdr:cNvPr id="2" name="image1.png" title="圖片">
          <a:extLst>
            <a:ext uri="{FF2B5EF4-FFF2-40B4-BE49-F238E27FC236}">
              <a16:creationId xmlns:a16="http://schemas.microsoft.com/office/drawing/2014/main" id="{00000000-0008-0000-0200-000002000000}"/>
            </a:ext>
          </a:extLst>
        </xdr:cNvPr>
        <xdr:cNvPicPr preferRelativeResize="0">
          <a:picLocks noChangeAspect="1"/>
        </xdr:cNvPicPr>
      </xdr:nvPicPr>
      <xdr:blipFill>
        <a:blip xmlns:r="http://schemas.openxmlformats.org/officeDocument/2006/relationships" r:embed="rId1" cstate="print"/>
        <a:stretch>
          <a:fillRect/>
        </a:stretch>
      </xdr:blipFill>
      <xdr:spPr>
        <a:xfrm>
          <a:off x="8878390" y="1157653"/>
          <a:ext cx="7315035" cy="5898686"/>
        </a:xfrm>
        <a:prstGeom prst="rect">
          <a:avLst/>
        </a:prstGeom>
        <a:noFill/>
      </xdr:spPr>
    </xdr:pic>
    <xdr:clientData fLocksWithSheet="0"/>
  </xdr:oneCellAnchor>
  <xdr:twoCellAnchor editAs="oneCell">
    <xdr:from>
      <xdr:col>7</xdr:col>
      <xdr:colOff>835268</xdr:colOff>
      <xdr:row>0</xdr:row>
      <xdr:rowOff>45979</xdr:rowOff>
    </xdr:from>
    <xdr:to>
      <xdr:col>11</xdr:col>
      <xdr:colOff>512884</xdr:colOff>
      <xdr:row>10</xdr:row>
      <xdr:rowOff>198054</xdr:rowOff>
    </xdr:to>
    <xdr:pic>
      <xdr:nvPicPr>
        <xdr:cNvPr id="3" name="圖片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8953499" y="45979"/>
          <a:ext cx="3531577" cy="218460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1</xdr:col>
      <xdr:colOff>3922</xdr:colOff>
      <xdr:row>8</xdr:row>
      <xdr:rowOff>85725</xdr:rowOff>
    </xdr:from>
    <xdr:ext cx="3985373" cy="5505450"/>
    <xdr:graphicFrame macro="">
      <xdr:nvGraphicFramePr>
        <xdr:cNvPr id="2" name="Chart 4">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0</xdr:colOff>
      <xdr:row>8</xdr:row>
      <xdr:rowOff>85725</xdr:rowOff>
    </xdr:from>
    <xdr:ext cx="3985373" cy="5494815"/>
    <xdr:graphicFrame macro="">
      <xdr:nvGraphicFramePr>
        <xdr:cNvPr id="20" name="Chart 4">
          <a:extLst>
            <a:ext uri="{FF2B5EF4-FFF2-40B4-BE49-F238E27FC236}">
              <a16:creationId xmlns:a16="http://schemas.microsoft.com/office/drawing/2014/main" id="{00000000-0008-0000-0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25</xdr:col>
      <xdr:colOff>0</xdr:colOff>
      <xdr:row>8</xdr:row>
      <xdr:rowOff>85725</xdr:rowOff>
    </xdr:from>
    <xdr:ext cx="3985373" cy="5494815"/>
    <xdr:graphicFrame macro="">
      <xdr:nvGraphicFramePr>
        <xdr:cNvPr id="21" name="Chart 4">
          <a:extLst>
            <a:ext uri="{FF2B5EF4-FFF2-40B4-BE49-F238E27FC236}">
              <a16:creationId xmlns:a16="http://schemas.microsoft.com/office/drawing/2014/main" id="{00000000-0008-0000-0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37</xdr:col>
      <xdr:colOff>0</xdr:colOff>
      <xdr:row>8</xdr:row>
      <xdr:rowOff>85724</xdr:rowOff>
    </xdr:from>
    <xdr:ext cx="3985373" cy="5495925"/>
    <xdr:graphicFrame macro="">
      <xdr:nvGraphicFramePr>
        <xdr:cNvPr id="23" name="Chart 4">
          <a:extLst>
            <a:ext uri="{FF2B5EF4-FFF2-40B4-BE49-F238E27FC236}">
              <a16:creationId xmlns:a16="http://schemas.microsoft.com/office/drawing/2014/main" id="{00000000-0008-0000-03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eme/themeOverride1.xml><?xml version="1.0" encoding="utf-8"?>
<a:themeOverride xmlns:a="http://schemas.openxmlformats.org/drawingml/2006/main">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www.google.com/search?q=U+investor+relations" TargetMode="External"/><Relationship Id="rId7" Type="http://schemas.openxmlformats.org/officeDocument/2006/relationships/hyperlink" Target="https://www.sec.gov/" TargetMode="External"/><Relationship Id="rId2" Type="http://schemas.openxmlformats.org/officeDocument/2006/relationships/hyperlink" Target="https://s2.q4cdn.com/470004039/files/doc_financials/2020/q4/_10-K-2020-(As-Filed).pdf" TargetMode="External"/><Relationship Id="rId1" Type="http://schemas.openxmlformats.org/officeDocument/2006/relationships/hyperlink" Target="https://investor.apple.com/investor-relations/default.aspx" TargetMode="External"/><Relationship Id="rId6" Type="http://schemas.openxmlformats.org/officeDocument/2006/relationships/hyperlink" Target="https://www.google.com/search?q=SRNE+investor+relations" TargetMode="External"/><Relationship Id="rId5" Type="http://schemas.openxmlformats.org/officeDocument/2006/relationships/hyperlink" Target="https://www.google.com/search?q=ATVI+investor+relations" TargetMode="External"/><Relationship Id="rId10" Type="http://schemas.openxmlformats.org/officeDocument/2006/relationships/comments" Target="../comments3.xml"/><Relationship Id="rId4" Type="http://schemas.openxmlformats.org/officeDocument/2006/relationships/hyperlink" Target="https://www.google.com/search?q=EA+investor+relations" TargetMode="Externa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www.macrotrends.ne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U1000"/>
  <sheetViews>
    <sheetView tabSelected="1" zoomScale="115" zoomScaleNormal="115" workbookViewId="0"/>
  </sheetViews>
  <sheetFormatPr defaultColWidth="12.625" defaultRowHeight="15" customHeight="1"/>
  <cols>
    <col min="1" max="1" width="5" customWidth="1"/>
    <col min="2" max="2" width="11.125" customWidth="1"/>
    <col min="3" max="3" width="9.75" customWidth="1"/>
    <col min="4" max="4" width="19.375" bestFit="1" customWidth="1"/>
    <col min="5" max="5" width="19.125" customWidth="1"/>
    <col min="6" max="9" width="15.75" customWidth="1"/>
    <col min="10" max="10" width="10.125" customWidth="1"/>
    <col min="11" max="11" width="10.375" customWidth="1"/>
    <col min="12" max="14" width="8.25" customWidth="1"/>
    <col min="15" max="16" width="12.375" customWidth="1"/>
  </cols>
  <sheetData>
    <row r="1" spans="1:21" ht="27.6" customHeight="1">
      <c r="A1" s="1" t="s">
        <v>0</v>
      </c>
      <c r="O1" s="4"/>
      <c r="P1" s="4"/>
      <c r="Q1" s="4"/>
      <c r="R1" s="4"/>
      <c r="S1" s="4"/>
      <c r="T1" s="4"/>
      <c r="U1" s="4"/>
    </row>
    <row r="2" spans="1:21" ht="15.75" customHeight="1">
      <c r="A2" s="2" t="s">
        <v>1</v>
      </c>
      <c r="B2" s="206" t="s">
        <v>5</v>
      </c>
      <c r="C2" s="207"/>
      <c r="D2" s="206" t="s">
        <v>6</v>
      </c>
      <c r="E2" s="207"/>
      <c r="F2" s="5" t="s">
        <v>204</v>
      </c>
      <c r="G2" s="6" t="s">
        <v>206</v>
      </c>
      <c r="H2" s="6" t="s">
        <v>208</v>
      </c>
      <c r="I2" s="7" t="s">
        <v>142</v>
      </c>
      <c r="L2" s="4"/>
      <c r="M2" s="4"/>
      <c r="N2" s="4"/>
      <c r="O2" s="4"/>
      <c r="P2" s="4"/>
      <c r="Q2" s="4"/>
      <c r="R2" s="4"/>
      <c r="S2" s="4"/>
      <c r="T2" s="4"/>
      <c r="U2" s="4"/>
    </row>
    <row r="3" spans="1:21" ht="15.75" customHeight="1">
      <c r="A3" s="3" t="s">
        <v>4</v>
      </c>
      <c r="B3" s="208"/>
      <c r="C3" s="209"/>
      <c r="D3" s="8" t="s">
        <v>7</v>
      </c>
      <c r="E3" s="4" t="s">
        <v>8</v>
      </c>
      <c r="F3" s="75">
        <v>107</v>
      </c>
      <c r="G3" s="76">
        <v>136.34</v>
      </c>
      <c r="H3" s="76">
        <v>82.43</v>
      </c>
      <c r="I3" s="77">
        <v>8.39</v>
      </c>
      <c r="L3" s="4"/>
      <c r="M3" s="4"/>
      <c r="N3" s="4"/>
      <c r="O3" s="4"/>
      <c r="P3" s="4"/>
      <c r="Q3" s="4"/>
      <c r="R3" s="4"/>
      <c r="S3" s="4"/>
      <c r="T3" s="4"/>
      <c r="U3" s="4"/>
    </row>
    <row r="4" spans="1:21" ht="15.75" customHeight="1">
      <c r="A4" s="4"/>
      <c r="B4" s="208"/>
      <c r="C4" s="209"/>
      <c r="D4" s="8" t="s">
        <v>9</v>
      </c>
      <c r="E4" s="4" t="s">
        <v>10</v>
      </c>
      <c r="F4" s="78">
        <v>2989761.7407999998</v>
      </c>
      <c r="G4" s="79">
        <v>3895697.4079999998</v>
      </c>
      <c r="H4" s="79">
        <v>6410647.1424000002</v>
      </c>
      <c r="I4" s="80">
        <v>249669.63200000001</v>
      </c>
      <c r="L4" s="4"/>
      <c r="M4" s="4"/>
      <c r="N4" s="4"/>
      <c r="O4" s="4"/>
      <c r="P4" s="4"/>
      <c r="Q4" s="4"/>
      <c r="R4" s="4"/>
      <c r="S4" s="4"/>
      <c r="T4" s="4"/>
      <c r="U4" s="4"/>
    </row>
    <row r="5" spans="1:21" ht="15.75" customHeight="1">
      <c r="A5" s="4"/>
      <c r="B5" s="208"/>
      <c r="C5" s="209"/>
      <c r="D5" s="8" t="s">
        <v>11</v>
      </c>
      <c r="E5" s="4" t="s">
        <v>12</v>
      </c>
      <c r="F5" s="68">
        <v>0</v>
      </c>
      <c r="G5" s="69">
        <v>58.540146</v>
      </c>
      <c r="H5" s="69">
        <v>24.746323</v>
      </c>
      <c r="I5" s="70">
        <v>0</v>
      </c>
      <c r="L5" s="4"/>
      <c r="M5" s="4"/>
      <c r="N5" s="4"/>
      <c r="O5" s="4"/>
      <c r="P5" s="4"/>
      <c r="Q5" s="4"/>
      <c r="R5" s="4"/>
      <c r="S5" s="4"/>
      <c r="T5" s="4"/>
      <c r="U5" s="4"/>
    </row>
    <row r="6" spans="1:21" ht="15.75" customHeight="1">
      <c r="A6" s="4"/>
      <c r="B6" s="208"/>
      <c r="C6" s="209"/>
      <c r="D6" s="8" t="s">
        <v>13</v>
      </c>
      <c r="E6" s="4" t="s">
        <v>14</v>
      </c>
      <c r="F6" s="81">
        <v>-1.7529999999999999</v>
      </c>
      <c r="G6" s="82">
        <v>2.3290000000000002</v>
      </c>
      <c r="H6" s="82">
        <v>3.331</v>
      </c>
      <c r="I6" s="83">
        <v>-0.90700000000000003</v>
      </c>
      <c r="L6" s="4"/>
      <c r="M6" s="4"/>
      <c r="N6" s="4"/>
      <c r="O6" s="4"/>
      <c r="P6" s="4"/>
      <c r="Q6" s="4"/>
      <c r="R6" s="4"/>
      <c r="S6" s="4"/>
      <c r="T6" s="4"/>
      <c r="U6" s="4"/>
    </row>
    <row r="7" spans="1:21" ht="15.75" customHeight="1">
      <c r="A7" s="4"/>
      <c r="B7" s="210"/>
      <c r="C7" s="211"/>
      <c r="D7" s="8" t="s">
        <v>15</v>
      </c>
      <c r="E7" s="9" t="s">
        <v>16</v>
      </c>
      <c r="F7" s="68">
        <v>35.582954000000001</v>
      </c>
      <c r="G7" s="69">
        <v>6.809469</v>
      </c>
      <c r="H7" s="69">
        <v>7.1723504</v>
      </c>
      <c r="I7" s="70">
        <v>53.669310000000003</v>
      </c>
      <c r="L7" s="4"/>
      <c r="M7" s="4"/>
      <c r="N7" s="4"/>
      <c r="O7" s="4"/>
      <c r="P7" s="4"/>
      <c r="Q7" s="4"/>
      <c r="R7" s="4"/>
      <c r="S7" s="4"/>
      <c r="T7" s="4"/>
      <c r="U7" s="4"/>
    </row>
    <row r="8" spans="1:21" ht="14.25" customHeight="1">
      <c r="A8" s="4"/>
      <c r="B8" s="206" t="s">
        <v>18</v>
      </c>
      <c r="C8" s="180"/>
      <c r="D8" s="10" t="s">
        <v>19</v>
      </c>
      <c r="E8" s="11" t="s">
        <v>20</v>
      </c>
      <c r="F8" s="84">
        <v>772445</v>
      </c>
      <c r="G8" s="85">
        <v>5629000</v>
      </c>
      <c r="H8" s="85">
        <v>8086000</v>
      </c>
      <c r="I8" s="86">
        <v>39986</v>
      </c>
      <c r="L8" s="4"/>
      <c r="M8" s="4"/>
      <c r="N8" s="4"/>
      <c r="O8" s="4"/>
      <c r="P8" s="4"/>
      <c r="Q8" s="4"/>
      <c r="R8" s="4"/>
      <c r="S8" s="4"/>
      <c r="T8" s="4"/>
      <c r="U8" s="4"/>
    </row>
    <row r="9" spans="1:21" ht="15.75" customHeight="1">
      <c r="A9" s="4"/>
      <c r="B9" s="208"/>
      <c r="C9" s="171"/>
      <c r="D9" s="8" t="s">
        <v>21</v>
      </c>
      <c r="E9" s="4" t="s">
        <v>22</v>
      </c>
      <c r="F9" s="87">
        <v>-282308</v>
      </c>
      <c r="G9" s="88">
        <v>837000</v>
      </c>
      <c r="H9" s="88">
        <v>2197000</v>
      </c>
      <c r="I9" s="89">
        <v>-298461</v>
      </c>
      <c r="L9" s="4"/>
      <c r="M9" s="4"/>
      <c r="N9" s="4"/>
      <c r="O9" s="4"/>
      <c r="P9" s="4"/>
      <c r="Q9" s="4"/>
      <c r="R9" s="4"/>
      <c r="S9" s="4"/>
      <c r="T9" s="4"/>
      <c r="U9" s="4"/>
    </row>
    <row r="10" spans="1:21" ht="15.75" customHeight="1">
      <c r="A10" s="4"/>
      <c r="B10" s="210"/>
      <c r="C10" s="173"/>
      <c r="D10" s="12" t="s">
        <v>23</v>
      </c>
      <c r="E10" s="13" t="s">
        <v>24</v>
      </c>
      <c r="F10" s="90">
        <v>403515</v>
      </c>
      <c r="G10" s="74">
        <v>1778000</v>
      </c>
      <c r="H10" s="74">
        <v>1150000</v>
      </c>
      <c r="I10" s="91" t="s">
        <v>139</v>
      </c>
      <c r="L10" s="4"/>
      <c r="M10" s="4"/>
      <c r="N10" s="4"/>
      <c r="O10" s="4"/>
      <c r="P10" s="4"/>
      <c r="Q10" s="4"/>
      <c r="R10" s="4"/>
      <c r="S10" s="4"/>
      <c r="T10" s="4"/>
      <c r="U10" s="4"/>
    </row>
    <row r="11" spans="1:21" ht="25.5" customHeight="1">
      <c r="A11" s="4"/>
      <c r="B11" s="206" t="s">
        <v>25</v>
      </c>
      <c r="C11" s="180"/>
      <c r="D11" s="14" t="s">
        <v>26</v>
      </c>
      <c r="E11" s="15" t="s">
        <v>27</v>
      </c>
      <c r="F11" s="73">
        <v>1751984</v>
      </c>
      <c r="G11" s="73">
        <v>6366000</v>
      </c>
      <c r="H11" s="73">
        <v>8811000</v>
      </c>
      <c r="I11" s="92" t="s">
        <v>139</v>
      </c>
      <c r="L11" s="4"/>
      <c r="M11" s="4"/>
      <c r="N11" s="4"/>
      <c r="O11" s="4"/>
      <c r="P11" s="4"/>
      <c r="Q11" s="4"/>
      <c r="R11" s="4"/>
      <c r="S11" s="4"/>
      <c r="T11" s="4"/>
      <c r="U11" s="4"/>
    </row>
    <row r="12" spans="1:21" ht="15.75" customHeight="1">
      <c r="A12" s="4"/>
      <c r="B12" s="208"/>
      <c r="C12" s="171"/>
      <c r="D12" s="8" t="s">
        <v>28</v>
      </c>
      <c r="E12" s="16" t="s">
        <v>29</v>
      </c>
      <c r="F12" s="88">
        <v>2080660</v>
      </c>
      <c r="G12" s="88">
        <v>7213000</v>
      </c>
      <c r="H12" s="88">
        <v>10565000</v>
      </c>
      <c r="I12" s="89">
        <v>86234</v>
      </c>
      <c r="L12" s="4"/>
      <c r="M12" s="4"/>
      <c r="N12" s="4"/>
      <c r="O12" s="4"/>
      <c r="P12" s="4"/>
      <c r="Q12" s="4"/>
      <c r="R12" s="4"/>
      <c r="S12" s="4"/>
      <c r="T12" s="4"/>
      <c r="U12" s="4"/>
    </row>
    <row r="13" spans="1:21" ht="15.75" customHeight="1">
      <c r="A13" s="4"/>
      <c r="B13" s="208"/>
      <c r="C13" s="171"/>
      <c r="D13" s="8" t="s">
        <v>2</v>
      </c>
      <c r="E13" s="16" t="s">
        <v>30</v>
      </c>
      <c r="F13" s="88">
        <v>2671225</v>
      </c>
      <c r="G13" s="88">
        <v>13288000</v>
      </c>
      <c r="H13" s="88">
        <v>23109000</v>
      </c>
      <c r="I13" s="89">
        <v>535822</v>
      </c>
      <c r="L13" s="4"/>
      <c r="M13" s="4"/>
      <c r="N13" s="4"/>
      <c r="O13" s="4"/>
      <c r="P13" s="4"/>
      <c r="Q13" s="4"/>
      <c r="R13" s="4"/>
      <c r="S13" s="4"/>
      <c r="T13" s="4"/>
      <c r="U13" s="4"/>
    </row>
    <row r="14" spans="1:21" ht="15.75" customHeight="1">
      <c r="A14" s="4"/>
      <c r="B14" s="208"/>
      <c r="C14" s="171"/>
      <c r="D14" s="8" t="s">
        <v>31</v>
      </c>
      <c r="E14" s="16" t="s">
        <v>32</v>
      </c>
      <c r="F14" s="88">
        <v>503222</v>
      </c>
      <c r="G14" s="88">
        <v>2964000</v>
      </c>
      <c r="H14" s="88">
        <v>3100000</v>
      </c>
      <c r="I14" s="89">
        <v>96480</v>
      </c>
      <c r="L14" s="4"/>
      <c r="M14" s="4"/>
      <c r="N14" s="4"/>
      <c r="O14" s="4"/>
      <c r="P14" s="4"/>
      <c r="Q14" s="4"/>
      <c r="R14" s="4"/>
      <c r="S14" s="4"/>
      <c r="T14" s="4"/>
      <c r="U14" s="4"/>
    </row>
    <row r="15" spans="1:21" ht="15.75" customHeight="1">
      <c r="A15" s="4"/>
      <c r="B15" s="208"/>
      <c r="C15" s="171"/>
      <c r="D15" s="8" t="s">
        <v>3</v>
      </c>
      <c r="E15" s="55" t="s">
        <v>33</v>
      </c>
      <c r="F15" s="88">
        <v>634082</v>
      </c>
      <c r="G15" s="88">
        <v>5448000</v>
      </c>
      <c r="H15" s="88">
        <v>8072000</v>
      </c>
      <c r="I15" s="89">
        <v>395091</v>
      </c>
      <c r="L15" s="4"/>
      <c r="M15" s="4"/>
      <c r="N15" s="4"/>
      <c r="O15" s="4"/>
      <c r="P15" s="4"/>
      <c r="Q15" s="4"/>
      <c r="R15" s="4"/>
      <c r="S15" s="4"/>
      <c r="T15" s="4"/>
      <c r="U15" s="4"/>
    </row>
    <row r="16" spans="1:21" ht="15.75" customHeight="1">
      <c r="A16" s="4"/>
      <c r="B16" s="210"/>
      <c r="C16" s="173"/>
      <c r="D16" s="17" t="s">
        <v>34</v>
      </c>
      <c r="E16" s="18" t="s">
        <v>35</v>
      </c>
      <c r="F16" s="93">
        <v>2037143</v>
      </c>
      <c r="G16" s="93">
        <v>7840000</v>
      </c>
      <c r="H16" s="93">
        <v>15037000</v>
      </c>
      <c r="I16" s="94">
        <v>165151</v>
      </c>
      <c r="L16" s="4"/>
      <c r="M16" s="4"/>
      <c r="N16" s="4"/>
      <c r="O16" s="4"/>
      <c r="P16" s="4"/>
      <c r="Q16" s="4"/>
      <c r="R16" s="4"/>
      <c r="S16" s="4"/>
      <c r="T16" s="4"/>
      <c r="U16" s="4"/>
    </row>
    <row r="17" spans="1:21" ht="15.75" customHeight="1">
      <c r="A17" s="4"/>
      <c r="B17" s="206" t="s">
        <v>36</v>
      </c>
      <c r="C17" s="207"/>
      <c r="D17" s="19" t="s">
        <v>37</v>
      </c>
      <c r="E17" s="20" t="s">
        <v>38</v>
      </c>
      <c r="F17" s="58">
        <f t="shared" ref="F17:I17" si="0">IFERROR(F12/F14,"")</f>
        <v>4.1346761469093165</v>
      </c>
      <c r="G17" s="58">
        <f t="shared" ref="G17" si="1">IFERROR(G12/G14,"")</f>
        <v>2.4335357624831309</v>
      </c>
      <c r="H17" s="58">
        <f t="shared" si="0"/>
        <v>3.4080645161290324</v>
      </c>
      <c r="I17" s="59">
        <f t="shared" si="0"/>
        <v>0.89380182421227194</v>
      </c>
      <c r="L17" s="4"/>
      <c r="M17" s="4"/>
      <c r="N17" s="4"/>
      <c r="O17" s="4"/>
      <c r="P17" s="4"/>
      <c r="Q17" s="4"/>
      <c r="R17" s="4"/>
      <c r="S17" s="4"/>
      <c r="T17" s="4"/>
      <c r="U17" s="4"/>
    </row>
    <row r="18" spans="1:21" ht="15.75" customHeight="1">
      <c r="A18" s="4"/>
      <c r="B18" s="208"/>
      <c r="C18" s="209"/>
      <c r="D18" s="8" t="s">
        <v>39</v>
      </c>
      <c r="E18" s="21" t="s">
        <v>40</v>
      </c>
      <c r="F18" s="60">
        <f t="shared" ref="F18:I18" si="2">IFERROR(F15/F13,"")</f>
        <v>0.23737498713137231</v>
      </c>
      <c r="G18" s="60">
        <f t="shared" ref="G18" si="3">IFERROR(G15/G13,"")</f>
        <v>0.4099939795304034</v>
      </c>
      <c r="H18" s="60">
        <f t="shared" si="2"/>
        <v>0.3493011380847289</v>
      </c>
      <c r="I18" s="61">
        <f t="shared" si="2"/>
        <v>0.73735494249956146</v>
      </c>
      <c r="L18" s="4"/>
      <c r="M18" s="4"/>
      <c r="N18" s="4"/>
      <c r="O18" s="4"/>
      <c r="P18" s="4"/>
      <c r="Q18" s="4"/>
      <c r="R18" s="4"/>
      <c r="S18" s="4"/>
      <c r="T18" s="4"/>
      <c r="U18" s="4"/>
    </row>
    <row r="19" spans="1:21" ht="15.75" customHeight="1">
      <c r="A19" s="4"/>
      <c r="B19" s="208"/>
      <c r="C19" s="209"/>
      <c r="D19" s="22" t="s">
        <v>41</v>
      </c>
      <c r="E19" s="21" t="s">
        <v>42</v>
      </c>
      <c r="F19" s="60">
        <f t="shared" ref="F19:I19" si="4">IFERROR(F9/F8,"")</f>
        <v>-0.36547326994154922</v>
      </c>
      <c r="G19" s="60">
        <f t="shared" ref="G19" si="5">IFERROR(G9/G8,"")</f>
        <v>0.14869426185823414</v>
      </c>
      <c r="H19" s="60">
        <f t="shared" si="4"/>
        <v>0.27170418006430869</v>
      </c>
      <c r="I19" s="61">
        <f t="shared" si="4"/>
        <v>-7.464137448106837</v>
      </c>
      <c r="L19" s="4"/>
      <c r="M19" s="4"/>
      <c r="N19" s="4"/>
      <c r="O19" s="4"/>
      <c r="P19" s="4"/>
      <c r="Q19" s="4"/>
      <c r="R19" s="4"/>
      <c r="S19" s="4"/>
      <c r="T19" s="4"/>
      <c r="U19" s="4"/>
    </row>
    <row r="20" spans="1:21" ht="15.75" customHeight="1">
      <c r="A20" s="4"/>
      <c r="B20" s="210"/>
      <c r="C20" s="211"/>
      <c r="D20" s="23" t="s">
        <v>43</v>
      </c>
      <c r="E20" s="18" t="s">
        <v>44</v>
      </c>
      <c r="F20" s="62">
        <f t="shared" ref="F20:I20" si="6">IFERROR(F9/F16,"")</f>
        <v>-0.13858035493826404</v>
      </c>
      <c r="G20" s="62">
        <f t="shared" ref="G20" si="7">IFERROR(G9/G16,"")</f>
        <v>0.10676020408163266</v>
      </c>
      <c r="H20" s="62">
        <f t="shared" si="6"/>
        <v>0.1461062711977123</v>
      </c>
      <c r="I20" s="63">
        <f t="shared" si="6"/>
        <v>-1.8072006830113048</v>
      </c>
      <c r="L20" s="4"/>
      <c r="M20" s="4"/>
      <c r="N20" s="4"/>
      <c r="O20" s="4"/>
      <c r="P20" s="4"/>
      <c r="Q20" s="4"/>
      <c r="R20" s="4"/>
      <c r="S20" s="4"/>
      <c r="T20" s="4"/>
      <c r="U20" s="4"/>
    </row>
    <row r="21" spans="1:21" ht="7.5" customHeight="1" thickBot="1">
      <c r="A21" s="4"/>
      <c r="F21" s="24"/>
      <c r="J21" s="4"/>
      <c r="K21" s="4"/>
      <c r="L21" s="4"/>
      <c r="M21" s="4"/>
      <c r="N21" s="4"/>
      <c r="O21" s="4"/>
      <c r="P21" s="4"/>
      <c r="Q21" s="4"/>
      <c r="R21" s="4"/>
      <c r="S21" s="4"/>
      <c r="T21" s="4"/>
      <c r="U21" s="4"/>
    </row>
    <row r="22" spans="1:21" ht="15.75" customHeight="1">
      <c r="A22" s="4"/>
      <c r="B22" s="204" t="s">
        <v>45</v>
      </c>
      <c r="C22" s="205"/>
      <c r="D22" s="205"/>
      <c r="E22" s="205"/>
      <c r="F22" s="191" t="s">
        <v>46</v>
      </c>
      <c r="G22" s="192"/>
      <c r="H22" s="193" t="s">
        <v>47</v>
      </c>
      <c r="I22" s="192"/>
      <c r="J22" s="193" t="s">
        <v>48</v>
      </c>
      <c r="K22" s="192"/>
      <c r="L22" s="194" t="s">
        <v>49</v>
      </c>
      <c r="M22" s="195"/>
      <c r="N22" s="196"/>
      <c r="O22" s="197" t="s">
        <v>50</v>
      </c>
      <c r="P22" s="198"/>
      <c r="Q22" s="4"/>
      <c r="R22" s="4"/>
      <c r="S22" s="4"/>
      <c r="T22" s="4"/>
      <c r="U22" s="4"/>
    </row>
    <row r="23" spans="1:21" ht="15.75" customHeight="1">
      <c r="A23" s="4"/>
      <c r="B23" s="199" t="s">
        <v>51</v>
      </c>
      <c r="C23" s="200"/>
      <c r="D23" s="200"/>
      <c r="E23" s="25" t="s">
        <v>52</v>
      </c>
      <c r="F23" s="201" t="s">
        <v>51</v>
      </c>
      <c r="G23" s="175"/>
      <c r="H23" s="202" t="s">
        <v>53</v>
      </c>
      <c r="I23" s="175"/>
      <c r="J23" s="202" t="s">
        <v>51</v>
      </c>
      <c r="K23" s="175"/>
      <c r="L23" s="203" t="s">
        <v>51</v>
      </c>
      <c r="M23" s="200"/>
      <c r="N23" s="175"/>
      <c r="O23" s="168" t="s">
        <v>51</v>
      </c>
      <c r="P23" s="169"/>
      <c r="Q23" s="4"/>
      <c r="R23" s="4"/>
      <c r="S23" s="4"/>
      <c r="T23" s="4"/>
      <c r="U23" s="4"/>
    </row>
    <row r="24" spans="1:21" ht="15.75" customHeight="1">
      <c r="A24" s="4"/>
      <c r="B24" s="26" t="s">
        <v>54</v>
      </c>
      <c r="C24" s="27" t="s">
        <v>55</v>
      </c>
      <c r="D24" s="27" t="s">
        <v>56</v>
      </c>
      <c r="E24" s="28" t="s">
        <v>57</v>
      </c>
      <c r="F24" s="29" t="s">
        <v>58</v>
      </c>
      <c r="G24" s="30" t="s">
        <v>59</v>
      </c>
      <c r="H24" s="170" t="s">
        <v>60</v>
      </c>
      <c r="I24" s="171"/>
      <c r="J24" s="31" t="s">
        <v>58</v>
      </c>
      <c r="K24" s="30" t="s">
        <v>61</v>
      </c>
      <c r="L24" s="32" t="s">
        <v>58</v>
      </c>
      <c r="M24" s="66" t="s">
        <v>62</v>
      </c>
      <c r="N24" s="33" t="s">
        <v>63</v>
      </c>
      <c r="O24" s="27" t="s">
        <v>58</v>
      </c>
      <c r="P24" s="64" t="s">
        <v>62</v>
      </c>
      <c r="Q24" s="4"/>
      <c r="R24" s="4"/>
      <c r="S24" s="4"/>
      <c r="T24" s="4"/>
      <c r="U24" s="4"/>
    </row>
    <row r="25" spans="1:21" ht="15.75" customHeight="1">
      <c r="A25" s="4"/>
      <c r="B25" s="26" t="s">
        <v>64</v>
      </c>
      <c r="C25" s="27" t="s">
        <v>65</v>
      </c>
      <c r="D25" s="27" t="s">
        <v>66</v>
      </c>
      <c r="E25" s="28" t="s">
        <v>67</v>
      </c>
      <c r="F25" s="29" t="s">
        <v>68</v>
      </c>
      <c r="G25" s="34">
        <v>44198</v>
      </c>
      <c r="H25" s="172" t="s">
        <v>69</v>
      </c>
      <c r="I25" s="173"/>
      <c r="J25" s="31" t="s">
        <v>70</v>
      </c>
      <c r="K25" s="30" t="s">
        <v>71</v>
      </c>
      <c r="L25" s="32" t="s">
        <v>70</v>
      </c>
      <c r="M25" s="67" t="s">
        <v>72</v>
      </c>
      <c r="N25" s="33" t="s">
        <v>68</v>
      </c>
      <c r="O25" s="27" t="s">
        <v>70</v>
      </c>
      <c r="P25" s="65" t="s">
        <v>73</v>
      </c>
      <c r="Q25" s="4"/>
      <c r="R25" s="4"/>
      <c r="S25" s="4"/>
      <c r="T25" s="4"/>
      <c r="U25" s="4"/>
    </row>
    <row r="26" spans="1:21" ht="15.75" customHeight="1">
      <c r="A26" s="4"/>
      <c r="B26" s="26" t="s">
        <v>74</v>
      </c>
      <c r="C26" s="27" t="s">
        <v>75</v>
      </c>
      <c r="D26" s="27" t="s">
        <v>76</v>
      </c>
      <c r="E26" s="28" t="s">
        <v>77</v>
      </c>
      <c r="F26" s="29" t="s">
        <v>78</v>
      </c>
      <c r="G26" s="30" t="s">
        <v>62</v>
      </c>
      <c r="H26" s="174" t="s">
        <v>79</v>
      </c>
      <c r="I26" s="175"/>
      <c r="J26" s="31" t="s">
        <v>80</v>
      </c>
      <c r="K26" s="30" t="s">
        <v>81</v>
      </c>
      <c r="L26" s="32" t="s">
        <v>78</v>
      </c>
      <c r="M26" s="66" t="s">
        <v>82</v>
      </c>
      <c r="N26" s="33" t="s">
        <v>83</v>
      </c>
      <c r="O26" s="27" t="s">
        <v>68</v>
      </c>
      <c r="P26" s="64" t="s">
        <v>59</v>
      </c>
      <c r="Q26" s="4"/>
      <c r="R26" s="4"/>
      <c r="S26" s="4"/>
      <c r="T26" s="4"/>
      <c r="U26" s="4"/>
    </row>
    <row r="27" spans="1:21" ht="15.75" customHeight="1">
      <c r="A27" s="4"/>
      <c r="B27" s="26" t="s">
        <v>84</v>
      </c>
      <c r="C27" s="27" t="s">
        <v>85</v>
      </c>
      <c r="D27" s="27" t="s">
        <v>86</v>
      </c>
      <c r="E27" s="28" t="s">
        <v>87</v>
      </c>
      <c r="F27" s="176" t="s">
        <v>69</v>
      </c>
      <c r="G27" s="171"/>
      <c r="H27" s="179" t="s">
        <v>88</v>
      </c>
      <c r="I27" s="180"/>
      <c r="J27" s="182" t="s">
        <v>69</v>
      </c>
      <c r="K27" s="171"/>
      <c r="L27" s="183" t="s">
        <v>89</v>
      </c>
      <c r="M27" s="184"/>
      <c r="N27" s="171"/>
      <c r="O27" s="185" t="s">
        <v>90</v>
      </c>
      <c r="P27" s="186"/>
      <c r="Q27" s="4"/>
      <c r="R27" s="4"/>
      <c r="S27" s="4"/>
      <c r="T27" s="4"/>
      <c r="U27" s="4"/>
    </row>
    <row r="28" spans="1:21" ht="15.75" customHeight="1" thickBot="1">
      <c r="A28" s="4"/>
      <c r="B28" s="35" t="s">
        <v>91</v>
      </c>
      <c r="C28" s="36" t="s">
        <v>92</v>
      </c>
      <c r="D28" s="36" t="s">
        <v>93</v>
      </c>
      <c r="E28" s="37" t="s">
        <v>94</v>
      </c>
      <c r="F28" s="177"/>
      <c r="G28" s="178"/>
      <c r="H28" s="181"/>
      <c r="I28" s="178"/>
      <c r="J28" s="181"/>
      <c r="K28" s="178"/>
      <c r="L28" s="187" t="s">
        <v>95</v>
      </c>
      <c r="M28" s="188"/>
      <c r="N28" s="178"/>
      <c r="O28" s="189" t="s">
        <v>69</v>
      </c>
      <c r="P28" s="190"/>
      <c r="Q28" s="4"/>
      <c r="R28" s="4"/>
      <c r="S28" s="4"/>
      <c r="T28" s="4"/>
      <c r="U28" s="4"/>
    </row>
    <row r="29" spans="1:21" ht="12.75" customHeight="1">
      <c r="A29" s="4"/>
      <c r="L29" s="9"/>
      <c r="M29" s="9"/>
      <c r="N29" s="9"/>
      <c r="O29" s="4"/>
      <c r="P29" s="4"/>
      <c r="Q29" s="4"/>
      <c r="R29" s="4"/>
      <c r="S29" s="4"/>
      <c r="T29" s="4"/>
      <c r="U29" s="4"/>
    </row>
    <row r="30" spans="1:21" ht="15.75" customHeight="1">
      <c r="A30" s="4"/>
      <c r="D30" s="27"/>
      <c r="E30" s="9"/>
      <c r="I30" s="9"/>
      <c r="O30" s="4"/>
      <c r="P30" s="4"/>
      <c r="Q30" s="4"/>
      <c r="R30" s="4"/>
      <c r="S30" s="4"/>
      <c r="T30" s="4"/>
      <c r="U30" s="4"/>
    </row>
    <row r="31" spans="1:21" ht="15.75" customHeight="1">
      <c r="A31" s="4"/>
      <c r="D31" s="38"/>
      <c r="E31" s="9"/>
      <c r="F31" s="39"/>
      <c r="G31" s="39"/>
      <c r="H31" s="39"/>
      <c r="I31" s="39"/>
      <c r="O31" s="4"/>
      <c r="P31" s="4"/>
      <c r="Q31" s="4"/>
      <c r="R31" s="4"/>
      <c r="S31" s="4"/>
      <c r="T31" s="4"/>
      <c r="U31" s="4"/>
    </row>
    <row r="32" spans="1:21" ht="15.75" customHeight="1">
      <c r="A32" s="4"/>
      <c r="O32" s="4"/>
      <c r="P32" s="4"/>
      <c r="Q32" s="4"/>
      <c r="R32" s="4"/>
      <c r="S32" s="4"/>
      <c r="T32" s="4"/>
      <c r="U32" s="4"/>
    </row>
    <row r="33" spans="1:21" ht="15.75" customHeight="1">
      <c r="A33" s="4"/>
      <c r="O33" s="4"/>
      <c r="P33" s="4"/>
      <c r="Q33" s="4"/>
      <c r="R33" s="4"/>
      <c r="S33" s="4"/>
      <c r="T33" s="4"/>
      <c r="U33" s="4"/>
    </row>
    <row r="34" spans="1:21" ht="15.75" customHeight="1">
      <c r="A34" s="4"/>
      <c r="O34" s="4"/>
      <c r="P34" s="4"/>
      <c r="Q34" s="4"/>
      <c r="R34" s="4"/>
      <c r="S34" s="4"/>
      <c r="T34" s="4"/>
      <c r="U34" s="4"/>
    </row>
    <row r="35" spans="1:21" ht="15.75" customHeight="1">
      <c r="A35" s="4"/>
      <c r="O35" s="4"/>
      <c r="P35" s="4"/>
      <c r="Q35" s="4"/>
      <c r="R35" s="4"/>
      <c r="S35" s="4"/>
      <c r="T35" s="4"/>
      <c r="U35" s="4"/>
    </row>
    <row r="36" spans="1:21" ht="15.75" customHeight="1">
      <c r="A36" s="4"/>
      <c r="O36" s="4"/>
      <c r="P36" s="4"/>
      <c r="Q36" s="4"/>
      <c r="R36" s="4"/>
      <c r="S36" s="4"/>
      <c r="T36" s="4"/>
      <c r="U36" s="4"/>
    </row>
    <row r="37" spans="1:21" ht="15.75" customHeight="1">
      <c r="A37" s="4"/>
      <c r="O37" s="4"/>
      <c r="P37" s="4"/>
      <c r="Q37" s="4"/>
      <c r="R37" s="4"/>
      <c r="S37" s="4"/>
      <c r="T37" s="4"/>
      <c r="U37" s="4"/>
    </row>
    <row r="38" spans="1:21" ht="15.75" customHeight="1">
      <c r="A38" s="4"/>
      <c r="O38" s="4"/>
      <c r="P38" s="4"/>
      <c r="Q38" s="4"/>
      <c r="R38" s="4"/>
      <c r="S38" s="4"/>
      <c r="T38" s="4"/>
      <c r="U38" s="4"/>
    </row>
    <row r="39" spans="1:21" ht="15.75" customHeight="1">
      <c r="A39" s="4"/>
      <c r="O39" s="4"/>
      <c r="P39" s="4"/>
      <c r="Q39" s="4"/>
      <c r="R39" s="4"/>
      <c r="S39" s="4"/>
      <c r="T39" s="4"/>
      <c r="U39" s="4"/>
    </row>
    <row r="40" spans="1:21" ht="15.75" customHeight="1">
      <c r="A40" s="4"/>
      <c r="O40" s="4"/>
      <c r="P40" s="4"/>
      <c r="Q40" s="4"/>
      <c r="R40" s="4"/>
      <c r="S40" s="4"/>
      <c r="T40" s="4"/>
      <c r="U40" s="4"/>
    </row>
    <row r="41" spans="1:21" ht="15.75" customHeight="1">
      <c r="A41" s="4"/>
      <c r="O41" s="4"/>
      <c r="P41" s="4"/>
      <c r="Q41" s="4"/>
      <c r="R41" s="4"/>
      <c r="S41" s="4"/>
      <c r="T41" s="4"/>
      <c r="U41" s="4"/>
    </row>
    <row r="42" spans="1:21" ht="15.75" customHeight="1">
      <c r="A42" s="4"/>
      <c r="O42" s="4"/>
      <c r="P42" s="4"/>
      <c r="Q42" s="4"/>
      <c r="R42" s="4"/>
      <c r="S42" s="4"/>
      <c r="T42" s="4"/>
      <c r="U42" s="4"/>
    </row>
    <row r="43" spans="1:21" ht="15.75" customHeight="1">
      <c r="A43" s="4"/>
      <c r="O43" s="4"/>
      <c r="P43" s="4"/>
      <c r="Q43" s="4"/>
      <c r="R43" s="4"/>
      <c r="S43" s="4"/>
      <c r="T43" s="4"/>
      <c r="U43" s="4"/>
    </row>
    <row r="44" spans="1:21" ht="15.75" customHeight="1">
      <c r="A44" s="4"/>
      <c r="O44" s="4"/>
      <c r="P44" s="4"/>
      <c r="Q44" s="4"/>
      <c r="R44" s="4"/>
      <c r="S44" s="4"/>
      <c r="T44" s="4"/>
      <c r="U44" s="4"/>
    </row>
    <row r="45" spans="1:21" ht="15.75" customHeight="1">
      <c r="A45" s="4"/>
      <c r="O45" s="4"/>
      <c r="P45" s="4"/>
      <c r="Q45" s="4"/>
      <c r="R45" s="4"/>
      <c r="S45" s="4"/>
      <c r="T45" s="4"/>
      <c r="U45" s="4"/>
    </row>
    <row r="46" spans="1:21" ht="15.75" customHeight="1">
      <c r="A46" s="4"/>
      <c r="O46" s="4"/>
      <c r="P46" s="4"/>
      <c r="Q46" s="4"/>
      <c r="R46" s="4"/>
      <c r="S46" s="4"/>
      <c r="T46" s="4"/>
      <c r="U46" s="4"/>
    </row>
    <row r="47" spans="1:21" ht="15.75" customHeight="1">
      <c r="A47" s="4"/>
      <c r="O47" s="4"/>
      <c r="P47" s="4"/>
      <c r="Q47" s="4"/>
      <c r="R47" s="4"/>
      <c r="S47" s="4"/>
      <c r="T47" s="4"/>
      <c r="U47" s="4"/>
    </row>
    <row r="48" spans="1:21" ht="15.75" customHeight="1">
      <c r="A48" s="4"/>
      <c r="O48" s="4"/>
      <c r="P48" s="4"/>
      <c r="Q48" s="4"/>
      <c r="R48" s="4"/>
      <c r="S48" s="4"/>
      <c r="T48" s="4"/>
      <c r="U48" s="4"/>
    </row>
    <row r="49" spans="1:21" ht="15.75" customHeight="1">
      <c r="A49" s="4"/>
      <c r="B49" s="4"/>
      <c r="C49" s="4"/>
      <c r="D49" s="4"/>
      <c r="E49" s="4"/>
      <c r="F49" s="4"/>
      <c r="G49" s="4"/>
      <c r="H49" s="4"/>
      <c r="I49" s="4"/>
      <c r="J49" s="4"/>
      <c r="K49" s="4"/>
      <c r="L49" s="4"/>
      <c r="M49" s="4"/>
      <c r="N49" s="4"/>
      <c r="O49" s="4"/>
      <c r="P49" s="4"/>
      <c r="Q49" s="4"/>
      <c r="R49" s="4"/>
      <c r="S49" s="4"/>
      <c r="T49" s="4"/>
      <c r="U49" s="4"/>
    </row>
    <row r="50" spans="1:21" ht="15.75" customHeight="1">
      <c r="A50" s="4"/>
      <c r="B50" s="4"/>
      <c r="C50" s="4"/>
      <c r="D50" s="4"/>
      <c r="E50" s="4"/>
      <c r="F50" s="4"/>
      <c r="G50" s="4"/>
      <c r="H50" s="4"/>
      <c r="I50" s="4"/>
      <c r="J50" s="4"/>
      <c r="K50" s="4"/>
      <c r="L50" s="4"/>
      <c r="M50" s="4"/>
      <c r="N50" s="4"/>
      <c r="O50" s="4"/>
      <c r="P50" s="4"/>
      <c r="Q50" s="4"/>
      <c r="R50" s="4"/>
      <c r="S50" s="4"/>
      <c r="T50" s="4"/>
      <c r="U50" s="4"/>
    </row>
    <row r="51" spans="1:21" ht="15.75" customHeight="1">
      <c r="A51" s="4"/>
      <c r="B51" s="4"/>
      <c r="C51" s="4"/>
      <c r="D51" s="4"/>
      <c r="E51" s="4"/>
      <c r="F51" s="4"/>
      <c r="G51" s="4"/>
      <c r="H51" s="4"/>
      <c r="I51" s="4"/>
      <c r="J51" s="4"/>
      <c r="K51" s="4"/>
      <c r="L51" s="4"/>
      <c r="M51" s="4"/>
      <c r="N51" s="4"/>
      <c r="O51" s="4"/>
      <c r="P51" s="4"/>
      <c r="Q51" s="4"/>
      <c r="R51" s="4"/>
      <c r="S51" s="4"/>
      <c r="T51" s="4"/>
      <c r="U51" s="4"/>
    </row>
    <row r="52" spans="1:21" ht="15.75" customHeight="1">
      <c r="A52" s="4"/>
      <c r="B52" s="4"/>
      <c r="C52" s="4"/>
      <c r="D52" s="4"/>
      <c r="E52" s="4"/>
      <c r="F52" s="4"/>
      <c r="G52" s="4"/>
      <c r="H52" s="4"/>
      <c r="I52" s="4"/>
      <c r="J52" s="4"/>
      <c r="K52" s="4"/>
      <c r="L52" s="4"/>
      <c r="M52" s="4"/>
      <c r="N52" s="4"/>
      <c r="O52" s="4"/>
      <c r="P52" s="4"/>
      <c r="Q52" s="4"/>
      <c r="R52" s="4"/>
      <c r="S52" s="4"/>
      <c r="T52" s="4"/>
      <c r="U52" s="4"/>
    </row>
    <row r="53" spans="1:21" ht="15.75" customHeight="1">
      <c r="A53" s="4"/>
      <c r="B53" s="4"/>
      <c r="C53" s="4"/>
      <c r="D53" s="4"/>
      <c r="E53" s="4"/>
      <c r="F53" s="4"/>
      <c r="G53" s="4"/>
      <c r="H53" s="4"/>
      <c r="I53" s="4"/>
      <c r="J53" s="4"/>
      <c r="K53" s="4"/>
      <c r="L53" s="4"/>
      <c r="M53" s="4"/>
      <c r="N53" s="4"/>
      <c r="O53" s="4"/>
      <c r="P53" s="4"/>
      <c r="Q53" s="4"/>
      <c r="R53" s="4"/>
      <c r="S53" s="4"/>
      <c r="T53" s="4"/>
      <c r="U53" s="4"/>
    </row>
    <row r="54" spans="1:21" ht="15.75" customHeight="1">
      <c r="A54" s="4"/>
      <c r="B54" s="4"/>
      <c r="C54" s="4"/>
      <c r="D54" s="4"/>
      <c r="E54" s="4"/>
      <c r="F54" s="4"/>
      <c r="G54" s="4"/>
      <c r="H54" s="4"/>
      <c r="I54" s="4"/>
      <c r="J54" s="4"/>
      <c r="K54" s="4"/>
      <c r="L54" s="4"/>
      <c r="M54" s="4"/>
      <c r="N54" s="4"/>
      <c r="O54" s="4"/>
      <c r="P54" s="4"/>
      <c r="Q54" s="4"/>
      <c r="R54" s="4"/>
      <c r="S54" s="4"/>
      <c r="T54" s="4"/>
      <c r="U54" s="4"/>
    </row>
    <row r="55" spans="1:21" ht="15.75" customHeight="1">
      <c r="A55" s="4"/>
      <c r="B55" s="4"/>
      <c r="C55" s="4"/>
      <c r="D55" s="4"/>
      <c r="E55" s="4"/>
      <c r="F55" s="4"/>
      <c r="G55" s="4"/>
      <c r="H55" s="4"/>
      <c r="I55" s="4"/>
      <c r="J55" s="4"/>
      <c r="K55" s="4"/>
      <c r="L55" s="4"/>
      <c r="M55" s="4"/>
      <c r="N55" s="4"/>
      <c r="O55" s="4"/>
      <c r="P55" s="4"/>
      <c r="Q55" s="4"/>
      <c r="R55" s="4"/>
      <c r="S55" s="4"/>
      <c r="T55" s="4"/>
      <c r="U55" s="4"/>
    </row>
    <row r="56" spans="1:21" ht="15.75" customHeight="1">
      <c r="A56" s="4"/>
      <c r="B56" s="4"/>
      <c r="C56" s="4"/>
      <c r="D56" s="4"/>
      <c r="E56" s="4"/>
      <c r="F56" s="4"/>
      <c r="G56" s="4"/>
      <c r="H56" s="4"/>
      <c r="I56" s="4"/>
      <c r="J56" s="4"/>
      <c r="K56" s="4"/>
      <c r="L56" s="4"/>
      <c r="M56" s="4"/>
      <c r="N56" s="4"/>
      <c r="O56" s="4"/>
      <c r="P56" s="4"/>
      <c r="Q56" s="4"/>
      <c r="R56" s="4"/>
      <c r="S56" s="4"/>
      <c r="T56" s="4"/>
      <c r="U56" s="4"/>
    </row>
    <row r="57" spans="1:21" ht="15.75" customHeight="1">
      <c r="A57" s="4"/>
      <c r="B57" s="4"/>
      <c r="C57" s="4"/>
      <c r="D57" s="4"/>
      <c r="E57" s="4"/>
      <c r="F57" s="4"/>
      <c r="G57" s="4"/>
      <c r="H57" s="4"/>
      <c r="I57" s="4"/>
      <c r="J57" s="4"/>
      <c r="K57" s="4"/>
      <c r="L57" s="4"/>
      <c r="M57" s="4"/>
      <c r="N57" s="4"/>
      <c r="O57" s="4"/>
      <c r="P57" s="4"/>
      <c r="Q57" s="4"/>
      <c r="R57" s="4"/>
      <c r="S57" s="4"/>
      <c r="T57" s="4"/>
      <c r="U57" s="4"/>
    </row>
    <row r="58" spans="1:21" ht="15.75" customHeight="1">
      <c r="A58" s="4"/>
      <c r="B58" s="4"/>
      <c r="C58" s="4"/>
      <c r="D58" s="4"/>
      <c r="E58" s="4"/>
      <c r="F58" s="4"/>
      <c r="G58" s="4"/>
      <c r="H58" s="4"/>
      <c r="I58" s="4"/>
      <c r="J58" s="4"/>
      <c r="K58" s="4"/>
      <c r="L58" s="4"/>
      <c r="M58" s="4"/>
      <c r="N58" s="4"/>
      <c r="O58" s="4"/>
      <c r="P58" s="4"/>
      <c r="Q58" s="4"/>
      <c r="R58" s="4"/>
      <c r="S58" s="4"/>
      <c r="T58" s="4"/>
      <c r="U58" s="4"/>
    </row>
    <row r="59" spans="1:21" ht="15.75" customHeight="1">
      <c r="A59" s="4"/>
      <c r="B59" s="4"/>
      <c r="C59" s="4"/>
      <c r="D59" s="4"/>
      <c r="E59" s="4"/>
      <c r="F59" s="4"/>
      <c r="G59" s="4"/>
      <c r="H59" s="4"/>
      <c r="I59" s="4"/>
      <c r="J59" s="4"/>
      <c r="K59" s="4"/>
      <c r="L59" s="4"/>
      <c r="M59" s="4"/>
      <c r="N59" s="4"/>
      <c r="O59" s="4"/>
      <c r="P59" s="4"/>
      <c r="Q59" s="4"/>
      <c r="R59" s="4"/>
      <c r="S59" s="4"/>
      <c r="T59" s="4"/>
      <c r="U59" s="4"/>
    </row>
    <row r="60" spans="1:21" ht="15.75" customHeight="1">
      <c r="A60" s="4"/>
      <c r="B60" s="4"/>
      <c r="C60" s="4"/>
      <c r="D60" s="4"/>
      <c r="E60" s="4"/>
      <c r="F60" s="4"/>
      <c r="G60" s="4"/>
      <c r="H60" s="4"/>
      <c r="I60" s="4"/>
      <c r="J60" s="4"/>
      <c r="K60" s="4"/>
      <c r="L60" s="4"/>
      <c r="M60" s="4"/>
      <c r="N60" s="4"/>
      <c r="O60" s="4"/>
      <c r="P60" s="4"/>
      <c r="Q60" s="4"/>
      <c r="R60" s="4"/>
      <c r="S60" s="4"/>
      <c r="T60" s="4"/>
      <c r="U60" s="4"/>
    </row>
    <row r="61" spans="1:21" ht="15.75" customHeight="1">
      <c r="A61" s="4"/>
      <c r="B61" s="4"/>
      <c r="C61" s="4"/>
      <c r="D61" s="4"/>
      <c r="E61" s="4"/>
      <c r="F61" s="4"/>
      <c r="G61" s="4"/>
      <c r="H61" s="4"/>
      <c r="I61" s="4"/>
      <c r="J61" s="4"/>
      <c r="K61" s="4"/>
      <c r="L61" s="4"/>
      <c r="M61" s="4"/>
      <c r="N61" s="4"/>
      <c r="O61" s="4"/>
      <c r="P61" s="4"/>
      <c r="Q61" s="4"/>
      <c r="R61" s="4"/>
      <c r="S61" s="4"/>
      <c r="T61" s="4"/>
      <c r="U61" s="4"/>
    </row>
    <row r="62" spans="1:21" ht="15.75" customHeight="1">
      <c r="A62" s="4"/>
      <c r="B62" s="4"/>
      <c r="C62" s="4"/>
      <c r="D62" s="4"/>
      <c r="E62" s="4"/>
      <c r="F62" s="4"/>
      <c r="G62" s="4"/>
      <c r="H62" s="4"/>
      <c r="I62" s="4"/>
      <c r="J62" s="4"/>
      <c r="K62" s="4"/>
      <c r="L62" s="4"/>
      <c r="M62" s="4"/>
      <c r="N62" s="4"/>
      <c r="O62" s="4"/>
      <c r="P62" s="4"/>
      <c r="Q62" s="4"/>
      <c r="R62" s="4"/>
      <c r="S62" s="4"/>
      <c r="T62" s="4"/>
      <c r="U62" s="4"/>
    </row>
    <row r="63" spans="1:21" ht="15.75" customHeight="1">
      <c r="A63" s="4"/>
      <c r="B63" s="4"/>
      <c r="C63" s="4"/>
      <c r="D63" s="4"/>
      <c r="E63" s="4"/>
      <c r="F63" s="4"/>
      <c r="G63" s="4"/>
      <c r="H63" s="4"/>
      <c r="I63" s="4"/>
      <c r="J63" s="4"/>
      <c r="K63" s="4"/>
      <c r="L63" s="4"/>
      <c r="M63" s="4"/>
      <c r="N63" s="4"/>
      <c r="O63" s="4"/>
      <c r="P63" s="4"/>
      <c r="Q63" s="4"/>
      <c r="R63" s="4"/>
      <c r="S63" s="4"/>
      <c r="T63" s="4"/>
      <c r="U63" s="4"/>
    </row>
    <row r="64" spans="1:21" ht="15.75" customHeight="1">
      <c r="A64" s="4"/>
      <c r="B64" s="4"/>
      <c r="C64" s="4"/>
      <c r="D64" s="4"/>
      <c r="E64" s="4"/>
      <c r="F64" s="4"/>
      <c r="G64" s="4"/>
      <c r="H64" s="4"/>
      <c r="I64" s="4"/>
      <c r="J64" s="4"/>
      <c r="K64" s="4"/>
      <c r="L64" s="4"/>
      <c r="M64" s="4"/>
      <c r="N64" s="4"/>
      <c r="O64" s="4"/>
      <c r="P64" s="4"/>
      <c r="Q64" s="4"/>
      <c r="R64" s="4"/>
      <c r="S64" s="4"/>
      <c r="T64" s="4"/>
      <c r="U64" s="4"/>
    </row>
    <row r="65" spans="1:21" ht="15.75" customHeight="1">
      <c r="A65" s="4"/>
      <c r="B65" s="4"/>
      <c r="C65" s="4"/>
      <c r="D65" s="4"/>
      <c r="E65" s="4"/>
      <c r="F65" s="4"/>
      <c r="G65" s="4"/>
      <c r="H65" s="4"/>
      <c r="I65" s="4"/>
      <c r="J65" s="4"/>
      <c r="K65" s="4"/>
      <c r="L65" s="4"/>
      <c r="M65" s="4"/>
      <c r="N65" s="4"/>
      <c r="O65" s="4"/>
      <c r="P65" s="4"/>
      <c r="Q65" s="4"/>
      <c r="R65" s="4"/>
      <c r="S65" s="4"/>
      <c r="T65" s="4"/>
      <c r="U65" s="4"/>
    </row>
    <row r="66" spans="1:21" ht="15.75" customHeight="1">
      <c r="A66" s="4"/>
      <c r="B66" s="4"/>
      <c r="C66" s="4"/>
      <c r="D66" s="4"/>
      <c r="E66" s="4"/>
      <c r="F66" s="4"/>
      <c r="G66" s="4"/>
      <c r="H66" s="4"/>
      <c r="I66" s="4"/>
      <c r="J66" s="4"/>
      <c r="K66" s="4"/>
      <c r="L66" s="4"/>
      <c r="M66" s="4"/>
      <c r="N66" s="4"/>
      <c r="O66" s="4"/>
      <c r="P66" s="4"/>
      <c r="Q66" s="4"/>
      <c r="R66" s="4"/>
      <c r="S66" s="4"/>
      <c r="T66" s="4"/>
      <c r="U66" s="4"/>
    </row>
    <row r="67" spans="1:21" ht="15.75" customHeight="1">
      <c r="A67" s="4"/>
      <c r="B67" s="4"/>
      <c r="C67" s="4"/>
      <c r="D67" s="4"/>
      <c r="E67" s="4"/>
      <c r="F67" s="4"/>
      <c r="G67" s="4"/>
      <c r="H67" s="4"/>
      <c r="I67" s="4"/>
      <c r="J67" s="4"/>
      <c r="K67" s="4"/>
      <c r="L67" s="4"/>
      <c r="M67" s="4"/>
      <c r="N67" s="4"/>
      <c r="O67" s="4"/>
      <c r="P67" s="4"/>
      <c r="Q67" s="4"/>
      <c r="R67" s="4"/>
      <c r="S67" s="4"/>
      <c r="T67" s="4"/>
      <c r="U67" s="4"/>
    </row>
    <row r="68" spans="1:21" ht="15.75" customHeight="1">
      <c r="A68" s="4"/>
      <c r="B68" s="4"/>
      <c r="C68" s="4"/>
      <c r="D68" s="4"/>
      <c r="E68" s="4"/>
      <c r="F68" s="4"/>
      <c r="G68" s="4"/>
      <c r="H68" s="4"/>
      <c r="I68" s="4"/>
      <c r="J68" s="4"/>
      <c r="K68" s="4"/>
      <c r="L68" s="4"/>
      <c r="M68" s="4"/>
      <c r="N68" s="4"/>
      <c r="O68" s="4"/>
      <c r="P68" s="4"/>
      <c r="Q68" s="4"/>
      <c r="R68" s="4"/>
      <c r="S68" s="4"/>
      <c r="T68" s="4"/>
      <c r="U68" s="4"/>
    </row>
    <row r="69" spans="1:21" ht="15.75" customHeight="1">
      <c r="A69" s="4"/>
      <c r="B69" s="4"/>
      <c r="C69" s="4"/>
      <c r="D69" s="4"/>
      <c r="E69" s="4"/>
      <c r="F69" s="4"/>
      <c r="G69" s="4"/>
      <c r="H69" s="4"/>
      <c r="I69" s="4"/>
      <c r="J69" s="4"/>
      <c r="K69" s="4"/>
      <c r="L69" s="4"/>
      <c r="M69" s="4"/>
      <c r="N69" s="4"/>
      <c r="O69" s="4"/>
      <c r="P69" s="4"/>
      <c r="Q69" s="4"/>
      <c r="R69" s="4"/>
      <c r="S69" s="4"/>
      <c r="T69" s="4"/>
      <c r="U69" s="4"/>
    </row>
    <row r="70" spans="1:21" ht="15.75" customHeight="1">
      <c r="A70" s="4"/>
      <c r="B70" s="4"/>
      <c r="C70" s="4"/>
      <c r="D70" s="4"/>
      <c r="E70" s="4"/>
      <c r="F70" s="4"/>
      <c r="G70" s="4"/>
      <c r="H70" s="4"/>
      <c r="I70" s="4"/>
      <c r="J70" s="4"/>
      <c r="K70" s="4"/>
      <c r="L70" s="4"/>
      <c r="M70" s="4"/>
      <c r="N70" s="4"/>
      <c r="O70" s="4"/>
      <c r="P70" s="4"/>
      <c r="Q70" s="4"/>
      <c r="R70" s="4"/>
      <c r="S70" s="4"/>
      <c r="T70" s="4"/>
      <c r="U70" s="4"/>
    </row>
    <row r="71" spans="1:21" ht="15.75" customHeight="1">
      <c r="A71" s="4"/>
      <c r="B71" s="4"/>
      <c r="C71" s="4"/>
      <c r="D71" s="4"/>
      <c r="E71" s="4"/>
      <c r="F71" s="4"/>
      <c r="G71" s="4"/>
      <c r="H71" s="4"/>
      <c r="I71" s="4"/>
      <c r="J71" s="4"/>
      <c r="K71" s="4"/>
      <c r="L71" s="4"/>
      <c r="M71" s="4"/>
      <c r="N71" s="4"/>
      <c r="O71" s="4"/>
      <c r="P71" s="4"/>
      <c r="Q71" s="4"/>
      <c r="R71" s="4"/>
      <c r="S71" s="4"/>
      <c r="T71" s="4"/>
      <c r="U71" s="4"/>
    </row>
    <row r="72" spans="1:21" ht="15.75" customHeight="1">
      <c r="A72" s="4"/>
      <c r="B72" s="4"/>
      <c r="C72" s="4"/>
      <c r="D72" s="4"/>
      <c r="E72" s="4"/>
      <c r="F72" s="4"/>
      <c r="G72" s="4"/>
      <c r="H72" s="4"/>
      <c r="I72" s="4"/>
      <c r="J72" s="4"/>
      <c r="K72" s="4"/>
      <c r="L72" s="4"/>
      <c r="M72" s="4"/>
      <c r="N72" s="4"/>
      <c r="O72" s="4"/>
      <c r="P72" s="4"/>
      <c r="Q72" s="4"/>
      <c r="R72" s="4"/>
      <c r="S72" s="4"/>
      <c r="T72" s="4"/>
      <c r="U72" s="4"/>
    </row>
    <row r="73" spans="1:21" ht="15.75" customHeight="1">
      <c r="A73" s="4"/>
      <c r="B73" s="4"/>
      <c r="C73" s="4"/>
      <c r="D73" s="4"/>
      <c r="E73" s="4"/>
      <c r="F73" s="4"/>
      <c r="G73" s="4"/>
      <c r="H73" s="4"/>
      <c r="I73" s="4"/>
      <c r="J73" s="4"/>
      <c r="K73" s="4"/>
      <c r="L73" s="4"/>
      <c r="M73" s="4"/>
      <c r="N73" s="4"/>
      <c r="O73" s="4"/>
      <c r="P73" s="4"/>
      <c r="Q73" s="4"/>
      <c r="R73" s="4"/>
      <c r="S73" s="4"/>
      <c r="T73" s="4"/>
      <c r="U73" s="4"/>
    </row>
    <row r="74" spans="1:21" ht="15.75" customHeight="1">
      <c r="A74" s="4"/>
      <c r="B74" s="4"/>
      <c r="C74" s="4"/>
      <c r="D74" s="4"/>
      <c r="E74" s="4"/>
      <c r="F74" s="4"/>
      <c r="G74" s="4"/>
      <c r="H74" s="4"/>
      <c r="I74" s="4"/>
      <c r="J74" s="4"/>
      <c r="K74" s="4"/>
      <c r="L74" s="4"/>
      <c r="M74" s="4"/>
      <c r="N74" s="4"/>
      <c r="O74" s="4"/>
      <c r="P74" s="4"/>
      <c r="Q74" s="4"/>
      <c r="R74" s="4"/>
      <c r="S74" s="4"/>
      <c r="T74" s="4"/>
      <c r="U74" s="4"/>
    </row>
    <row r="75" spans="1:21" ht="15.75" customHeight="1">
      <c r="A75" s="4"/>
      <c r="B75" s="4"/>
      <c r="C75" s="4"/>
      <c r="D75" s="4"/>
      <c r="E75" s="4"/>
      <c r="F75" s="4"/>
      <c r="G75" s="4"/>
      <c r="H75" s="4"/>
      <c r="I75" s="4"/>
      <c r="J75" s="4"/>
      <c r="K75" s="4"/>
      <c r="L75" s="4"/>
      <c r="M75" s="4"/>
      <c r="N75" s="4"/>
      <c r="O75" s="4"/>
      <c r="P75" s="4"/>
      <c r="Q75" s="4"/>
      <c r="R75" s="4"/>
      <c r="S75" s="4"/>
      <c r="T75" s="4"/>
      <c r="U75" s="4"/>
    </row>
    <row r="76" spans="1:21" ht="15.75" customHeight="1">
      <c r="A76" s="4"/>
      <c r="B76" s="4"/>
      <c r="C76" s="4"/>
      <c r="D76" s="4"/>
      <c r="E76" s="4"/>
      <c r="F76" s="4"/>
      <c r="G76" s="4"/>
      <c r="H76" s="4"/>
      <c r="I76" s="4"/>
      <c r="J76" s="4"/>
      <c r="K76" s="4"/>
      <c r="L76" s="4"/>
      <c r="M76" s="4"/>
      <c r="N76" s="4"/>
      <c r="O76" s="4"/>
      <c r="P76" s="4"/>
      <c r="Q76" s="4"/>
      <c r="R76" s="4"/>
      <c r="S76" s="4"/>
      <c r="T76" s="4"/>
      <c r="U76" s="4"/>
    </row>
    <row r="77" spans="1:21" ht="15.75" customHeight="1">
      <c r="A77" s="4"/>
      <c r="B77" s="4"/>
      <c r="C77" s="4"/>
      <c r="D77" s="4"/>
      <c r="E77" s="4"/>
      <c r="F77" s="4"/>
      <c r="G77" s="4"/>
      <c r="H77" s="4"/>
      <c r="I77" s="4"/>
      <c r="J77" s="4"/>
      <c r="K77" s="4"/>
      <c r="L77" s="4"/>
      <c r="M77" s="4"/>
      <c r="N77" s="4"/>
      <c r="O77" s="4"/>
      <c r="P77" s="4"/>
      <c r="Q77" s="4"/>
      <c r="R77" s="4"/>
      <c r="S77" s="4"/>
      <c r="T77" s="4"/>
      <c r="U77" s="4"/>
    </row>
    <row r="78" spans="1:21" ht="15.75" customHeight="1">
      <c r="A78" s="4"/>
      <c r="B78" s="4"/>
      <c r="C78" s="4"/>
      <c r="D78" s="4"/>
      <c r="E78" s="4"/>
      <c r="F78" s="4"/>
      <c r="G78" s="4"/>
      <c r="H78" s="4"/>
      <c r="I78" s="4"/>
      <c r="J78" s="4"/>
      <c r="K78" s="4"/>
      <c r="L78" s="4"/>
      <c r="M78" s="4"/>
      <c r="N78" s="4"/>
      <c r="O78" s="4"/>
      <c r="P78" s="4"/>
      <c r="Q78" s="4"/>
      <c r="R78" s="4"/>
      <c r="S78" s="4"/>
      <c r="T78" s="4"/>
      <c r="U78" s="4"/>
    </row>
    <row r="79" spans="1:21" ht="15.75" customHeight="1">
      <c r="A79" s="4"/>
      <c r="B79" s="4"/>
      <c r="C79" s="4"/>
      <c r="D79" s="4"/>
      <c r="E79" s="4"/>
      <c r="F79" s="4"/>
      <c r="G79" s="4"/>
      <c r="H79" s="4"/>
      <c r="I79" s="4"/>
      <c r="J79" s="4"/>
      <c r="K79" s="4"/>
      <c r="L79" s="4"/>
      <c r="M79" s="4"/>
      <c r="N79" s="4"/>
      <c r="O79" s="4"/>
      <c r="P79" s="4"/>
      <c r="Q79" s="4"/>
      <c r="R79" s="4"/>
      <c r="S79" s="4"/>
      <c r="T79" s="4"/>
      <c r="U79" s="4"/>
    </row>
    <row r="80" spans="1:21" ht="15.75" customHeight="1">
      <c r="A80" s="4"/>
      <c r="B80" s="4"/>
      <c r="C80" s="4"/>
      <c r="D80" s="4"/>
      <c r="E80" s="4"/>
      <c r="F80" s="4"/>
      <c r="G80" s="4"/>
      <c r="H80" s="4"/>
      <c r="I80" s="4"/>
      <c r="J80" s="4"/>
      <c r="K80" s="4"/>
      <c r="L80" s="4"/>
      <c r="M80" s="4"/>
      <c r="N80" s="4"/>
      <c r="O80" s="4"/>
      <c r="P80" s="4"/>
      <c r="Q80" s="4"/>
      <c r="R80" s="4"/>
      <c r="S80" s="4"/>
      <c r="T80" s="4"/>
      <c r="U80" s="4"/>
    </row>
    <row r="81" spans="1:21" ht="15.75" customHeight="1">
      <c r="A81" s="4"/>
      <c r="B81" s="4"/>
      <c r="C81" s="4"/>
      <c r="D81" s="4"/>
      <c r="E81" s="4"/>
      <c r="F81" s="4"/>
      <c r="G81" s="4"/>
      <c r="H81" s="4"/>
      <c r="I81" s="4"/>
      <c r="J81" s="4"/>
      <c r="K81" s="4"/>
      <c r="L81" s="4"/>
      <c r="M81" s="4"/>
      <c r="N81" s="4"/>
      <c r="O81" s="4"/>
      <c r="P81" s="4"/>
      <c r="Q81" s="4"/>
      <c r="R81" s="4"/>
      <c r="S81" s="4"/>
      <c r="T81" s="4"/>
      <c r="U81" s="4"/>
    </row>
    <row r="82" spans="1:21" ht="15.75" customHeight="1">
      <c r="A82" s="4"/>
      <c r="B82" s="4"/>
      <c r="C82" s="4"/>
      <c r="D82" s="4"/>
      <c r="E82" s="4"/>
      <c r="F82" s="4"/>
      <c r="G82" s="4"/>
      <c r="H82" s="4"/>
      <c r="I82" s="4"/>
      <c r="J82" s="4"/>
      <c r="K82" s="4"/>
      <c r="L82" s="4"/>
      <c r="M82" s="4"/>
      <c r="N82" s="4"/>
      <c r="O82" s="4"/>
      <c r="P82" s="4"/>
      <c r="Q82" s="4"/>
      <c r="R82" s="4"/>
      <c r="S82" s="4"/>
      <c r="T82" s="4"/>
      <c r="U82" s="4"/>
    </row>
    <row r="83" spans="1:21" ht="15.75" customHeight="1">
      <c r="A83" s="4"/>
      <c r="B83" s="4"/>
      <c r="C83" s="4"/>
      <c r="D83" s="4"/>
      <c r="E83" s="4"/>
      <c r="F83" s="4"/>
      <c r="G83" s="4"/>
      <c r="H83" s="4"/>
      <c r="I83" s="4"/>
      <c r="J83" s="4"/>
      <c r="K83" s="4"/>
      <c r="L83" s="4"/>
      <c r="M83" s="4"/>
      <c r="N83" s="4"/>
      <c r="O83" s="4"/>
      <c r="P83" s="4"/>
      <c r="Q83" s="4"/>
      <c r="R83" s="4"/>
      <c r="S83" s="4"/>
      <c r="T83" s="4"/>
      <c r="U83" s="4"/>
    </row>
    <row r="84" spans="1:21" ht="15.75" customHeight="1">
      <c r="A84" s="4"/>
      <c r="B84" s="4"/>
      <c r="C84" s="4"/>
      <c r="D84" s="4"/>
      <c r="E84" s="4"/>
      <c r="F84" s="4"/>
      <c r="G84" s="4"/>
      <c r="H84" s="4"/>
      <c r="I84" s="4"/>
      <c r="J84" s="4"/>
      <c r="K84" s="4"/>
      <c r="L84" s="4"/>
      <c r="M84" s="4"/>
      <c r="N84" s="4"/>
      <c r="O84" s="4"/>
      <c r="P84" s="4"/>
      <c r="Q84" s="4"/>
      <c r="R84" s="4"/>
      <c r="S84" s="4"/>
      <c r="T84" s="4"/>
      <c r="U84" s="4"/>
    </row>
    <row r="85" spans="1:21" ht="15.75" customHeight="1">
      <c r="A85" s="4"/>
      <c r="B85" s="4"/>
      <c r="C85" s="4"/>
      <c r="D85" s="4"/>
      <c r="E85" s="4"/>
      <c r="F85" s="4"/>
      <c r="G85" s="4"/>
      <c r="H85" s="4"/>
      <c r="I85" s="4"/>
      <c r="J85" s="4"/>
      <c r="K85" s="4"/>
      <c r="L85" s="4"/>
      <c r="M85" s="4"/>
      <c r="N85" s="4"/>
      <c r="O85" s="4"/>
      <c r="P85" s="4"/>
      <c r="Q85" s="4"/>
      <c r="R85" s="4"/>
      <c r="S85" s="4"/>
      <c r="T85" s="4"/>
      <c r="U85" s="4"/>
    </row>
    <row r="86" spans="1:21" ht="15.75" customHeight="1">
      <c r="A86" s="4"/>
      <c r="B86" s="4"/>
      <c r="C86" s="4"/>
      <c r="D86" s="4"/>
      <c r="E86" s="4"/>
      <c r="F86" s="4"/>
      <c r="G86" s="4"/>
      <c r="H86" s="4"/>
      <c r="I86" s="4"/>
      <c r="J86" s="4"/>
      <c r="K86" s="4"/>
      <c r="L86" s="4"/>
      <c r="M86" s="4"/>
      <c r="N86" s="4"/>
      <c r="O86" s="4"/>
      <c r="P86" s="4"/>
      <c r="Q86" s="4"/>
      <c r="R86" s="4"/>
      <c r="S86" s="4"/>
      <c r="T86" s="4"/>
      <c r="U86" s="4"/>
    </row>
    <row r="87" spans="1:21" ht="15.75" customHeight="1">
      <c r="A87" s="4"/>
      <c r="B87" s="4"/>
      <c r="C87" s="4"/>
      <c r="D87" s="4"/>
      <c r="E87" s="4"/>
      <c r="F87" s="4"/>
      <c r="G87" s="4"/>
      <c r="H87" s="4"/>
      <c r="I87" s="4"/>
      <c r="J87" s="4"/>
      <c r="K87" s="4"/>
      <c r="L87" s="4"/>
      <c r="M87" s="4"/>
      <c r="N87" s="4"/>
      <c r="O87" s="4"/>
      <c r="P87" s="4"/>
      <c r="Q87" s="4"/>
      <c r="R87" s="4"/>
      <c r="S87" s="4"/>
      <c r="T87" s="4"/>
      <c r="U87" s="4"/>
    </row>
    <row r="88" spans="1:21" ht="15.75" customHeight="1">
      <c r="A88" s="4"/>
      <c r="B88" s="4"/>
      <c r="C88" s="4"/>
      <c r="D88" s="4"/>
      <c r="E88" s="4"/>
      <c r="F88" s="4"/>
      <c r="G88" s="4"/>
      <c r="H88" s="4"/>
      <c r="I88" s="4"/>
      <c r="J88" s="4"/>
      <c r="K88" s="4"/>
      <c r="L88" s="4"/>
      <c r="M88" s="4"/>
      <c r="N88" s="4"/>
      <c r="O88" s="4"/>
      <c r="P88" s="4"/>
      <c r="Q88" s="4"/>
      <c r="R88" s="4"/>
      <c r="S88" s="4"/>
      <c r="T88" s="4"/>
      <c r="U88" s="4"/>
    </row>
    <row r="89" spans="1:21" ht="15.75" customHeight="1">
      <c r="A89" s="4"/>
      <c r="B89" s="4"/>
      <c r="C89" s="4"/>
      <c r="D89" s="4"/>
      <c r="E89" s="4"/>
      <c r="F89" s="4"/>
      <c r="G89" s="4"/>
      <c r="H89" s="4"/>
      <c r="I89" s="4"/>
      <c r="J89" s="4"/>
      <c r="K89" s="4"/>
      <c r="L89" s="4"/>
      <c r="M89" s="4"/>
      <c r="N89" s="4"/>
      <c r="O89" s="4"/>
      <c r="P89" s="4"/>
      <c r="Q89" s="4"/>
      <c r="R89" s="4"/>
      <c r="S89" s="4"/>
      <c r="T89" s="4"/>
      <c r="U89" s="4"/>
    </row>
    <row r="90" spans="1:21" ht="15.75" customHeight="1">
      <c r="A90" s="4"/>
      <c r="B90" s="4"/>
      <c r="C90" s="4"/>
      <c r="D90" s="4"/>
      <c r="E90" s="4"/>
      <c r="F90" s="4"/>
      <c r="G90" s="4"/>
      <c r="H90" s="4"/>
      <c r="I90" s="4"/>
      <c r="J90" s="4"/>
      <c r="K90" s="4"/>
      <c r="L90" s="4"/>
      <c r="M90" s="4"/>
      <c r="N90" s="4"/>
      <c r="O90" s="4"/>
      <c r="P90" s="4"/>
      <c r="Q90" s="4"/>
      <c r="R90" s="4"/>
      <c r="S90" s="4"/>
      <c r="T90" s="4"/>
      <c r="U90" s="4"/>
    </row>
    <row r="91" spans="1:21" ht="15.75" customHeight="1">
      <c r="A91" s="4"/>
      <c r="B91" s="4"/>
      <c r="C91" s="4"/>
      <c r="D91" s="4"/>
      <c r="E91" s="4"/>
      <c r="F91" s="4"/>
      <c r="G91" s="4"/>
      <c r="H91" s="4"/>
      <c r="I91" s="4"/>
      <c r="J91" s="4"/>
      <c r="K91" s="4"/>
      <c r="L91" s="4"/>
      <c r="M91" s="4"/>
      <c r="N91" s="4"/>
      <c r="O91" s="4"/>
      <c r="P91" s="4"/>
      <c r="Q91" s="4"/>
      <c r="R91" s="4"/>
      <c r="S91" s="4"/>
      <c r="T91" s="4"/>
      <c r="U91" s="4"/>
    </row>
    <row r="92" spans="1:21" ht="15.75" customHeight="1">
      <c r="A92" s="4"/>
      <c r="B92" s="4"/>
      <c r="C92" s="4"/>
      <c r="D92" s="4"/>
      <c r="E92" s="4"/>
      <c r="F92" s="4"/>
      <c r="G92" s="4"/>
      <c r="H92" s="4"/>
      <c r="I92" s="4"/>
      <c r="J92" s="4"/>
      <c r="K92" s="4"/>
      <c r="L92" s="4"/>
      <c r="M92" s="4"/>
      <c r="N92" s="4"/>
      <c r="O92" s="4"/>
      <c r="P92" s="4"/>
      <c r="Q92" s="4"/>
      <c r="R92" s="4"/>
      <c r="S92" s="4"/>
      <c r="T92" s="4"/>
      <c r="U92" s="4"/>
    </row>
    <row r="93" spans="1:21" ht="15.75" customHeight="1">
      <c r="A93" s="4"/>
      <c r="B93" s="4"/>
      <c r="C93" s="4"/>
      <c r="D93" s="4"/>
      <c r="E93" s="4"/>
      <c r="F93" s="4"/>
      <c r="G93" s="4"/>
      <c r="H93" s="4"/>
      <c r="I93" s="4"/>
      <c r="J93" s="4"/>
      <c r="K93" s="4"/>
      <c r="L93" s="4"/>
      <c r="M93" s="4"/>
      <c r="N93" s="4"/>
      <c r="O93" s="4"/>
      <c r="P93" s="4"/>
      <c r="Q93" s="4"/>
      <c r="R93" s="4"/>
      <c r="S93" s="4"/>
      <c r="T93" s="4"/>
      <c r="U93" s="4"/>
    </row>
    <row r="94" spans="1:21" ht="15.75" customHeight="1">
      <c r="A94" s="4"/>
      <c r="B94" s="4"/>
      <c r="C94" s="4"/>
      <c r="D94" s="4"/>
      <c r="E94" s="4"/>
      <c r="F94" s="4"/>
      <c r="G94" s="4"/>
      <c r="H94" s="4"/>
      <c r="I94" s="4"/>
      <c r="J94" s="4"/>
      <c r="K94" s="4"/>
      <c r="L94" s="4"/>
      <c r="M94" s="4"/>
      <c r="N94" s="4"/>
      <c r="O94" s="4"/>
      <c r="P94" s="4"/>
      <c r="Q94" s="4"/>
      <c r="R94" s="4"/>
      <c r="S94" s="4"/>
      <c r="T94" s="4"/>
      <c r="U94" s="4"/>
    </row>
    <row r="95" spans="1:21" ht="15.75" customHeight="1">
      <c r="A95" s="4"/>
      <c r="B95" s="4"/>
      <c r="C95" s="4"/>
      <c r="D95" s="4"/>
      <c r="E95" s="4"/>
      <c r="F95" s="4"/>
      <c r="G95" s="4"/>
      <c r="H95" s="4"/>
      <c r="I95" s="4"/>
      <c r="J95" s="4"/>
      <c r="K95" s="4"/>
      <c r="L95" s="4"/>
      <c r="M95" s="4"/>
      <c r="N95" s="4"/>
      <c r="O95" s="4"/>
      <c r="P95" s="4"/>
      <c r="Q95" s="4"/>
      <c r="R95" s="4"/>
      <c r="S95" s="4"/>
      <c r="T95" s="4"/>
      <c r="U95" s="4"/>
    </row>
    <row r="96" spans="1:21" ht="15.75" customHeight="1">
      <c r="A96" s="4"/>
      <c r="B96" s="4"/>
      <c r="C96" s="4"/>
      <c r="D96" s="4"/>
      <c r="E96" s="4"/>
      <c r="F96" s="4"/>
      <c r="G96" s="4"/>
      <c r="H96" s="4"/>
      <c r="I96" s="4"/>
      <c r="J96" s="4"/>
      <c r="K96" s="4"/>
      <c r="L96" s="4"/>
      <c r="M96" s="4"/>
      <c r="N96" s="4"/>
      <c r="O96" s="4"/>
      <c r="P96" s="4"/>
      <c r="Q96" s="4"/>
      <c r="R96" s="4"/>
      <c r="S96" s="4"/>
      <c r="T96" s="4"/>
      <c r="U96" s="4"/>
    </row>
    <row r="97" spans="1:21" ht="15.75" customHeight="1">
      <c r="A97" s="4"/>
      <c r="B97" s="4"/>
      <c r="C97" s="4"/>
      <c r="D97" s="4"/>
      <c r="E97" s="4"/>
      <c r="F97" s="4"/>
      <c r="G97" s="4"/>
      <c r="H97" s="4"/>
      <c r="I97" s="4"/>
      <c r="J97" s="4"/>
      <c r="K97" s="4"/>
      <c r="L97" s="4"/>
      <c r="M97" s="4"/>
      <c r="N97" s="4"/>
      <c r="O97" s="4"/>
      <c r="P97" s="4"/>
      <c r="Q97" s="4"/>
      <c r="R97" s="4"/>
      <c r="S97" s="4"/>
      <c r="T97" s="4"/>
      <c r="U97" s="4"/>
    </row>
    <row r="98" spans="1:21" ht="15.75" customHeight="1">
      <c r="A98" s="4"/>
      <c r="B98" s="4"/>
      <c r="C98" s="4"/>
      <c r="D98" s="4"/>
      <c r="E98" s="4"/>
      <c r="F98" s="4"/>
      <c r="G98" s="4"/>
      <c r="H98" s="4"/>
      <c r="I98" s="4"/>
      <c r="J98" s="4"/>
      <c r="K98" s="4"/>
      <c r="L98" s="4"/>
      <c r="M98" s="4"/>
      <c r="N98" s="4"/>
      <c r="O98" s="4"/>
      <c r="P98" s="4"/>
      <c r="Q98" s="4"/>
      <c r="R98" s="4"/>
      <c r="S98" s="4"/>
      <c r="T98" s="4"/>
      <c r="U98" s="4"/>
    </row>
    <row r="99" spans="1:21" ht="15.75" customHeight="1">
      <c r="A99" s="4"/>
      <c r="B99" s="4"/>
      <c r="C99" s="4"/>
      <c r="D99" s="4"/>
      <c r="E99" s="4"/>
      <c r="F99" s="4"/>
      <c r="G99" s="4"/>
      <c r="H99" s="4"/>
      <c r="I99" s="4"/>
      <c r="J99" s="4"/>
      <c r="K99" s="4"/>
      <c r="L99" s="4"/>
      <c r="M99" s="4"/>
      <c r="N99" s="4"/>
      <c r="O99" s="4"/>
      <c r="P99" s="4"/>
      <c r="Q99" s="4"/>
      <c r="R99" s="4"/>
      <c r="S99" s="4"/>
      <c r="T99" s="4"/>
      <c r="U99" s="4"/>
    </row>
    <row r="100" spans="1:21" ht="15.75" customHeight="1">
      <c r="A100" s="4"/>
      <c r="B100" s="4"/>
      <c r="C100" s="4"/>
      <c r="D100" s="4"/>
      <c r="E100" s="4"/>
      <c r="F100" s="4"/>
      <c r="G100" s="4"/>
      <c r="H100" s="4"/>
      <c r="I100" s="4"/>
      <c r="J100" s="4"/>
      <c r="K100" s="4"/>
      <c r="L100" s="4"/>
      <c r="M100" s="4"/>
      <c r="N100" s="4"/>
      <c r="O100" s="4"/>
      <c r="P100" s="4"/>
      <c r="Q100" s="4"/>
      <c r="R100" s="4"/>
      <c r="S100" s="4"/>
      <c r="T100" s="4"/>
      <c r="U100" s="4"/>
    </row>
    <row r="101" spans="1:21" ht="15.75" customHeight="1">
      <c r="A101" s="4"/>
      <c r="B101" s="4"/>
      <c r="C101" s="4"/>
      <c r="D101" s="4"/>
      <c r="E101" s="4"/>
      <c r="F101" s="4"/>
      <c r="G101" s="4"/>
      <c r="H101" s="4"/>
      <c r="I101" s="4"/>
      <c r="J101" s="4"/>
      <c r="K101" s="4"/>
      <c r="L101" s="4"/>
      <c r="M101" s="4"/>
      <c r="N101" s="4"/>
      <c r="O101" s="4"/>
      <c r="P101" s="4"/>
      <c r="Q101" s="4"/>
      <c r="R101" s="4"/>
      <c r="S101" s="4"/>
      <c r="T101" s="4"/>
      <c r="U101" s="4"/>
    </row>
    <row r="102" spans="1:21" ht="15.75" customHeight="1">
      <c r="A102" s="4"/>
      <c r="B102" s="4"/>
      <c r="C102" s="4"/>
      <c r="D102" s="4"/>
      <c r="E102" s="4"/>
      <c r="F102" s="4"/>
      <c r="G102" s="4"/>
      <c r="H102" s="4"/>
      <c r="I102" s="4"/>
      <c r="J102" s="4"/>
      <c r="K102" s="4"/>
      <c r="L102" s="4"/>
      <c r="M102" s="4"/>
      <c r="N102" s="4"/>
      <c r="O102" s="4"/>
      <c r="P102" s="4"/>
      <c r="Q102" s="4"/>
      <c r="R102" s="4"/>
      <c r="S102" s="4"/>
      <c r="T102" s="4"/>
      <c r="U102" s="4"/>
    </row>
    <row r="103" spans="1:21" ht="15.75" customHeight="1">
      <c r="A103" s="4"/>
      <c r="B103" s="4"/>
      <c r="C103" s="4"/>
      <c r="D103" s="4"/>
      <c r="E103" s="4"/>
      <c r="F103" s="4"/>
      <c r="G103" s="4"/>
      <c r="H103" s="4"/>
      <c r="I103" s="4"/>
      <c r="J103" s="4"/>
      <c r="K103" s="4"/>
      <c r="L103" s="4"/>
      <c r="M103" s="4"/>
      <c r="N103" s="4"/>
      <c r="O103" s="4"/>
      <c r="P103" s="4"/>
      <c r="Q103" s="4"/>
      <c r="R103" s="4"/>
      <c r="S103" s="4"/>
      <c r="T103" s="4"/>
      <c r="U103" s="4"/>
    </row>
    <row r="104" spans="1:21" ht="15.75" customHeight="1">
      <c r="A104" s="4"/>
      <c r="B104" s="4"/>
      <c r="C104" s="4"/>
      <c r="D104" s="4"/>
      <c r="E104" s="4"/>
      <c r="F104" s="4"/>
      <c r="G104" s="4"/>
      <c r="H104" s="4"/>
      <c r="I104" s="4"/>
      <c r="J104" s="4"/>
      <c r="K104" s="4"/>
      <c r="L104" s="4"/>
      <c r="M104" s="4"/>
      <c r="N104" s="4"/>
      <c r="O104" s="4"/>
      <c r="P104" s="4"/>
      <c r="Q104" s="4"/>
      <c r="R104" s="4"/>
      <c r="S104" s="4"/>
      <c r="T104" s="4"/>
      <c r="U104" s="4"/>
    </row>
    <row r="105" spans="1:21" ht="15.75" customHeight="1">
      <c r="A105" s="4"/>
      <c r="B105" s="4"/>
      <c r="C105" s="4"/>
      <c r="D105" s="4"/>
      <c r="E105" s="4"/>
      <c r="F105" s="4"/>
      <c r="G105" s="4"/>
      <c r="H105" s="4"/>
      <c r="I105" s="4"/>
      <c r="J105" s="4"/>
      <c r="K105" s="4"/>
      <c r="L105" s="4"/>
      <c r="M105" s="4"/>
      <c r="N105" s="4"/>
      <c r="O105" s="4"/>
      <c r="P105" s="4"/>
      <c r="Q105" s="4"/>
      <c r="R105" s="4"/>
      <c r="S105" s="4"/>
      <c r="T105" s="4"/>
      <c r="U105" s="4"/>
    </row>
    <row r="106" spans="1:21" ht="15.75" customHeight="1">
      <c r="A106" s="4"/>
      <c r="B106" s="4"/>
      <c r="C106" s="4"/>
      <c r="D106" s="4"/>
      <c r="E106" s="4"/>
      <c r="F106" s="4"/>
      <c r="G106" s="4"/>
      <c r="H106" s="4"/>
      <c r="I106" s="4"/>
      <c r="J106" s="4"/>
      <c r="K106" s="4"/>
      <c r="L106" s="4"/>
      <c r="M106" s="4"/>
      <c r="N106" s="4"/>
      <c r="O106" s="4"/>
      <c r="P106" s="4"/>
      <c r="Q106" s="4"/>
      <c r="R106" s="4"/>
      <c r="S106" s="4"/>
      <c r="T106" s="4"/>
      <c r="U106" s="4"/>
    </row>
    <row r="107" spans="1:21" ht="15.75" customHeight="1">
      <c r="A107" s="4"/>
      <c r="B107" s="4"/>
      <c r="C107" s="4"/>
      <c r="D107" s="4"/>
      <c r="E107" s="4"/>
      <c r="F107" s="4"/>
      <c r="G107" s="4"/>
      <c r="H107" s="4"/>
      <c r="I107" s="4"/>
      <c r="J107" s="4"/>
      <c r="K107" s="4"/>
      <c r="L107" s="4"/>
      <c r="M107" s="4"/>
      <c r="N107" s="4"/>
      <c r="O107" s="4"/>
      <c r="P107" s="4"/>
      <c r="Q107" s="4"/>
      <c r="R107" s="4"/>
      <c r="S107" s="4"/>
      <c r="T107" s="4"/>
      <c r="U107" s="4"/>
    </row>
    <row r="108" spans="1:21" ht="15.75" customHeight="1">
      <c r="A108" s="4"/>
      <c r="B108" s="4"/>
      <c r="C108" s="4"/>
      <c r="D108" s="4"/>
      <c r="E108" s="4"/>
      <c r="F108" s="4"/>
      <c r="G108" s="4"/>
      <c r="H108" s="4"/>
      <c r="I108" s="4"/>
      <c r="J108" s="4"/>
      <c r="K108" s="4"/>
      <c r="L108" s="4"/>
      <c r="M108" s="4"/>
      <c r="N108" s="4"/>
      <c r="O108" s="4"/>
      <c r="P108" s="4"/>
      <c r="Q108" s="4"/>
      <c r="R108" s="4"/>
      <c r="S108" s="4"/>
      <c r="T108" s="4"/>
      <c r="U108" s="4"/>
    </row>
    <row r="109" spans="1:21" ht="15.75" customHeight="1">
      <c r="A109" s="4"/>
      <c r="B109" s="4"/>
      <c r="C109" s="4"/>
      <c r="D109" s="4"/>
      <c r="E109" s="4"/>
      <c r="F109" s="4"/>
      <c r="G109" s="4"/>
      <c r="H109" s="4"/>
      <c r="I109" s="4"/>
      <c r="J109" s="4"/>
      <c r="K109" s="4"/>
      <c r="L109" s="4"/>
      <c r="M109" s="4"/>
      <c r="N109" s="4"/>
      <c r="O109" s="4"/>
      <c r="P109" s="4"/>
      <c r="Q109" s="4"/>
      <c r="R109" s="4"/>
      <c r="S109" s="4"/>
      <c r="T109" s="4"/>
      <c r="U109" s="4"/>
    </row>
    <row r="110" spans="1:21" ht="15.75" customHeight="1">
      <c r="A110" s="4"/>
      <c r="B110" s="4"/>
      <c r="C110" s="4"/>
      <c r="D110" s="4"/>
      <c r="E110" s="4"/>
      <c r="F110" s="4"/>
      <c r="G110" s="4"/>
      <c r="H110" s="4"/>
      <c r="I110" s="4"/>
      <c r="J110" s="4"/>
      <c r="K110" s="4"/>
      <c r="L110" s="4"/>
      <c r="M110" s="4"/>
      <c r="N110" s="4"/>
      <c r="O110" s="4"/>
      <c r="P110" s="4"/>
      <c r="Q110" s="4"/>
      <c r="R110" s="4"/>
      <c r="S110" s="4"/>
      <c r="T110" s="4"/>
      <c r="U110" s="4"/>
    </row>
    <row r="111" spans="1:21" ht="15.75" customHeight="1">
      <c r="A111" s="4"/>
      <c r="B111" s="4"/>
      <c r="C111" s="4"/>
      <c r="D111" s="4"/>
      <c r="E111" s="4"/>
      <c r="F111" s="4"/>
      <c r="G111" s="4"/>
      <c r="H111" s="4"/>
      <c r="I111" s="4"/>
      <c r="J111" s="4"/>
      <c r="K111" s="4"/>
      <c r="L111" s="4"/>
      <c r="M111" s="4"/>
      <c r="N111" s="4"/>
      <c r="O111" s="4"/>
      <c r="P111" s="4"/>
      <c r="Q111" s="4"/>
      <c r="R111" s="4"/>
      <c r="S111" s="4"/>
      <c r="T111" s="4"/>
      <c r="U111" s="4"/>
    </row>
    <row r="112" spans="1:21" ht="15.75" customHeight="1">
      <c r="A112" s="4"/>
      <c r="B112" s="4"/>
      <c r="C112" s="4"/>
      <c r="D112" s="4"/>
      <c r="E112" s="4"/>
      <c r="F112" s="4"/>
      <c r="G112" s="4"/>
      <c r="H112" s="4"/>
      <c r="I112" s="4"/>
      <c r="J112" s="4"/>
      <c r="K112" s="4"/>
      <c r="L112" s="4"/>
      <c r="M112" s="4"/>
      <c r="N112" s="4"/>
      <c r="O112" s="4"/>
      <c r="P112" s="4"/>
      <c r="Q112" s="4"/>
      <c r="R112" s="4"/>
      <c r="S112" s="4"/>
      <c r="T112" s="4"/>
      <c r="U112" s="4"/>
    </row>
    <row r="113" spans="1:21" ht="15.75" customHeight="1">
      <c r="A113" s="4"/>
      <c r="B113" s="4"/>
      <c r="C113" s="4"/>
      <c r="D113" s="4"/>
      <c r="E113" s="4"/>
      <c r="F113" s="4"/>
      <c r="G113" s="4"/>
      <c r="H113" s="4"/>
      <c r="I113" s="4"/>
      <c r="J113" s="4"/>
      <c r="K113" s="4"/>
      <c r="L113" s="4"/>
      <c r="M113" s="4"/>
      <c r="N113" s="4"/>
      <c r="O113" s="4"/>
      <c r="P113" s="4"/>
      <c r="Q113" s="4"/>
      <c r="R113" s="4"/>
      <c r="S113" s="4"/>
      <c r="T113" s="4"/>
      <c r="U113" s="4"/>
    </row>
    <row r="114" spans="1:21" ht="15.75" customHeight="1">
      <c r="A114" s="4"/>
      <c r="B114" s="4"/>
      <c r="C114" s="4"/>
      <c r="D114" s="4"/>
      <c r="E114" s="4"/>
      <c r="F114" s="4"/>
      <c r="G114" s="4"/>
      <c r="H114" s="4"/>
      <c r="I114" s="4"/>
      <c r="J114" s="4"/>
      <c r="K114" s="4"/>
      <c r="L114" s="4"/>
      <c r="M114" s="4"/>
      <c r="N114" s="4"/>
      <c r="O114" s="4"/>
      <c r="P114" s="4"/>
      <c r="Q114" s="4"/>
      <c r="R114" s="4"/>
      <c r="S114" s="4"/>
      <c r="T114" s="4"/>
      <c r="U114" s="4"/>
    </row>
    <row r="115" spans="1:21" ht="15.75" customHeight="1">
      <c r="A115" s="4"/>
      <c r="B115" s="4"/>
      <c r="C115" s="4"/>
      <c r="D115" s="4"/>
      <c r="E115" s="4"/>
      <c r="F115" s="4"/>
      <c r="G115" s="4"/>
      <c r="H115" s="4"/>
      <c r="I115" s="4"/>
      <c r="J115" s="4"/>
      <c r="K115" s="4"/>
      <c r="L115" s="4"/>
      <c r="M115" s="4"/>
      <c r="N115" s="4"/>
      <c r="O115" s="4"/>
      <c r="P115" s="4"/>
      <c r="Q115" s="4"/>
      <c r="R115" s="4"/>
      <c r="S115" s="4"/>
      <c r="T115" s="4"/>
      <c r="U115" s="4"/>
    </row>
    <row r="116" spans="1:21" ht="15.75" customHeight="1">
      <c r="A116" s="4"/>
      <c r="B116" s="4"/>
      <c r="C116" s="4"/>
      <c r="D116" s="4"/>
      <c r="E116" s="4"/>
      <c r="F116" s="4"/>
      <c r="G116" s="4"/>
      <c r="H116" s="4"/>
      <c r="I116" s="4"/>
      <c r="J116" s="4"/>
      <c r="K116" s="4"/>
      <c r="L116" s="4"/>
      <c r="M116" s="4"/>
      <c r="N116" s="4"/>
      <c r="O116" s="4"/>
      <c r="P116" s="4"/>
      <c r="Q116" s="4"/>
      <c r="R116" s="4"/>
      <c r="S116" s="4"/>
      <c r="T116" s="4"/>
      <c r="U116" s="4"/>
    </row>
    <row r="117" spans="1:21" ht="15.75" customHeight="1">
      <c r="A117" s="4"/>
      <c r="B117" s="4"/>
      <c r="C117" s="4"/>
      <c r="D117" s="4"/>
      <c r="E117" s="4"/>
      <c r="F117" s="4"/>
      <c r="G117" s="4"/>
      <c r="H117" s="4"/>
      <c r="I117" s="4"/>
      <c r="J117" s="4"/>
      <c r="K117" s="4"/>
      <c r="L117" s="4"/>
      <c r="M117" s="4"/>
      <c r="N117" s="4"/>
      <c r="O117" s="4"/>
      <c r="P117" s="4"/>
      <c r="Q117" s="4"/>
      <c r="R117" s="4"/>
      <c r="S117" s="4"/>
      <c r="T117" s="4"/>
      <c r="U117" s="4"/>
    </row>
    <row r="118" spans="1:21" ht="15.75" customHeight="1">
      <c r="A118" s="4"/>
      <c r="B118" s="4"/>
      <c r="C118" s="4"/>
      <c r="D118" s="4"/>
      <c r="E118" s="4"/>
      <c r="F118" s="4"/>
      <c r="G118" s="4"/>
      <c r="H118" s="4"/>
      <c r="I118" s="4"/>
      <c r="J118" s="4"/>
      <c r="K118" s="4"/>
      <c r="L118" s="4"/>
      <c r="M118" s="4"/>
      <c r="N118" s="4"/>
      <c r="O118" s="4"/>
      <c r="P118" s="4"/>
      <c r="Q118" s="4"/>
      <c r="R118" s="4"/>
      <c r="S118" s="4"/>
      <c r="T118" s="4"/>
      <c r="U118" s="4"/>
    </row>
    <row r="119" spans="1:21" ht="15.75" customHeight="1">
      <c r="A119" s="4"/>
      <c r="B119" s="4"/>
      <c r="C119" s="4"/>
      <c r="D119" s="4"/>
      <c r="E119" s="4"/>
      <c r="F119" s="4"/>
      <c r="G119" s="4"/>
      <c r="H119" s="4"/>
      <c r="I119" s="4"/>
      <c r="J119" s="4"/>
      <c r="K119" s="4"/>
      <c r="L119" s="4"/>
      <c r="M119" s="4"/>
      <c r="N119" s="4"/>
      <c r="O119" s="4"/>
      <c r="P119" s="4"/>
      <c r="Q119" s="4"/>
      <c r="R119" s="4"/>
      <c r="S119" s="4"/>
      <c r="T119" s="4"/>
      <c r="U119" s="4"/>
    </row>
    <row r="120" spans="1:21" ht="15.75" customHeight="1">
      <c r="A120" s="4"/>
      <c r="B120" s="4"/>
      <c r="C120" s="4"/>
      <c r="D120" s="4"/>
      <c r="E120" s="4"/>
      <c r="F120" s="4"/>
      <c r="G120" s="4"/>
      <c r="H120" s="4"/>
      <c r="I120" s="4"/>
      <c r="J120" s="4"/>
      <c r="K120" s="4"/>
      <c r="L120" s="4"/>
      <c r="M120" s="4"/>
      <c r="N120" s="4"/>
      <c r="O120" s="4"/>
      <c r="P120" s="4"/>
      <c r="Q120" s="4"/>
      <c r="R120" s="4"/>
      <c r="S120" s="4"/>
      <c r="T120" s="4"/>
      <c r="U120" s="4"/>
    </row>
    <row r="121" spans="1:21" ht="15.75" customHeight="1">
      <c r="A121" s="4"/>
      <c r="B121" s="4"/>
      <c r="C121" s="4"/>
      <c r="D121" s="4"/>
      <c r="E121" s="4"/>
      <c r="F121" s="4"/>
      <c r="G121" s="4"/>
      <c r="H121" s="4"/>
      <c r="I121" s="4"/>
      <c r="J121" s="4"/>
      <c r="K121" s="4"/>
      <c r="L121" s="4"/>
      <c r="M121" s="4"/>
      <c r="N121" s="4"/>
      <c r="O121" s="4"/>
      <c r="P121" s="4"/>
      <c r="Q121" s="4"/>
      <c r="R121" s="4"/>
      <c r="S121" s="4"/>
      <c r="T121" s="4"/>
      <c r="U121" s="4"/>
    </row>
    <row r="122" spans="1:21" ht="15.75" customHeight="1">
      <c r="A122" s="4"/>
      <c r="B122" s="4"/>
      <c r="C122" s="4"/>
      <c r="D122" s="4"/>
      <c r="E122" s="4"/>
      <c r="F122" s="4"/>
      <c r="G122" s="4"/>
      <c r="H122" s="4"/>
      <c r="I122" s="4"/>
      <c r="J122" s="4"/>
      <c r="K122" s="4"/>
      <c r="L122" s="4"/>
      <c r="M122" s="4"/>
      <c r="N122" s="4"/>
      <c r="O122" s="4"/>
      <c r="P122" s="4"/>
      <c r="Q122" s="4"/>
      <c r="R122" s="4"/>
      <c r="S122" s="4"/>
      <c r="T122" s="4"/>
      <c r="U122" s="4"/>
    </row>
    <row r="123" spans="1:21" ht="15.75" customHeight="1">
      <c r="A123" s="4"/>
      <c r="B123" s="4"/>
      <c r="C123" s="4"/>
      <c r="D123" s="4"/>
      <c r="E123" s="4"/>
      <c r="F123" s="4"/>
      <c r="G123" s="4"/>
      <c r="H123" s="4"/>
      <c r="I123" s="4"/>
      <c r="J123" s="4"/>
      <c r="K123" s="4"/>
      <c r="L123" s="4"/>
      <c r="M123" s="4"/>
      <c r="N123" s="4"/>
      <c r="O123" s="4"/>
      <c r="P123" s="4"/>
      <c r="Q123" s="4"/>
      <c r="R123" s="4"/>
      <c r="S123" s="4"/>
      <c r="T123" s="4"/>
      <c r="U123" s="4"/>
    </row>
    <row r="124" spans="1:21" ht="15.75" customHeight="1">
      <c r="A124" s="4"/>
      <c r="B124" s="4"/>
      <c r="C124" s="4"/>
      <c r="D124" s="4"/>
      <c r="E124" s="4"/>
      <c r="F124" s="4"/>
      <c r="G124" s="4"/>
      <c r="H124" s="4"/>
      <c r="I124" s="4"/>
      <c r="J124" s="4"/>
      <c r="K124" s="4"/>
      <c r="L124" s="4"/>
      <c r="M124" s="4"/>
      <c r="N124" s="4"/>
      <c r="O124" s="4"/>
      <c r="P124" s="4"/>
      <c r="Q124" s="4"/>
      <c r="R124" s="4"/>
      <c r="S124" s="4"/>
      <c r="T124" s="4"/>
      <c r="U124" s="4"/>
    </row>
    <row r="125" spans="1:21" ht="15.75" customHeight="1">
      <c r="A125" s="4"/>
      <c r="B125" s="4"/>
      <c r="C125" s="4"/>
      <c r="D125" s="4"/>
      <c r="E125" s="4"/>
      <c r="F125" s="4"/>
      <c r="G125" s="4"/>
      <c r="H125" s="4"/>
      <c r="I125" s="4"/>
      <c r="J125" s="4"/>
      <c r="K125" s="4"/>
      <c r="L125" s="4"/>
      <c r="M125" s="4"/>
      <c r="N125" s="4"/>
      <c r="O125" s="4"/>
      <c r="P125" s="4"/>
      <c r="Q125" s="4"/>
      <c r="R125" s="4"/>
      <c r="S125" s="4"/>
      <c r="T125" s="4"/>
      <c r="U125" s="4"/>
    </row>
    <row r="126" spans="1:21" ht="15.75" customHeight="1">
      <c r="A126" s="4"/>
      <c r="B126" s="4"/>
      <c r="C126" s="4"/>
      <c r="D126" s="4"/>
      <c r="E126" s="4"/>
      <c r="F126" s="4"/>
      <c r="G126" s="4"/>
      <c r="H126" s="4"/>
      <c r="I126" s="4"/>
      <c r="J126" s="4"/>
      <c r="K126" s="4"/>
      <c r="L126" s="4"/>
      <c r="M126" s="4"/>
      <c r="N126" s="4"/>
      <c r="O126" s="4"/>
      <c r="P126" s="4"/>
      <c r="Q126" s="4"/>
      <c r="R126" s="4"/>
      <c r="S126" s="4"/>
      <c r="T126" s="4"/>
      <c r="U126" s="4"/>
    </row>
    <row r="127" spans="1:21" ht="15.75" customHeight="1">
      <c r="A127" s="4"/>
      <c r="B127" s="4"/>
      <c r="C127" s="4"/>
      <c r="D127" s="4"/>
      <c r="E127" s="4"/>
      <c r="F127" s="4"/>
      <c r="G127" s="4"/>
      <c r="H127" s="4"/>
      <c r="I127" s="4"/>
      <c r="J127" s="4"/>
      <c r="K127" s="4"/>
      <c r="L127" s="4"/>
      <c r="M127" s="4"/>
      <c r="N127" s="4"/>
      <c r="O127" s="4"/>
      <c r="P127" s="4"/>
      <c r="Q127" s="4"/>
      <c r="R127" s="4"/>
      <c r="S127" s="4"/>
      <c r="T127" s="4"/>
      <c r="U127" s="4"/>
    </row>
    <row r="128" spans="1:21" ht="15.75" customHeight="1">
      <c r="A128" s="4"/>
      <c r="B128" s="4"/>
      <c r="C128" s="4"/>
      <c r="D128" s="4"/>
      <c r="E128" s="4"/>
      <c r="F128" s="4"/>
      <c r="G128" s="4"/>
      <c r="H128" s="4"/>
      <c r="I128" s="4"/>
      <c r="J128" s="4"/>
      <c r="K128" s="4"/>
      <c r="L128" s="4"/>
      <c r="M128" s="4"/>
      <c r="N128" s="4"/>
      <c r="O128" s="4"/>
      <c r="P128" s="4"/>
      <c r="Q128" s="4"/>
      <c r="R128" s="4"/>
      <c r="S128" s="4"/>
      <c r="T128" s="4"/>
      <c r="U128" s="4"/>
    </row>
    <row r="129" spans="1:21" ht="15.75" customHeight="1">
      <c r="A129" s="4"/>
      <c r="B129" s="4"/>
      <c r="C129" s="4"/>
      <c r="D129" s="4"/>
      <c r="E129" s="4"/>
      <c r="F129" s="4"/>
      <c r="G129" s="4"/>
      <c r="H129" s="4"/>
      <c r="I129" s="4"/>
      <c r="J129" s="4"/>
      <c r="K129" s="4"/>
      <c r="L129" s="4"/>
      <c r="M129" s="4"/>
      <c r="N129" s="4"/>
      <c r="O129" s="4"/>
      <c r="P129" s="4"/>
      <c r="Q129" s="4"/>
      <c r="R129" s="4"/>
      <c r="S129" s="4"/>
      <c r="T129" s="4"/>
      <c r="U129" s="4"/>
    </row>
    <row r="130" spans="1:21" ht="15.75" customHeight="1">
      <c r="A130" s="4"/>
      <c r="B130" s="4"/>
      <c r="C130" s="4"/>
      <c r="D130" s="4"/>
      <c r="E130" s="4"/>
      <c r="F130" s="4"/>
      <c r="G130" s="4"/>
      <c r="H130" s="4"/>
      <c r="I130" s="4"/>
      <c r="J130" s="4"/>
      <c r="K130" s="4"/>
      <c r="L130" s="4"/>
      <c r="M130" s="4"/>
      <c r="N130" s="4"/>
      <c r="O130" s="4"/>
      <c r="P130" s="4"/>
      <c r="Q130" s="4"/>
      <c r="R130" s="4"/>
      <c r="S130" s="4"/>
      <c r="T130" s="4"/>
      <c r="U130" s="4"/>
    </row>
    <row r="131" spans="1:21" ht="15.75" customHeight="1">
      <c r="A131" s="4"/>
      <c r="B131" s="4"/>
      <c r="C131" s="4"/>
      <c r="D131" s="4"/>
      <c r="E131" s="4"/>
      <c r="F131" s="4"/>
      <c r="G131" s="4"/>
      <c r="H131" s="4"/>
      <c r="I131" s="4"/>
      <c r="J131" s="4"/>
      <c r="K131" s="4"/>
      <c r="L131" s="4"/>
      <c r="M131" s="4"/>
      <c r="N131" s="4"/>
      <c r="O131" s="4"/>
      <c r="P131" s="4"/>
      <c r="Q131" s="4"/>
      <c r="R131" s="4"/>
      <c r="S131" s="4"/>
      <c r="T131" s="4"/>
      <c r="U131" s="4"/>
    </row>
    <row r="132" spans="1:21" ht="15.75" customHeight="1">
      <c r="A132" s="4"/>
      <c r="B132" s="4"/>
      <c r="C132" s="4"/>
      <c r="D132" s="4"/>
      <c r="E132" s="4"/>
      <c r="F132" s="4"/>
      <c r="G132" s="4"/>
      <c r="H132" s="4"/>
      <c r="I132" s="4"/>
      <c r="J132" s="4"/>
      <c r="K132" s="4"/>
      <c r="L132" s="4"/>
      <c r="M132" s="4"/>
      <c r="N132" s="4"/>
      <c r="O132" s="4"/>
      <c r="P132" s="4"/>
      <c r="Q132" s="4"/>
      <c r="R132" s="4"/>
      <c r="S132" s="4"/>
      <c r="T132" s="4"/>
      <c r="U132" s="4"/>
    </row>
    <row r="133" spans="1:21" ht="15.75" customHeight="1">
      <c r="A133" s="4"/>
      <c r="B133" s="4"/>
      <c r="C133" s="4"/>
      <c r="D133" s="4"/>
      <c r="E133" s="4"/>
      <c r="F133" s="4"/>
      <c r="G133" s="4"/>
      <c r="H133" s="4"/>
      <c r="I133" s="4"/>
      <c r="J133" s="4"/>
      <c r="K133" s="4"/>
      <c r="L133" s="4"/>
      <c r="M133" s="4"/>
      <c r="N133" s="4"/>
      <c r="O133" s="4"/>
      <c r="P133" s="4"/>
      <c r="Q133" s="4"/>
      <c r="R133" s="4"/>
      <c r="S133" s="4"/>
      <c r="T133" s="4"/>
      <c r="U133" s="4"/>
    </row>
    <row r="134" spans="1:21" ht="15.75" customHeight="1">
      <c r="A134" s="4"/>
      <c r="B134" s="4"/>
      <c r="C134" s="4"/>
      <c r="D134" s="4"/>
      <c r="E134" s="4"/>
      <c r="F134" s="4"/>
      <c r="G134" s="4"/>
      <c r="H134" s="4"/>
      <c r="I134" s="4"/>
      <c r="J134" s="4"/>
      <c r="K134" s="4"/>
      <c r="L134" s="4"/>
      <c r="M134" s="4"/>
      <c r="N134" s="4"/>
      <c r="O134" s="4"/>
      <c r="P134" s="4"/>
      <c r="Q134" s="4"/>
      <c r="R134" s="4"/>
      <c r="S134" s="4"/>
      <c r="T134" s="4"/>
      <c r="U134" s="4"/>
    </row>
    <row r="135" spans="1:21" ht="15.75" customHeight="1">
      <c r="A135" s="4"/>
      <c r="B135" s="4"/>
      <c r="C135" s="4"/>
      <c r="D135" s="4"/>
      <c r="E135" s="4"/>
      <c r="F135" s="4"/>
      <c r="G135" s="4"/>
      <c r="H135" s="4"/>
      <c r="I135" s="4"/>
      <c r="J135" s="4"/>
      <c r="K135" s="4"/>
      <c r="L135" s="4"/>
      <c r="M135" s="4"/>
      <c r="N135" s="4"/>
      <c r="O135" s="4"/>
      <c r="P135" s="4"/>
      <c r="Q135" s="4"/>
      <c r="R135" s="4"/>
      <c r="S135" s="4"/>
      <c r="T135" s="4"/>
      <c r="U135" s="4"/>
    </row>
    <row r="136" spans="1:21" ht="15.75" customHeight="1">
      <c r="A136" s="4"/>
      <c r="B136" s="4"/>
      <c r="C136" s="4"/>
      <c r="D136" s="4"/>
      <c r="E136" s="4"/>
      <c r="F136" s="4"/>
      <c r="G136" s="4"/>
      <c r="H136" s="4"/>
      <c r="I136" s="4"/>
      <c r="J136" s="4"/>
      <c r="K136" s="4"/>
      <c r="L136" s="4"/>
      <c r="M136" s="4"/>
      <c r="N136" s="4"/>
      <c r="O136" s="4"/>
      <c r="P136" s="4"/>
      <c r="Q136" s="4"/>
      <c r="R136" s="4"/>
      <c r="S136" s="4"/>
      <c r="T136" s="4"/>
      <c r="U136" s="4"/>
    </row>
    <row r="137" spans="1:21" ht="15.75" customHeight="1">
      <c r="A137" s="4"/>
      <c r="B137" s="4"/>
      <c r="C137" s="4"/>
      <c r="D137" s="4"/>
      <c r="E137" s="4"/>
      <c r="F137" s="4"/>
      <c r="G137" s="4"/>
      <c r="H137" s="4"/>
      <c r="I137" s="4"/>
      <c r="J137" s="4"/>
      <c r="K137" s="4"/>
      <c r="L137" s="4"/>
      <c r="M137" s="4"/>
      <c r="N137" s="4"/>
      <c r="O137" s="4"/>
      <c r="P137" s="4"/>
      <c r="Q137" s="4"/>
      <c r="R137" s="4"/>
      <c r="S137" s="4"/>
      <c r="T137" s="4"/>
      <c r="U137" s="4"/>
    </row>
    <row r="138" spans="1:21" ht="15.75" customHeight="1">
      <c r="A138" s="4"/>
      <c r="B138" s="4"/>
      <c r="C138" s="4"/>
      <c r="D138" s="4"/>
      <c r="E138" s="4"/>
      <c r="F138" s="4"/>
      <c r="G138" s="4"/>
      <c r="H138" s="4"/>
      <c r="I138" s="4"/>
      <c r="J138" s="4"/>
      <c r="K138" s="4"/>
      <c r="L138" s="4"/>
      <c r="M138" s="4"/>
      <c r="N138" s="4"/>
      <c r="O138" s="4"/>
      <c r="P138" s="4"/>
      <c r="Q138" s="4"/>
      <c r="R138" s="4"/>
      <c r="S138" s="4"/>
      <c r="T138" s="4"/>
      <c r="U138" s="4"/>
    </row>
    <row r="139" spans="1:21" ht="15.75" customHeight="1">
      <c r="A139" s="4"/>
      <c r="B139" s="4"/>
      <c r="C139" s="4"/>
      <c r="D139" s="4"/>
      <c r="E139" s="4"/>
      <c r="F139" s="4"/>
      <c r="G139" s="4"/>
      <c r="H139" s="4"/>
      <c r="I139" s="4"/>
      <c r="J139" s="4"/>
      <c r="K139" s="4"/>
      <c r="L139" s="4"/>
      <c r="M139" s="4"/>
      <c r="N139" s="4"/>
      <c r="O139" s="4"/>
      <c r="P139" s="4"/>
      <c r="Q139" s="4"/>
      <c r="R139" s="4"/>
      <c r="S139" s="4"/>
      <c r="T139" s="4"/>
      <c r="U139" s="4"/>
    </row>
    <row r="140" spans="1:21" ht="15.75" customHeight="1">
      <c r="A140" s="4"/>
      <c r="B140" s="4"/>
      <c r="C140" s="4"/>
      <c r="D140" s="4"/>
      <c r="E140" s="4"/>
      <c r="F140" s="4"/>
      <c r="G140" s="4"/>
      <c r="H140" s="4"/>
      <c r="I140" s="4"/>
      <c r="J140" s="4"/>
      <c r="K140" s="4"/>
      <c r="L140" s="4"/>
      <c r="M140" s="4"/>
      <c r="N140" s="4"/>
      <c r="O140" s="4"/>
      <c r="P140" s="4"/>
      <c r="Q140" s="4"/>
      <c r="R140" s="4"/>
      <c r="S140" s="4"/>
      <c r="T140" s="4"/>
      <c r="U140" s="4"/>
    </row>
    <row r="141" spans="1:21" ht="15.75" customHeight="1">
      <c r="A141" s="4"/>
      <c r="B141" s="4"/>
      <c r="C141" s="4"/>
      <c r="D141" s="4"/>
      <c r="E141" s="4"/>
      <c r="F141" s="4"/>
      <c r="G141" s="4"/>
      <c r="H141" s="4"/>
      <c r="I141" s="4"/>
      <c r="J141" s="4"/>
      <c r="K141" s="4"/>
      <c r="L141" s="4"/>
      <c r="M141" s="4"/>
      <c r="N141" s="4"/>
      <c r="O141" s="4"/>
      <c r="P141" s="4"/>
      <c r="Q141" s="4"/>
      <c r="R141" s="4"/>
      <c r="S141" s="4"/>
      <c r="T141" s="4"/>
      <c r="U141" s="4"/>
    </row>
    <row r="142" spans="1:21" ht="15.75" customHeight="1">
      <c r="A142" s="4"/>
      <c r="B142" s="4"/>
      <c r="C142" s="4"/>
      <c r="D142" s="4"/>
      <c r="E142" s="4"/>
      <c r="F142" s="4"/>
      <c r="G142" s="4"/>
      <c r="H142" s="4"/>
      <c r="I142" s="4"/>
      <c r="J142" s="4"/>
      <c r="K142" s="4"/>
      <c r="L142" s="4"/>
      <c r="M142" s="4"/>
      <c r="N142" s="4"/>
      <c r="O142" s="4"/>
      <c r="P142" s="4"/>
      <c r="Q142" s="4"/>
      <c r="R142" s="4"/>
      <c r="S142" s="4"/>
      <c r="T142" s="4"/>
      <c r="U142" s="4"/>
    </row>
    <row r="143" spans="1:21" ht="15.75" customHeight="1">
      <c r="A143" s="4"/>
      <c r="B143" s="4"/>
      <c r="C143" s="4"/>
      <c r="D143" s="4"/>
      <c r="E143" s="4"/>
      <c r="F143" s="4"/>
      <c r="G143" s="4"/>
      <c r="H143" s="4"/>
      <c r="I143" s="4"/>
      <c r="J143" s="4"/>
      <c r="K143" s="4"/>
      <c r="L143" s="4"/>
      <c r="M143" s="4"/>
      <c r="N143" s="4"/>
      <c r="O143" s="4"/>
      <c r="P143" s="4"/>
      <c r="Q143" s="4"/>
      <c r="R143" s="4"/>
      <c r="S143" s="4"/>
      <c r="T143" s="4"/>
      <c r="U143" s="4"/>
    </row>
    <row r="144" spans="1:21" ht="15.75" customHeight="1">
      <c r="A144" s="4"/>
      <c r="B144" s="4"/>
      <c r="C144" s="4"/>
      <c r="D144" s="4"/>
      <c r="E144" s="4"/>
      <c r="F144" s="4"/>
      <c r="G144" s="4"/>
      <c r="H144" s="4"/>
      <c r="I144" s="4"/>
      <c r="J144" s="4"/>
      <c r="K144" s="4"/>
      <c r="L144" s="4"/>
      <c r="M144" s="4"/>
      <c r="N144" s="4"/>
      <c r="O144" s="4"/>
      <c r="P144" s="4"/>
      <c r="Q144" s="4"/>
      <c r="R144" s="4"/>
      <c r="S144" s="4"/>
      <c r="T144" s="4"/>
      <c r="U144" s="4"/>
    </row>
    <row r="145" spans="1:21" ht="15.75" customHeight="1">
      <c r="A145" s="4"/>
      <c r="B145" s="4"/>
      <c r="C145" s="4"/>
      <c r="D145" s="4"/>
      <c r="E145" s="4"/>
      <c r="F145" s="4"/>
      <c r="G145" s="4"/>
      <c r="H145" s="4"/>
      <c r="I145" s="4"/>
      <c r="J145" s="4"/>
      <c r="K145" s="4"/>
      <c r="L145" s="4"/>
      <c r="M145" s="4"/>
      <c r="N145" s="4"/>
      <c r="O145" s="4"/>
      <c r="P145" s="4"/>
      <c r="Q145" s="4"/>
      <c r="R145" s="4"/>
      <c r="S145" s="4"/>
      <c r="T145" s="4"/>
      <c r="U145" s="4"/>
    </row>
    <row r="146" spans="1:21" ht="15.75" customHeight="1">
      <c r="A146" s="4"/>
      <c r="B146" s="4"/>
      <c r="C146" s="4"/>
      <c r="D146" s="4"/>
      <c r="E146" s="4"/>
      <c r="F146" s="4"/>
      <c r="G146" s="4"/>
      <c r="H146" s="4"/>
      <c r="I146" s="4"/>
      <c r="J146" s="4"/>
      <c r="K146" s="4"/>
      <c r="L146" s="4"/>
      <c r="M146" s="4"/>
      <c r="N146" s="4"/>
      <c r="O146" s="4"/>
      <c r="P146" s="4"/>
      <c r="Q146" s="4"/>
      <c r="R146" s="4"/>
      <c r="S146" s="4"/>
      <c r="T146" s="4"/>
      <c r="U146" s="4"/>
    </row>
    <row r="147" spans="1:21" ht="15.75" customHeight="1">
      <c r="A147" s="4"/>
      <c r="B147" s="4"/>
      <c r="C147" s="4"/>
      <c r="D147" s="4"/>
      <c r="E147" s="4"/>
      <c r="F147" s="4"/>
      <c r="G147" s="4"/>
      <c r="H147" s="4"/>
      <c r="I147" s="4"/>
      <c r="J147" s="4"/>
      <c r="K147" s="4"/>
      <c r="L147" s="4"/>
      <c r="M147" s="4"/>
      <c r="N147" s="4"/>
      <c r="O147" s="4"/>
      <c r="P147" s="4"/>
      <c r="Q147" s="4"/>
      <c r="R147" s="4"/>
      <c r="S147" s="4"/>
      <c r="T147" s="4"/>
      <c r="U147" s="4"/>
    </row>
    <row r="148" spans="1:21" ht="15.75" customHeight="1">
      <c r="A148" s="4"/>
      <c r="B148" s="4"/>
      <c r="C148" s="4"/>
      <c r="D148" s="4"/>
      <c r="E148" s="4"/>
      <c r="F148" s="4"/>
      <c r="G148" s="4"/>
      <c r="H148" s="4"/>
      <c r="I148" s="4"/>
      <c r="J148" s="4"/>
      <c r="K148" s="4"/>
      <c r="L148" s="4"/>
      <c r="M148" s="4"/>
      <c r="N148" s="4"/>
      <c r="O148" s="4"/>
      <c r="P148" s="4"/>
      <c r="Q148" s="4"/>
      <c r="R148" s="4"/>
      <c r="S148" s="4"/>
      <c r="T148" s="4"/>
      <c r="U148" s="4"/>
    </row>
    <row r="149" spans="1:21" ht="15.75" customHeight="1">
      <c r="A149" s="4"/>
      <c r="B149" s="4"/>
      <c r="C149" s="4"/>
      <c r="D149" s="4"/>
      <c r="E149" s="4"/>
      <c r="F149" s="4"/>
      <c r="G149" s="4"/>
      <c r="H149" s="4"/>
      <c r="I149" s="4"/>
      <c r="J149" s="4"/>
      <c r="K149" s="4"/>
      <c r="L149" s="4"/>
      <c r="M149" s="4"/>
      <c r="N149" s="4"/>
      <c r="O149" s="4"/>
      <c r="P149" s="4"/>
      <c r="Q149" s="4"/>
      <c r="R149" s="4"/>
      <c r="S149" s="4"/>
      <c r="T149" s="4"/>
      <c r="U149" s="4"/>
    </row>
    <row r="150" spans="1:21" ht="15.75" customHeight="1">
      <c r="A150" s="4"/>
      <c r="B150" s="4"/>
      <c r="C150" s="4"/>
      <c r="D150" s="4"/>
      <c r="E150" s="4"/>
      <c r="F150" s="4"/>
      <c r="G150" s="4"/>
      <c r="H150" s="4"/>
      <c r="I150" s="4"/>
      <c r="J150" s="4"/>
      <c r="K150" s="4"/>
      <c r="L150" s="4"/>
      <c r="M150" s="4"/>
      <c r="N150" s="4"/>
      <c r="O150" s="4"/>
      <c r="P150" s="4"/>
      <c r="Q150" s="4"/>
      <c r="R150" s="4"/>
      <c r="S150" s="4"/>
      <c r="T150" s="4"/>
      <c r="U150" s="4"/>
    </row>
    <row r="151" spans="1:21" ht="15.75" customHeight="1">
      <c r="A151" s="4"/>
      <c r="B151" s="4"/>
      <c r="C151" s="4"/>
      <c r="D151" s="4"/>
      <c r="E151" s="4"/>
      <c r="F151" s="4"/>
      <c r="G151" s="4"/>
      <c r="H151" s="4"/>
      <c r="I151" s="4"/>
      <c r="J151" s="4"/>
      <c r="K151" s="4"/>
      <c r="L151" s="4"/>
      <c r="M151" s="4"/>
      <c r="N151" s="4"/>
      <c r="O151" s="4"/>
      <c r="P151" s="4"/>
      <c r="Q151" s="4"/>
      <c r="R151" s="4"/>
      <c r="S151" s="4"/>
      <c r="T151" s="4"/>
      <c r="U151" s="4"/>
    </row>
    <row r="152" spans="1:21" ht="15.75" customHeight="1">
      <c r="A152" s="4"/>
      <c r="B152" s="4"/>
      <c r="C152" s="4"/>
      <c r="D152" s="4"/>
      <c r="E152" s="4"/>
      <c r="F152" s="4"/>
      <c r="G152" s="4"/>
      <c r="H152" s="4"/>
      <c r="I152" s="4"/>
      <c r="J152" s="4"/>
      <c r="K152" s="4"/>
      <c r="L152" s="4"/>
      <c r="M152" s="4"/>
      <c r="N152" s="4"/>
      <c r="O152" s="4"/>
      <c r="P152" s="4"/>
      <c r="Q152" s="4"/>
      <c r="R152" s="4"/>
      <c r="S152" s="4"/>
      <c r="T152" s="4"/>
      <c r="U152" s="4"/>
    </row>
    <row r="153" spans="1:21" ht="15.75" customHeight="1">
      <c r="A153" s="4"/>
      <c r="B153" s="4"/>
      <c r="C153" s="4"/>
      <c r="D153" s="4"/>
      <c r="E153" s="4"/>
      <c r="F153" s="4"/>
      <c r="G153" s="4"/>
      <c r="H153" s="4"/>
      <c r="I153" s="4"/>
      <c r="J153" s="4"/>
      <c r="K153" s="4"/>
      <c r="L153" s="4"/>
      <c r="M153" s="4"/>
      <c r="N153" s="4"/>
      <c r="O153" s="4"/>
      <c r="P153" s="4"/>
      <c r="Q153" s="4"/>
      <c r="R153" s="4"/>
      <c r="S153" s="4"/>
      <c r="T153" s="4"/>
      <c r="U153" s="4"/>
    </row>
    <row r="154" spans="1:21" ht="15.75" customHeight="1">
      <c r="A154" s="4"/>
      <c r="B154" s="4"/>
      <c r="C154" s="4"/>
      <c r="D154" s="4"/>
      <c r="E154" s="4"/>
      <c r="F154" s="4"/>
      <c r="G154" s="4"/>
      <c r="H154" s="4"/>
      <c r="I154" s="4"/>
      <c r="J154" s="4"/>
      <c r="K154" s="4"/>
      <c r="L154" s="4"/>
      <c r="M154" s="4"/>
      <c r="N154" s="4"/>
      <c r="O154" s="4"/>
      <c r="P154" s="4"/>
      <c r="Q154" s="4"/>
      <c r="R154" s="4"/>
      <c r="S154" s="4"/>
      <c r="T154" s="4"/>
      <c r="U154" s="4"/>
    </row>
    <row r="155" spans="1:21" ht="15.75" customHeight="1">
      <c r="A155" s="4"/>
      <c r="B155" s="4"/>
      <c r="C155" s="4"/>
      <c r="D155" s="4"/>
      <c r="E155" s="4"/>
      <c r="F155" s="4"/>
      <c r="G155" s="4"/>
      <c r="H155" s="4"/>
      <c r="I155" s="4"/>
      <c r="J155" s="4"/>
      <c r="K155" s="4"/>
      <c r="L155" s="4"/>
      <c r="M155" s="4"/>
      <c r="N155" s="4"/>
      <c r="O155" s="4"/>
      <c r="P155" s="4"/>
      <c r="Q155" s="4"/>
      <c r="R155" s="4"/>
      <c r="S155" s="4"/>
      <c r="T155" s="4"/>
      <c r="U155" s="4"/>
    </row>
    <row r="156" spans="1:21" ht="15.75" customHeight="1">
      <c r="A156" s="4"/>
      <c r="B156" s="4"/>
      <c r="C156" s="4"/>
      <c r="D156" s="4"/>
      <c r="E156" s="4"/>
      <c r="F156" s="4"/>
      <c r="G156" s="4"/>
      <c r="H156" s="4"/>
      <c r="I156" s="4"/>
      <c r="J156" s="4"/>
      <c r="K156" s="4"/>
      <c r="L156" s="4"/>
      <c r="M156" s="4"/>
      <c r="N156" s="4"/>
      <c r="O156" s="4"/>
      <c r="P156" s="4"/>
      <c r="Q156" s="4"/>
      <c r="R156" s="4"/>
      <c r="S156" s="4"/>
      <c r="T156" s="4"/>
      <c r="U156" s="4"/>
    </row>
    <row r="157" spans="1:21" ht="15.75" customHeight="1">
      <c r="A157" s="4"/>
      <c r="B157" s="4"/>
      <c r="C157" s="4"/>
      <c r="D157" s="4"/>
      <c r="E157" s="4"/>
      <c r="F157" s="4"/>
      <c r="G157" s="4"/>
      <c r="H157" s="4"/>
      <c r="I157" s="4"/>
      <c r="J157" s="4"/>
      <c r="K157" s="4"/>
      <c r="L157" s="4"/>
      <c r="M157" s="4"/>
      <c r="N157" s="4"/>
      <c r="O157" s="4"/>
      <c r="P157" s="4"/>
      <c r="Q157" s="4"/>
      <c r="R157" s="4"/>
      <c r="S157" s="4"/>
      <c r="T157" s="4"/>
      <c r="U157" s="4"/>
    </row>
    <row r="158" spans="1:21" ht="15.75" customHeight="1">
      <c r="A158" s="4"/>
      <c r="B158" s="4"/>
      <c r="C158" s="4"/>
      <c r="D158" s="4"/>
      <c r="E158" s="4"/>
      <c r="F158" s="4"/>
      <c r="G158" s="4"/>
      <c r="H158" s="4"/>
      <c r="I158" s="4"/>
      <c r="J158" s="4"/>
      <c r="K158" s="4"/>
      <c r="L158" s="4"/>
      <c r="M158" s="4"/>
      <c r="N158" s="4"/>
      <c r="O158" s="4"/>
      <c r="P158" s="4"/>
      <c r="Q158" s="4"/>
      <c r="R158" s="4"/>
      <c r="S158" s="4"/>
      <c r="T158" s="4"/>
      <c r="U158" s="4"/>
    </row>
    <row r="159" spans="1:21" ht="15.75" customHeight="1">
      <c r="A159" s="4"/>
      <c r="B159" s="4"/>
      <c r="C159" s="4"/>
      <c r="D159" s="4"/>
      <c r="E159" s="4"/>
      <c r="F159" s="4"/>
      <c r="G159" s="4"/>
      <c r="H159" s="4"/>
      <c r="I159" s="4"/>
      <c r="J159" s="4"/>
      <c r="K159" s="4"/>
      <c r="L159" s="4"/>
      <c r="M159" s="4"/>
      <c r="N159" s="4"/>
      <c r="O159" s="4"/>
      <c r="P159" s="4"/>
      <c r="Q159" s="4"/>
      <c r="R159" s="4"/>
      <c r="S159" s="4"/>
      <c r="T159" s="4"/>
      <c r="U159" s="4"/>
    </row>
    <row r="160" spans="1:21" ht="15.75" customHeight="1">
      <c r="A160" s="4"/>
      <c r="B160" s="4"/>
      <c r="C160" s="4"/>
      <c r="D160" s="4"/>
      <c r="E160" s="4"/>
      <c r="F160" s="4"/>
      <c r="G160" s="4"/>
      <c r="H160" s="4"/>
      <c r="I160" s="4"/>
      <c r="J160" s="4"/>
      <c r="K160" s="4"/>
      <c r="L160" s="4"/>
      <c r="M160" s="4"/>
      <c r="N160" s="4"/>
      <c r="O160" s="4"/>
      <c r="P160" s="4"/>
      <c r="Q160" s="4"/>
      <c r="R160" s="4"/>
      <c r="S160" s="4"/>
      <c r="T160" s="4"/>
      <c r="U160" s="4"/>
    </row>
    <row r="161" spans="1:21" ht="15.75" customHeight="1">
      <c r="A161" s="4"/>
      <c r="B161" s="4"/>
      <c r="C161" s="4"/>
      <c r="D161" s="4"/>
      <c r="E161" s="4"/>
      <c r="F161" s="4"/>
      <c r="G161" s="4"/>
      <c r="H161" s="4"/>
      <c r="I161" s="4"/>
      <c r="J161" s="4"/>
      <c r="K161" s="4"/>
      <c r="L161" s="4"/>
      <c r="M161" s="4"/>
      <c r="N161" s="4"/>
      <c r="O161" s="4"/>
      <c r="P161" s="4"/>
      <c r="Q161" s="4"/>
      <c r="R161" s="4"/>
      <c r="S161" s="4"/>
      <c r="T161" s="4"/>
      <c r="U161" s="4"/>
    </row>
    <row r="162" spans="1:21" ht="15.75" customHeight="1">
      <c r="A162" s="4"/>
      <c r="B162" s="4"/>
      <c r="C162" s="4"/>
      <c r="D162" s="4"/>
      <c r="E162" s="4"/>
      <c r="F162" s="4"/>
      <c r="G162" s="4"/>
      <c r="H162" s="4"/>
      <c r="I162" s="4"/>
      <c r="J162" s="4"/>
      <c r="K162" s="4"/>
      <c r="L162" s="4"/>
      <c r="M162" s="4"/>
      <c r="N162" s="4"/>
      <c r="O162" s="4"/>
      <c r="P162" s="4"/>
      <c r="Q162" s="4"/>
      <c r="R162" s="4"/>
      <c r="S162" s="4"/>
      <c r="T162" s="4"/>
      <c r="U162" s="4"/>
    </row>
    <row r="163" spans="1:21" ht="15.75" customHeight="1">
      <c r="A163" s="4"/>
      <c r="B163" s="4"/>
      <c r="C163" s="4"/>
      <c r="D163" s="4"/>
      <c r="E163" s="4"/>
      <c r="F163" s="4"/>
      <c r="G163" s="4"/>
      <c r="H163" s="4"/>
      <c r="I163" s="4"/>
      <c r="J163" s="4"/>
      <c r="K163" s="4"/>
      <c r="L163" s="4"/>
      <c r="M163" s="4"/>
      <c r="N163" s="4"/>
      <c r="O163" s="4"/>
      <c r="P163" s="4"/>
      <c r="Q163" s="4"/>
      <c r="R163" s="4"/>
      <c r="S163" s="4"/>
      <c r="T163" s="4"/>
      <c r="U163" s="4"/>
    </row>
    <row r="164" spans="1:21" ht="15.75" customHeight="1">
      <c r="A164" s="4"/>
      <c r="B164" s="4"/>
      <c r="C164" s="4"/>
      <c r="D164" s="4"/>
      <c r="E164" s="4"/>
      <c r="F164" s="4"/>
      <c r="G164" s="4"/>
      <c r="H164" s="4"/>
      <c r="I164" s="4"/>
      <c r="J164" s="4"/>
      <c r="K164" s="4"/>
      <c r="L164" s="4"/>
      <c r="M164" s="4"/>
      <c r="N164" s="4"/>
      <c r="O164" s="4"/>
      <c r="P164" s="4"/>
      <c r="Q164" s="4"/>
      <c r="R164" s="4"/>
      <c r="S164" s="4"/>
      <c r="T164" s="4"/>
      <c r="U164" s="4"/>
    </row>
    <row r="165" spans="1:21" ht="15.75" customHeight="1">
      <c r="A165" s="4"/>
      <c r="B165" s="4"/>
      <c r="C165" s="4"/>
      <c r="D165" s="4"/>
      <c r="E165" s="4"/>
      <c r="F165" s="4"/>
      <c r="G165" s="4"/>
      <c r="H165" s="4"/>
      <c r="I165" s="4"/>
      <c r="J165" s="4"/>
      <c r="K165" s="4"/>
      <c r="L165" s="4"/>
      <c r="M165" s="4"/>
      <c r="N165" s="4"/>
      <c r="O165" s="4"/>
      <c r="P165" s="4"/>
      <c r="Q165" s="4"/>
      <c r="R165" s="4"/>
      <c r="S165" s="4"/>
      <c r="T165" s="4"/>
      <c r="U165" s="4"/>
    </row>
    <row r="166" spans="1:21" ht="15.75" customHeight="1">
      <c r="A166" s="4"/>
      <c r="B166" s="4"/>
      <c r="C166" s="4"/>
      <c r="D166" s="4"/>
      <c r="E166" s="4"/>
      <c r="F166" s="4"/>
      <c r="G166" s="4"/>
      <c r="H166" s="4"/>
      <c r="I166" s="4"/>
      <c r="J166" s="4"/>
      <c r="K166" s="4"/>
      <c r="L166" s="4"/>
      <c r="M166" s="4"/>
      <c r="N166" s="4"/>
      <c r="O166" s="4"/>
      <c r="P166" s="4"/>
      <c r="Q166" s="4"/>
      <c r="R166" s="4"/>
      <c r="S166" s="4"/>
      <c r="T166" s="4"/>
      <c r="U166" s="4"/>
    </row>
    <row r="167" spans="1:21" ht="15.75" customHeight="1">
      <c r="A167" s="4"/>
      <c r="B167" s="4"/>
      <c r="C167" s="4"/>
      <c r="D167" s="4"/>
      <c r="E167" s="4"/>
      <c r="F167" s="4"/>
      <c r="G167" s="4"/>
      <c r="H167" s="4"/>
      <c r="I167" s="4"/>
      <c r="J167" s="4"/>
      <c r="K167" s="4"/>
      <c r="L167" s="4"/>
      <c r="M167" s="4"/>
      <c r="N167" s="4"/>
      <c r="O167" s="4"/>
      <c r="P167" s="4"/>
      <c r="Q167" s="4"/>
      <c r="R167" s="4"/>
      <c r="S167" s="4"/>
      <c r="T167" s="4"/>
      <c r="U167" s="4"/>
    </row>
    <row r="168" spans="1:21" ht="15.75" customHeight="1">
      <c r="A168" s="4"/>
      <c r="B168" s="4"/>
      <c r="C168" s="4"/>
      <c r="D168" s="4"/>
      <c r="E168" s="4"/>
      <c r="F168" s="4"/>
      <c r="G168" s="4"/>
      <c r="H168" s="4"/>
      <c r="I168" s="4"/>
      <c r="J168" s="4"/>
      <c r="K168" s="4"/>
      <c r="L168" s="4"/>
      <c r="M168" s="4"/>
      <c r="N168" s="4"/>
      <c r="O168" s="4"/>
      <c r="P168" s="4"/>
      <c r="Q168" s="4"/>
      <c r="R168" s="4"/>
      <c r="S168" s="4"/>
      <c r="T168" s="4"/>
      <c r="U168" s="4"/>
    </row>
    <row r="169" spans="1:21" ht="15.75" customHeight="1">
      <c r="A169" s="4"/>
      <c r="B169" s="4"/>
      <c r="C169" s="4"/>
      <c r="D169" s="4"/>
      <c r="E169" s="4"/>
      <c r="F169" s="4"/>
      <c r="G169" s="4"/>
      <c r="H169" s="4"/>
      <c r="I169" s="4"/>
      <c r="J169" s="4"/>
      <c r="K169" s="4"/>
      <c r="L169" s="4"/>
      <c r="M169" s="4"/>
      <c r="N169" s="4"/>
      <c r="O169" s="4"/>
      <c r="P169" s="4"/>
      <c r="Q169" s="4"/>
      <c r="R169" s="4"/>
      <c r="S169" s="4"/>
      <c r="T169" s="4"/>
      <c r="U169" s="4"/>
    </row>
    <row r="170" spans="1:21" ht="15.75" customHeight="1">
      <c r="A170" s="4"/>
      <c r="B170" s="4"/>
      <c r="C170" s="4"/>
      <c r="D170" s="4"/>
      <c r="E170" s="4"/>
      <c r="F170" s="4"/>
      <c r="G170" s="4"/>
      <c r="H170" s="4"/>
      <c r="I170" s="4"/>
      <c r="J170" s="4"/>
      <c r="K170" s="4"/>
      <c r="L170" s="4"/>
      <c r="M170" s="4"/>
      <c r="N170" s="4"/>
      <c r="O170" s="4"/>
      <c r="P170" s="4"/>
      <c r="Q170" s="4"/>
      <c r="R170" s="4"/>
      <c r="S170" s="4"/>
      <c r="T170" s="4"/>
      <c r="U170" s="4"/>
    </row>
    <row r="171" spans="1:21" ht="15.75" customHeight="1">
      <c r="A171" s="4"/>
      <c r="B171" s="4"/>
      <c r="C171" s="4"/>
      <c r="D171" s="4"/>
      <c r="E171" s="4"/>
      <c r="F171" s="4"/>
      <c r="G171" s="4"/>
      <c r="H171" s="4"/>
      <c r="I171" s="4"/>
      <c r="J171" s="4"/>
      <c r="K171" s="4"/>
      <c r="L171" s="4"/>
      <c r="M171" s="4"/>
      <c r="N171" s="4"/>
      <c r="O171" s="4"/>
      <c r="P171" s="4"/>
      <c r="Q171" s="4"/>
      <c r="R171" s="4"/>
      <c r="S171" s="4"/>
      <c r="T171" s="4"/>
      <c r="U171" s="4"/>
    </row>
    <row r="172" spans="1:21" ht="15.75" customHeight="1">
      <c r="A172" s="4"/>
      <c r="B172" s="4"/>
      <c r="C172" s="4"/>
      <c r="D172" s="4"/>
      <c r="E172" s="4"/>
      <c r="F172" s="4"/>
      <c r="G172" s="4"/>
      <c r="H172" s="4"/>
      <c r="I172" s="4"/>
      <c r="J172" s="4"/>
      <c r="K172" s="4"/>
      <c r="L172" s="4"/>
      <c r="M172" s="4"/>
      <c r="N172" s="4"/>
      <c r="O172" s="4"/>
      <c r="P172" s="4"/>
      <c r="Q172" s="4"/>
      <c r="R172" s="4"/>
      <c r="S172" s="4"/>
      <c r="T172" s="4"/>
      <c r="U172" s="4"/>
    </row>
    <row r="173" spans="1:21" ht="15.75" customHeight="1">
      <c r="A173" s="4"/>
      <c r="B173" s="4"/>
      <c r="C173" s="4"/>
      <c r="D173" s="4"/>
      <c r="E173" s="4"/>
      <c r="F173" s="4"/>
      <c r="G173" s="4"/>
      <c r="H173" s="4"/>
      <c r="I173" s="4"/>
      <c r="J173" s="4"/>
      <c r="K173" s="4"/>
      <c r="L173" s="4"/>
      <c r="M173" s="4"/>
      <c r="N173" s="4"/>
      <c r="O173" s="4"/>
      <c r="P173" s="4"/>
      <c r="Q173" s="4"/>
      <c r="R173" s="4"/>
      <c r="S173" s="4"/>
      <c r="T173" s="4"/>
      <c r="U173" s="4"/>
    </row>
    <row r="174" spans="1:21" ht="15.75" customHeight="1">
      <c r="A174" s="4"/>
      <c r="B174" s="4"/>
      <c r="C174" s="4"/>
      <c r="D174" s="4"/>
      <c r="E174" s="4"/>
      <c r="F174" s="4"/>
      <c r="G174" s="4"/>
      <c r="H174" s="4"/>
      <c r="I174" s="4"/>
      <c r="J174" s="4"/>
      <c r="K174" s="4"/>
      <c r="L174" s="4"/>
      <c r="M174" s="4"/>
      <c r="N174" s="4"/>
      <c r="O174" s="4"/>
      <c r="P174" s="4"/>
      <c r="Q174" s="4"/>
      <c r="R174" s="4"/>
      <c r="S174" s="4"/>
      <c r="T174" s="4"/>
      <c r="U174" s="4"/>
    </row>
    <row r="175" spans="1:21" ht="15.75" customHeight="1">
      <c r="A175" s="4"/>
      <c r="B175" s="4"/>
      <c r="C175" s="4"/>
      <c r="D175" s="4"/>
      <c r="E175" s="4"/>
      <c r="F175" s="4"/>
      <c r="G175" s="4"/>
      <c r="H175" s="4"/>
      <c r="I175" s="4"/>
      <c r="J175" s="4"/>
      <c r="K175" s="4"/>
      <c r="L175" s="4"/>
      <c r="M175" s="4"/>
      <c r="N175" s="4"/>
      <c r="O175" s="4"/>
      <c r="P175" s="4"/>
      <c r="Q175" s="4"/>
      <c r="R175" s="4"/>
      <c r="S175" s="4"/>
      <c r="T175" s="4"/>
      <c r="U175" s="4"/>
    </row>
    <row r="176" spans="1:21" ht="15.75" customHeight="1">
      <c r="A176" s="4"/>
      <c r="B176" s="4"/>
      <c r="C176" s="4"/>
      <c r="D176" s="4"/>
      <c r="E176" s="4"/>
      <c r="F176" s="4"/>
      <c r="G176" s="4"/>
      <c r="H176" s="4"/>
      <c r="I176" s="4"/>
      <c r="J176" s="4"/>
      <c r="K176" s="4"/>
      <c r="L176" s="4"/>
      <c r="M176" s="4"/>
      <c r="N176" s="4"/>
      <c r="O176" s="4"/>
      <c r="P176" s="4"/>
      <c r="Q176" s="4"/>
      <c r="R176" s="4"/>
      <c r="S176" s="4"/>
      <c r="T176" s="4"/>
      <c r="U176" s="4"/>
    </row>
    <row r="177" spans="1:21" ht="15.75" customHeight="1">
      <c r="A177" s="4"/>
      <c r="B177" s="4"/>
      <c r="C177" s="4"/>
      <c r="D177" s="4"/>
      <c r="E177" s="4"/>
      <c r="F177" s="4"/>
      <c r="G177" s="4"/>
      <c r="H177" s="4"/>
      <c r="I177" s="4"/>
      <c r="J177" s="4"/>
      <c r="K177" s="4"/>
      <c r="L177" s="4"/>
      <c r="M177" s="4"/>
      <c r="N177" s="4"/>
      <c r="O177" s="4"/>
      <c r="P177" s="4"/>
      <c r="Q177" s="4"/>
      <c r="R177" s="4"/>
      <c r="S177" s="4"/>
      <c r="T177" s="4"/>
      <c r="U177" s="4"/>
    </row>
    <row r="178" spans="1:21" ht="15.75" customHeight="1">
      <c r="A178" s="4"/>
      <c r="B178" s="4"/>
      <c r="C178" s="4"/>
      <c r="D178" s="4"/>
      <c r="E178" s="4"/>
      <c r="F178" s="4"/>
      <c r="G178" s="4"/>
      <c r="H178" s="4"/>
      <c r="I178" s="4"/>
      <c r="J178" s="4"/>
      <c r="K178" s="4"/>
      <c r="L178" s="4"/>
      <c r="M178" s="4"/>
      <c r="N178" s="4"/>
      <c r="O178" s="4"/>
      <c r="P178" s="4"/>
      <c r="Q178" s="4"/>
      <c r="R178" s="4"/>
      <c r="S178" s="4"/>
      <c r="T178" s="4"/>
      <c r="U178" s="4"/>
    </row>
    <row r="179" spans="1:21" ht="15.75" customHeight="1">
      <c r="A179" s="4"/>
      <c r="B179" s="4"/>
      <c r="C179" s="4"/>
      <c r="D179" s="4"/>
      <c r="E179" s="4"/>
      <c r="F179" s="4"/>
      <c r="G179" s="4"/>
      <c r="H179" s="4"/>
      <c r="I179" s="4"/>
      <c r="J179" s="4"/>
      <c r="K179" s="4"/>
      <c r="L179" s="4"/>
      <c r="M179" s="4"/>
      <c r="N179" s="4"/>
      <c r="O179" s="4"/>
      <c r="P179" s="4"/>
      <c r="Q179" s="4"/>
      <c r="R179" s="4"/>
      <c r="S179" s="4"/>
      <c r="T179" s="4"/>
      <c r="U179" s="4"/>
    </row>
    <row r="180" spans="1:21" ht="15.75" customHeight="1">
      <c r="A180" s="4"/>
      <c r="B180" s="4"/>
      <c r="C180" s="4"/>
      <c r="D180" s="4"/>
      <c r="E180" s="4"/>
      <c r="F180" s="4"/>
      <c r="G180" s="4"/>
      <c r="H180" s="4"/>
      <c r="I180" s="4"/>
      <c r="J180" s="4"/>
      <c r="K180" s="4"/>
      <c r="L180" s="4"/>
      <c r="M180" s="4"/>
      <c r="N180" s="4"/>
      <c r="O180" s="4"/>
      <c r="P180" s="4"/>
      <c r="Q180" s="4"/>
      <c r="R180" s="4"/>
      <c r="S180" s="4"/>
      <c r="T180" s="4"/>
      <c r="U180" s="4"/>
    </row>
    <row r="181" spans="1:21" ht="15.75" customHeight="1">
      <c r="A181" s="4"/>
      <c r="B181" s="4"/>
      <c r="C181" s="4"/>
      <c r="D181" s="4"/>
      <c r="E181" s="4"/>
      <c r="F181" s="4"/>
      <c r="G181" s="4"/>
      <c r="H181" s="4"/>
      <c r="I181" s="4"/>
      <c r="J181" s="4"/>
      <c r="K181" s="4"/>
      <c r="L181" s="4"/>
      <c r="M181" s="4"/>
      <c r="N181" s="4"/>
      <c r="O181" s="4"/>
      <c r="P181" s="4"/>
      <c r="Q181" s="4"/>
      <c r="R181" s="4"/>
      <c r="S181" s="4"/>
      <c r="T181" s="4"/>
      <c r="U181" s="4"/>
    </row>
    <row r="182" spans="1:21" ht="15.75" customHeight="1">
      <c r="A182" s="4"/>
      <c r="B182" s="4"/>
      <c r="C182" s="4"/>
      <c r="D182" s="4"/>
      <c r="E182" s="4"/>
      <c r="F182" s="4"/>
      <c r="G182" s="4"/>
      <c r="H182" s="4"/>
      <c r="I182" s="4"/>
      <c r="J182" s="4"/>
      <c r="K182" s="4"/>
      <c r="L182" s="4"/>
      <c r="M182" s="4"/>
      <c r="N182" s="4"/>
      <c r="O182" s="4"/>
      <c r="P182" s="4"/>
      <c r="Q182" s="4"/>
      <c r="R182" s="4"/>
      <c r="S182" s="4"/>
      <c r="T182" s="4"/>
      <c r="U182" s="4"/>
    </row>
    <row r="183" spans="1:21" ht="15.75" customHeight="1">
      <c r="A183" s="4"/>
      <c r="B183" s="4"/>
      <c r="C183" s="4"/>
      <c r="D183" s="4"/>
      <c r="E183" s="4"/>
      <c r="F183" s="4"/>
      <c r="G183" s="4"/>
      <c r="H183" s="4"/>
      <c r="I183" s="4"/>
      <c r="J183" s="4"/>
      <c r="K183" s="4"/>
      <c r="L183" s="4"/>
      <c r="M183" s="4"/>
      <c r="N183" s="4"/>
      <c r="O183" s="4"/>
      <c r="P183" s="4"/>
      <c r="Q183" s="4"/>
      <c r="R183" s="4"/>
      <c r="S183" s="4"/>
      <c r="T183" s="4"/>
      <c r="U183" s="4"/>
    </row>
    <row r="184" spans="1:21" ht="15.75" customHeight="1">
      <c r="A184" s="4"/>
      <c r="B184" s="4"/>
      <c r="C184" s="4"/>
      <c r="D184" s="4"/>
      <c r="E184" s="4"/>
      <c r="F184" s="4"/>
      <c r="G184" s="4"/>
      <c r="H184" s="4"/>
      <c r="I184" s="4"/>
      <c r="J184" s="4"/>
      <c r="K184" s="4"/>
      <c r="L184" s="4"/>
      <c r="M184" s="4"/>
      <c r="N184" s="4"/>
      <c r="O184" s="4"/>
      <c r="P184" s="4"/>
      <c r="Q184" s="4"/>
      <c r="R184" s="4"/>
      <c r="S184" s="4"/>
      <c r="T184" s="4"/>
      <c r="U184" s="4"/>
    </row>
    <row r="185" spans="1:21" ht="15.75" customHeight="1">
      <c r="A185" s="4"/>
      <c r="B185" s="4"/>
      <c r="C185" s="4"/>
      <c r="D185" s="4"/>
      <c r="E185" s="4"/>
      <c r="F185" s="4"/>
      <c r="G185" s="4"/>
      <c r="H185" s="4"/>
      <c r="I185" s="4"/>
      <c r="J185" s="4"/>
      <c r="K185" s="4"/>
      <c r="L185" s="4"/>
      <c r="M185" s="4"/>
      <c r="N185" s="4"/>
      <c r="O185" s="4"/>
      <c r="P185" s="4"/>
      <c r="Q185" s="4"/>
      <c r="R185" s="4"/>
      <c r="S185" s="4"/>
      <c r="T185" s="4"/>
      <c r="U185" s="4"/>
    </row>
    <row r="186" spans="1:21" ht="15.75" customHeight="1">
      <c r="A186" s="4"/>
      <c r="B186" s="4"/>
      <c r="C186" s="4"/>
      <c r="D186" s="4"/>
      <c r="E186" s="4"/>
      <c r="F186" s="4"/>
      <c r="G186" s="4"/>
      <c r="H186" s="4"/>
      <c r="I186" s="4"/>
      <c r="J186" s="4"/>
      <c r="K186" s="4"/>
      <c r="L186" s="4"/>
      <c r="M186" s="4"/>
      <c r="N186" s="4"/>
      <c r="O186" s="4"/>
      <c r="P186" s="4"/>
      <c r="Q186" s="4"/>
      <c r="R186" s="4"/>
      <c r="S186" s="4"/>
      <c r="T186" s="4"/>
      <c r="U186" s="4"/>
    </row>
    <row r="187" spans="1:21" ht="15.75" customHeight="1">
      <c r="A187" s="4"/>
      <c r="B187" s="4"/>
      <c r="C187" s="4"/>
      <c r="D187" s="4"/>
      <c r="E187" s="4"/>
      <c r="F187" s="4"/>
      <c r="G187" s="4"/>
      <c r="H187" s="4"/>
      <c r="I187" s="4"/>
      <c r="J187" s="4"/>
      <c r="K187" s="4"/>
      <c r="L187" s="4"/>
      <c r="M187" s="4"/>
      <c r="N187" s="4"/>
      <c r="O187" s="4"/>
      <c r="P187" s="4"/>
      <c r="Q187" s="4"/>
      <c r="R187" s="4"/>
      <c r="S187" s="4"/>
      <c r="T187" s="4"/>
      <c r="U187" s="4"/>
    </row>
    <row r="188" spans="1:21" ht="15.75" customHeight="1">
      <c r="A188" s="4"/>
      <c r="B188" s="4"/>
      <c r="C188" s="4"/>
      <c r="D188" s="4"/>
      <c r="E188" s="4"/>
      <c r="F188" s="4"/>
      <c r="G188" s="4"/>
      <c r="H188" s="4"/>
      <c r="I188" s="4"/>
      <c r="J188" s="4"/>
      <c r="K188" s="4"/>
      <c r="L188" s="4"/>
      <c r="M188" s="4"/>
      <c r="N188" s="4"/>
      <c r="O188" s="4"/>
      <c r="P188" s="4"/>
      <c r="Q188" s="4"/>
      <c r="R188" s="4"/>
      <c r="S188" s="4"/>
      <c r="T188" s="4"/>
      <c r="U188" s="4"/>
    </row>
    <row r="189" spans="1:21" ht="15.75" customHeight="1">
      <c r="A189" s="4"/>
      <c r="B189" s="4"/>
      <c r="C189" s="4"/>
      <c r="D189" s="4"/>
      <c r="E189" s="4"/>
      <c r="F189" s="4"/>
      <c r="G189" s="4"/>
      <c r="H189" s="4"/>
      <c r="I189" s="4"/>
      <c r="J189" s="4"/>
      <c r="K189" s="4"/>
      <c r="L189" s="4"/>
      <c r="M189" s="4"/>
      <c r="N189" s="4"/>
      <c r="O189" s="4"/>
      <c r="P189" s="4"/>
      <c r="Q189" s="4"/>
      <c r="R189" s="4"/>
      <c r="S189" s="4"/>
      <c r="T189" s="4"/>
      <c r="U189" s="4"/>
    </row>
    <row r="190" spans="1:21" ht="15.75" customHeight="1">
      <c r="A190" s="4"/>
      <c r="B190" s="4"/>
      <c r="C190" s="4"/>
      <c r="D190" s="4"/>
      <c r="E190" s="4"/>
      <c r="F190" s="4"/>
      <c r="G190" s="4"/>
      <c r="H190" s="4"/>
      <c r="I190" s="4"/>
      <c r="J190" s="4"/>
      <c r="K190" s="4"/>
      <c r="L190" s="4"/>
      <c r="M190" s="4"/>
      <c r="N190" s="4"/>
      <c r="O190" s="4"/>
      <c r="P190" s="4"/>
      <c r="Q190" s="4"/>
      <c r="R190" s="4"/>
      <c r="S190" s="4"/>
      <c r="T190" s="4"/>
      <c r="U190" s="4"/>
    </row>
    <row r="191" spans="1:21" ht="15.75" customHeight="1">
      <c r="A191" s="4"/>
      <c r="B191" s="4"/>
      <c r="C191" s="4"/>
      <c r="D191" s="4"/>
      <c r="E191" s="4"/>
      <c r="F191" s="4"/>
      <c r="G191" s="4"/>
      <c r="H191" s="4"/>
      <c r="I191" s="4"/>
      <c r="J191" s="4"/>
      <c r="K191" s="4"/>
      <c r="L191" s="4"/>
      <c r="M191" s="4"/>
      <c r="N191" s="4"/>
      <c r="O191" s="4"/>
      <c r="P191" s="4"/>
      <c r="Q191" s="4"/>
      <c r="R191" s="4"/>
      <c r="S191" s="4"/>
      <c r="T191" s="4"/>
      <c r="U191" s="4"/>
    </row>
    <row r="192" spans="1:21" ht="15.75" customHeight="1">
      <c r="A192" s="4"/>
      <c r="B192" s="4"/>
      <c r="C192" s="4"/>
      <c r="D192" s="4"/>
      <c r="E192" s="4"/>
      <c r="F192" s="4"/>
      <c r="G192" s="4"/>
      <c r="H192" s="4"/>
      <c r="I192" s="4"/>
      <c r="J192" s="4"/>
      <c r="K192" s="4"/>
      <c r="L192" s="4"/>
      <c r="M192" s="4"/>
      <c r="N192" s="4"/>
      <c r="O192" s="4"/>
      <c r="P192" s="4"/>
      <c r="Q192" s="4"/>
      <c r="R192" s="4"/>
      <c r="S192" s="4"/>
      <c r="T192" s="4"/>
      <c r="U192" s="4"/>
    </row>
    <row r="193" spans="1:21" ht="15.75" customHeight="1">
      <c r="A193" s="4"/>
      <c r="B193" s="4"/>
      <c r="C193" s="4"/>
      <c r="D193" s="4"/>
      <c r="E193" s="4"/>
      <c r="F193" s="4"/>
      <c r="G193" s="4"/>
      <c r="H193" s="4"/>
      <c r="I193" s="4"/>
      <c r="J193" s="4"/>
      <c r="K193" s="4"/>
      <c r="L193" s="4"/>
      <c r="M193" s="4"/>
      <c r="N193" s="4"/>
      <c r="O193" s="4"/>
      <c r="P193" s="4"/>
      <c r="Q193" s="4"/>
      <c r="R193" s="4"/>
      <c r="S193" s="4"/>
      <c r="T193" s="4"/>
      <c r="U193" s="4"/>
    </row>
    <row r="194" spans="1:21" ht="15.75" customHeight="1">
      <c r="A194" s="4"/>
      <c r="B194" s="4"/>
      <c r="C194" s="4"/>
      <c r="D194" s="4"/>
      <c r="E194" s="4"/>
      <c r="F194" s="4"/>
      <c r="G194" s="4"/>
      <c r="H194" s="4"/>
      <c r="I194" s="4"/>
      <c r="J194" s="4"/>
      <c r="K194" s="4"/>
      <c r="L194" s="4"/>
      <c r="M194" s="4"/>
      <c r="N194" s="4"/>
      <c r="O194" s="4"/>
      <c r="P194" s="4"/>
      <c r="Q194" s="4"/>
      <c r="R194" s="4"/>
      <c r="S194" s="4"/>
      <c r="T194" s="4"/>
      <c r="U194" s="4"/>
    </row>
    <row r="195" spans="1:21" ht="15.75" customHeight="1">
      <c r="A195" s="4"/>
      <c r="B195" s="4"/>
      <c r="C195" s="4"/>
      <c r="D195" s="4"/>
      <c r="E195" s="4"/>
      <c r="F195" s="4"/>
      <c r="G195" s="4"/>
      <c r="H195" s="4"/>
      <c r="I195" s="4"/>
      <c r="J195" s="4"/>
      <c r="K195" s="4"/>
      <c r="L195" s="4"/>
      <c r="M195" s="4"/>
      <c r="N195" s="4"/>
      <c r="O195" s="4"/>
      <c r="P195" s="4"/>
      <c r="Q195" s="4"/>
      <c r="R195" s="4"/>
      <c r="S195" s="4"/>
      <c r="T195" s="4"/>
      <c r="U195" s="4"/>
    </row>
    <row r="196" spans="1:21" ht="15.75" customHeight="1">
      <c r="A196" s="4"/>
      <c r="B196" s="4"/>
      <c r="C196" s="4"/>
      <c r="D196" s="4"/>
      <c r="E196" s="4"/>
      <c r="F196" s="4"/>
      <c r="G196" s="4"/>
      <c r="H196" s="4"/>
      <c r="I196" s="4"/>
      <c r="J196" s="4"/>
      <c r="K196" s="4"/>
      <c r="L196" s="4"/>
      <c r="M196" s="4"/>
      <c r="N196" s="4"/>
      <c r="O196" s="4"/>
      <c r="P196" s="4"/>
      <c r="Q196" s="4"/>
      <c r="R196" s="4"/>
      <c r="S196" s="4"/>
      <c r="T196" s="4"/>
      <c r="U196" s="4"/>
    </row>
    <row r="197" spans="1:21" ht="15.75" customHeight="1">
      <c r="A197" s="4"/>
      <c r="B197" s="4"/>
      <c r="C197" s="4"/>
      <c r="D197" s="4"/>
      <c r="E197" s="4"/>
      <c r="F197" s="4"/>
      <c r="G197" s="4"/>
      <c r="H197" s="4"/>
      <c r="I197" s="4"/>
      <c r="J197" s="4"/>
      <c r="K197" s="4"/>
      <c r="L197" s="4"/>
      <c r="M197" s="4"/>
      <c r="N197" s="4"/>
      <c r="O197" s="4"/>
      <c r="P197" s="4"/>
      <c r="Q197" s="4"/>
      <c r="R197" s="4"/>
      <c r="S197" s="4"/>
      <c r="T197" s="4"/>
      <c r="U197" s="4"/>
    </row>
    <row r="198" spans="1:21" ht="15.75" customHeight="1">
      <c r="A198" s="4"/>
      <c r="B198" s="4"/>
      <c r="C198" s="4"/>
      <c r="D198" s="4"/>
      <c r="E198" s="4"/>
      <c r="F198" s="4"/>
      <c r="G198" s="4"/>
      <c r="H198" s="4"/>
      <c r="I198" s="4"/>
      <c r="J198" s="4"/>
      <c r="K198" s="4"/>
      <c r="L198" s="4"/>
      <c r="M198" s="4"/>
      <c r="N198" s="4"/>
      <c r="O198" s="4"/>
      <c r="P198" s="4"/>
      <c r="Q198" s="4"/>
      <c r="R198" s="4"/>
      <c r="S198" s="4"/>
      <c r="T198" s="4"/>
      <c r="U198" s="4"/>
    </row>
    <row r="199" spans="1:21" ht="15.75" customHeight="1">
      <c r="A199" s="4"/>
      <c r="B199" s="4"/>
      <c r="C199" s="4"/>
      <c r="D199" s="4"/>
      <c r="E199" s="4"/>
      <c r="F199" s="4"/>
      <c r="G199" s="4"/>
      <c r="H199" s="4"/>
      <c r="I199" s="4"/>
      <c r="J199" s="4"/>
      <c r="K199" s="4"/>
      <c r="L199" s="4"/>
      <c r="M199" s="4"/>
      <c r="N199" s="4"/>
      <c r="O199" s="4"/>
      <c r="P199" s="4"/>
      <c r="Q199" s="4"/>
      <c r="R199" s="4"/>
      <c r="S199" s="4"/>
      <c r="T199" s="4"/>
      <c r="U199" s="4"/>
    </row>
    <row r="200" spans="1:21" ht="15.75" customHeight="1">
      <c r="A200" s="4"/>
      <c r="B200" s="4"/>
      <c r="C200" s="4"/>
      <c r="D200" s="4"/>
      <c r="E200" s="4"/>
      <c r="F200" s="4"/>
      <c r="G200" s="4"/>
      <c r="H200" s="4"/>
      <c r="I200" s="4"/>
      <c r="J200" s="4"/>
      <c r="K200" s="4"/>
      <c r="L200" s="4"/>
      <c r="M200" s="4"/>
      <c r="N200" s="4"/>
      <c r="O200" s="4"/>
      <c r="P200" s="4"/>
      <c r="Q200" s="4"/>
      <c r="R200" s="4"/>
      <c r="S200" s="4"/>
      <c r="T200" s="4"/>
      <c r="U200" s="4"/>
    </row>
    <row r="201" spans="1:21" ht="15.75" customHeight="1">
      <c r="A201" s="4"/>
      <c r="B201" s="4"/>
      <c r="C201" s="4"/>
      <c r="D201" s="4"/>
      <c r="E201" s="4"/>
      <c r="F201" s="4"/>
      <c r="G201" s="4"/>
      <c r="H201" s="4"/>
      <c r="I201" s="4"/>
      <c r="J201" s="4"/>
      <c r="K201" s="4"/>
      <c r="L201" s="4"/>
      <c r="M201" s="4"/>
      <c r="N201" s="4"/>
      <c r="O201" s="4"/>
      <c r="P201" s="4"/>
      <c r="Q201" s="4"/>
      <c r="R201" s="4"/>
      <c r="S201" s="4"/>
      <c r="T201" s="4"/>
      <c r="U201" s="4"/>
    </row>
    <row r="202" spans="1:21" ht="15.75" customHeight="1">
      <c r="A202" s="4"/>
      <c r="B202" s="4"/>
      <c r="C202" s="4"/>
      <c r="D202" s="4"/>
      <c r="E202" s="4"/>
      <c r="F202" s="4"/>
      <c r="G202" s="4"/>
      <c r="H202" s="4"/>
      <c r="I202" s="4"/>
      <c r="J202" s="4"/>
      <c r="K202" s="4"/>
      <c r="L202" s="4"/>
      <c r="M202" s="4"/>
      <c r="N202" s="4"/>
      <c r="O202" s="4"/>
      <c r="P202" s="4"/>
      <c r="Q202" s="4"/>
      <c r="R202" s="4"/>
      <c r="S202" s="4"/>
      <c r="T202" s="4"/>
      <c r="U202" s="4"/>
    </row>
    <row r="203" spans="1:21" ht="15.75" customHeight="1">
      <c r="A203" s="4"/>
      <c r="B203" s="4"/>
      <c r="C203" s="4"/>
      <c r="D203" s="4"/>
      <c r="E203" s="4"/>
      <c r="F203" s="4"/>
      <c r="G203" s="4"/>
      <c r="H203" s="4"/>
      <c r="I203" s="4"/>
      <c r="J203" s="4"/>
      <c r="K203" s="4"/>
      <c r="L203" s="4"/>
      <c r="M203" s="4"/>
      <c r="N203" s="4"/>
      <c r="O203" s="4"/>
      <c r="P203" s="4"/>
      <c r="Q203" s="4"/>
      <c r="R203" s="4"/>
      <c r="S203" s="4"/>
      <c r="T203" s="4"/>
      <c r="U203" s="4"/>
    </row>
    <row r="204" spans="1:21" ht="15.75" customHeight="1">
      <c r="A204" s="4"/>
      <c r="B204" s="4"/>
      <c r="C204" s="4"/>
      <c r="D204" s="4"/>
      <c r="E204" s="4"/>
      <c r="F204" s="4"/>
      <c r="G204" s="4"/>
      <c r="H204" s="4"/>
      <c r="I204" s="4"/>
      <c r="J204" s="4"/>
      <c r="K204" s="4"/>
      <c r="L204" s="4"/>
      <c r="M204" s="4"/>
      <c r="N204" s="4"/>
      <c r="O204" s="4"/>
      <c r="P204" s="4"/>
      <c r="Q204" s="4"/>
      <c r="R204" s="4"/>
      <c r="S204" s="4"/>
      <c r="T204" s="4"/>
      <c r="U204" s="4"/>
    </row>
    <row r="205" spans="1:21" ht="15.75" customHeight="1">
      <c r="A205" s="4"/>
      <c r="B205" s="4"/>
      <c r="C205" s="4"/>
      <c r="D205" s="4"/>
      <c r="E205" s="4"/>
      <c r="F205" s="4"/>
      <c r="G205" s="4"/>
      <c r="H205" s="4"/>
      <c r="I205" s="4"/>
      <c r="J205" s="4"/>
      <c r="K205" s="4"/>
      <c r="L205" s="4"/>
      <c r="M205" s="4"/>
      <c r="N205" s="4"/>
      <c r="O205" s="4"/>
      <c r="P205" s="4"/>
      <c r="Q205" s="4"/>
      <c r="R205" s="4"/>
      <c r="S205" s="4"/>
      <c r="T205" s="4"/>
      <c r="U205" s="4"/>
    </row>
    <row r="206" spans="1:21" ht="15.75" customHeight="1">
      <c r="A206" s="4"/>
      <c r="B206" s="4"/>
      <c r="C206" s="4"/>
      <c r="D206" s="4"/>
      <c r="E206" s="4"/>
      <c r="F206" s="4"/>
      <c r="G206" s="4"/>
      <c r="H206" s="4"/>
      <c r="I206" s="4"/>
      <c r="J206" s="4"/>
      <c r="K206" s="4"/>
      <c r="L206" s="4"/>
      <c r="M206" s="4"/>
      <c r="N206" s="4"/>
      <c r="O206" s="4"/>
      <c r="P206" s="4"/>
      <c r="Q206" s="4"/>
      <c r="R206" s="4"/>
      <c r="S206" s="4"/>
      <c r="T206" s="4"/>
      <c r="U206" s="4"/>
    </row>
    <row r="207" spans="1:21" ht="15.75" customHeight="1">
      <c r="A207" s="4"/>
      <c r="B207" s="4"/>
      <c r="C207" s="4"/>
      <c r="D207" s="4"/>
      <c r="E207" s="4"/>
      <c r="F207" s="4"/>
      <c r="G207" s="4"/>
      <c r="H207" s="4"/>
      <c r="I207" s="4"/>
      <c r="J207" s="4"/>
      <c r="K207" s="4"/>
      <c r="L207" s="4"/>
      <c r="M207" s="4"/>
      <c r="N207" s="4"/>
      <c r="O207" s="4"/>
      <c r="P207" s="4"/>
      <c r="Q207" s="4"/>
      <c r="R207" s="4"/>
      <c r="S207" s="4"/>
      <c r="T207" s="4"/>
      <c r="U207" s="4"/>
    </row>
    <row r="208" spans="1:21" ht="15.75" customHeight="1">
      <c r="A208" s="4"/>
      <c r="B208" s="4"/>
      <c r="C208" s="4"/>
      <c r="D208" s="4"/>
      <c r="E208" s="4"/>
      <c r="F208" s="4"/>
      <c r="G208" s="4"/>
      <c r="H208" s="4"/>
      <c r="I208" s="4"/>
      <c r="J208" s="4"/>
      <c r="K208" s="4"/>
      <c r="L208" s="4"/>
      <c r="M208" s="4"/>
      <c r="N208" s="4"/>
      <c r="O208" s="4"/>
      <c r="P208" s="4"/>
      <c r="Q208" s="4"/>
      <c r="R208" s="4"/>
      <c r="S208" s="4"/>
      <c r="T208" s="4"/>
      <c r="U208" s="4"/>
    </row>
    <row r="209" spans="1:21" ht="15.75" customHeight="1">
      <c r="A209" s="4"/>
      <c r="B209" s="4"/>
      <c r="C209" s="4"/>
      <c r="D209" s="4"/>
      <c r="E209" s="4"/>
      <c r="F209" s="4"/>
      <c r="G209" s="4"/>
      <c r="H209" s="4"/>
      <c r="I209" s="4"/>
      <c r="J209" s="4"/>
      <c r="K209" s="4"/>
      <c r="L209" s="4"/>
      <c r="M209" s="4"/>
      <c r="N209" s="4"/>
      <c r="O209" s="4"/>
      <c r="P209" s="4"/>
      <c r="Q209" s="4"/>
      <c r="R209" s="4"/>
      <c r="S209" s="4"/>
      <c r="T209" s="4"/>
      <c r="U209" s="4"/>
    </row>
    <row r="210" spans="1:21" ht="15.75" customHeight="1">
      <c r="A210" s="4"/>
      <c r="B210" s="4"/>
      <c r="C210" s="4"/>
      <c r="D210" s="4"/>
      <c r="E210" s="4"/>
      <c r="F210" s="4"/>
      <c r="G210" s="4"/>
      <c r="H210" s="4"/>
      <c r="I210" s="4"/>
      <c r="J210" s="4"/>
      <c r="K210" s="4"/>
      <c r="L210" s="4"/>
      <c r="M210" s="4"/>
      <c r="N210" s="4"/>
      <c r="O210" s="4"/>
      <c r="P210" s="4"/>
      <c r="Q210" s="4"/>
      <c r="R210" s="4"/>
      <c r="S210" s="4"/>
      <c r="T210" s="4"/>
      <c r="U210" s="4"/>
    </row>
    <row r="211" spans="1:21" ht="15.75" customHeight="1">
      <c r="A211" s="4"/>
      <c r="B211" s="4"/>
      <c r="C211" s="4"/>
      <c r="D211" s="4"/>
      <c r="E211" s="4"/>
      <c r="F211" s="4"/>
      <c r="G211" s="4"/>
      <c r="H211" s="4"/>
      <c r="I211" s="4"/>
      <c r="J211" s="4"/>
      <c r="K211" s="4"/>
      <c r="L211" s="4"/>
      <c r="M211" s="4"/>
      <c r="N211" s="4"/>
      <c r="O211" s="4"/>
      <c r="P211" s="4"/>
      <c r="Q211" s="4"/>
      <c r="R211" s="4"/>
      <c r="S211" s="4"/>
      <c r="T211" s="4"/>
      <c r="U211" s="4"/>
    </row>
    <row r="212" spans="1:21" ht="15.75" customHeight="1">
      <c r="A212" s="4"/>
      <c r="B212" s="4"/>
      <c r="C212" s="4"/>
      <c r="D212" s="4"/>
      <c r="E212" s="4"/>
      <c r="F212" s="4"/>
      <c r="G212" s="4"/>
      <c r="H212" s="4"/>
      <c r="I212" s="4"/>
      <c r="J212" s="4"/>
      <c r="K212" s="4"/>
      <c r="L212" s="4"/>
      <c r="M212" s="4"/>
      <c r="N212" s="4"/>
      <c r="O212" s="4"/>
      <c r="P212" s="4"/>
      <c r="Q212" s="4"/>
      <c r="R212" s="4"/>
      <c r="S212" s="4"/>
      <c r="T212" s="4"/>
      <c r="U212" s="4"/>
    </row>
    <row r="213" spans="1:21" ht="15.75" customHeight="1">
      <c r="A213" s="4"/>
      <c r="B213" s="4"/>
      <c r="C213" s="4"/>
      <c r="D213" s="4"/>
      <c r="E213" s="4"/>
      <c r="F213" s="4"/>
      <c r="G213" s="4"/>
      <c r="H213" s="4"/>
      <c r="I213" s="4"/>
      <c r="J213" s="4"/>
      <c r="K213" s="4"/>
      <c r="L213" s="4"/>
      <c r="M213" s="4"/>
      <c r="N213" s="4"/>
      <c r="O213" s="4"/>
      <c r="P213" s="4"/>
      <c r="Q213" s="4"/>
      <c r="R213" s="4"/>
      <c r="S213" s="4"/>
      <c r="T213" s="4"/>
      <c r="U213" s="4"/>
    </row>
    <row r="214" spans="1:21" ht="15.75" customHeight="1">
      <c r="A214" s="4"/>
      <c r="B214" s="4"/>
      <c r="C214" s="4"/>
      <c r="D214" s="4"/>
      <c r="E214" s="4"/>
      <c r="F214" s="4"/>
      <c r="G214" s="4"/>
      <c r="H214" s="4"/>
      <c r="I214" s="4"/>
      <c r="J214" s="4"/>
      <c r="K214" s="4"/>
      <c r="L214" s="4"/>
      <c r="M214" s="4"/>
      <c r="N214" s="4"/>
      <c r="O214" s="4"/>
      <c r="P214" s="4"/>
      <c r="Q214" s="4"/>
      <c r="R214" s="4"/>
      <c r="S214" s="4"/>
      <c r="T214" s="4"/>
      <c r="U214" s="4"/>
    </row>
    <row r="215" spans="1:21" ht="15.75" customHeight="1">
      <c r="A215" s="4"/>
      <c r="B215" s="4"/>
      <c r="C215" s="4"/>
      <c r="D215" s="4"/>
      <c r="E215" s="4"/>
      <c r="F215" s="4"/>
      <c r="G215" s="4"/>
      <c r="H215" s="4"/>
      <c r="I215" s="4"/>
      <c r="J215" s="4"/>
      <c r="K215" s="4"/>
      <c r="L215" s="4"/>
      <c r="M215" s="4"/>
      <c r="N215" s="4"/>
      <c r="O215" s="4"/>
      <c r="P215" s="4"/>
      <c r="Q215" s="4"/>
      <c r="R215" s="4"/>
      <c r="S215" s="4"/>
      <c r="T215" s="4"/>
      <c r="U215" s="4"/>
    </row>
    <row r="216" spans="1:21" ht="15.75" customHeight="1">
      <c r="A216" s="4"/>
      <c r="B216" s="4"/>
      <c r="C216" s="4"/>
      <c r="D216" s="4"/>
      <c r="E216" s="4"/>
      <c r="F216" s="4"/>
      <c r="G216" s="4"/>
      <c r="H216" s="4"/>
      <c r="I216" s="4"/>
      <c r="J216" s="4"/>
      <c r="K216" s="4"/>
      <c r="L216" s="4"/>
      <c r="M216" s="4"/>
      <c r="N216" s="4"/>
      <c r="O216" s="4"/>
      <c r="P216" s="4"/>
      <c r="Q216" s="4"/>
      <c r="R216" s="4"/>
      <c r="S216" s="4"/>
      <c r="T216" s="4"/>
      <c r="U216" s="4"/>
    </row>
    <row r="217" spans="1:21" ht="15.75" customHeight="1">
      <c r="A217" s="4"/>
      <c r="B217" s="4"/>
      <c r="C217" s="4"/>
      <c r="D217" s="4"/>
      <c r="E217" s="4"/>
      <c r="F217" s="4"/>
      <c r="G217" s="4"/>
      <c r="H217" s="4"/>
      <c r="I217" s="4"/>
      <c r="J217" s="4"/>
      <c r="K217" s="4"/>
      <c r="L217" s="4"/>
      <c r="M217" s="4"/>
      <c r="N217" s="4"/>
      <c r="O217" s="4"/>
      <c r="P217" s="4"/>
      <c r="Q217" s="4"/>
      <c r="R217" s="4"/>
      <c r="S217" s="4"/>
      <c r="T217" s="4"/>
      <c r="U217" s="4"/>
    </row>
    <row r="218" spans="1:21" ht="15.75" customHeight="1">
      <c r="A218" s="4"/>
      <c r="B218" s="4"/>
      <c r="C218" s="4"/>
      <c r="D218" s="4"/>
      <c r="E218" s="4"/>
      <c r="F218" s="4"/>
      <c r="G218" s="4"/>
      <c r="H218" s="4"/>
      <c r="I218" s="4"/>
      <c r="J218" s="4"/>
      <c r="K218" s="4"/>
      <c r="L218" s="4"/>
      <c r="M218" s="4"/>
      <c r="N218" s="4"/>
      <c r="O218" s="4"/>
      <c r="P218" s="4"/>
      <c r="Q218" s="4"/>
      <c r="R218" s="4"/>
      <c r="S218" s="4"/>
      <c r="T218" s="4"/>
      <c r="U218" s="4"/>
    </row>
    <row r="219" spans="1:21" ht="15.75" customHeight="1">
      <c r="A219" s="4"/>
      <c r="B219" s="4"/>
      <c r="C219" s="4"/>
      <c r="D219" s="4"/>
      <c r="E219" s="4"/>
      <c r="F219" s="4"/>
      <c r="G219" s="4"/>
      <c r="H219" s="4"/>
      <c r="I219" s="4"/>
      <c r="J219" s="4"/>
      <c r="K219" s="4"/>
      <c r="L219" s="4"/>
      <c r="M219" s="4"/>
      <c r="N219" s="4"/>
      <c r="O219" s="4"/>
      <c r="P219" s="4"/>
      <c r="Q219" s="4"/>
      <c r="R219" s="4"/>
      <c r="S219" s="4"/>
      <c r="T219" s="4"/>
      <c r="U219" s="4"/>
    </row>
    <row r="220" spans="1:21" ht="15.75" customHeight="1">
      <c r="A220" s="4"/>
      <c r="B220" s="4"/>
      <c r="C220" s="4"/>
      <c r="D220" s="4"/>
      <c r="E220" s="4"/>
      <c r="F220" s="4"/>
      <c r="G220" s="4"/>
      <c r="H220" s="4"/>
      <c r="I220" s="4"/>
      <c r="J220" s="4"/>
      <c r="K220" s="4"/>
      <c r="L220" s="4"/>
      <c r="M220" s="4"/>
      <c r="N220" s="4"/>
      <c r="O220" s="4"/>
      <c r="P220" s="4"/>
      <c r="Q220" s="4"/>
      <c r="R220" s="4"/>
      <c r="S220" s="4"/>
      <c r="T220" s="4"/>
      <c r="U220" s="4"/>
    </row>
    <row r="221" spans="1:21" ht="15.75" customHeight="1">
      <c r="A221" s="4"/>
      <c r="B221" s="4"/>
      <c r="C221" s="4"/>
      <c r="D221" s="4"/>
      <c r="E221" s="4"/>
      <c r="F221" s="4"/>
      <c r="G221" s="4"/>
      <c r="H221" s="4"/>
      <c r="I221" s="4"/>
      <c r="J221" s="4"/>
      <c r="K221" s="4"/>
      <c r="L221" s="4"/>
      <c r="M221" s="4"/>
      <c r="N221" s="4"/>
      <c r="O221" s="4"/>
      <c r="P221" s="4"/>
      <c r="Q221" s="4"/>
      <c r="R221" s="4"/>
      <c r="S221" s="4"/>
      <c r="T221" s="4"/>
      <c r="U221" s="4"/>
    </row>
    <row r="222" spans="1:21" ht="15.75" customHeight="1">
      <c r="A222" s="4"/>
      <c r="B222" s="4"/>
      <c r="C222" s="4"/>
      <c r="D222" s="4"/>
      <c r="E222" s="4"/>
      <c r="F222" s="4"/>
      <c r="G222" s="4"/>
      <c r="H222" s="4"/>
      <c r="I222" s="4"/>
      <c r="J222" s="4"/>
      <c r="K222" s="4"/>
      <c r="L222" s="4"/>
      <c r="M222" s="4"/>
      <c r="N222" s="4"/>
      <c r="O222" s="4"/>
      <c r="P222" s="4"/>
      <c r="Q222" s="4"/>
      <c r="R222" s="4"/>
      <c r="S222" s="4"/>
      <c r="T222" s="4"/>
      <c r="U222" s="4"/>
    </row>
    <row r="223" spans="1:21" ht="15.75" customHeight="1">
      <c r="A223" s="4"/>
      <c r="B223" s="4"/>
      <c r="C223" s="4"/>
      <c r="D223" s="4"/>
      <c r="E223" s="4"/>
      <c r="F223" s="4"/>
      <c r="G223" s="4"/>
      <c r="H223" s="4"/>
      <c r="I223" s="4"/>
      <c r="J223" s="4"/>
      <c r="K223" s="4"/>
      <c r="L223" s="4"/>
      <c r="M223" s="4"/>
      <c r="N223" s="4"/>
      <c r="O223" s="4"/>
      <c r="P223" s="4"/>
      <c r="Q223" s="4"/>
      <c r="R223" s="4"/>
      <c r="S223" s="4"/>
      <c r="T223" s="4"/>
      <c r="U223" s="4"/>
    </row>
    <row r="224" spans="1:21" ht="15.75" customHeight="1">
      <c r="A224" s="4"/>
      <c r="B224" s="4"/>
      <c r="C224" s="4"/>
      <c r="D224" s="4"/>
      <c r="E224" s="4"/>
      <c r="F224" s="4"/>
      <c r="G224" s="4"/>
      <c r="H224" s="4"/>
      <c r="I224" s="4"/>
      <c r="J224" s="4"/>
      <c r="K224" s="4"/>
      <c r="L224" s="4"/>
      <c r="M224" s="4"/>
      <c r="N224" s="4"/>
      <c r="O224" s="4"/>
      <c r="P224" s="4"/>
      <c r="Q224" s="4"/>
      <c r="R224" s="4"/>
      <c r="S224" s="4"/>
      <c r="T224" s="4"/>
      <c r="U224" s="4"/>
    </row>
    <row r="225" spans="1:21" ht="15.75" customHeight="1">
      <c r="A225" s="4"/>
      <c r="B225" s="4"/>
      <c r="C225" s="4"/>
      <c r="D225" s="4"/>
      <c r="E225" s="4"/>
      <c r="F225" s="4"/>
      <c r="G225" s="4"/>
      <c r="H225" s="4"/>
      <c r="I225" s="4"/>
      <c r="J225" s="4"/>
      <c r="K225" s="4"/>
      <c r="L225" s="4"/>
      <c r="M225" s="4"/>
      <c r="N225" s="4"/>
      <c r="O225" s="4"/>
      <c r="P225" s="4"/>
      <c r="Q225" s="4"/>
      <c r="R225" s="4"/>
      <c r="S225" s="4"/>
      <c r="T225" s="4"/>
      <c r="U225" s="4"/>
    </row>
    <row r="226" spans="1:21" ht="15.75" customHeight="1">
      <c r="A226" s="4"/>
      <c r="B226" s="4"/>
      <c r="C226" s="4"/>
      <c r="D226" s="4"/>
      <c r="E226" s="4"/>
      <c r="F226" s="4"/>
      <c r="G226" s="4"/>
      <c r="H226" s="4"/>
      <c r="I226" s="4"/>
      <c r="J226" s="4"/>
      <c r="K226" s="4"/>
      <c r="L226" s="4"/>
      <c r="M226" s="4"/>
      <c r="N226" s="4"/>
      <c r="O226" s="4"/>
      <c r="P226" s="4"/>
      <c r="Q226" s="4"/>
      <c r="R226" s="4"/>
      <c r="S226" s="4"/>
      <c r="T226" s="4"/>
      <c r="U226" s="4"/>
    </row>
    <row r="227" spans="1:21" ht="15.75" customHeight="1">
      <c r="A227" s="4"/>
      <c r="B227" s="4"/>
      <c r="C227" s="4"/>
      <c r="D227" s="4"/>
      <c r="E227" s="4"/>
      <c r="F227" s="4"/>
      <c r="G227" s="4"/>
      <c r="H227" s="4"/>
      <c r="I227" s="4"/>
      <c r="J227" s="4"/>
      <c r="K227" s="4"/>
      <c r="L227" s="4"/>
      <c r="M227" s="4"/>
      <c r="N227" s="4"/>
      <c r="O227" s="4"/>
      <c r="P227" s="4"/>
      <c r="Q227" s="4"/>
      <c r="R227" s="4"/>
      <c r="S227" s="4"/>
      <c r="T227" s="4"/>
      <c r="U227" s="4"/>
    </row>
    <row r="228" spans="1:21" ht="15.75" customHeight="1">
      <c r="A228" s="4"/>
      <c r="B228" s="4"/>
      <c r="C228" s="4"/>
      <c r="D228" s="4"/>
      <c r="E228" s="4"/>
      <c r="F228" s="4"/>
      <c r="G228" s="4"/>
      <c r="H228" s="4"/>
      <c r="I228" s="4"/>
      <c r="J228" s="4"/>
      <c r="K228" s="4"/>
      <c r="L228" s="4"/>
      <c r="M228" s="4"/>
      <c r="N228" s="4"/>
      <c r="O228" s="4"/>
      <c r="P228" s="4"/>
      <c r="Q228" s="4"/>
      <c r="R228" s="4"/>
      <c r="S228" s="4"/>
      <c r="T228" s="4"/>
      <c r="U228" s="4"/>
    </row>
    <row r="229" spans="1:21" ht="15.75" customHeight="1"/>
    <row r="230" spans="1:21" ht="15.75" customHeight="1"/>
    <row r="231" spans="1:21" ht="15.75" customHeight="1"/>
    <row r="232" spans="1:21" ht="15.75" customHeight="1"/>
    <row r="233" spans="1:21" ht="15.75" customHeight="1"/>
    <row r="234" spans="1:21" ht="15.75" customHeight="1"/>
    <row r="235" spans="1:21" ht="15.75" customHeight="1"/>
    <row r="236" spans="1:21" ht="15.75" customHeight="1"/>
    <row r="237" spans="1:21" ht="15.75" customHeight="1"/>
    <row r="238" spans="1:21" ht="15.75" customHeight="1"/>
    <row r="239" spans="1:21" ht="15.75" customHeight="1"/>
    <row r="240" spans="1:21"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7">
    <mergeCell ref="B22:E22"/>
    <mergeCell ref="B2:C7"/>
    <mergeCell ref="D2:E2"/>
    <mergeCell ref="B8:C10"/>
    <mergeCell ref="B11:C16"/>
    <mergeCell ref="B17:C20"/>
    <mergeCell ref="B23:D23"/>
    <mergeCell ref="F23:G23"/>
    <mergeCell ref="H23:I23"/>
    <mergeCell ref="J23:K23"/>
    <mergeCell ref="L23:N23"/>
    <mergeCell ref="F22:G22"/>
    <mergeCell ref="H22:I22"/>
    <mergeCell ref="J22:K22"/>
    <mergeCell ref="L22:N22"/>
    <mergeCell ref="O22:P22"/>
    <mergeCell ref="O23:P23"/>
    <mergeCell ref="H24:I24"/>
    <mergeCell ref="H25:I25"/>
    <mergeCell ref="H26:I26"/>
    <mergeCell ref="F27:G28"/>
    <mergeCell ref="H27:I28"/>
    <mergeCell ref="J27:K28"/>
    <mergeCell ref="L27:N27"/>
    <mergeCell ref="O27:P27"/>
    <mergeCell ref="L28:N28"/>
    <mergeCell ref="O28:P28"/>
  </mergeCells>
  <phoneticPr fontId="2" type="noConversion"/>
  <conditionalFormatting sqref="A2">
    <cfRule type="uniqueValues" dxfId="6" priority="4"/>
  </conditionalFormatting>
  <conditionalFormatting sqref="A1">
    <cfRule type="uniqueValues" dxfId="5" priority="3"/>
  </conditionalFormatting>
  <conditionalFormatting sqref="A3">
    <cfRule type="uniqueValues" dxfId="4" priority="2"/>
  </conditionalFormatting>
  <conditionalFormatting sqref="F17:I20">
    <cfRule type="uniqueValues" dxfId="3" priority="1"/>
  </conditionalFormatting>
  <pageMargins left="0.7" right="0.7" top="0.75" bottom="0.75" header="0.3" footer="0.3"/>
  <pageSetup paperSize="9" scale="43"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1" r:id="rId4" name="Button 13">
              <controlPr defaultSize="0" print="0" autoFill="0" autoPict="0" macro="[0]!CatchData_Click">
                <anchor moveWithCells="1">
                  <from>
                    <xdr:col>5</xdr:col>
                    <xdr:colOff>19050</xdr:colOff>
                    <xdr:row>0</xdr:row>
                    <xdr:rowOff>57150</xdr:rowOff>
                  </from>
                  <to>
                    <xdr:col>5</xdr:col>
                    <xdr:colOff>542925</xdr:colOff>
                    <xdr:row>0</xdr:row>
                    <xdr:rowOff>285750</xdr:rowOff>
                  </to>
                </anchor>
              </controlPr>
            </control>
          </mc:Choice>
        </mc:AlternateContent>
        <mc:AlternateContent xmlns:mc="http://schemas.openxmlformats.org/markup-compatibility/2006">
          <mc:Choice Requires="x14">
            <control shapeId="2062" r:id="rId5" name="Button 14">
              <controlPr defaultSize="0" print="0" autoFill="0" autoPict="0" macro="[0]!CatchData1_Click">
                <anchor moveWithCells="1">
                  <from>
                    <xdr:col>6</xdr:col>
                    <xdr:colOff>19050</xdr:colOff>
                    <xdr:row>0</xdr:row>
                    <xdr:rowOff>57150</xdr:rowOff>
                  </from>
                  <to>
                    <xdr:col>6</xdr:col>
                    <xdr:colOff>542925</xdr:colOff>
                    <xdr:row>0</xdr:row>
                    <xdr:rowOff>285750</xdr:rowOff>
                  </to>
                </anchor>
              </controlPr>
            </control>
          </mc:Choice>
        </mc:AlternateContent>
        <mc:AlternateContent xmlns:mc="http://schemas.openxmlformats.org/markup-compatibility/2006">
          <mc:Choice Requires="x14">
            <control shapeId="2063" r:id="rId6" name="Button 15">
              <controlPr defaultSize="0" print="0" autoFill="0" autoPict="0" macro="[0]!CatchData2_Click">
                <anchor moveWithCells="1">
                  <from>
                    <xdr:col>7</xdr:col>
                    <xdr:colOff>19050</xdr:colOff>
                    <xdr:row>0</xdr:row>
                    <xdr:rowOff>57150</xdr:rowOff>
                  </from>
                  <to>
                    <xdr:col>7</xdr:col>
                    <xdr:colOff>533400</xdr:colOff>
                    <xdr:row>0</xdr:row>
                    <xdr:rowOff>285750</xdr:rowOff>
                  </to>
                </anchor>
              </controlPr>
            </control>
          </mc:Choice>
        </mc:AlternateContent>
        <mc:AlternateContent xmlns:mc="http://schemas.openxmlformats.org/markup-compatibility/2006">
          <mc:Choice Requires="x14">
            <control shapeId="2064" r:id="rId7" name="Button 16">
              <controlPr defaultSize="0" print="0" autoFill="0" autoPict="0" macro="[0]!CatchData3_Click">
                <anchor moveWithCells="1">
                  <from>
                    <xdr:col>8</xdr:col>
                    <xdr:colOff>19050</xdr:colOff>
                    <xdr:row>0</xdr:row>
                    <xdr:rowOff>57150</xdr:rowOff>
                  </from>
                  <to>
                    <xdr:col>8</xdr:col>
                    <xdr:colOff>542925</xdr:colOff>
                    <xdr:row>0</xdr:row>
                    <xdr:rowOff>285750</xdr:rowOff>
                  </to>
                </anchor>
              </controlPr>
            </control>
          </mc:Choice>
        </mc:AlternateContent>
        <mc:AlternateContent xmlns:mc="http://schemas.openxmlformats.org/markup-compatibility/2006">
          <mc:Choice Requires="x14">
            <control shapeId="2065" r:id="rId8" name="Button 17">
              <controlPr defaultSize="0" print="0" autoFill="0" autoPict="0" macro="[0]!CatchData_all_Click">
                <anchor moveWithCells="1">
                  <from>
                    <xdr:col>4</xdr:col>
                    <xdr:colOff>200025</xdr:colOff>
                    <xdr:row>0</xdr:row>
                    <xdr:rowOff>57150</xdr:rowOff>
                  </from>
                  <to>
                    <xdr:col>4</xdr:col>
                    <xdr:colOff>1085850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R1000"/>
  <sheetViews>
    <sheetView zoomScaleNormal="100" workbookViewId="0">
      <selection activeCell="G42" sqref="G42"/>
    </sheetView>
  </sheetViews>
  <sheetFormatPr defaultColWidth="12.625" defaultRowHeight="15" customHeight="1"/>
  <cols>
    <col min="1" max="1" width="8.375" customWidth="1"/>
    <col min="2" max="2" width="17.625" customWidth="1"/>
    <col min="3" max="18" width="11.75" customWidth="1"/>
    <col min="19" max="26" width="7.625" customWidth="1"/>
  </cols>
  <sheetData>
    <row r="1" spans="1:18" ht="12.75" customHeight="1" thickBot="1">
      <c r="A1" s="71" t="s">
        <v>0</v>
      </c>
      <c r="B1" s="3" t="s">
        <v>4</v>
      </c>
      <c r="C1" s="9"/>
      <c r="D1" s="9"/>
      <c r="E1" s="9"/>
      <c r="F1" s="9"/>
    </row>
    <row r="2" spans="1:18" ht="12.75" customHeight="1" thickBot="1">
      <c r="A2" s="72" t="s">
        <v>1</v>
      </c>
      <c r="C2" s="213" t="s">
        <v>204</v>
      </c>
      <c r="D2" s="214"/>
      <c r="E2" s="214"/>
      <c r="F2" s="215"/>
      <c r="G2" s="213" t="s">
        <v>206</v>
      </c>
      <c r="H2" s="214"/>
      <c r="I2" s="214"/>
      <c r="J2" s="215"/>
      <c r="K2" s="213" t="s">
        <v>208</v>
      </c>
      <c r="L2" s="214"/>
      <c r="M2" s="214"/>
      <c r="N2" s="215"/>
      <c r="O2" s="213" t="s">
        <v>142</v>
      </c>
      <c r="P2" s="214"/>
      <c r="Q2" s="214"/>
      <c r="R2" s="215"/>
    </row>
    <row r="3" spans="1:18" ht="12.75" customHeight="1">
      <c r="A3" s="216" t="s">
        <v>98</v>
      </c>
      <c r="B3" s="217"/>
      <c r="C3" s="56">
        <f ca="1">YEAR(TODAY())-4</f>
        <v>2018</v>
      </c>
      <c r="D3" s="56">
        <f ca="1">YEAR(TODAY())-3</f>
        <v>2019</v>
      </c>
      <c r="E3" s="56">
        <f ca="1">YEAR(TODAY())-2</f>
        <v>2020</v>
      </c>
      <c r="F3" s="57">
        <f ca="1">YEAR(TODAY())-1</f>
        <v>2021</v>
      </c>
      <c r="G3" s="56">
        <f ca="1">YEAR(TODAY())-4</f>
        <v>2018</v>
      </c>
      <c r="H3" s="56">
        <f ca="1">YEAR(TODAY())-3</f>
        <v>2019</v>
      </c>
      <c r="I3" s="56">
        <f ca="1">YEAR(TODAY())-2</f>
        <v>2020</v>
      </c>
      <c r="J3" s="57">
        <f ca="1">YEAR(TODAY())-1</f>
        <v>2021</v>
      </c>
      <c r="K3" s="56">
        <f ca="1">YEAR(TODAY())-4</f>
        <v>2018</v>
      </c>
      <c r="L3" s="56">
        <f ca="1">YEAR(TODAY())-3</f>
        <v>2019</v>
      </c>
      <c r="M3" s="56">
        <f ca="1">YEAR(TODAY())-2</f>
        <v>2020</v>
      </c>
      <c r="N3" s="57">
        <f ca="1">YEAR(TODAY())-1</f>
        <v>2021</v>
      </c>
      <c r="O3" s="56">
        <f ca="1">YEAR(TODAY())-4</f>
        <v>2018</v>
      </c>
      <c r="P3" s="56">
        <f ca="1">YEAR(TODAY())-3</f>
        <v>2019</v>
      </c>
      <c r="Q3" s="56">
        <f ca="1">YEAR(TODAY())-2</f>
        <v>2020</v>
      </c>
      <c r="R3" s="57">
        <f ca="1">YEAR(TODAY())-1</f>
        <v>2021</v>
      </c>
    </row>
    <row r="4" spans="1:18" ht="12.75" customHeight="1">
      <c r="A4" s="42" t="s">
        <v>99</v>
      </c>
      <c r="B4" s="43"/>
      <c r="C4" s="117">
        <v>0</v>
      </c>
      <c r="D4" s="117">
        <v>380755</v>
      </c>
      <c r="E4" s="117">
        <v>541779</v>
      </c>
      <c r="F4" s="118">
        <v>772445</v>
      </c>
      <c r="G4" s="117">
        <v>5150000</v>
      </c>
      <c r="H4" s="117">
        <v>4950000</v>
      </c>
      <c r="I4" s="117">
        <v>5537000</v>
      </c>
      <c r="J4" s="118">
        <v>5629000</v>
      </c>
      <c r="K4" s="117">
        <v>7017000</v>
      </c>
      <c r="L4" s="117">
        <v>7500000</v>
      </c>
      <c r="M4" s="117">
        <v>6489000</v>
      </c>
      <c r="N4" s="118">
        <v>8086000</v>
      </c>
      <c r="O4" s="117">
        <v>151856</v>
      </c>
      <c r="P4" s="117">
        <v>21193</v>
      </c>
      <c r="Q4" s="117">
        <v>31432</v>
      </c>
      <c r="R4" s="118">
        <v>39986</v>
      </c>
    </row>
    <row r="5" spans="1:18" ht="12.75" customHeight="1">
      <c r="A5" s="42" t="s">
        <v>100</v>
      </c>
      <c r="B5" s="43"/>
      <c r="C5" s="117">
        <v>0</v>
      </c>
      <c r="D5" s="117">
        <v>-131602</v>
      </c>
      <c r="E5" s="117">
        <v>-163190</v>
      </c>
      <c r="F5" s="118">
        <v>-282308</v>
      </c>
      <c r="G5" s="117">
        <v>1043000</v>
      </c>
      <c r="H5" s="117">
        <v>1019000</v>
      </c>
      <c r="I5" s="117">
        <v>3039000</v>
      </c>
      <c r="J5" s="118">
        <v>837000</v>
      </c>
      <c r="K5" s="117">
        <v>273000</v>
      </c>
      <c r="L5" s="117">
        <v>1848000</v>
      </c>
      <c r="M5" s="117">
        <v>1503000</v>
      </c>
      <c r="N5" s="118">
        <v>2197000</v>
      </c>
      <c r="O5" s="117">
        <v>9132</v>
      </c>
      <c r="P5" s="117">
        <v>-203540</v>
      </c>
      <c r="Q5" s="117">
        <v>-292068</v>
      </c>
      <c r="R5" s="118">
        <v>-298461</v>
      </c>
    </row>
    <row r="6" spans="1:18" ht="12.75" customHeight="1">
      <c r="A6" s="42" t="s">
        <v>101</v>
      </c>
      <c r="B6" s="43"/>
      <c r="C6" s="117">
        <v>0</v>
      </c>
      <c r="D6" s="117">
        <v>299488</v>
      </c>
      <c r="E6" s="117">
        <v>423182</v>
      </c>
      <c r="F6" s="118">
        <v>600098</v>
      </c>
      <c r="G6" s="117">
        <v>3873000</v>
      </c>
      <c r="H6" s="117">
        <v>3628000</v>
      </c>
      <c r="I6" s="117">
        <v>4168000</v>
      </c>
      <c r="J6" s="118">
        <v>4135000</v>
      </c>
      <c r="K6" s="117">
        <v>4516000</v>
      </c>
      <c r="L6" s="117">
        <v>4983000</v>
      </c>
      <c r="M6" s="117">
        <v>4400000</v>
      </c>
      <c r="N6" s="118">
        <v>5826000</v>
      </c>
      <c r="O6" s="117">
        <v>92379</v>
      </c>
      <c r="P6" s="117">
        <v>-62830</v>
      </c>
      <c r="Q6" s="117">
        <v>-87684</v>
      </c>
      <c r="R6" s="118">
        <v>-81294</v>
      </c>
    </row>
    <row r="7" spans="1:18" ht="12.75" customHeight="1">
      <c r="A7" s="42" t="s">
        <v>102</v>
      </c>
      <c r="B7" s="43"/>
      <c r="C7" s="119" t="e">
        <f t="shared" ref="C7:R7" si="0">(C4-C6)/C4</f>
        <v>#DIV/0!</v>
      </c>
      <c r="D7" s="119">
        <f t="shared" si="0"/>
        <v>0.21343646176675291</v>
      </c>
      <c r="E7" s="119">
        <f t="shared" si="0"/>
        <v>0.21890291059638708</v>
      </c>
      <c r="F7" s="120">
        <f t="shared" si="0"/>
        <v>0.22311879810213026</v>
      </c>
      <c r="G7" s="119">
        <f t="shared" si="0"/>
        <v>0.24796116504854368</v>
      </c>
      <c r="H7" s="119">
        <f t="shared" si="0"/>
        <v>0.26707070707070707</v>
      </c>
      <c r="I7" s="119">
        <f t="shared" si="0"/>
        <v>0.24724580097525736</v>
      </c>
      <c r="J7" s="120">
        <f t="shared" si="0"/>
        <v>0.2654112631017943</v>
      </c>
      <c r="K7" s="119">
        <f t="shared" si="0"/>
        <v>0.35642012255949834</v>
      </c>
      <c r="L7" s="119">
        <f t="shared" si="0"/>
        <v>0.33560000000000001</v>
      </c>
      <c r="M7" s="119">
        <f t="shared" si="0"/>
        <v>0.32192941901679767</v>
      </c>
      <c r="N7" s="120">
        <f t="shared" si="0"/>
        <v>0.27949542418995793</v>
      </c>
      <c r="O7" s="119">
        <f t="shared" si="0"/>
        <v>0.39166710567906438</v>
      </c>
      <c r="P7" s="119">
        <f t="shared" si="0"/>
        <v>3.9646581418392866</v>
      </c>
      <c r="Q7" s="119">
        <f t="shared" si="0"/>
        <v>3.7896411300585391</v>
      </c>
      <c r="R7" s="120">
        <f t="shared" si="0"/>
        <v>3.0330615715500424</v>
      </c>
    </row>
    <row r="8" spans="1:18" ht="12.75" customHeight="1">
      <c r="A8" s="44" t="s">
        <v>103</v>
      </c>
      <c r="B8" s="43"/>
      <c r="C8" s="121" t="s">
        <v>17</v>
      </c>
      <c r="D8" s="122" t="e">
        <f t="shared" ref="D8:F9" si="1">(D4-C4)/C4</f>
        <v>#DIV/0!</v>
      </c>
      <c r="E8" s="122">
        <f t="shared" si="1"/>
        <v>0.42290711875090281</v>
      </c>
      <c r="F8" s="123">
        <f t="shared" si="1"/>
        <v>0.42575662770243955</v>
      </c>
      <c r="G8" s="121" t="s">
        <v>17</v>
      </c>
      <c r="H8" s="122">
        <f t="shared" ref="H8:J9" si="2">(H4-G4)/G4</f>
        <v>-3.8834951456310676E-2</v>
      </c>
      <c r="I8" s="122">
        <f t="shared" si="2"/>
        <v>0.11858585858585859</v>
      </c>
      <c r="J8" s="123">
        <f t="shared" si="2"/>
        <v>1.6615495755824453E-2</v>
      </c>
      <c r="K8" s="121" t="s">
        <v>17</v>
      </c>
      <c r="L8" s="122">
        <f t="shared" ref="L8:N9" si="3">(L4-K4)/K4</f>
        <v>6.8832834544677216E-2</v>
      </c>
      <c r="M8" s="122">
        <f t="shared" si="3"/>
        <v>-0.1348</v>
      </c>
      <c r="N8" s="123">
        <f t="shared" si="3"/>
        <v>0.24610879950685777</v>
      </c>
      <c r="O8" s="121" t="s">
        <v>17</v>
      </c>
      <c r="P8" s="122">
        <f t="shared" ref="P8:R9" si="4">(P4-O4)/O4</f>
        <v>-0.86044015382994421</v>
      </c>
      <c r="Q8" s="122">
        <f t="shared" si="4"/>
        <v>0.48313122257349123</v>
      </c>
      <c r="R8" s="123">
        <f t="shared" si="4"/>
        <v>0.27214303894120639</v>
      </c>
    </row>
    <row r="9" spans="1:18" ht="12.75" customHeight="1" thickBot="1">
      <c r="A9" s="45" t="s">
        <v>104</v>
      </c>
      <c r="B9" s="46"/>
      <c r="C9" s="124" t="s">
        <v>17</v>
      </c>
      <c r="D9" s="125" t="e">
        <f t="shared" si="1"/>
        <v>#DIV/0!</v>
      </c>
      <c r="E9" s="125">
        <f t="shared" si="1"/>
        <v>0.24002674731387061</v>
      </c>
      <c r="F9" s="126">
        <f t="shared" si="1"/>
        <v>0.72993443225687848</v>
      </c>
      <c r="G9" s="124" t="s">
        <v>17</v>
      </c>
      <c r="H9" s="125">
        <f t="shared" si="2"/>
        <v>-2.3010546500479387E-2</v>
      </c>
      <c r="I9" s="125">
        <f t="shared" si="2"/>
        <v>1.9823356231599607</v>
      </c>
      <c r="J9" s="126">
        <f t="shared" si="2"/>
        <v>-0.72458045409674232</v>
      </c>
      <c r="K9" s="124" t="s">
        <v>17</v>
      </c>
      <c r="L9" s="125">
        <f t="shared" si="3"/>
        <v>5.7692307692307692</v>
      </c>
      <c r="M9" s="125">
        <f t="shared" si="3"/>
        <v>-0.18668831168831168</v>
      </c>
      <c r="N9" s="126">
        <f t="shared" si="3"/>
        <v>0.46174318030605455</v>
      </c>
      <c r="O9" s="124" t="s">
        <v>17</v>
      </c>
      <c r="P9" s="125">
        <f t="shared" si="4"/>
        <v>-23.288655278142794</v>
      </c>
      <c r="Q9" s="125">
        <f t="shared" si="4"/>
        <v>0.434941534833448</v>
      </c>
      <c r="R9" s="126">
        <f t="shared" si="4"/>
        <v>2.1888738239040223E-2</v>
      </c>
    </row>
    <row r="10" spans="1:18" ht="12.75" customHeight="1"/>
    <row r="11" spans="1:18" ht="12.75" customHeight="1"/>
    <row r="12" spans="1:18" ht="12.75" customHeight="1"/>
    <row r="13" spans="1:18" ht="12.75" customHeight="1"/>
    <row r="14" spans="1:18" ht="12.75" customHeight="1" thickBot="1"/>
    <row r="15" spans="1:18" ht="12.75" customHeight="1">
      <c r="A15" s="191" t="s">
        <v>105</v>
      </c>
      <c r="B15" s="218"/>
    </row>
    <row r="16" spans="1:18" ht="12.75" customHeight="1">
      <c r="A16" s="212" t="s">
        <v>106</v>
      </c>
      <c r="B16" s="186"/>
    </row>
    <row r="17" spans="1:2" ht="12.75" customHeight="1">
      <c r="A17" s="47" t="s">
        <v>58</v>
      </c>
      <c r="B17" s="48" t="s">
        <v>107</v>
      </c>
    </row>
    <row r="18" spans="1:2" ht="12.75" customHeight="1">
      <c r="A18" s="47" t="s">
        <v>70</v>
      </c>
      <c r="B18" s="48" t="s">
        <v>108</v>
      </c>
    </row>
    <row r="19" spans="1:2" ht="12.75" customHeight="1">
      <c r="A19" s="47" t="s">
        <v>80</v>
      </c>
      <c r="B19" s="48" t="s">
        <v>81</v>
      </c>
    </row>
    <row r="20" spans="1:2" ht="12.75" customHeight="1" thickBot="1">
      <c r="A20" s="49" t="s">
        <v>109</v>
      </c>
      <c r="B20" s="50" t="s">
        <v>110</v>
      </c>
    </row>
    <row r="21" spans="1:2" ht="12.75" customHeight="1"/>
    <row r="22" spans="1:2" ht="12.75" customHeight="1"/>
    <row r="23" spans="1:2" ht="12.75" customHeight="1"/>
    <row r="24" spans="1:2" ht="12.75" customHeight="1"/>
    <row r="25" spans="1:2" ht="12.75" customHeight="1"/>
    <row r="26" spans="1:2" ht="12.75" customHeight="1"/>
    <row r="27" spans="1:2" ht="12.75" customHeight="1"/>
    <row r="28" spans="1:2" ht="12.75" customHeight="1"/>
    <row r="29" spans="1:2" ht="12.75" customHeight="1"/>
    <row r="30" spans="1:2" ht="12.75" customHeight="1"/>
    <row r="31" spans="1:2" ht="12.75" customHeight="1"/>
    <row r="32" spans="1: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7">
    <mergeCell ref="A16:B16"/>
    <mergeCell ref="C2:F2"/>
    <mergeCell ref="G2:J2"/>
    <mergeCell ref="K2:N2"/>
    <mergeCell ref="O2:R2"/>
    <mergeCell ref="A3:B3"/>
    <mergeCell ref="A15:B15"/>
  </mergeCells>
  <phoneticPr fontId="2" type="noConversion"/>
  <conditionalFormatting sqref="A2">
    <cfRule type="uniqueValues" dxfId="2" priority="3"/>
  </conditionalFormatting>
  <conditionalFormatting sqref="A1">
    <cfRule type="uniqueValues" dxfId="1" priority="2"/>
  </conditionalFormatting>
  <conditionalFormatting sqref="B1">
    <cfRule type="uniqueValues" dxfId="0" priority="1"/>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dimension ref="A1:X217"/>
  <sheetViews>
    <sheetView zoomScale="145" zoomScaleNormal="145" workbookViewId="0">
      <selection activeCell="E19" sqref="E19"/>
    </sheetView>
  </sheetViews>
  <sheetFormatPr defaultColWidth="12.625" defaultRowHeight="15.75"/>
  <cols>
    <col min="1" max="1" width="11.375" style="128" bestFit="1" customWidth="1"/>
    <col min="2" max="2" width="27.75" style="128" bestFit="1" customWidth="1"/>
    <col min="3" max="3" width="2.875" style="128" customWidth="1"/>
    <col min="4" max="4" width="25.5" style="128" customWidth="1"/>
    <col min="5" max="5" width="13.875" style="128" customWidth="1"/>
    <col min="6" max="6" width="12.625" style="128" customWidth="1"/>
    <col min="7" max="8" width="12.625" style="128"/>
    <col min="9" max="9" width="9.375" style="128" customWidth="1"/>
    <col min="10" max="10" width="12.625" style="128"/>
    <col min="11" max="11" width="16" style="128" bestFit="1" customWidth="1"/>
    <col min="12" max="16384" width="12.625" style="128"/>
  </cols>
  <sheetData>
    <row r="1" spans="1:24" s="147" customFormat="1">
      <c r="A1" s="155" t="s">
        <v>112</v>
      </c>
      <c r="B1" s="156"/>
      <c r="C1" s="156"/>
      <c r="D1" s="156"/>
      <c r="E1" s="156"/>
      <c r="F1" s="156"/>
      <c r="G1" s="156"/>
      <c r="H1" s="156"/>
      <c r="I1" s="156"/>
      <c r="J1" s="156"/>
      <c r="K1" s="144" t="s">
        <v>140</v>
      </c>
      <c r="L1" s="145"/>
      <c r="M1" s="146"/>
      <c r="N1" s="146"/>
      <c r="O1" s="146"/>
      <c r="P1" s="146"/>
      <c r="Q1" s="146"/>
      <c r="R1" s="146"/>
      <c r="S1" s="146"/>
      <c r="T1" s="146"/>
      <c r="U1" s="146"/>
      <c r="V1" s="146"/>
      <c r="W1" s="146"/>
      <c r="X1" s="146"/>
    </row>
    <row r="2" spans="1:24" ht="16.5">
      <c r="A2" s="148" t="s">
        <v>111</v>
      </c>
      <c r="B2" s="132" t="s">
        <v>189</v>
      </c>
      <c r="C2" s="133"/>
      <c r="D2" s="134" t="s">
        <v>162</v>
      </c>
      <c r="E2" s="131"/>
      <c r="F2" s="135"/>
      <c r="G2" s="131"/>
      <c r="H2" s="131"/>
      <c r="I2" s="131"/>
      <c r="J2" s="131"/>
      <c r="K2" s="166" t="s">
        <v>203</v>
      </c>
      <c r="L2" s="127"/>
      <c r="M2" s="127"/>
      <c r="N2" s="127"/>
      <c r="O2" s="127"/>
      <c r="P2" s="127"/>
      <c r="Q2" s="127"/>
      <c r="R2" s="127"/>
      <c r="S2" s="127"/>
      <c r="T2" s="127"/>
      <c r="U2" s="127"/>
      <c r="V2" s="127"/>
      <c r="W2" s="127"/>
      <c r="X2" s="127"/>
    </row>
    <row r="3" spans="1:24" ht="16.5">
      <c r="A3" s="148" t="s">
        <v>113</v>
      </c>
      <c r="B3" s="132" t="s">
        <v>114</v>
      </c>
      <c r="C3" s="133"/>
      <c r="D3" s="131"/>
      <c r="E3" s="131"/>
      <c r="F3" s="135"/>
      <c r="G3" s="131"/>
      <c r="H3" s="131"/>
      <c r="I3" s="131"/>
      <c r="J3" s="131"/>
      <c r="K3" s="166" t="s">
        <v>205</v>
      </c>
      <c r="L3" s="127"/>
      <c r="M3" s="127"/>
      <c r="N3" s="127"/>
      <c r="O3" s="127"/>
      <c r="P3" s="127"/>
      <c r="Q3" s="127"/>
      <c r="R3" s="127"/>
      <c r="S3" s="127"/>
      <c r="T3" s="127"/>
      <c r="U3" s="127"/>
      <c r="V3" s="127"/>
      <c r="W3" s="127"/>
      <c r="X3" s="127"/>
    </row>
    <row r="4" spans="1:24" s="154" customFormat="1" ht="17.25" thickBot="1">
      <c r="A4" s="149" t="s">
        <v>115</v>
      </c>
      <c r="B4" s="150" t="s">
        <v>116</v>
      </c>
      <c r="C4" s="151"/>
      <c r="D4" s="150"/>
      <c r="E4" s="150"/>
      <c r="F4" s="152"/>
      <c r="G4" s="150"/>
      <c r="H4" s="150"/>
      <c r="I4" s="150"/>
      <c r="J4" s="150"/>
      <c r="K4" s="167" t="s">
        <v>207</v>
      </c>
      <c r="L4" s="153"/>
      <c r="M4" s="153"/>
      <c r="N4" s="153"/>
      <c r="O4" s="153"/>
      <c r="P4" s="153"/>
      <c r="Q4" s="153"/>
      <c r="R4" s="153"/>
      <c r="S4" s="153"/>
      <c r="T4" s="153"/>
      <c r="U4" s="153"/>
      <c r="V4" s="153"/>
      <c r="W4" s="153"/>
      <c r="X4" s="153"/>
    </row>
    <row r="5" spans="1:24" s="130" customFormat="1" ht="16.5">
      <c r="A5" s="219" t="s">
        <v>149</v>
      </c>
      <c r="B5" s="136" t="s">
        <v>150</v>
      </c>
      <c r="C5" s="138" t="s">
        <v>117</v>
      </c>
      <c r="D5" s="131" t="s">
        <v>164</v>
      </c>
      <c r="E5" s="139" t="s">
        <v>193</v>
      </c>
      <c r="F5" s="137"/>
      <c r="G5" s="131"/>
      <c r="H5" s="131"/>
      <c r="I5" s="131"/>
      <c r="J5" s="131"/>
      <c r="K5" s="166" t="s">
        <v>141</v>
      </c>
      <c r="L5" s="127"/>
      <c r="M5" s="127"/>
      <c r="N5" s="127"/>
      <c r="O5" s="127"/>
      <c r="P5" s="127"/>
      <c r="Q5" s="127"/>
      <c r="R5" s="127"/>
      <c r="S5" s="127"/>
      <c r="T5" s="127"/>
      <c r="U5" s="127"/>
      <c r="V5" s="127"/>
      <c r="W5" s="127"/>
      <c r="X5" s="127"/>
    </row>
    <row r="6" spans="1:24" s="130" customFormat="1">
      <c r="A6" s="219"/>
      <c r="B6" s="136" t="s">
        <v>151</v>
      </c>
      <c r="C6" s="131" t="s">
        <v>118</v>
      </c>
      <c r="D6" s="131" t="s">
        <v>119</v>
      </c>
      <c r="E6" s="130" t="s">
        <v>201</v>
      </c>
      <c r="F6" s="131"/>
      <c r="G6" s="131"/>
      <c r="H6" s="131"/>
      <c r="I6" s="131"/>
      <c r="J6" s="131"/>
      <c r="K6" s="131"/>
      <c r="L6" s="127"/>
      <c r="M6" s="127"/>
      <c r="N6" s="127"/>
      <c r="O6" s="127"/>
      <c r="P6" s="127"/>
      <c r="Q6" s="127"/>
      <c r="R6" s="127"/>
      <c r="S6" s="127"/>
      <c r="T6" s="127"/>
      <c r="U6" s="127"/>
      <c r="V6" s="127"/>
      <c r="W6" s="127"/>
      <c r="X6" s="127"/>
    </row>
    <row r="7" spans="1:24" s="130" customFormat="1">
      <c r="A7" s="219"/>
      <c r="B7" s="136" t="s">
        <v>194</v>
      </c>
      <c r="C7" s="131" t="s">
        <v>118</v>
      </c>
      <c r="D7" s="131" t="s">
        <v>120</v>
      </c>
      <c r="E7" s="140" t="s">
        <v>190</v>
      </c>
      <c r="F7" s="139" t="s">
        <v>166</v>
      </c>
      <c r="G7" s="139" t="s">
        <v>167</v>
      </c>
      <c r="H7" s="139" t="s">
        <v>168</v>
      </c>
      <c r="I7" s="131"/>
      <c r="J7" s="131"/>
      <c r="K7" s="131"/>
      <c r="L7" s="127"/>
      <c r="M7" s="127"/>
      <c r="N7" s="127"/>
      <c r="O7" s="127"/>
      <c r="P7" s="127"/>
      <c r="Q7" s="127"/>
      <c r="R7" s="127"/>
      <c r="S7" s="127"/>
      <c r="T7" s="127"/>
      <c r="U7" s="127"/>
      <c r="V7" s="127"/>
      <c r="W7" s="127"/>
      <c r="X7" s="127"/>
    </row>
    <row r="8" spans="1:24" s="130" customFormat="1">
      <c r="A8" s="219"/>
      <c r="B8" s="136" t="s">
        <v>153</v>
      </c>
      <c r="C8" s="131" t="s">
        <v>118</v>
      </c>
      <c r="D8" s="131" t="s">
        <v>121</v>
      </c>
      <c r="E8" s="140" t="s">
        <v>191</v>
      </c>
      <c r="F8" s="139" t="s">
        <v>169</v>
      </c>
      <c r="G8" s="139" t="s">
        <v>170</v>
      </c>
      <c r="H8" s="136" t="s">
        <v>174</v>
      </c>
      <c r="I8" s="131"/>
      <c r="J8" s="131"/>
      <c r="K8" s="131"/>
      <c r="L8" s="127"/>
      <c r="M8" s="127"/>
      <c r="N8" s="127"/>
      <c r="O8" s="127"/>
      <c r="P8" s="127"/>
      <c r="Q8" s="127"/>
      <c r="R8" s="127"/>
      <c r="S8" s="127"/>
      <c r="T8" s="127"/>
      <c r="U8" s="127"/>
      <c r="V8" s="127"/>
      <c r="W8" s="127"/>
      <c r="X8" s="127"/>
    </row>
    <row r="9" spans="1:24" s="130" customFormat="1">
      <c r="A9" s="219"/>
      <c r="B9" s="136" t="s">
        <v>152</v>
      </c>
      <c r="C9" s="138" t="s">
        <v>118</v>
      </c>
      <c r="D9" s="131" t="s">
        <v>147</v>
      </c>
      <c r="E9" s="142" t="s">
        <v>195</v>
      </c>
      <c r="G9" s="159" t="s">
        <v>171</v>
      </c>
      <c r="H9" s="160" t="s">
        <v>175</v>
      </c>
      <c r="I9" s="131"/>
      <c r="J9" s="131"/>
      <c r="K9" s="131"/>
      <c r="L9" s="127"/>
      <c r="M9" s="127"/>
      <c r="N9" s="127"/>
      <c r="O9" s="127"/>
      <c r="P9" s="127"/>
      <c r="Q9" s="127"/>
      <c r="R9" s="127"/>
      <c r="S9" s="127"/>
      <c r="T9" s="127"/>
      <c r="U9" s="127"/>
      <c r="V9" s="127"/>
      <c r="W9" s="127"/>
      <c r="X9" s="127"/>
    </row>
    <row r="10" spans="1:24" s="130" customFormat="1">
      <c r="A10" s="219"/>
      <c r="C10" s="138" t="s">
        <v>118</v>
      </c>
      <c r="D10" s="164" t="s">
        <v>122</v>
      </c>
      <c r="E10" s="165" t="s">
        <v>176</v>
      </c>
      <c r="G10" s="157" t="s">
        <v>172</v>
      </c>
      <c r="H10" s="158" t="s">
        <v>199</v>
      </c>
      <c r="I10" s="131"/>
      <c r="J10" s="131"/>
      <c r="K10" s="131"/>
      <c r="L10" s="127"/>
      <c r="M10" s="127"/>
      <c r="N10" s="127"/>
      <c r="O10" s="127"/>
      <c r="P10" s="127"/>
      <c r="Q10" s="127"/>
      <c r="R10" s="127"/>
      <c r="S10" s="127"/>
      <c r="T10" s="127"/>
      <c r="U10" s="127"/>
      <c r="V10" s="127"/>
      <c r="W10" s="127"/>
      <c r="X10" s="127"/>
    </row>
    <row r="11" spans="1:24" s="130" customFormat="1" ht="31.5">
      <c r="A11" s="219"/>
      <c r="B11" s="136"/>
      <c r="C11" s="138" t="s">
        <v>118</v>
      </c>
      <c r="D11" s="131" t="s">
        <v>123</v>
      </c>
      <c r="E11" s="139" t="s">
        <v>177</v>
      </c>
      <c r="G11" s="157" t="s">
        <v>173</v>
      </c>
      <c r="H11" s="158"/>
      <c r="I11" s="131"/>
      <c r="J11" s="131"/>
      <c r="K11" s="131"/>
      <c r="L11" s="127"/>
      <c r="M11" s="127"/>
      <c r="N11" s="127"/>
      <c r="O11" s="127"/>
      <c r="P11" s="127"/>
      <c r="Q11" s="127"/>
      <c r="R11" s="127"/>
      <c r="S11" s="127"/>
      <c r="T11" s="127"/>
      <c r="U11" s="127"/>
      <c r="V11" s="127"/>
      <c r="W11" s="127"/>
      <c r="X11" s="127"/>
    </row>
    <row r="12" spans="1:24" s="130" customFormat="1">
      <c r="A12" s="219"/>
      <c r="B12" s="136"/>
      <c r="C12" s="138" t="s">
        <v>118</v>
      </c>
      <c r="D12" s="131" t="s">
        <v>124</v>
      </c>
      <c r="E12" s="139" t="s">
        <v>178</v>
      </c>
      <c r="F12" s="131"/>
      <c r="G12" s="131"/>
      <c r="H12" s="131"/>
      <c r="I12" s="131"/>
      <c r="J12" s="131"/>
      <c r="K12" s="131"/>
      <c r="L12" s="127"/>
      <c r="M12" s="127"/>
      <c r="N12" s="127"/>
      <c r="O12" s="127"/>
      <c r="P12" s="127"/>
      <c r="Q12" s="127"/>
      <c r="R12" s="127"/>
      <c r="S12" s="127"/>
      <c r="T12" s="127"/>
      <c r="U12" s="127"/>
      <c r="V12" s="127"/>
      <c r="W12" s="127"/>
      <c r="X12" s="127"/>
    </row>
    <row r="13" spans="1:24" s="130" customFormat="1">
      <c r="A13" s="219" t="s">
        <v>163</v>
      </c>
      <c r="B13" s="136" t="s">
        <v>154</v>
      </c>
      <c r="C13" s="138" t="s">
        <v>117</v>
      </c>
      <c r="D13" s="131" t="s">
        <v>197</v>
      </c>
      <c r="E13" s="142" t="s">
        <v>198</v>
      </c>
      <c r="F13" s="131" t="s">
        <v>184</v>
      </c>
      <c r="G13" s="131"/>
      <c r="H13" s="131"/>
      <c r="I13" s="131"/>
      <c r="J13" s="131"/>
      <c r="K13" s="131"/>
      <c r="L13" s="127"/>
      <c r="M13" s="127"/>
      <c r="N13" s="127"/>
      <c r="O13" s="127"/>
      <c r="P13" s="127"/>
      <c r="Q13" s="127"/>
      <c r="R13" s="127"/>
      <c r="S13" s="127"/>
      <c r="T13" s="127"/>
      <c r="U13" s="127"/>
      <c r="V13" s="127"/>
      <c r="W13" s="127"/>
      <c r="X13" s="127"/>
    </row>
    <row r="14" spans="1:24" s="130" customFormat="1">
      <c r="A14" s="219"/>
      <c r="B14" s="136" t="s">
        <v>155</v>
      </c>
      <c r="C14" s="136"/>
      <c r="D14" s="136"/>
      <c r="E14" s="136"/>
      <c r="F14" s="136"/>
      <c r="G14" s="131"/>
      <c r="H14" s="131"/>
      <c r="I14" s="131"/>
      <c r="J14" s="131"/>
      <c r="K14" s="131"/>
      <c r="L14" s="127"/>
      <c r="M14" s="127"/>
      <c r="N14" s="127"/>
      <c r="O14" s="127"/>
      <c r="P14" s="127"/>
      <c r="Q14" s="127"/>
      <c r="R14" s="127"/>
      <c r="S14" s="127"/>
      <c r="T14" s="127"/>
      <c r="U14" s="127"/>
      <c r="V14" s="127"/>
      <c r="W14" s="127"/>
      <c r="X14" s="127"/>
    </row>
    <row r="15" spans="1:24" s="130" customFormat="1">
      <c r="A15" s="221" t="s">
        <v>156</v>
      </c>
      <c r="B15" s="143" t="s">
        <v>196</v>
      </c>
      <c r="C15" s="136"/>
      <c r="D15" s="136"/>
      <c r="E15" s="136"/>
      <c r="F15" s="136"/>
      <c r="G15" s="136"/>
      <c r="H15" s="141"/>
      <c r="I15" s="141"/>
      <c r="J15" s="136"/>
      <c r="K15" s="131"/>
      <c r="L15" s="127"/>
      <c r="M15" s="127"/>
      <c r="N15" s="127"/>
      <c r="O15" s="127"/>
      <c r="P15" s="127"/>
      <c r="Q15" s="127"/>
      <c r="R15" s="127"/>
      <c r="S15" s="127"/>
      <c r="T15" s="127"/>
      <c r="U15" s="127"/>
      <c r="V15" s="127"/>
      <c r="W15" s="127"/>
      <c r="X15" s="127"/>
    </row>
    <row r="16" spans="1:24" s="130" customFormat="1">
      <c r="A16" s="221"/>
      <c r="B16" s="140" t="s">
        <v>192</v>
      </c>
      <c r="C16" s="131" t="s">
        <v>187</v>
      </c>
      <c r="D16" s="136" t="s">
        <v>188</v>
      </c>
      <c r="E16" s="142" t="s">
        <v>200</v>
      </c>
      <c r="F16" s="131"/>
      <c r="G16" s="131"/>
      <c r="H16" s="131"/>
      <c r="I16" s="131"/>
      <c r="J16" s="131"/>
      <c r="K16" s="131"/>
      <c r="L16" s="127"/>
      <c r="M16" s="127"/>
      <c r="N16" s="127"/>
      <c r="O16" s="127"/>
      <c r="P16" s="127"/>
      <c r="Q16" s="127"/>
      <c r="R16" s="127"/>
      <c r="S16" s="127"/>
      <c r="T16" s="127"/>
      <c r="U16" s="127"/>
      <c r="V16" s="127"/>
      <c r="W16" s="127"/>
      <c r="X16" s="127"/>
    </row>
    <row r="17" spans="1:24" s="130" customFormat="1">
      <c r="A17" s="221" t="s">
        <v>157</v>
      </c>
      <c r="B17" s="139" t="s">
        <v>158</v>
      </c>
      <c r="C17" s="131"/>
      <c r="D17" s="140"/>
      <c r="E17" s="131"/>
      <c r="F17" s="139" t="s">
        <v>185</v>
      </c>
      <c r="G17" s="131"/>
      <c r="H17" s="131"/>
      <c r="I17" s="131"/>
      <c r="J17" s="131"/>
      <c r="K17" s="131"/>
      <c r="L17" s="127"/>
      <c r="M17" s="127"/>
      <c r="N17" s="127"/>
      <c r="O17" s="127"/>
      <c r="P17" s="127"/>
      <c r="Q17" s="127"/>
      <c r="R17" s="127"/>
      <c r="S17" s="127"/>
      <c r="T17" s="127"/>
      <c r="U17" s="127"/>
      <c r="V17" s="127"/>
      <c r="W17" s="127"/>
      <c r="X17" s="127"/>
    </row>
    <row r="18" spans="1:24" s="130" customFormat="1" ht="31.5">
      <c r="A18" s="221"/>
      <c r="B18" s="161" t="s">
        <v>159</v>
      </c>
      <c r="C18" s="131"/>
      <c r="D18" s="140"/>
      <c r="E18" s="131"/>
      <c r="F18" s="131"/>
      <c r="G18" s="131"/>
      <c r="H18" s="131"/>
      <c r="I18" s="131"/>
      <c r="J18" s="131"/>
      <c r="K18" s="131"/>
      <c r="L18" s="127"/>
      <c r="M18" s="127"/>
      <c r="N18" s="127"/>
      <c r="O18" s="127"/>
      <c r="P18" s="127"/>
      <c r="Q18" s="127"/>
      <c r="R18" s="127"/>
      <c r="S18" s="127"/>
      <c r="T18" s="127"/>
      <c r="U18" s="127"/>
      <c r="V18" s="127"/>
      <c r="W18" s="127"/>
      <c r="X18" s="127"/>
    </row>
    <row r="19" spans="1:24" s="130" customFormat="1" ht="60">
      <c r="A19" s="219" t="s">
        <v>160</v>
      </c>
      <c r="B19" s="220" t="s">
        <v>161</v>
      </c>
      <c r="C19" s="138" t="s">
        <v>117</v>
      </c>
      <c r="D19" s="162" t="s">
        <v>148</v>
      </c>
      <c r="E19" s="163" t="s">
        <v>165</v>
      </c>
      <c r="F19" s="131"/>
      <c r="G19" s="131"/>
      <c r="H19" s="131"/>
      <c r="I19" s="131"/>
      <c r="J19" s="131"/>
      <c r="K19" s="131"/>
      <c r="L19" s="127"/>
      <c r="M19" s="127"/>
      <c r="N19" s="127"/>
      <c r="O19" s="127"/>
      <c r="P19" s="127"/>
      <c r="Q19" s="127"/>
      <c r="R19" s="127"/>
      <c r="S19" s="127"/>
      <c r="T19" s="127"/>
      <c r="U19" s="127"/>
      <c r="V19" s="127"/>
      <c r="W19" s="127"/>
      <c r="X19" s="127"/>
    </row>
    <row r="20" spans="1:24" s="130" customFormat="1">
      <c r="A20" s="219"/>
      <c r="B20" s="220"/>
      <c r="C20" s="138"/>
      <c r="D20" s="131" t="s">
        <v>182</v>
      </c>
      <c r="E20" s="142" t="s">
        <v>183</v>
      </c>
      <c r="F20" s="131" t="s">
        <v>184</v>
      </c>
      <c r="G20" s="131"/>
      <c r="H20" s="131"/>
      <c r="I20" s="131"/>
      <c r="J20" s="131"/>
      <c r="K20" s="131"/>
      <c r="L20" s="127"/>
      <c r="M20" s="127"/>
      <c r="N20" s="127"/>
      <c r="O20" s="127"/>
      <c r="P20" s="127"/>
      <c r="Q20" s="127"/>
      <c r="R20" s="127"/>
      <c r="S20" s="127"/>
      <c r="T20" s="127"/>
      <c r="U20" s="127"/>
      <c r="V20" s="127"/>
      <c r="W20" s="127"/>
      <c r="X20" s="127"/>
    </row>
    <row r="21" spans="1:24" s="130" customFormat="1" ht="31.5">
      <c r="A21" s="219"/>
      <c r="B21" s="220"/>
      <c r="C21" s="131" t="s">
        <v>118</v>
      </c>
      <c r="D21" s="131" t="s">
        <v>181</v>
      </c>
      <c r="E21" s="139" t="s">
        <v>179</v>
      </c>
      <c r="F21" s="131"/>
      <c r="G21" s="131"/>
      <c r="H21" s="131"/>
      <c r="I21" s="131"/>
      <c r="J21" s="131"/>
      <c r="K21" s="131"/>
      <c r="L21" s="127"/>
      <c r="M21" s="127"/>
      <c r="N21" s="127"/>
      <c r="O21" s="127"/>
      <c r="P21" s="127"/>
      <c r="Q21" s="127"/>
      <c r="R21" s="127"/>
      <c r="S21" s="127"/>
      <c r="T21" s="127"/>
      <c r="U21" s="127"/>
      <c r="V21" s="127"/>
      <c r="W21" s="127"/>
      <c r="X21" s="127"/>
    </row>
    <row r="22" spans="1:24" s="130" customFormat="1" ht="31.5">
      <c r="A22" s="219"/>
      <c r="B22" s="220"/>
      <c r="C22" s="131" t="s">
        <v>187</v>
      </c>
      <c r="D22" s="131" t="s">
        <v>186</v>
      </c>
      <c r="E22" s="139" t="s">
        <v>180</v>
      </c>
      <c r="F22" s="131"/>
      <c r="G22" s="131"/>
      <c r="H22" s="131"/>
      <c r="I22" s="131"/>
      <c r="J22" s="131"/>
      <c r="K22" s="131"/>
      <c r="L22" s="127"/>
      <c r="M22" s="127"/>
      <c r="N22" s="127"/>
      <c r="O22" s="127"/>
      <c r="P22" s="127"/>
      <c r="Q22" s="127"/>
      <c r="R22" s="127"/>
      <c r="S22" s="127"/>
      <c r="T22" s="127"/>
      <c r="U22" s="127"/>
      <c r="V22" s="127"/>
      <c r="W22" s="127"/>
      <c r="X22" s="127"/>
    </row>
    <row r="23" spans="1:24">
      <c r="A23" s="127"/>
      <c r="B23" s="127"/>
      <c r="C23" s="127"/>
      <c r="D23" s="129"/>
      <c r="E23" s="127"/>
      <c r="F23" s="127"/>
      <c r="G23" s="127"/>
      <c r="H23" s="127"/>
      <c r="I23" s="127"/>
      <c r="J23" s="127"/>
      <c r="K23" s="127"/>
      <c r="L23" s="127"/>
      <c r="M23" s="127"/>
      <c r="N23" s="127"/>
      <c r="O23" s="127"/>
      <c r="P23" s="127"/>
      <c r="Q23" s="127"/>
      <c r="R23" s="127"/>
      <c r="S23" s="127"/>
      <c r="T23" s="127"/>
      <c r="U23" s="127"/>
      <c r="V23" s="127"/>
      <c r="W23" s="127"/>
      <c r="X23" s="127"/>
    </row>
    <row r="24" spans="1:24">
      <c r="A24" s="127"/>
      <c r="B24" s="127"/>
      <c r="C24" s="127"/>
      <c r="D24" s="129"/>
      <c r="E24" s="127"/>
      <c r="F24" s="127"/>
      <c r="G24" s="127"/>
      <c r="H24" s="127"/>
      <c r="I24" s="127"/>
      <c r="J24" s="127"/>
      <c r="K24" s="127"/>
      <c r="L24" s="127"/>
      <c r="M24" s="127"/>
      <c r="N24" s="127"/>
      <c r="O24" s="127"/>
      <c r="P24" s="127"/>
      <c r="Q24" s="127"/>
      <c r="R24" s="127"/>
      <c r="S24" s="127"/>
      <c r="T24" s="127"/>
      <c r="U24" s="127"/>
      <c r="V24" s="127"/>
      <c r="W24" s="127"/>
      <c r="X24" s="127"/>
    </row>
    <row r="25" spans="1:24">
      <c r="A25" s="127"/>
      <c r="B25" s="127"/>
      <c r="C25" s="127"/>
      <c r="D25" s="129"/>
      <c r="E25" s="127"/>
      <c r="F25" s="127"/>
      <c r="G25" s="127"/>
      <c r="H25" s="127"/>
      <c r="I25" s="127"/>
      <c r="J25" s="127"/>
      <c r="K25" s="127"/>
      <c r="L25" s="127"/>
      <c r="M25" s="127"/>
      <c r="N25" s="127"/>
      <c r="O25" s="127"/>
      <c r="P25" s="127"/>
      <c r="Q25" s="127"/>
      <c r="R25" s="127"/>
      <c r="S25" s="127"/>
      <c r="T25" s="127"/>
      <c r="U25" s="127"/>
      <c r="V25" s="127"/>
      <c r="W25" s="127"/>
      <c r="X25" s="127"/>
    </row>
    <row r="26" spans="1:24">
      <c r="A26" s="127"/>
      <c r="B26" s="127"/>
      <c r="C26" s="127"/>
      <c r="D26" s="127"/>
      <c r="E26" s="127"/>
      <c r="F26" s="127"/>
      <c r="G26" s="127"/>
      <c r="H26" s="127"/>
      <c r="I26" s="127"/>
      <c r="J26" s="127"/>
      <c r="K26" s="127"/>
      <c r="L26" s="127"/>
      <c r="M26" s="127"/>
      <c r="N26" s="127"/>
      <c r="O26" s="127"/>
      <c r="P26" s="127"/>
      <c r="Q26" s="127"/>
      <c r="R26" s="127"/>
      <c r="S26" s="127"/>
      <c r="T26" s="127"/>
      <c r="U26" s="127"/>
      <c r="V26" s="127"/>
      <c r="W26" s="127"/>
      <c r="X26" s="127"/>
    </row>
    <row r="27" spans="1:24">
      <c r="A27" s="127"/>
      <c r="B27" s="127"/>
      <c r="C27" s="127"/>
      <c r="D27" s="127"/>
      <c r="E27" s="127"/>
      <c r="F27" s="127"/>
      <c r="G27" s="127"/>
      <c r="H27" s="127"/>
      <c r="I27" s="127"/>
      <c r="J27" s="127"/>
      <c r="K27" s="127"/>
      <c r="L27" s="127"/>
      <c r="M27" s="127"/>
      <c r="N27" s="127"/>
      <c r="O27" s="127"/>
      <c r="P27" s="127"/>
      <c r="Q27" s="127"/>
      <c r="R27" s="127"/>
      <c r="S27" s="127"/>
      <c r="T27" s="127"/>
      <c r="U27" s="127"/>
      <c r="V27" s="127"/>
      <c r="W27" s="127"/>
      <c r="X27" s="127"/>
    </row>
    <row r="28" spans="1:24">
      <c r="A28" s="127"/>
      <c r="B28" s="127"/>
      <c r="C28" s="127"/>
      <c r="D28" s="127"/>
      <c r="E28" s="127"/>
      <c r="F28" s="127"/>
      <c r="G28" s="127"/>
      <c r="H28" s="127"/>
      <c r="I28" s="127"/>
      <c r="J28" s="127"/>
      <c r="K28" s="127"/>
      <c r="L28" s="127"/>
      <c r="M28" s="127"/>
      <c r="N28" s="127"/>
      <c r="O28" s="127"/>
      <c r="P28" s="127"/>
      <c r="Q28" s="127"/>
      <c r="R28" s="127"/>
      <c r="S28" s="127"/>
      <c r="T28" s="127"/>
      <c r="U28" s="127"/>
      <c r="V28" s="127"/>
      <c r="W28" s="127"/>
      <c r="X28" s="127"/>
    </row>
    <row r="29" spans="1:24">
      <c r="A29" s="127"/>
      <c r="B29" s="127"/>
      <c r="C29" s="127"/>
      <c r="D29" s="127"/>
      <c r="E29" s="127"/>
      <c r="F29" s="127"/>
      <c r="G29" s="127"/>
      <c r="H29" s="127"/>
      <c r="I29" s="127"/>
      <c r="J29" s="127"/>
      <c r="K29" s="127"/>
      <c r="L29" s="127"/>
      <c r="M29" s="127"/>
      <c r="N29" s="127"/>
      <c r="O29" s="127"/>
      <c r="P29" s="127"/>
      <c r="Q29" s="127"/>
      <c r="R29" s="127"/>
      <c r="S29" s="127"/>
      <c r="T29" s="127"/>
      <c r="U29" s="127"/>
      <c r="V29" s="127"/>
      <c r="W29" s="127"/>
      <c r="X29" s="127"/>
    </row>
    <row r="30" spans="1:24">
      <c r="A30" s="127"/>
      <c r="B30" s="127"/>
      <c r="C30" s="127"/>
      <c r="D30" s="127"/>
      <c r="E30" s="127"/>
      <c r="F30" s="127"/>
      <c r="G30" s="127"/>
      <c r="H30" s="127"/>
      <c r="I30" s="127"/>
      <c r="J30" s="127"/>
      <c r="K30" s="127"/>
      <c r="L30" s="127"/>
      <c r="M30" s="127"/>
      <c r="N30" s="127"/>
      <c r="O30" s="127"/>
      <c r="P30" s="127"/>
      <c r="Q30" s="127"/>
      <c r="R30" s="127"/>
      <c r="S30" s="127"/>
      <c r="T30" s="127"/>
      <c r="U30" s="127"/>
      <c r="V30" s="127"/>
      <c r="W30" s="127"/>
      <c r="X30" s="127"/>
    </row>
    <row r="31" spans="1:24">
      <c r="A31" s="127"/>
      <c r="B31" s="127"/>
      <c r="C31" s="127"/>
      <c r="D31" s="127"/>
      <c r="E31" s="127"/>
      <c r="F31" s="127"/>
      <c r="G31" s="127"/>
      <c r="H31" s="127"/>
      <c r="I31" s="127"/>
      <c r="J31" s="127"/>
      <c r="K31" s="127"/>
      <c r="L31" s="127"/>
      <c r="M31" s="127"/>
      <c r="N31" s="127"/>
      <c r="O31" s="127"/>
      <c r="P31" s="127"/>
      <c r="Q31" s="127"/>
      <c r="R31" s="127"/>
      <c r="S31" s="127"/>
      <c r="T31" s="127"/>
      <c r="U31" s="127"/>
      <c r="V31" s="127"/>
      <c r="W31" s="127"/>
      <c r="X31" s="127"/>
    </row>
    <row r="32" spans="1:24">
      <c r="A32" s="127"/>
      <c r="B32" s="127"/>
      <c r="C32" s="127"/>
      <c r="D32" s="127"/>
      <c r="E32" s="127"/>
      <c r="F32" s="127"/>
      <c r="G32" s="127"/>
      <c r="H32" s="127"/>
      <c r="I32" s="127"/>
      <c r="J32" s="127"/>
      <c r="K32" s="127"/>
      <c r="L32" s="127"/>
      <c r="M32" s="127"/>
      <c r="N32" s="127"/>
      <c r="O32" s="127"/>
      <c r="P32" s="127"/>
      <c r="Q32" s="127"/>
      <c r="R32" s="127"/>
      <c r="S32" s="127"/>
      <c r="T32" s="127"/>
      <c r="U32" s="127"/>
      <c r="V32" s="127"/>
      <c r="W32" s="127"/>
      <c r="X32" s="127"/>
    </row>
    <row r="33" spans="1:24">
      <c r="A33" s="127"/>
      <c r="B33" s="127"/>
      <c r="C33" s="127"/>
      <c r="D33" s="127"/>
      <c r="E33" s="127"/>
      <c r="F33" s="127"/>
      <c r="G33" s="127"/>
      <c r="H33" s="127"/>
      <c r="I33" s="127"/>
      <c r="J33" s="127"/>
      <c r="K33" s="127"/>
      <c r="L33" s="127"/>
      <c r="M33" s="127"/>
      <c r="N33" s="127"/>
      <c r="O33" s="127"/>
      <c r="P33" s="127"/>
      <c r="Q33" s="127"/>
      <c r="R33" s="127"/>
      <c r="S33" s="127"/>
      <c r="T33" s="127"/>
      <c r="U33" s="127"/>
      <c r="V33" s="127"/>
      <c r="W33" s="127"/>
      <c r="X33" s="127"/>
    </row>
    <row r="34" spans="1:24">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row>
    <row r="35" spans="1:24">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row>
    <row r="36" spans="1:24">
      <c r="A36" s="127"/>
      <c r="B36" s="127"/>
      <c r="C36" s="127"/>
      <c r="D36" s="127"/>
      <c r="E36" s="127"/>
      <c r="F36" s="127"/>
      <c r="G36" s="127"/>
      <c r="H36" s="127"/>
      <c r="I36" s="127"/>
      <c r="J36" s="127"/>
      <c r="K36" s="127"/>
      <c r="L36" s="127"/>
      <c r="M36" s="127"/>
      <c r="N36" s="127"/>
      <c r="O36" s="127"/>
      <c r="P36" s="127"/>
      <c r="Q36" s="127"/>
      <c r="R36" s="127"/>
      <c r="S36" s="127"/>
      <c r="T36" s="127"/>
      <c r="U36" s="127"/>
      <c r="V36" s="127"/>
      <c r="W36" s="127"/>
      <c r="X36" s="127"/>
    </row>
    <row r="37" spans="1:24">
      <c r="A37" s="127"/>
      <c r="B37" s="127"/>
      <c r="C37" s="127"/>
      <c r="D37" s="127"/>
      <c r="E37" s="127"/>
      <c r="F37" s="127"/>
      <c r="G37" s="127"/>
      <c r="H37" s="127"/>
      <c r="I37" s="127"/>
      <c r="J37" s="127"/>
      <c r="K37" s="127"/>
      <c r="L37" s="127"/>
      <c r="M37" s="127"/>
      <c r="N37" s="127"/>
      <c r="O37" s="127"/>
      <c r="P37" s="127"/>
      <c r="Q37" s="127"/>
      <c r="R37" s="127"/>
      <c r="S37" s="127"/>
      <c r="T37" s="127"/>
      <c r="U37" s="127"/>
      <c r="V37" s="127"/>
      <c r="W37" s="127"/>
      <c r="X37" s="127"/>
    </row>
    <row r="38" spans="1:24">
      <c r="A38" s="127"/>
      <c r="B38" s="127"/>
      <c r="C38" s="127"/>
      <c r="D38" s="127"/>
      <c r="E38" s="127"/>
      <c r="F38" s="127"/>
      <c r="G38" s="127"/>
      <c r="H38" s="127"/>
      <c r="I38" s="127"/>
      <c r="J38" s="127"/>
      <c r="K38" s="127"/>
      <c r="L38" s="127"/>
      <c r="M38" s="127"/>
      <c r="N38" s="127"/>
      <c r="O38" s="127"/>
      <c r="P38" s="127"/>
      <c r="Q38" s="127"/>
      <c r="R38" s="127"/>
      <c r="S38" s="127"/>
      <c r="T38" s="127"/>
      <c r="U38" s="127"/>
      <c r="V38" s="127"/>
      <c r="W38" s="127"/>
      <c r="X38" s="127"/>
    </row>
    <row r="39" spans="1:24">
      <c r="A39" s="127"/>
      <c r="B39" s="127"/>
      <c r="C39" s="127"/>
      <c r="D39" s="127"/>
      <c r="E39" s="127"/>
      <c r="F39" s="127"/>
      <c r="G39" s="127"/>
      <c r="H39" s="127"/>
      <c r="I39" s="127"/>
      <c r="J39" s="127"/>
      <c r="K39" s="127"/>
      <c r="L39" s="127"/>
      <c r="M39" s="127"/>
      <c r="N39" s="127"/>
      <c r="O39" s="127"/>
      <c r="P39" s="127"/>
      <c r="Q39" s="127"/>
      <c r="R39" s="127"/>
      <c r="S39" s="127"/>
      <c r="T39" s="127"/>
      <c r="U39" s="127"/>
      <c r="V39" s="127"/>
      <c r="W39" s="127"/>
      <c r="X39" s="127"/>
    </row>
    <row r="40" spans="1:24">
      <c r="A40" s="127"/>
      <c r="B40" s="127"/>
      <c r="C40" s="127"/>
      <c r="D40" s="127"/>
      <c r="E40" s="127"/>
      <c r="F40" s="127"/>
      <c r="G40" s="127"/>
      <c r="H40" s="127"/>
      <c r="I40" s="127"/>
      <c r="J40" s="127"/>
      <c r="K40" s="127"/>
      <c r="L40" s="127"/>
      <c r="M40" s="127"/>
      <c r="N40" s="127"/>
      <c r="O40" s="127"/>
      <c r="P40" s="127"/>
      <c r="Q40" s="127"/>
      <c r="R40" s="127"/>
      <c r="S40" s="127"/>
      <c r="T40" s="127"/>
      <c r="U40" s="127"/>
      <c r="V40" s="127"/>
      <c r="W40" s="127"/>
      <c r="X40" s="127"/>
    </row>
    <row r="41" spans="1:24">
      <c r="A41" s="127"/>
      <c r="B41" s="127"/>
      <c r="C41" s="127"/>
      <c r="D41" s="127"/>
      <c r="E41" s="127"/>
      <c r="F41" s="127"/>
      <c r="G41" s="127"/>
      <c r="H41" s="127"/>
      <c r="I41" s="127"/>
      <c r="J41" s="127"/>
      <c r="K41" s="127"/>
      <c r="L41" s="127"/>
      <c r="M41" s="127"/>
      <c r="N41" s="127"/>
      <c r="O41" s="127"/>
      <c r="P41" s="127"/>
      <c r="Q41" s="127"/>
      <c r="R41" s="127"/>
      <c r="S41" s="127"/>
      <c r="T41" s="127"/>
      <c r="U41" s="127"/>
      <c r="V41" s="127"/>
      <c r="W41" s="127"/>
      <c r="X41" s="127"/>
    </row>
    <row r="42" spans="1:24">
      <c r="A42" s="127"/>
      <c r="B42" s="127"/>
      <c r="C42" s="127"/>
      <c r="D42" s="127"/>
      <c r="E42" s="127"/>
      <c r="F42" s="127"/>
      <c r="G42" s="127"/>
      <c r="H42" s="127"/>
      <c r="I42" s="127"/>
      <c r="J42" s="127"/>
      <c r="K42" s="127"/>
      <c r="L42" s="127"/>
      <c r="M42" s="127"/>
      <c r="N42" s="127"/>
      <c r="O42" s="127"/>
      <c r="P42" s="127"/>
      <c r="Q42" s="127"/>
      <c r="R42" s="127"/>
      <c r="S42" s="127"/>
      <c r="T42" s="127"/>
      <c r="U42" s="127"/>
      <c r="V42" s="127"/>
      <c r="W42" s="127"/>
      <c r="X42" s="127"/>
    </row>
    <row r="43" spans="1:24">
      <c r="A43" s="127"/>
      <c r="B43" s="127"/>
      <c r="C43" s="127"/>
      <c r="D43" s="127"/>
      <c r="E43" s="127"/>
      <c r="F43" s="127"/>
      <c r="G43" s="127"/>
      <c r="H43" s="127"/>
      <c r="I43" s="127"/>
      <c r="J43" s="127"/>
      <c r="K43" s="127"/>
      <c r="L43" s="127"/>
      <c r="M43" s="127"/>
      <c r="N43" s="127"/>
      <c r="O43" s="127"/>
      <c r="P43" s="127"/>
      <c r="Q43" s="127"/>
      <c r="R43" s="127"/>
      <c r="S43" s="127"/>
      <c r="T43" s="127"/>
      <c r="U43" s="127"/>
      <c r="V43" s="127"/>
      <c r="W43" s="127"/>
      <c r="X43" s="127"/>
    </row>
    <row r="44" spans="1:24">
      <c r="A44" s="127"/>
      <c r="B44" s="127"/>
      <c r="C44" s="127"/>
      <c r="D44" s="127"/>
      <c r="E44" s="127"/>
      <c r="F44" s="127"/>
      <c r="G44" s="127"/>
      <c r="H44" s="127"/>
      <c r="I44" s="127"/>
      <c r="J44" s="127"/>
      <c r="K44" s="127"/>
      <c r="L44" s="127"/>
      <c r="M44" s="127"/>
      <c r="N44" s="127"/>
      <c r="O44" s="127"/>
      <c r="P44" s="127"/>
      <c r="Q44" s="127"/>
      <c r="R44" s="127"/>
      <c r="S44" s="127"/>
      <c r="T44" s="127"/>
      <c r="U44" s="127"/>
      <c r="V44" s="127"/>
      <c r="W44" s="127"/>
      <c r="X44" s="127"/>
    </row>
    <row r="45" spans="1:24">
      <c r="A45" s="127"/>
      <c r="B45" s="127"/>
      <c r="C45" s="127"/>
      <c r="D45" s="127"/>
      <c r="E45" s="127"/>
      <c r="F45" s="127"/>
      <c r="G45" s="127"/>
      <c r="H45" s="127"/>
      <c r="I45" s="127"/>
      <c r="J45" s="127"/>
      <c r="K45" s="127"/>
      <c r="L45" s="127"/>
      <c r="M45" s="127"/>
      <c r="N45" s="127"/>
      <c r="O45" s="127"/>
      <c r="P45" s="127"/>
      <c r="Q45" s="127"/>
      <c r="R45" s="127"/>
      <c r="S45" s="127"/>
      <c r="T45" s="127"/>
      <c r="U45" s="127"/>
      <c r="V45" s="127"/>
      <c r="W45" s="127"/>
      <c r="X45" s="127"/>
    </row>
    <row r="46" spans="1:24">
      <c r="A46" s="127"/>
      <c r="B46" s="127"/>
      <c r="C46" s="127"/>
      <c r="D46" s="127"/>
      <c r="E46" s="127"/>
      <c r="F46" s="127"/>
      <c r="G46" s="127"/>
      <c r="H46" s="127"/>
      <c r="I46" s="127"/>
      <c r="J46" s="127"/>
      <c r="K46" s="127"/>
      <c r="L46" s="127"/>
      <c r="M46" s="127"/>
      <c r="N46" s="127"/>
      <c r="O46" s="127"/>
      <c r="P46" s="127"/>
      <c r="Q46" s="127"/>
      <c r="R46" s="127"/>
      <c r="S46" s="127"/>
      <c r="T46" s="127"/>
      <c r="U46" s="127"/>
      <c r="V46" s="127"/>
      <c r="W46" s="127"/>
      <c r="X46" s="127"/>
    </row>
    <row r="47" spans="1:24">
      <c r="A47" s="127"/>
      <c r="B47" s="127"/>
      <c r="C47" s="127"/>
      <c r="D47" s="127"/>
      <c r="E47" s="127"/>
      <c r="F47" s="127"/>
      <c r="G47" s="127"/>
      <c r="H47" s="127"/>
      <c r="I47" s="127"/>
      <c r="J47" s="127"/>
      <c r="K47" s="127"/>
      <c r="L47" s="127"/>
      <c r="M47" s="127"/>
      <c r="N47" s="127"/>
      <c r="O47" s="127"/>
      <c r="P47" s="127"/>
      <c r="Q47" s="127"/>
      <c r="R47" s="127"/>
      <c r="S47" s="127"/>
      <c r="T47" s="127"/>
      <c r="U47" s="127"/>
      <c r="V47" s="127"/>
      <c r="W47" s="127"/>
      <c r="X47" s="127"/>
    </row>
    <row r="48" spans="1:24">
      <c r="A48" s="127"/>
      <c r="B48" s="127"/>
      <c r="C48" s="127"/>
      <c r="D48" s="127"/>
      <c r="E48" s="127"/>
      <c r="F48" s="127"/>
      <c r="G48" s="127"/>
      <c r="H48" s="127"/>
      <c r="I48" s="127"/>
      <c r="J48" s="127"/>
      <c r="K48" s="127"/>
      <c r="L48" s="127"/>
      <c r="M48" s="127"/>
      <c r="N48" s="127"/>
      <c r="O48" s="127"/>
      <c r="P48" s="127"/>
      <c r="Q48" s="127"/>
      <c r="R48" s="127"/>
      <c r="S48" s="127"/>
      <c r="T48" s="127"/>
      <c r="U48" s="127"/>
      <c r="V48" s="127"/>
      <c r="W48" s="127"/>
      <c r="X48" s="127"/>
    </row>
    <row r="49" spans="1:24">
      <c r="A49" s="127"/>
      <c r="B49" s="127"/>
      <c r="C49" s="127"/>
      <c r="D49" s="127"/>
      <c r="E49" s="127"/>
      <c r="F49" s="127"/>
      <c r="G49" s="127"/>
      <c r="H49" s="127"/>
      <c r="I49" s="127"/>
      <c r="J49" s="127"/>
      <c r="K49" s="127"/>
      <c r="L49" s="127"/>
      <c r="M49" s="127"/>
      <c r="N49" s="127"/>
      <c r="O49" s="127"/>
      <c r="P49" s="127"/>
      <c r="Q49" s="127"/>
      <c r="R49" s="127"/>
      <c r="S49" s="127"/>
      <c r="T49" s="127"/>
      <c r="U49" s="127"/>
      <c r="V49" s="127"/>
      <c r="W49" s="127"/>
      <c r="X49" s="127"/>
    </row>
    <row r="50" spans="1:24">
      <c r="A50" s="127"/>
      <c r="B50" s="127"/>
      <c r="C50" s="127"/>
      <c r="D50" s="127"/>
      <c r="E50" s="127"/>
      <c r="F50" s="127"/>
      <c r="G50" s="127"/>
      <c r="H50" s="127"/>
      <c r="I50" s="127"/>
      <c r="J50" s="127"/>
      <c r="K50" s="127"/>
      <c r="L50" s="127"/>
      <c r="M50" s="127"/>
      <c r="N50" s="127"/>
      <c r="O50" s="127"/>
      <c r="P50" s="127"/>
      <c r="Q50" s="127"/>
      <c r="R50" s="127"/>
      <c r="S50" s="127"/>
      <c r="T50" s="127"/>
      <c r="U50" s="127"/>
      <c r="V50" s="127"/>
      <c r="W50" s="127"/>
      <c r="X50" s="127"/>
    </row>
    <row r="51" spans="1:24">
      <c r="A51" s="127"/>
      <c r="B51" s="127"/>
      <c r="C51" s="127"/>
      <c r="D51" s="127"/>
      <c r="E51" s="127"/>
      <c r="F51" s="127"/>
      <c r="G51" s="127"/>
      <c r="H51" s="127"/>
      <c r="I51" s="127"/>
      <c r="J51" s="127"/>
      <c r="K51" s="127"/>
      <c r="L51" s="127"/>
      <c r="M51" s="127"/>
      <c r="N51" s="127"/>
      <c r="O51" s="127"/>
      <c r="P51" s="127"/>
      <c r="Q51" s="127"/>
      <c r="R51" s="127"/>
      <c r="S51" s="127"/>
      <c r="T51" s="127"/>
      <c r="U51" s="127"/>
      <c r="V51" s="127"/>
      <c r="W51" s="127"/>
      <c r="X51" s="127"/>
    </row>
    <row r="52" spans="1:24">
      <c r="A52" s="127"/>
      <c r="B52" s="127"/>
      <c r="C52" s="127"/>
      <c r="D52" s="127"/>
      <c r="E52" s="127"/>
      <c r="F52" s="127"/>
      <c r="G52" s="127"/>
      <c r="H52" s="127"/>
      <c r="I52" s="127"/>
      <c r="J52" s="127"/>
      <c r="K52" s="127"/>
      <c r="L52" s="127"/>
      <c r="M52" s="127"/>
      <c r="N52" s="127"/>
      <c r="O52" s="127"/>
      <c r="P52" s="127"/>
      <c r="Q52" s="127"/>
      <c r="R52" s="127"/>
      <c r="S52" s="127"/>
      <c r="T52" s="127"/>
      <c r="U52" s="127"/>
      <c r="V52" s="127"/>
      <c r="W52" s="127"/>
      <c r="X52" s="127"/>
    </row>
    <row r="53" spans="1:24">
      <c r="A53" s="127"/>
      <c r="B53" s="127"/>
      <c r="C53" s="127"/>
      <c r="D53" s="127"/>
      <c r="E53" s="127"/>
      <c r="F53" s="127"/>
      <c r="G53" s="127"/>
      <c r="H53" s="127"/>
      <c r="I53" s="127"/>
      <c r="J53" s="127"/>
      <c r="K53" s="127"/>
      <c r="L53" s="127"/>
      <c r="M53" s="127"/>
      <c r="N53" s="127"/>
      <c r="O53" s="127"/>
      <c r="P53" s="127"/>
      <c r="Q53" s="127"/>
      <c r="R53" s="127"/>
      <c r="S53" s="127"/>
      <c r="T53" s="127"/>
      <c r="U53" s="127"/>
      <c r="V53" s="127"/>
      <c r="W53" s="127"/>
      <c r="X53" s="127"/>
    </row>
    <row r="54" spans="1:24">
      <c r="A54" s="127"/>
      <c r="B54" s="127"/>
      <c r="C54" s="127"/>
      <c r="D54" s="127"/>
      <c r="E54" s="127"/>
      <c r="F54" s="127"/>
      <c r="G54" s="127"/>
      <c r="H54" s="127"/>
      <c r="I54" s="127"/>
      <c r="J54" s="127"/>
      <c r="K54" s="127"/>
      <c r="L54" s="127"/>
      <c r="M54" s="127"/>
      <c r="N54" s="127"/>
      <c r="O54" s="127"/>
      <c r="P54" s="127"/>
      <c r="Q54" s="127"/>
      <c r="R54" s="127"/>
      <c r="S54" s="127"/>
      <c r="T54" s="127"/>
      <c r="U54" s="127"/>
      <c r="V54" s="127"/>
      <c r="W54" s="127"/>
      <c r="X54" s="127"/>
    </row>
    <row r="55" spans="1:24">
      <c r="A55" s="127"/>
      <c r="B55" s="127"/>
      <c r="C55" s="127"/>
      <c r="D55" s="127"/>
      <c r="E55" s="127"/>
      <c r="F55" s="127"/>
      <c r="G55" s="127"/>
      <c r="H55" s="127"/>
      <c r="I55" s="127"/>
      <c r="J55" s="127"/>
      <c r="K55" s="127"/>
      <c r="L55" s="127"/>
      <c r="M55" s="127"/>
      <c r="N55" s="127"/>
      <c r="O55" s="127"/>
      <c r="P55" s="127"/>
      <c r="Q55" s="127"/>
      <c r="R55" s="127"/>
      <c r="S55" s="127"/>
      <c r="T55" s="127"/>
      <c r="U55" s="127"/>
      <c r="V55" s="127"/>
      <c r="W55" s="127"/>
      <c r="X55" s="127"/>
    </row>
    <row r="56" spans="1:24">
      <c r="A56" s="127"/>
      <c r="B56" s="127"/>
      <c r="C56" s="127"/>
      <c r="D56" s="127"/>
      <c r="E56" s="127"/>
      <c r="F56" s="127"/>
      <c r="G56" s="127"/>
      <c r="H56" s="127"/>
      <c r="I56" s="127"/>
      <c r="J56" s="127"/>
      <c r="K56" s="127"/>
      <c r="L56" s="127"/>
      <c r="M56" s="127"/>
      <c r="N56" s="127"/>
      <c r="O56" s="127"/>
      <c r="P56" s="127"/>
      <c r="Q56" s="127"/>
      <c r="R56" s="127"/>
      <c r="S56" s="127"/>
      <c r="T56" s="127"/>
      <c r="U56" s="127"/>
      <c r="V56" s="127"/>
      <c r="W56" s="127"/>
      <c r="X56" s="127"/>
    </row>
    <row r="57" spans="1:24">
      <c r="A57" s="127"/>
      <c r="B57" s="127"/>
      <c r="C57" s="127"/>
      <c r="D57" s="127"/>
      <c r="E57" s="127"/>
      <c r="F57" s="127"/>
      <c r="G57" s="127"/>
      <c r="H57" s="127"/>
      <c r="I57" s="127"/>
      <c r="J57" s="127"/>
      <c r="K57" s="127"/>
      <c r="L57" s="127"/>
      <c r="M57" s="127"/>
      <c r="N57" s="127"/>
      <c r="O57" s="127"/>
      <c r="P57" s="127"/>
      <c r="Q57" s="127"/>
      <c r="R57" s="127"/>
      <c r="S57" s="127"/>
      <c r="T57" s="127"/>
      <c r="U57" s="127"/>
      <c r="V57" s="127"/>
      <c r="W57" s="127"/>
      <c r="X57" s="127"/>
    </row>
    <row r="58" spans="1:24">
      <c r="A58" s="127"/>
      <c r="B58" s="127"/>
      <c r="C58" s="127"/>
      <c r="D58" s="127"/>
      <c r="E58" s="127"/>
      <c r="F58" s="127"/>
      <c r="G58" s="127"/>
      <c r="H58" s="127"/>
      <c r="I58" s="127"/>
      <c r="J58" s="127"/>
      <c r="K58" s="127"/>
      <c r="L58" s="127"/>
      <c r="M58" s="127"/>
      <c r="N58" s="127"/>
      <c r="O58" s="127"/>
      <c r="P58" s="127"/>
      <c r="Q58" s="127"/>
      <c r="R58" s="127"/>
      <c r="S58" s="127"/>
      <c r="T58" s="127"/>
      <c r="U58" s="127"/>
      <c r="V58" s="127"/>
      <c r="W58" s="127"/>
      <c r="X58" s="127"/>
    </row>
    <row r="59" spans="1:24">
      <c r="A59" s="127"/>
      <c r="B59" s="127"/>
      <c r="C59" s="127"/>
      <c r="D59" s="127"/>
      <c r="E59" s="127"/>
      <c r="F59" s="127"/>
      <c r="G59" s="127"/>
      <c r="H59" s="127"/>
      <c r="I59" s="127"/>
      <c r="J59" s="127"/>
      <c r="K59" s="127"/>
      <c r="L59" s="127"/>
      <c r="M59" s="127"/>
      <c r="N59" s="127"/>
      <c r="O59" s="127"/>
      <c r="P59" s="127"/>
      <c r="Q59" s="127"/>
      <c r="R59" s="127"/>
      <c r="S59" s="127"/>
      <c r="T59" s="127"/>
      <c r="U59" s="127"/>
      <c r="V59" s="127"/>
      <c r="W59" s="127"/>
      <c r="X59" s="127"/>
    </row>
    <row r="60" spans="1:24">
      <c r="A60" s="127"/>
      <c r="B60" s="127"/>
      <c r="C60" s="127"/>
      <c r="D60" s="127"/>
      <c r="E60" s="127"/>
      <c r="F60" s="127"/>
      <c r="G60" s="127"/>
      <c r="H60" s="127"/>
      <c r="I60" s="127"/>
      <c r="J60" s="127"/>
      <c r="K60" s="127"/>
      <c r="L60" s="127"/>
      <c r="M60" s="127"/>
      <c r="N60" s="127"/>
      <c r="O60" s="127"/>
      <c r="P60" s="127"/>
      <c r="Q60" s="127"/>
      <c r="R60" s="127"/>
      <c r="S60" s="127"/>
      <c r="T60" s="127"/>
      <c r="U60" s="127"/>
      <c r="V60" s="127"/>
      <c r="W60" s="127"/>
      <c r="X60" s="127"/>
    </row>
    <row r="61" spans="1:24">
      <c r="A61" s="127"/>
      <c r="B61" s="127"/>
      <c r="C61" s="127"/>
      <c r="D61" s="127"/>
      <c r="E61" s="127"/>
      <c r="F61" s="127"/>
      <c r="G61" s="127"/>
      <c r="H61" s="127"/>
      <c r="I61" s="127"/>
      <c r="J61" s="127"/>
      <c r="K61" s="127"/>
      <c r="L61" s="127"/>
      <c r="M61" s="127"/>
      <c r="N61" s="127"/>
      <c r="O61" s="127"/>
      <c r="P61" s="127"/>
      <c r="Q61" s="127"/>
      <c r="R61" s="127"/>
      <c r="S61" s="127"/>
      <c r="T61" s="127"/>
      <c r="U61" s="127"/>
      <c r="V61" s="127"/>
      <c r="W61" s="127"/>
      <c r="X61" s="127"/>
    </row>
    <row r="62" spans="1:24">
      <c r="A62" s="127"/>
      <c r="B62" s="127"/>
      <c r="C62" s="127"/>
      <c r="D62" s="127"/>
      <c r="E62" s="127"/>
      <c r="F62" s="127"/>
      <c r="G62" s="127"/>
      <c r="H62" s="127"/>
      <c r="I62" s="127"/>
      <c r="J62" s="127"/>
      <c r="K62" s="127"/>
      <c r="L62" s="127"/>
      <c r="M62" s="127"/>
      <c r="N62" s="127"/>
      <c r="O62" s="127"/>
      <c r="P62" s="127"/>
      <c r="Q62" s="127"/>
      <c r="R62" s="127"/>
      <c r="S62" s="127"/>
      <c r="T62" s="127"/>
      <c r="U62" s="127"/>
      <c r="V62" s="127"/>
      <c r="W62" s="127"/>
      <c r="X62" s="127"/>
    </row>
    <row r="63" spans="1:24">
      <c r="A63" s="127"/>
      <c r="B63" s="127"/>
      <c r="C63" s="127"/>
      <c r="D63" s="127"/>
      <c r="E63" s="127"/>
      <c r="F63" s="127"/>
      <c r="G63" s="127"/>
      <c r="H63" s="127"/>
      <c r="I63" s="127"/>
      <c r="J63" s="127"/>
      <c r="K63" s="127"/>
      <c r="L63" s="127"/>
      <c r="M63" s="127"/>
      <c r="N63" s="127"/>
      <c r="O63" s="127"/>
      <c r="P63" s="127"/>
      <c r="Q63" s="127"/>
      <c r="R63" s="127"/>
      <c r="S63" s="127"/>
      <c r="T63" s="127"/>
      <c r="U63" s="127"/>
      <c r="V63" s="127"/>
      <c r="W63" s="127"/>
      <c r="X63" s="127"/>
    </row>
    <row r="64" spans="1:24">
      <c r="A64" s="127"/>
      <c r="B64" s="127"/>
      <c r="C64" s="127"/>
      <c r="D64" s="127"/>
      <c r="E64" s="127"/>
      <c r="F64" s="127"/>
      <c r="G64" s="127"/>
      <c r="H64" s="127"/>
      <c r="I64" s="127"/>
      <c r="J64" s="127"/>
      <c r="K64" s="127"/>
      <c r="L64" s="127"/>
      <c r="M64" s="127"/>
      <c r="N64" s="127"/>
      <c r="O64" s="127"/>
      <c r="P64" s="127"/>
      <c r="Q64" s="127"/>
      <c r="R64" s="127"/>
      <c r="S64" s="127"/>
      <c r="T64" s="127"/>
      <c r="U64" s="127"/>
      <c r="V64" s="127"/>
      <c r="W64" s="127"/>
      <c r="X64" s="127"/>
    </row>
    <row r="65" spans="1:24">
      <c r="A65" s="127"/>
      <c r="B65" s="127"/>
      <c r="C65" s="127"/>
      <c r="D65" s="127"/>
      <c r="E65" s="127"/>
      <c r="F65" s="127"/>
      <c r="G65" s="127"/>
      <c r="H65" s="127"/>
      <c r="I65" s="127"/>
      <c r="J65" s="127"/>
      <c r="K65" s="127"/>
      <c r="L65" s="127"/>
      <c r="M65" s="127"/>
      <c r="N65" s="127"/>
      <c r="O65" s="127"/>
      <c r="P65" s="127"/>
      <c r="Q65" s="127"/>
      <c r="R65" s="127"/>
      <c r="S65" s="127"/>
      <c r="T65" s="127"/>
      <c r="U65" s="127"/>
      <c r="V65" s="127"/>
      <c r="W65" s="127"/>
      <c r="X65" s="127"/>
    </row>
    <row r="66" spans="1:24">
      <c r="A66" s="127"/>
      <c r="B66" s="127"/>
      <c r="C66" s="127"/>
      <c r="D66" s="127"/>
      <c r="E66" s="127"/>
      <c r="F66" s="127"/>
      <c r="G66" s="127"/>
      <c r="H66" s="127"/>
      <c r="I66" s="127"/>
      <c r="J66" s="127"/>
      <c r="K66" s="127"/>
      <c r="L66" s="127"/>
      <c r="M66" s="127"/>
      <c r="N66" s="127"/>
      <c r="O66" s="127"/>
      <c r="P66" s="127"/>
      <c r="Q66" s="127"/>
      <c r="R66" s="127"/>
      <c r="S66" s="127"/>
      <c r="T66" s="127"/>
      <c r="U66" s="127"/>
      <c r="V66" s="127"/>
      <c r="W66" s="127"/>
      <c r="X66" s="127"/>
    </row>
    <row r="67" spans="1:24">
      <c r="A67" s="127"/>
      <c r="B67" s="127"/>
      <c r="C67" s="127"/>
      <c r="D67" s="127"/>
      <c r="E67" s="127"/>
      <c r="F67" s="127"/>
      <c r="G67" s="127"/>
      <c r="H67" s="127"/>
      <c r="I67" s="127"/>
      <c r="J67" s="127"/>
      <c r="K67" s="127"/>
      <c r="L67" s="127"/>
      <c r="M67" s="127"/>
      <c r="N67" s="127"/>
      <c r="O67" s="127"/>
      <c r="P67" s="127"/>
      <c r="Q67" s="127"/>
      <c r="R67" s="127"/>
      <c r="S67" s="127"/>
      <c r="T67" s="127"/>
      <c r="U67" s="127"/>
      <c r="V67" s="127"/>
      <c r="W67" s="127"/>
      <c r="X67" s="127"/>
    </row>
    <row r="68" spans="1:24">
      <c r="A68" s="127"/>
      <c r="B68" s="127"/>
      <c r="C68" s="127"/>
      <c r="D68" s="127"/>
      <c r="E68" s="127"/>
      <c r="F68" s="127"/>
      <c r="G68" s="127"/>
      <c r="H68" s="127"/>
      <c r="I68" s="127"/>
      <c r="J68" s="127"/>
      <c r="K68" s="127"/>
      <c r="L68" s="127"/>
      <c r="M68" s="127"/>
      <c r="N68" s="127"/>
      <c r="O68" s="127"/>
      <c r="P68" s="127"/>
      <c r="Q68" s="127"/>
      <c r="R68" s="127"/>
      <c r="S68" s="127"/>
      <c r="T68" s="127"/>
      <c r="U68" s="127"/>
      <c r="V68" s="127"/>
      <c r="W68" s="127"/>
      <c r="X68" s="127"/>
    </row>
    <row r="69" spans="1:24">
      <c r="A69" s="127"/>
      <c r="B69" s="127"/>
      <c r="C69" s="127"/>
      <c r="D69" s="127"/>
      <c r="E69" s="127"/>
      <c r="F69" s="127"/>
      <c r="G69" s="127"/>
      <c r="H69" s="127"/>
      <c r="I69" s="127"/>
      <c r="J69" s="127"/>
      <c r="K69" s="127"/>
      <c r="L69" s="127"/>
      <c r="M69" s="127"/>
      <c r="N69" s="127"/>
      <c r="O69" s="127"/>
      <c r="P69" s="127"/>
      <c r="Q69" s="127"/>
      <c r="R69" s="127"/>
      <c r="S69" s="127"/>
      <c r="T69" s="127"/>
      <c r="U69" s="127"/>
      <c r="V69" s="127"/>
      <c r="W69" s="127"/>
      <c r="X69" s="127"/>
    </row>
    <row r="70" spans="1:24">
      <c r="A70" s="127"/>
      <c r="B70" s="127"/>
      <c r="C70" s="127"/>
      <c r="D70" s="127"/>
      <c r="E70" s="127"/>
      <c r="F70" s="127"/>
      <c r="G70" s="127"/>
      <c r="H70" s="127"/>
      <c r="I70" s="127"/>
      <c r="J70" s="127"/>
      <c r="K70" s="127"/>
      <c r="L70" s="127"/>
      <c r="M70" s="127"/>
      <c r="N70" s="127"/>
      <c r="O70" s="127"/>
      <c r="P70" s="127"/>
      <c r="Q70" s="127"/>
      <c r="R70" s="127"/>
      <c r="S70" s="127"/>
      <c r="T70" s="127"/>
      <c r="U70" s="127"/>
      <c r="V70" s="127"/>
      <c r="W70" s="127"/>
      <c r="X70" s="127"/>
    </row>
    <row r="71" spans="1:24">
      <c r="A71" s="127"/>
      <c r="B71" s="127"/>
      <c r="C71" s="127"/>
      <c r="D71" s="127"/>
      <c r="E71" s="127"/>
      <c r="F71" s="127"/>
      <c r="G71" s="127"/>
      <c r="H71" s="127"/>
      <c r="I71" s="127"/>
      <c r="J71" s="127"/>
      <c r="K71" s="127"/>
      <c r="L71" s="127"/>
      <c r="M71" s="127"/>
      <c r="N71" s="127"/>
      <c r="O71" s="127"/>
      <c r="P71" s="127"/>
      <c r="Q71" s="127"/>
      <c r="R71" s="127"/>
      <c r="S71" s="127"/>
      <c r="T71" s="127"/>
      <c r="U71" s="127"/>
      <c r="V71" s="127"/>
      <c r="W71" s="127"/>
      <c r="X71" s="127"/>
    </row>
    <row r="72" spans="1:24">
      <c r="A72" s="127"/>
      <c r="B72" s="127"/>
      <c r="C72" s="127"/>
      <c r="D72" s="127"/>
      <c r="E72" s="127"/>
      <c r="F72" s="127"/>
      <c r="G72" s="127"/>
      <c r="H72" s="127"/>
      <c r="I72" s="127"/>
      <c r="J72" s="127"/>
      <c r="K72" s="127"/>
      <c r="L72" s="127"/>
      <c r="M72" s="127"/>
      <c r="N72" s="127"/>
      <c r="O72" s="127"/>
      <c r="P72" s="127"/>
      <c r="Q72" s="127"/>
      <c r="R72" s="127"/>
      <c r="S72" s="127"/>
      <c r="T72" s="127"/>
      <c r="U72" s="127"/>
      <c r="V72" s="127"/>
      <c r="W72" s="127"/>
      <c r="X72" s="127"/>
    </row>
    <row r="73" spans="1:24">
      <c r="A73" s="127"/>
      <c r="B73" s="127"/>
      <c r="C73" s="127"/>
      <c r="D73" s="127"/>
      <c r="E73" s="127"/>
      <c r="F73" s="127"/>
      <c r="G73" s="127"/>
      <c r="H73" s="127"/>
      <c r="I73" s="127"/>
      <c r="J73" s="127"/>
      <c r="K73" s="127"/>
      <c r="L73" s="127"/>
      <c r="M73" s="127"/>
      <c r="N73" s="127"/>
      <c r="O73" s="127"/>
      <c r="P73" s="127"/>
      <c r="Q73" s="127"/>
      <c r="R73" s="127"/>
      <c r="S73" s="127"/>
      <c r="T73" s="127"/>
      <c r="U73" s="127"/>
      <c r="V73" s="127"/>
      <c r="W73" s="127"/>
      <c r="X73" s="127"/>
    </row>
    <row r="74" spans="1:24">
      <c r="A74" s="127"/>
      <c r="B74" s="127"/>
      <c r="C74" s="127"/>
      <c r="D74" s="127"/>
      <c r="E74" s="127"/>
      <c r="F74" s="127"/>
      <c r="G74" s="127"/>
      <c r="H74" s="127"/>
      <c r="I74" s="127"/>
      <c r="J74" s="127"/>
      <c r="K74" s="127"/>
      <c r="L74" s="127"/>
      <c r="M74" s="127"/>
      <c r="N74" s="127"/>
      <c r="O74" s="127"/>
      <c r="P74" s="127"/>
      <c r="Q74" s="127"/>
      <c r="R74" s="127"/>
      <c r="S74" s="127"/>
      <c r="T74" s="127"/>
      <c r="U74" s="127"/>
      <c r="V74" s="127"/>
      <c r="W74" s="127"/>
      <c r="X74" s="127"/>
    </row>
    <row r="75" spans="1:24">
      <c r="A75" s="127"/>
      <c r="B75" s="127"/>
      <c r="C75" s="127"/>
      <c r="D75" s="127"/>
      <c r="E75" s="127"/>
      <c r="F75" s="127"/>
      <c r="G75" s="127"/>
      <c r="H75" s="127"/>
      <c r="I75" s="127"/>
      <c r="J75" s="127"/>
      <c r="K75" s="127"/>
      <c r="L75" s="127"/>
      <c r="M75" s="127"/>
      <c r="N75" s="127"/>
      <c r="O75" s="127"/>
      <c r="P75" s="127"/>
      <c r="Q75" s="127"/>
      <c r="R75" s="127"/>
      <c r="S75" s="127"/>
      <c r="T75" s="127"/>
      <c r="U75" s="127"/>
      <c r="V75" s="127"/>
      <c r="W75" s="127"/>
      <c r="X75" s="127"/>
    </row>
    <row r="76" spans="1:24">
      <c r="A76" s="127"/>
      <c r="B76" s="127"/>
      <c r="C76" s="127"/>
      <c r="D76" s="127"/>
      <c r="E76" s="127"/>
      <c r="F76" s="127"/>
      <c r="G76" s="127"/>
      <c r="H76" s="127"/>
      <c r="I76" s="127"/>
      <c r="J76" s="127"/>
      <c r="K76" s="127"/>
      <c r="L76" s="127"/>
      <c r="M76" s="127"/>
      <c r="N76" s="127"/>
      <c r="O76" s="127"/>
      <c r="P76" s="127"/>
      <c r="Q76" s="127"/>
      <c r="R76" s="127"/>
      <c r="S76" s="127"/>
      <c r="T76" s="127"/>
      <c r="U76" s="127"/>
      <c r="V76" s="127"/>
      <c r="W76" s="127"/>
      <c r="X76" s="127"/>
    </row>
    <row r="77" spans="1:24">
      <c r="A77" s="127"/>
      <c r="B77" s="127"/>
      <c r="C77" s="127"/>
      <c r="D77" s="127"/>
      <c r="E77" s="127"/>
      <c r="F77" s="127"/>
      <c r="G77" s="127"/>
      <c r="H77" s="127"/>
      <c r="I77" s="127"/>
      <c r="J77" s="127"/>
      <c r="K77" s="127"/>
      <c r="L77" s="127"/>
      <c r="M77" s="127"/>
      <c r="N77" s="127"/>
      <c r="O77" s="127"/>
      <c r="P77" s="127"/>
      <c r="Q77" s="127"/>
      <c r="R77" s="127"/>
      <c r="S77" s="127"/>
      <c r="T77" s="127"/>
      <c r="U77" s="127"/>
      <c r="V77" s="127"/>
      <c r="W77" s="127"/>
      <c r="X77" s="127"/>
    </row>
    <row r="78" spans="1:24">
      <c r="A78" s="127"/>
      <c r="B78" s="127"/>
      <c r="C78" s="127"/>
      <c r="D78" s="127"/>
      <c r="E78" s="127"/>
      <c r="F78" s="127"/>
      <c r="G78" s="127"/>
      <c r="H78" s="127"/>
      <c r="I78" s="127"/>
      <c r="J78" s="127"/>
      <c r="K78" s="127"/>
      <c r="L78" s="127"/>
      <c r="M78" s="127"/>
      <c r="N78" s="127"/>
      <c r="O78" s="127"/>
      <c r="P78" s="127"/>
      <c r="Q78" s="127"/>
      <c r="R78" s="127"/>
      <c r="S78" s="127"/>
      <c r="T78" s="127"/>
      <c r="U78" s="127"/>
      <c r="V78" s="127"/>
      <c r="W78" s="127"/>
      <c r="X78" s="127"/>
    </row>
    <row r="79" spans="1:24">
      <c r="A79" s="127"/>
      <c r="B79" s="127"/>
      <c r="C79" s="127"/>
      <c r="D79" s="127"/>
      <c r="E79" s="127"/>
      <c r="F79" s="127"/>
      <c r="G79" s="127"/>
      <c r="H79" s="127"/>
      <c r="I79" s="127"/>
      <c r="J79" s="127"/>
      <c r="K79" s="127"/>
      <c r="L79" s="127"/>
      <c r="M79" s="127"/>
      <c r="N79" s="127"/>
      <c r="O79" s="127"/>
      <c r="P79" s="127"/>
      <c r="Q79" s="127"/>
      <c r="R79" s="127"/>
      <c r="S79" s="127"/>
      <c r="T79" s="127"/>
      <c r="U79" s="127"/>
      <c r="V79" s="127"/>
      <c r="W79" s="127"/>
      <c r="X79" s="127"/>
    </row>
    <row r="80" spans="1:24">
      <c r="A80" s="127"/>
      <c r="B80" s="127"/>
      <c r="C80" s="127"/>
      <c r="D80" s="127"/>
      <c r="E80" s="127"/>
      <c r="F80" s="127"/>
      <c r="G80" s="127"/>
      <c r="H80" s="127"/>
      <c r="I80" s="127"/>
      <c r="J80" s="127"/>
      <c r="K80" s="127"/>
      <c r="L80" s="127"/>
      <c r="M80" s="127"/>
      <c r="N80" s="127"/>
      <c r="O80" s="127"/>
      <c r="P80" s="127"/>
      <c r="Q80" s="127"/>
      <c r="R80" s="127"/>
      <c r="S80" s="127"/>
      <c r="T80" s="127"/>
      <c r="U80" s="127"/>
      <c r="V80" s="127"/>
      <c r="W80" s="127"/>
      <c r="X80" s="127"/>
    </row>
    <row r="81" spans="1:24">
      <c r="A81" s="127"/>
      <c r="B81" s="127"/>
      <c r="C81" s="127"/>
      <c r="D81" s="127"/>
      <c r="E81" s="127"/>
      <c r="F81" s="127"/>
      <c r="G81" s="127"/>
      <c r="H81" s="127"/>
      <c r="I81" s="127"/>
      <c r="J81" s="127"/>
      <c r="K81" s="127"/>
      <c r="L81" s="127"/>
      <c r="M81" s="127"/>
      <c r="N81" s="127"/>
      <c r="O81" s="127"/>
      <c r="P81" s="127"/>
      <c r="Q81" s="127"/>
      <c r="R81" s="127"/>
      <c r="S81" s="127"/>
      <c r="T81" s="127"/>
      <c r="U81" s="127"/>
      <c r="V81" s="127"/>
      <c r="W81" s="127"/>
      <c r="X81" s="127"/>
    </row>
    <row r="82" spans="1:24">
      <c r="A82" s="127"/>
      <c r="B82" s="127"/>
      <c r="C82" s="127"/>
      <c r="D82" s="127"/>
      <c r="E82" s="127"/>
      <c r="F82" s="127"/>
      <c r="G82" s="127"/>
      <c r="H82" s="127"/>
      <c r="I82" s="127"/>
      <c r="J82" s="127"/>
      <c r="K82" s="127"/>
      <c r="L82" s="127"/>
      <c r="M82" s="127"/>
      <c r="N82" s="127"/>
      <c r="O82" s="127"/>
      <c r="P82" s="127"/>
      <c r="Q82" s="127"/>
      <c r="R82" s="127"/>
      <c r="S82" s="127"/>
      <c r="T82" s="127"/>
      <c r="U82" s="127"/>
      <c r="V82" s="127"/>
      <c r="W82" s="127"/>
      <c r="X82" s="127"/>
    </row>
    <row r="83" spans="1:24">
      <c r="A83" s="127"/>
      <c r="B83" s="127"/>
      <c r="C83" s="127"/>
      <c r="D83" s="127"/>
      <c r="E83" s="127"/>
      <c r="F83" s="127"/>
      <c r="G83" s="127"/>
      <c r="H83" s="127"/>
      <c r="I83" s="127"/>
      <c r="J83" s="127"/>
      <c r="K83" s="127"/>
      <c r="L83" s="127"/>
      <c r="M83" s="127"/>
      <c r="N83" s="127"/>
      <c r="O83" s="127"/>
      <c r="P83" s="127"/>
      <c r="Q83" s="127"/>
      <c r="R83" s="127"/>
      <c r="S83" s="127"/>
      <c r="T83" s="127"/>
      <c r="U83" s="127"/>
      <c r="V83" s="127"/>
      <c r="W83" s="127"/>
      <c r="X83" s="127"/>
    </row>
    <row r="84" spans="1:24">
      <c r="A84" s="127"/>
      <c r="B84" s="127"/>
      <c r="C84" s="127"/>
      <c r="D84" s="127"/>
      <c r="E84" s="127"/>
      <c r="F84" s="127"/>
      <c r="G84" s="127"/>
      <c r="H84" s="127"/>
      <c r="I84" s="127"/>
      <c r="J84" s="127"/>
      <c r="K84" s="127"/>
      <c r="L84" s="127"/>
      <c r="M84" s="127"/>
      <c r="N84" s="127"/>
      <c r="O84" s="127"/>
      <c r="P84" s="127"/>
      <c r="Q84" s="127"/>
      <c r="R84" s="127"/>
      <c r="S84" s="127"/>
      <c r="T84" s="127"/>
      <c r="U84" s="127"/>
      <c r="V84" s="127"/>
      <c r="W84" s="127"/>
      <c r="X84" s="127"/>
    </row>
    <row r="85" spans="1:24">
      <c r="A85" s="127"/>
      <c r="B85" s="127"/>
      <c r="C85" s="127"/>
      <c r="D85" s="127"/>
      <c r="E85" s="127"/>
      <c r="F85" s="127"/>
      <c r="G85" s="127"/>
      <c r="H85" s="127"/>
      <c r="I85" s="127"/>
      <c r="J85" s="127"/>
      <c r="K85" s="127"/>
      <c r="L85" s="127"/>
      <c r="M85" s="127"/>
      <c r="N85" s="127"/>
      <c r="O85" s="127"/>
      <c r="P85" s="127"/>
      <c r="Q85" s="127"/>
      <c r="R85" s="127"/>
      <c r="S85" s="127"/>
      <c r="T85" s="127"/>
      <c r="U85" s="127"/>
      <c r="V85" s="127"/>
      <c r="W85" s="127"/>
      <c r="X85" s="127"/>
    </row>
    <row r="86" spans="1:24">
      <c r="A86" s="127"/>
      <c r="B86" s="127"/>
      <c r="C86" s="127"/>
      <c r="D86" s="127"/>
      <c r="E86" s="127"/>
      <c r="F86" s="127"/>
      <c r="G86" s="127"/>
      <c r="H86" s="127"/>
      <c r="I86" s="127"/>
      <c r="J86" s="127"/>
      <c r="K86" s="127"/>
      <c r="L86" s="127"/>
      <c r="M86" s="127"/>
      <c r="N86" s="127"/>
      <c r="O86" s="127"/>
      <c r="P86" s="127"/>
      <c r="Q86" s="127"/>
      <c r="R86" s="127"/>
      <c r="S86" s="127"/>
      <c r="T86" s="127"/>
      <c r="U86" s="127"/>
      <c r="V86" s="127"/>
      <c r="W86" s="127"/>
      <c r="X86" s="127"/>
    </row>
    <row r="87" spans="1:24">
      <c r="A87" s="127"/>
      <c r="B87" s="127"/>
      <c r="C87" s="127"/>
      <c r="D87" s="127"/>
      <c r="E87" s="127"/>
      <c r="F87" s="127"/>
      <c r="G87" s="127"/>
      <c r="H87" s="127"/>
      <c r="I87" s="127"/>
      <c r="J87" s="127"/>
      <c r="K87" s="127"/>
      <c r="L87" s="127"/>
      <c r="M87" s="127"/>
      <c r="N87" s="127"/>
      <c r="O87" s="127"/>
      <c r="P87" s="127"/>
      <c r="Q87" s="127"/>
      <c r="R87" s="127"/>
      <c r="S87" s="127"/>
      <c r="T87" s="127"/>
      <c r="U87" s="127"/>
      <c r="V87" s="127"/>
      <c r="W87" s="127"/>
      <c r="X87" s="127"/>
    </row>
    <row r="88" spans="1:24">
      <c r="A88" s="127"/>
      <c r="B88" s="127"/>
      <c r="C88" s="127"/>
      <c r="D88" s="127"/>
      <c r="E88" s="127"/>
      <c r="F88" s="127"/>
      <c r="G88" s="127"/>
      <c r="H88" s="127"/>
      <c r="I88" s="127"/>
      <c r="J88" s="127"/>
      <c r="K88" s="127"/>
      <c r="L88" s="127"/>
      <c r="M88" s="127"/>
      <c r="N88" s="127"/>
      <c r="O88" s="127"/>
      <c r="P88" s="127"/>
      <c r="Q88" s="127"/>
      <c r="R88" s="127"/>
      <c r="S88" s="127"/>
      <c r="T88" s="127"/>
      <c r="U88" s="127"/>
      <c r="V88" s="127"/>
      <c r="W88" s="127"/>
      <c r="X88" s="127"/>
    </row>
    <row r="89" spans="1:24">
      <c r="A89" s="127"/>
      <c r="B89" s="127"/>
      <c r="C89" s="127"/>
      <c r="D89" s="127"/>
      <c r="E89" s="127"/>
      <c r="F89" s="127"/>
      <c r="G89" s="127"/>
      <c r="H89" s="127"/>
      <c r="I89" s="127"/>
      <c r="J89" s="127"/>
      <c r="K89" s="127"/>
      <c r="L89" s="127"/>
      <c r="M89" s="127"/>
      <c r="N89" s="127"/>
      <c r="O89" s="127"/>
      <c r="P89" s="127"/>
      <c r="Q89" s="127"/>
      <c r="R89" s="127"/>
      <c r="S89" s="127"/>
      <c r="T89" s="127"/>
      <c r="U89" s="127"/>
      <c r="V89" s="127"/>
      <c r="W89" s="127"/>
      <c r="X89" s="127"/>
    </row>
    <row r="90" spans="1:24">
      <c r="A90" s="127"/>
      <c r="B90" s="127"/>
      <c r="C90" s="127"/>
      <c r="D90" s="127"/>
      <c r="E90" s="127"/>
      <c r="F90" s="127"/>
      <c r="G90" s="127"/>
      <c r="H90" s="127"/>
      <c r="I90" s="127"/>
      <c r="J90" s="127"/>
      <c r="K90" s="127"/>
      <c r="L90" s="127"/>
      <c r="M90" s="127"/>
      <c r="N90" s="127"/>
      <c r="O90" s="127"/>
      <c r="P90" s="127"/>
      <c r="Q90" s="127"/>
      <c r="R90" s="127"/>
      <c r="S90" s="127"/>
      <c r="T90" s="127"/>
      <c r="U90" s="127"/>
      <c r="V90" s="127"/>
      <c r="W90" s="127"/>
      <c r="X90" s="127"/>
    </row>
    <row r="91" spans="1:24">
      <c r="A91" s="127"/>
      <c r="B91" s="127"/>
      <c r="C91" s="127"/>
      <c r="D91" s="127"/>
      <c r="E91" s="127"/>
      <c r="F91" s="127"/>
      <c r="G91" s="127"/>
      <c r="H91" s="127"/>
      <c r="I91" s="127"/>
      <c r="J91" s="127"/>
      <c r="K91" s="127"/>
      <c r="L91" s="127"/>
      <c r="M91" s="127"/>
      <c r="N91" s="127"/>
      <c r="O91" s="127"/>
      <c r="P91" s="127"/>
      <c r="Q91" s="127"/>
      <c r="R91" s="127"/>
      <c r="S91" s="127"/>
      <c r="T91" s="127"/>
      <c r="U91" s="127"/>
      <c r="V91" s="127"/>
      <c r="W91" s="127"/>
      <c r="X91" s="127"/>
    </row>
    <row r="92" spans="1:24">
      <c r="A92" s="127"/>
      <c r="B92" s="127"/>
      <c r="C92" s="127"/>
      <c r="D92" s="127"/>
      <c r="E92" s="127"/>
      <c r="F92" s="127"/>
      <c r="G92" s="127"/>
      <c r="H92" s="127"/>
      <c r="I92" s="127"/>
      <c r="J92" s="127"/>
      <c r="K92" s="127"/>
      <c r="L92" s="127"/>
      <c r="M92" s="127"/>
      <c r="N92" s="127"/>
      <c r="O92" s="127"/>
      <c r="P92" s="127"/>
      <c r="Q92" s="127"/>
      <c r="R92" s="127"/>
      <c r="S92" s="127"/>
      <c r="T92" s="127"/>
      <c r="U92" s="127"/>
      <c r="V92" s="127"/>
      <c r="W92" s="127"/>
      <c r="X92" s="127"/>
    </row>
    <row r="93" spans="1:24">
      <c r="A93" s="127"/>
      <c r="B93" s="127"/>
      <c r="C93" s="127"/>
      <c r="D93" s="127"/>
      <c r="E93" s="127"/>
      <c r="F93" s="127"/>
      <c r="G93" s="127"/>
      <c r="H93" s="127"/>
      <c r="I93" s="127"/>
      <c r="J93" s="127"/>
      <c r="K93" s="127"/>
      <c r="L93" s="127"/>
      <c r="M93" s="127"/>
      <c r="N93" s="127"/>
      <c r="O93" s="127"/>
      <c r="P93" s="127"/>
      <c r="Q93" s="127"/>
      <c r="R93" s="127"/>
      <c r="S93" s="127"/>
      <c r="T93" s="127"/>
      <c r="U93" s="127"/>
      <c r="V93" s="127"/>
      <c r="W93" s="127"/>
      <c r="X93" s="127"/>
    </row>
    <row r="94" spans="1:24">
      <c r="A94" s="127"/>
      <c r="B94" s="127"/>
      <c r="C94" s="127"/>
      <c r="D94" s="127"/>
      <c r="E94" s="127"/>
      <c r="F94" s="127"/>
      <c r="G94" s="127"/>
      <c r="H94" s="127"/>
      <c r="I94" s="127"/>
      <c r="J94" s="127"/>
      <c r="K94" s="127"/>
      <c r="L94" s="127"/>
      <c r="M94" s="127"/>
      <c r="N94" s="127"/>
      <c r="O94" s="127"/>
      <c r="P94" s="127"/>
      <c r="Q94" s="127"/>
      <c r="R94" s="127"/>
      <c r="S94" s="127"/>
      <c r="T94" s="127"/>
      <c r="U94" s="127"/>
      <c r="V94" s="127"/>
      <c r="W94" s="127"/>
      <c r="X94" s="127"/>
    </row>
    <row r="95" spans="1:24">
      <c r="A95" s="127"/>
      <c r="B95" s="127"/>
      <c r="C95" s="127"/>
      <c r="D95" s="127"/>
      <c r="E95" s="127"/>
      <c r="F95" s="127"/>
      <c r="G95" s="127"/>
      <c r="H95" s="127"/>
      <c r="I95" s="127"/>
      <c r="J95" s="127"/>
      <c r="K95" s="127"/>
      <c r="L95" s="127"/>
      <c r="M95" s="127"/>
      <c r="N95" s="127"/>
      <c r="O95" s="127"/>
      <c r="P95" s="127"/>
      <c r="Q95" s="127"/>
      <c r="R95" s="127"/>
      <c r="S95" s="127"/>
      <c r="T95" s="127"/>
      <c r="U95" s="127"/>
      <c r="V95" s="127"/>
      <c r="W95" s="127"/>
      <c r="X95" s="127"/>
    </row>
    <row r="96" spans="1:24">
      <c r="A96" s="127"/>
      <c r="B96" s="127"/>
      <c r="C96" s="127"/>
      <c r="D96" s="127"/>
      <c r="E96" s="127"/>
      <c r="F96" s="127"/>
      <c r="G96" s="127"/>
      <c r="H96" s="127"/>
      <c r="I96" s="127"/>
      <c r="J96" s="127"/>
      <c r="K96" s="127"/>
      <c r="L96" s="127"/>
      <c r="M96" s="127"/>
      <c r="N96" s="127"/>
      <c r="O96" s="127"/>
      <c r="P96" s="127"/>
      <c r="Q96" s="127"/>
      <c r="R96" s="127"/>
      <c r="S96" s="127"/>
      <c r="T96" s="127"/>
      <c r="U96" s="127"/>
      <c r="V96" s="127"/>
      <c r="W96" s="127"/>
      <c r="X96" s="127"/>
    </row>
    <row r="97" spans="1:24">
      <c r="A97" s="127"/>
      <c r="B97" s="127"/>
      <c r="C97" s="127"/>
      <c r="D97" s="127"/>
      <c r="E97" s="127"/>
      <c r="F97" s="127"/>
      <c r="G97" s="127"/>
      <c r="H97" s="127"/>
      <c r="I97" s="127"/>
      <c r="J97" s="127"/>
      <c r="K97" s="127"/>
      <c r="L97" s="127"/>
      <c r="M97" s="127"/>
      <c r="N97" s="127"/>
      <c r="O97" s="127"/>
      <c r="P97" s="127"/>
      <c r="Q97" s="127"/>
      <c r="R97" s="127"/>
      <c r="S97" s="127"/>
      <c r="T97" s="127"/>
      <c r="U97" s="127"/>
      <c r="V97" s="127"/>
      <c r="W97" s="127"/>
      <c r="X97" s="127"/>
    </row>
    <row r="98" spans="1:24">
      <c r="A98" s="127"/>
      <c r="B98" s="127"/>
      <c r="C98" s="127"/>
      <c r="D98" s="127"/>
      <c r="E98" s="127"/>
      <c r="F98" s="127"/>
      <c r="G98" s="127"/>
      <c r="H98" s="127"/>
      <c r="I98" s="127"/>
      <c r="J98" s="127"/>
      <c r="K98" s="127"/>
      <c r="L98" s="127"/>
      <c r="M98" s="127"/>
      <c r="N98" s="127"/>
      <c r="O98" s="127"/>
      <c r="P98" s="127"/>
      <c r="Q98" s="127"/>
      <c r="R98" s="127"/>
      <c r="S98" s="127"/>
      <c r="T98" s="127"/>
      <c r="U98" s="127"/>
      <c r="V98" s="127"/>
      <c r="W98" s="127"/>
      <c r="X98" s="127"/>
    </row>
    <row r="99" spans="1:24">
      <c r="A99" s="127"/>
      <c r="B99" s="127"/>
      <c r="C99" s="127"/>
      <c r="D99" s="127"/>
      <c r="E99" s="127"/>
      <c r="F99" s="127"/>
      <c r="G99" s="127"/>
      <c r="H99" s="127"/>
      <c r="I99" s="127"/>
      <c r="J99" s="127"/>
      <c r="K99" s="127"/>
      <c r="L99" s="127"/>
      <c r="M99" s="127"/>
      <c r="N99" s="127"/>
      <c r="O99" s="127"/>
      <c r="P99" s="127"/>
      <c r="Q99" s="127"/>
      <c r="R99" s="127"/>
      <c r="S99" s="127"/>
      <c r="T99" s="127"/>
      <c r="U99" s="127"/>
      <c r="V99" s="127"/>
      <c r="W99" s="127"/>
      <c r="X99" s="127"/>
    </row>
    <row r="100" spans="1:24">
      <c r="A100" s="127"/>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row>
    <row r="101" spans="1:24">
      <c r="A101" s="127"/>
      <c r="B101" s="127"/>
      <c r="C101" s="127"/>
      <c r="D101" s="127"/>
      <c r="E101" s="127"/>
      <c r="F101" s="127"/>
      <c r="G101" s="127"/>
      <c r="H101" s="127"/>
      <c r="I101" s="127"/>
      <c r="J101" s="127"/>
      <c r="K101" s="127"/>
      <c r="L101" s="127"/>
      <c r="M101" s="127"/>
      <c r="N101" s="127"/>
      <c r="O101" s="127"/>
      <c r="P101" s="127"/>
      <c r="Q101" s="127"/>
      <c r="R101" s="127"/>
      <c r="S101" s="127"/>
      <c r="T101" s="127"/>
      <c r="U101" s="127"/>
      <c r="V101" s="127"/>
      <c r="W101" s="127"/>
      <c r="X101" s="127"/>
    </row>
    <row r="102" spans="1:24">
      <c r="A102" s="127"/>
      <c r="B102" s="127"/>
      <c r="C102" s="127"/>
      <c r="D102" s="127"/>
      <c r="E102" s="127"/>
      <c r="F102" s="127"/>
      <c r="G102" s="127"/>
      <c r="H102" s="127"/>
      <c r="I102" s="127"/>
      <c r="J102" s="127"/>
      <c r="K102" s="127"/>
      <c r="L102" s="127"/>
      <c r="M102" s="127"/>
      <c r="N102" s="127"/>
      <c r="O102" s="127"/>
      <c r="P102" s="127"/>
      <c r="Q102" s="127"/>
      <c r="R102" s="127"/>
      <c r="S102" s="127"/>
      <c r="T102" s="127"/>
      <c r="U102" s="127"/>
      <c r="V102" s="127"/>
      <c r="W102" s="127"/>
      <c r="X102" s="127"/>
    </row>
    <row r="103" spans="1:24">
      <c r="A103" s="127"/>
      <c r="B103" s="127"/>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row>
    <row r="104" spans="1:24">
      <c r="A104" s="127"/>
      <c r="B104" s="127"/>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row>
    <row r="105" spans="1:24">
      <c r="A105" s="127"/>
      <c r="B105" s="127"/>
      <c r="C105" s="127"/>
      <c r="D105" s="127"/>
      <c r="E105" s="127"/>
      <c r="F105" s="127"/>
      <c r="G105" s="127"/>
      <c r="H105" s="127"/>
      <c r="I105" s="127"/>
      <c r="J105" s="127"/>
      <c r="K105" s="127"/>
      <c r="L105" s="127"/>
      <c r="M105" s="127"/>
      <c r="N105" s="127"/>
      <c r="O105" s="127"/>
      <c r="P105" s="127"/>
      <c r="Q105" s="127"/>
      <c r="R105" s="127"/>
      <c r="S105" s="127"/>
      <c r="T105" s="127"/>
      <c r="U105" s="127"/>
      <c r="V105" s="127"/>
      <c r="W105" s="127"/>
      <c r="X105" s="127"/>
    </row>
    <row r="106" spans="1:24">
      <c r="A106" s="127"/>
      <c r="B106" s="127"/>
      <c r="C106" s="127"/>
      <c r="D106" s="127"/>
      <c r="E106" s="127"/>
      <c r="F106" s="127"/>
      <c r="G106" s="127"/>
      <c r="H106" s="127"/>
      <c r="I106" s="127"/>
      <c r="J106" s="127"/>
      <c r="K106" s="127"/>
      <c r="L106" s="127"/>
      <c r="M106" s="127"/>
      <c r="N106" s="127"/>
      <c r="O106" s="127"/>
      <c r="P106" s="127"/>
      <c r="Q106" s="127"/>
      <c r="R106" s="127"/>
      <c r="S106" s="127"/>
      <c r="T106" s="127"/>
      <c r="U106" s="127"/>
      <c r="V106" s="127"/>
      <c r="W106" s="127"/>
      <c r="X106" s="127"/>
    </row>
    <row r="107" spans="1:24">
      <c r="A107" s="127"/>
      <c r="B107" s="127"/>
      <c r="C107" s="127"/>
      <c r="D107" s="127"/>
      <c r="E107" s="127"/>
      <c r="F107" s="127"/>
      <c r="G107" s="127"/>
      <c r="H107" s="127"/>
      <c r="I107" s="127"/>
      <c r="J107" s="127"/>
      <c r="K107" s="127"/>
      <c r="L107" s="127"/>
      <c r="M107" s="127"/>
      <c r="N107" s="127"/>
      <c r="O107" s="127"/>
      <c r="P107" s="127"/>
      <c r="Q107" s="127"/>
      <c r="R107" s="127"/>
      <c r="S107" s="127"/>
      <c r="T107" s="127"/>
      <c r="U107" s="127"/>
      <c r="V107" s="127"/>
      <c r="W107" s="127"/>
      <c r="X107" s="127"/>
    </row>
    <row r="108" spans="1:24">
      <c r="A108" s="127"/>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row>
    <row r="109" spans="1:24">
      <c r="A109" s="127"/>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row>
    <row r="110" spans="1:24">
      <c r="A110" s="127"/>
      <c r="B110" s="127"/>
      <c r="C110" s="127"/>
      <c r="D110" s="127"/>
      <c r="E110" s="127"/>
      <c r="F110" s="127"/>
      <c r="G110" s="127"/>
      <c r="H110" s="127"/>
      <c r="I110" s="127"/>
      <c r="J110" s="127"/>
      <c r="K110" s="127"/>
      <c r="L110" s="127"/>
      <c r="M110" s="127"/>
      <c r="N110" s="127"/>
      <c r="O110" s="127"/>
      <c r="P110" s="127"/>
      <c r="Q110" s="127"/>
      <c r="R110" s="127"/>
      <c r="S110" s="127"/>
      <c r="T110" s="127"/>
      <c r="U110" s="127"/>
      <c r="V110" s="127"/>
      <c r="W110" s="127"/>
      <c r="X110" s="127"/>
    </row>
    <row r="111" spans="1:24">
      <c r="A111" s="127"/>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27"/>
      <c r="X111" s="127"/>
    </row>
    <row r="112" spans="1:24">
      <c r="A112" s="127"/>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row>
    <row r="113" spans="1:24">
      <c r="A113" s="127"/>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row>
    <row r="114" spans="1:24">
      <c r="A114" s="127"/>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27"/>
      <c r="X114" s="127"/>
    </row>
    <row r="115" spans="1:24">
      <c r="A115" s="127"/>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27"/>
      <c r="X115" s="127"/>
    </row>
    <row r="116" spans="1:24">
      <c r="A116" s="127"/>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27"/>
      <c r="X116" s="127"/>
    </row>
    <row r="117" spans="1:24">
      <c r="A117" s="127"/>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27"/>
      <c r="X117" s="127"/>
    </row>
    <row r="118" spans="1:24">
      <c r="A118" s="127"/>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27"/>
      <c r="X118" s="127"/>
    </row>
    <row r="119" spans="1:24">
      <c r="A119" s="127"/>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27"/>
      <c r="X119" s="127"/>
    </row>
    <row r="120" spans="1:24">
      <c r="A120" s="127"/>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row>
    <row r="121" spans="1:24">
      <c r="A121" s="127"/>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row>
    <row r="122" spans="1:24">
      <c r="A122" s="127"/>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row>
    <row r="123" spans="1:24">
      <c r="A123" s="127"/>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27"/>
      <c r="X123" s="127"/>
    </row>
    <row r="124" spans="1:24">
      <c r="A124" s="127"/>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27"/>
      <c r="X124" s="127"/>
    </row>
    <row r="125" spans="1:24">
      <c r="A125" s="127"/>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27"/>
      <c r="X125" s="127"/>
    </row>
    <row r="126" spans="1:24">
      <c r="A126" s="127"/>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27"/>
      <c r="X126" s="127"/>
    </row>
    <row r="127" spans="1:24">
      <c r="A127" s="127"/>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27"/>
      <c r="X127" s="127"/>
    </row>
    <row r="128" spans="1:24">
      <c r="A128" s="127"/>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27"/>
      <c r="X128" s="127"/>
    </row>
    <row r="129" spans="1:24">
      <c r="A129" s="127"/>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27"/>
      <c r="X129" s="127"/>
    </row>
    <row r="130" spans="1:24">
      <c r="A130" s="127"/>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27"/>
      <c r="X130" s="127"/>
    </row>
    <row r="131" spans="1:24">
      <c r="A131" s="127"/>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27"/>
      <c r="X131" s="127"/>
    </row>
    <row r="132" spans="1:24">
      <c r="A132" s="127"/>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27"/>
      <c r="X132" s="127"/>
    </row>
    <row r="133" spans="1:24">
      <c r="A133" s="127"/>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27"/>
      <c r="X133" s="127"/>
    </row>
    <row r="134" spans="1:24">
      <c r="A134" s="127"/>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27"/>
      <c r="X134" s="127"/>
    </row>
    <row r="135" spans="1:24">
      <c r="A135" s="127"/>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27"/>
      <c r="X135" s="127"/>
    </row>
    <row r="136" spans="1:24">
      <c r="A136" s="127"/>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27"/>
      <c r="X136" s="127"/>
    </row>
    <row r="137" spans="1:24">
      <c r="A137" s="127"/>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27"/>
      <c r="X137" s="127"/>
    </row>
    <row r="138" spans="1:24">
      <c r="A138" s="127"/>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27"/>
      <c r="X138" s="127"/>
    </row>
    <row r="139" spans="1:24">
      <c r="A139" s="127"/>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row>
    <row r="140" spans="1:24">
      <c r="A140" s="127"/>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27"/>
      <c r="X140" s="127"/>
    </row>
    <row r="141" spans="1:24">
      <c r="A141" s="127"/>
      <c r="B141" s="127"/>
      <c r="C141" s="127"/>
      <c r="D141" s="127"/>
      <c r="E141" s="127"/>
      <c r="F141" s="127"/>
      <c r="G141" s="127"/>
      <c r="H141" s="127"/>
      <c r="I141" s="127"/>
      <c r="J141" s="127"/>
      <c r="K141" s="127"/>
      <c r="L141" s="127"/>
      <c r="M141" s="127"/>
      <c r="N141" s="127"/>
      <c r="O141" s="127"/>
      <c r="P141" s="127"/>
      <c r="Q141" s="127"/>
      <c r="R141" s="127"/>
      <c r="S141" s="127"/>
      <c r="T141" s="127"/>
      <c r="U141" s="127"/>
      <c r="V141" s="127"/>
      <c r="W141" s="127"/>
      <c r="X141" s="127"/>
    </row>
    <row r="142" spans="1:24">
      <c r="A142" s="127"/>
      <c r="B142" s="127"/>
      <c r="C142" s="127"/>
      <c r="D142" s="127"/>
      <c r="E142" s="127"/>
      <c r="F142" s="127"/>
      <c r="G142" s="127"/>
      <c r="H142" s="127"/>
      <c r="I142" s="127"/>
      <c r="J142" s="127"/>
      <c r="K142" s="127"/>
      <c r="L142" s="127"/>
      <c r="M142" s="127"/>
      <c r="N142" s="127"/>
      <c r="O142" s="127"/>
      <c r="P142" s="127"/>
      <c r="Q142" s="127"/>
      <c r="R142" s="127"/>
      <c r="S142" s="127"/>
      <c r="T142" s="127"/>
      <c r="U142" s="127"/>
      <c r="V142" s="127"/>
      <c r="W142" s="127"/>
      <c r="X142" s="127"/>
    </row>
    <row r="143" spans="1:24">
      <c r="A143" s="127"/>
      <c r="B143" s="127"/>
      <c r="C143" s="127"/>
      <c r="D143" s="127"/>
      <c r="E143" s="127"/>
      <c r="F143" s="127"/>
      <c r="G143" s="127"/>
      <c r="H143" s="127"/>
      <c r="I143" s="127"/>
      <c r="J143" s="127"/>
      <c r="K143" s="127"/>
      <c r="L143" s="127"/>
      <c r="M143" s="127"/>
      <c r="N143" s="127"/>
      <c r="O143" s="127"/>
      <c r="P143" s="127"/>
      <c r="Q143" s="127"/>
      <c r="R143" s="127"/>
      <c r="S143" s="127"/>
      <c r="T143" s="127"/>
      <c r="U143" s="127"/>
      <c r="V143" s="127"/>
      <c r="W143" s="127"/>
      <c r="X143" s="127"/>
    </row>
    <row r="144" spans="1:24">
      <c r="A144" s="127"/>
      <c r="B144" s="127"/>
      <c r="C144" s="127"/>
      <c r="D144" s="127"/>
      <c r="E144" s="127"/>
      <c r="F144" s="127"/>
      <c r="G144" s="127"/>
      <c r="H144" s="127"/>
      <c r="I144" s="127"/>
      <c r="J144" s="127"/>
      <c r="K144" s="127"/>
      <c r="L144" s="127"/>
      <c r="M144" s="127"/>
      <c r="N144" s="127"/>
      <c r="O144" s="127"/>
      <c r="P144" s="127"/>
      <c r="Q144" s="127"/>
      <c r="R144" s="127"/>
      <c r="S144" s="127"/>
      <c r="T144" s="127"/>
      <c r="U144" s="127"/>
      <c r="V144" s="127"/>
      <c r="W144" s="127"/>
      <c r="X144" s="127"/>
    </row>
    <row r="145" spans="1:24">
      <c r="A145" s="127"/>
      <c r="B145" s="127"/>
      <c r="C145" s="127"/>
      <c r="D145" s="127"/>
      <c r="E145" s="127"/>
      <c r="F145" s="127"/>
      <c r="G145" s="127"/>
      <c r="H145" s="127"/>
      <c r="I145" s="127"/>
      <c r="J145" s="127"/>
      <c r="K145" s="127"/>
      <c r="L145" s="127"/>
      <c r="M145" s="127"/>
      <c r="N145" s="127"/>
      <c r="O145" s="127"/>
      <c r="P145" s="127"/>
      <c r="Q145" s="127"/>
      <c r="R145" s="127"/>
      <c r="S145" s="127"/>
      <c r="T145" s="127"/>
      <c r="U145" s="127"/>
      <c r="V145" s="127"/>
      <c r="W145" s="127"/>
      <c r="X145" s="127"/>
    </row>
    <row r="146" spans="1:24">
      <c r="A146" s="127"/>
      <c r="B146" s="127"/>
      <c r="C146" s="127"/>
      <c r="D146" s="127"/>
      <c r="E146" s="127"/>
      <c r="F146" s="127"/>
      <c r="G146" s="127"/>
      <c r="H146" s="127"/>
      <c r="I146" s="127"/>
      <c r="J146" s="127"/>
      <c r="K146" s="127"/>
      <c r="L146" s="127"/>
      <c r="M146" s="127"/>
      <c r="N146" s="127"/>
      <c r="O146" s="127"/>
      <c r="P146" s="127"/>
      <c r="Q146" s="127"/>
      <c r="R146" s="127"/>
      <c r="S146" s="127"/>
      <c r="T146" s="127"/>
      <c r="U146" s="127"/>
      <c r="V146" s="127"/>
      <c r="W146" s="127"/>
      <c r="X146" s="127"/>
    </row>
    <row r="147" spans="1:24">
      <c r="A147" s="127"/>
      <c r="B147" s="127"/>
      <c r="C147" s="127"/>
      <c r="D147" s="127"/>
      <c r="E147" s="127"/>
      <c r="F147" s="127"/>
      <c r="G147" s="127"/>
      <c r="H147" s="127"/>
      <c r="I147" s="127"/>
      <c r="J147" s="127"/>
      <c r="K147" s="127"/>
      <c r="L147" s="127"/>
      <c r="M147" s="127"/>
      <c r="N147" s="127"/>
      <c r="O147" s="127"/>
      <c r="P147" s="127"/>
      <c r="Q147" s="127"/>
      <c r="R147" s="127"/>
      <c r="S147" s="127"/>
      <c r="T147" s="127"/>
      <c r="U147" s="127"/>
      <c r="V147" s="127"/>
      <c r="W147" s="127"/>
      <c r="X147" s="127"/>
    </row>
    <row r="148" spans="1:24">
      <c r="A148" s="127"/>
      <c r="B148" s="127"/>
      <c r="C148" s="127"/>
      <c r="D148" s="127"/>
      <c r="E148" s="127"/>
      <c r="F148" s="127"/>
      <c r="G148" s="127"/>
      <c r="H148" s="127"/>
      <c r="I148" s="127"/>
      <c r="J148" s="127"/>
      <c r="K148" s="127"/>
      <c r="L148" s="127"/>
      <c r="M148" s="127"/>
      <c r="N148" s="127"/>
      <c r="O148" s="127"/>
      <c r="P148" s="127"/>
      <c r="Q148" s="127"/>
      <c r="R148" s="127"/>
      <c r="S148" s="127"/>
      <c r="T148" s="127"/>
      <c r="U148" s="127"/>
      <c r="V148" s="127"/>
      <c r="W148" s="127"/>
      <c r="X148" s="127"/>
    </row>
    <row r="149" spans="1:24">
      <c r="A149" s="127"/>
      <c r="B149" s="127"/>
      <c r="C149" s="127"/>
      <c r="D149" s="127"/>
      <c r="E149" s="127"/>
      <c r="F149" s="127"/>
      <c r="G149" s="127"/>
      <c r="H149" s="127"/>
      <c r="I149" s="127"/>
      <c r="J149" s="127"/>
      <c r="K149" s="127"/>
      <c r="L149" s="127"/>
      <c r="M149" s="127"/>
      <c r="N149" s="127"/>
      <c r="O149" s="127"/>
      <c r="P149" s="127"/>
      <c r="Q149" s="127"/>
      <c r="R149" s="127"/>
      <c r="S149" s="127"/>
      <c r="T149" s="127"/>
      <c r="U149" s="127"/>
      <c r="V149" s="127"/>
      <c r="W149" s="127"/>
      <c r="X149" s="127"/>
    </row>
    <row r="150" spans="1:24">
      <c r="A150" s="127"/>
      <c r="B150" s="127"/>
      <c r="C150" s="127"/>
      <c r="D150" s="127"/>
      <c r="E150" s="127"/>
      <c r="F150" s="127"/>
      <c r="G150" s="127"/>
      <c r="H150" s="127"/>
      <c r="I150" s="127"/>
      <c r="J150" s="127"/>
      <c r="K150" s="127"/>
      <c r="L150" s="127"/>
      <c r="M150" s="127"/>
      <c r="N150" s="127"/>
      <c r="O150" s="127"/>
      <c r="P150" s="127"/>
      <c r="Q150" s="127"/>
      <c r="R150" s="127"/>
      <c r="S150" s="127"/>
      <c r="T150" s="127"/>
      <c r="U150" s="127"/>
      <c r="V150" s="127"/>
      <c r="W150" s="127"/>
      <c r="X150" s="127"/>
    </row>
    <row r="151" spans="1:24">
      <c r="A151" s="127"/>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row>
    <row r="152" spans="1:24">
      <c r="A152" s="127"/>
      <c r="B152" s="127"/>
      <c r="C152" s="127"/>
      <c r="D152" s="127"/>
      <c r="E152" s="127"/>
      <c r="F152" s="127"/>
      <c r="G152" s="127"/>
      <c r="H152" s="127"/>
      <c r="I152" s="127"/>
      <c r="J152" s="127"/>
      <c r="K152" s="127"/>
      <c r="L152" s="127"/>
      <c r="M152" s="127"/>
      <c r="N152" s="127"/>
      <c r="O152" s="127"/>
      <c r="P152" s="127"/>
      <c r="Q152" s="127"/>
      <c r="R152" s="127"/>
      <c r="S152" s="127"/>
      <c r="T152" s="127"/>
      <c r="U152" s="127"/>
      <c r="V152" s="127"/>
      <c r="W152" s="127"/>
      <c r="X152" s="127"/>
    </row>
    <row r="153" spans="1:24">
      <c r="A153" s="127"/>
      <c r="B153" s="127"/>
      <c r="C153" s="127"/>
      <c r="D153" s="127"/>
      <c r="E153" s="127"/>
      <c r="F153" s="127"/>
      <c r="G153" s="127"/>
      <c r="H153" s="127"/>
      <c r="I153" s="127"/>
      <c r="J153" s="127"/>
      <c r="K153" s="127"/>
      <c r="L153" s="127"/>
      <c r="M153" s="127"/>
      <c r="N153" s="127"/>
      <c r="O153" s="127"/>
      <c r="P153" s="127"/>
      <c r="Q153" s="127"/>
      <c r="R153" s="127"/>
      <c r="S153" s="127"/>
      <c r="T153" s="127"/>
      <c r="U153" s="127"/>
      <c r="V153" s="127"/>
      <c r="W153" s="127"/>
      <c r="X153" s="127"/>
    </row>
    <row r="154" spans="1:24">
      <c r="A154" s="127"/>
      <c r="B154" s="127"/>
      <c r="C154" s="127"/>
      <c r="D154" s="127"/>
      <c r="E154" s="127"/>
      <c r="F154" s="127"/>
      <c r="G154" s="127"/>
      <c r="H154" s="127"/>
      <c r="I154" s="127"/>
      <c r="J154" s="127"/>
      <c r="K154" s="127"/>
      <c r="L154" s="127"/>
      <c r="M154" s="127"/>
      <c r="N154" s="127"/>
      <c r="O154" s="127"/>
      <c r="P154" s="127"/>
      <c r="Q154" s="127"/>
      <c r="R154" s="127"/>
      <c r="S154" s="127"/>
      <c r="T154" s="127"/>
      <c r="U154" s="127"/>
      <c r="V154" s="127"/>
      <c r="W154" s="127"/>
      <c r="X154" s="127"/>
    </row>
    <row r="155" spans="1:24">
      <c r="A155" s="127"/>
      <c r="B155" s="127"/>
      <c r="C155" s="127"/>
      <c r="D155" s="127"/>
      <c r="E155" s="127"/>
      <c r="F155" s="127"/>
      <c r="G155" s="127"/>
      <c r="H155" s="127"/>
      <c r="I155" s="127"/>
      <c r="J155" s="127"/>
      <c r="K155" s="127"/>
      <c r="L155" s="127"/>
      <c r="M155" s="127"/>
      <c r="N155" s="127"/>
      <c r="O155" s="127"/>
      <c r="P155" s="127"/>
      <c r="Q155" s="127"/>
      <c r="R155" s="127"/>
      <c r="S155" s="127"/>
      <c r="T155" s="127"/>
      <c r="U155" s="127"/>
      <c r="V155" s="127"/>
      <c r="W155" s="127"/>
      <c r="X155" s="127"/>
    </row>
    <row r="156" spans="1:24">
      <c r="A156" s="127"/>
      <c r="B156" s="127"/>
      <c r="C156" s="127"/>
      <c r="D156" s="127"/>
      <c r="E156" s="127"/>
      <c r="F156" s="127"/>
      <c r="G156" s="127"/>
      <c r="H156" s="127"/>
      <c r="I156" s="127"/>
      <c r="J156" s="127"/>
      <c r="K156" s="127"/>
      <c r="L156" s="127"/>
      <c r="M156" s="127"/>
      <c r="N156" s="127"/>
      <c r="O156" s="127"/>
      <c r="P156" s="127"/>
      <c r="Q156" s="127"/>
      <c r="R156" s="127"/>
      <c r="S156" s="127"/>
      <c r="T156" s="127"/>
      <c r="U156" s="127"/>
      <c r="V156" s="127"/>
      <c r="W156" s="127"/>
      <c r="X156" s="127"/>
    </row>
    <row r="157" spans="1:24">
      <c r="A157" s="127"/>
      <c r="B157" s="127"/>
      <c r="C157" s="127"/>
      <c r="D157" s="127"/>
      <c r="E157" s="127"/>
      <c r="F157" s="127"/>
      <c r="G157" s="127"/>
      <c r="H157" s="127"/>
      <c r="I157" s="127"/>
      <c r="J157" s="127"/>
      <c r="K157" s="127"/>
      <c r="L157" s="127"/>
      <c r="M157" s="127"/>
      <c r="N157" s="127"/>
      <c r="O157" s="127"/>
      <c r="P157" s="127"/>
      <c r="Q157" s="127"/>
      <c r="R157" s="127"/>
      <c r="S157" s="127"/>
      <c r="T157" s="127"/>
      <c r="U157" s="127"/>
      <c r="V157" s="127"/>
      <c r="W157" s="127"/>
      <c r="X157" s="127"/>
    </row>
    <row r="158" spans="1:24">
      <c r="A158" s="127"/>
      <c r="B158" s="127"/>
      <c r="C158" s="127"/>
      <c r="D158" s="127"/>
      <c r="E158" s="127"/>
      <c r="F158" s="127"/>
      <c r="G158" s="127"/>
      <c r="H158" s="127"/>
      <c r="I158" s="127"/>
      <c r="J158" s="127"/>
      <c r="K158" s="127"/>
      <c r="L158" s="127"/>
      <c r="M158" s="127"/>
      <c r="N158" s="127"/>
      <c r="O158" s="127"/>
      <c r="P158" s="127"/>
      <c r="Q158" s="127"/>
      <c r="R158" s="127"/>
      <c r="S158" s="127"/>
      <c r="T158" s="127"/>
      <c r="U158" s="127"/>
      <c r="V158" s="127"/>
      <c r="W158" s="127"/>
      <c r="X158" s="127"/>
    </row>
    <row r="159" spans="1:24">
      <c r="A159" s="127"/>
      <c r="B159" s="127"/>
      <c r="C159" s="127"/>
      <c r="D159" s="127"/>
      <c r="E159" s="127"/>
      <c r="F159" s="127"/>
      <c r="G159" s="127"/>
      <c r="H159" s="127"/>
      <c r="I159" s="127"/>
      <c r="J159" s="127"/>
      <c r="K159" s="127"/>
      <c r="L159" s="127"/>
      <c r="M159" s="127"/>
      <c r="N159" s="127"/>
      <c r="O159" s="127"/>
      <c r="P159" s="127"/>
      <c r="Q159" s="127"/>
      <c r="R159" s="127"/>
      <c r="S159" s="127"/>
      <c r="T159" s="127"/>
      <c r="U159" s="127"/>
      <c r="V159" s="127"/>
      <c r="W159" s="127"/>
      <c r="X159" s="127"/>
    </row>
    <row r="160" spans="1:24">
      <c r="A160" s="127"/>
      <c r="B160" s="127"/>
      <c r="C160" s="127"/>
      <c r="D160" s="127"/>
      <c r="E160" s="127"/>
      <c r="F160" s="127"/>
      <c r="G160" s="127"/>
      <c r="H160" s="127"/>
      <c r="I160" s="127"/>
      <c r="J160" s="127"/>
      <c r="K160" s="127"/>
      <c r="L160" s="127"/>
      <c r="M160" s="127"/>
      <c r="N160" s="127"/>
      <c r="O160" s="127"/>
      <c r="P160" s="127"/>
      <c r="Q160" s="127"/>
      <c r="R160" s="127"/>
      <c r="S160" s="127"/>
      <c r="T160" s="127"/>
      <c r="U160" s="127"/>
      <c r="V160" s="127"/>
      <c r="W160" s="127"/>
      <c r="X160" s="127"/>
    </row>
    <row r="161" spans="1:24">
      <c r="A161" s="127"/>
      <c r="B161" s="127"/>
      <c r="C161" s="127"/>
      <c r="D161" s="127"/>
      <c r="E161" s="127"/>
      <c r="F161" s="127"/>
      <c r="G161" s="127"/>
      <c r="H161" s="127"/>
      <c r="I161" s="127"/>
      <c r="J161" s="127"/>
      <c r="K161" s="127"/>
      <c r="L161" s="127"/>
      <c r="M161" s="127"/>
      <c r="N161" s="127"/>
      <c r="O161" s="127"/>
      <c r="P161" s="127"/>
      <c r="Q161" s="127"/>
      <c r="R161" s="127"/>
      <c r="S161" s="127"/>
      <c r="T161" s="127"/>
      <c r="U161" s="127"/>
      <c r="V161" s="127"/>
      <c r="W161" s="127"/>
      <c r="X161" s="127"/>
    </row>
    <row r="162" spans="1:24">
      <c r="A162" s="127"/>
      <c r="B162" s="127"/>
      <c r="C162" s="127"/>
      <c r="D162" s="127"/>
      <c r="E162" s="127"/>
      <c r="F162" s="127"/>
      <c r="G162" s="127"/>
      <c r="H162" s="127"/>
      <c r="I162" s="127"/>
      <c r="J162" s="127"/>
      <c r="K162" s="127"/>
      <c r="L162" s="127"/>
      <c r="M162" s="127"/>
      <c r="N162" s="127"/>
      <c r="O162" s="127"/>
      <c r="P162" s="127"/>
      <c r="Q162" s="127"/>
      <c r="R162" s="127"/>
      <c r="S162" s="127"/>
      <c r="T162" s="127"/>
      <c r="U162" s="127"/>
      <c r="V162" s="127"/>
      <c r="W162" s="127"/>
      <c r="X162" s="127"/>
    </row>
    <row r="163" spans="1:24">
      <c r="A163" s="127"/>
      <c r="B163" s="127"/>
      <c r="C163" s="127"/>
      <c r="D163" s="127"/>
      <c r="E163" s="127"/>
      <c r="F163" s="127"/>
      <c r="G163" s="127"/>
      <c r="H163" s="127"/>
      <c r="I163" s="127"/>
      <c r="J163" s="127"/>
      <c r="K163" s="127"/>
      <c r="L163" s="127"/>
      <c r="M163" s="127"/>
      <c r="N163" s="127"/>
      <c r="O163" s="127"/>
      <c r="P163" s="127"/>
      <c r="Q163" s="127"/>
      <c r="R163" s="127"/>
      <c r="S163" s="127"/>
      <c r="T163" s="127"/>
      <c r="U163" s="127"/>
      <c r="V163" s="127"/>
      <c r="W163" s="127"/>
      <c r="X163" s="127"/>
    </row>
    <row r="164" spans="1:24">
      <c r="A164" s="127"/>
      <c r="B164" s="127"/>
      <c r="C164" s="127"/>
      <c r="D164" s="127"/>
      <c r="E164" s="127"/>
      <c r="F164" s="127"/>
      <c r="G164" s="127"/>
      <c r="H164" s="127"/>
      <c r="I164" s="127"/>
      <c r="J164" s="127"/>
      <c r="K164" s="127"/>
      <c r="L164" s="127"/>
      <c r="M164" s="127"/>
      <c r="N164" s="127"/>
      <c r="O164" s="127"/>
      <c r="P164" s="127"/>
      <c r="Q164" s="127"/>
      <c r="R164" s="127"/>
      <c r="S164" s="127"/>
      <c r="T164" s="127"/>
      <c r="U164" s="127"/>
      <c r="V164" s="127"/>
      <c r="W164" s="127"/>
      <c r="X164" s="127"/>
    </row>
    <row r="165" spans="1:24">
      <c r="A165" s="127"/>
      <c r="B165" s="127"/>
      <c r="C165" s="127"/>
      <c r="D165" s="127"/>
      <c r="E165" s="127"/>
      <c r="F165" s="127"/>
      <c r="G165" s="127"/>
      <c r="H165" s="127"/>
      <c r="I165" s="127"/>
      <c r="J165" s="127"/>
      <c r="K165" s="127"/>
      <c r="L165" s="127"/>
      <c r="M165" s="127"/>
      <c r="N165" s="127"/>
      <c r="O165" s="127"/>
      <c r="P165" s="127"/>
      <c r="Q165" s="127"/>
      <c r="R165" s="127"/>
      <c r="S165" s="127"/>
      <c r="T165" s="127"/>
      <c r="U165" s="127"/>
      <c r="V165" s="127"/>
      <c r="W165" s="127"/>
      <c r="X165" s="127"/>
    </row>
    <row r="166" spans="1:24">
      <c r="A166" s="127"/>
      <c r="B166" s="127"/>
      <c r="C166" s="127"/>
      <c r="D166" s="127"/>
      <c r="E166" s="127"/>
      <c r="F166" s="127"/>
      <c r="G166" s="127"/>
      <c r="H166" s="127"/>
      <c r="I166" s="127"/>
      <c r="J166" s="127"/>
      <c r="K166" s="127"/>
      <c r="L166" s="127"/>
      <c r="M166" s="127"/>
      <c r="N166" s="127"/>
      <c r="O166" s="127"/>
      <c r="P166" s="127"/>
      <c r="Q166" s="127"/>
      <c r="R166" s="127"/>
      <c r="S166" s="127"/>
      <c r="T166" s="127"/>
      <c r="U166" s="127"/>
      <c r="V166" s="127"/>
      <c r="W166" s="127"/>
      <c r="X166" s="127"/>
    </row>
    <row r="167" spans="1:24">
      <c r="A167" s="127"/>
      <c r="B167" s="127"/>
      <c r="C167" s="127"/>
      <c r="D167" s="127"/>
      <c r="E167" s="127"/>
      <c r="F167" s="127"/>
      <c r="G167" s="127"/>
      <c r="H167" s="127"/>
      <c r="I167" s="127"/>
      <c r="J167" s="127"/>
      <c r="K167" s="127"/>
      <c r="L167" s="127"/>
      <c r="M167" s="127"/>
      <c r="N167" s="127"/>
      <c r="O167" s="127"/>
      <c r="P167" s="127"/>
      <c r="Q167" s="127"/>
      <c r="R167" s="127"/>
      <c r="S167" s="127"/>
      <c r="T167" s="127"/>
      <c r="U167" s="127"/>
      <c r="V167" s="127"/>
      <c r="W167" s="127"/>
      <c r="X167" s="127"/>
    </row>
    <row r="168" spans="1:24">
      <c r="A168" s="127"/>
      <c r="B168" s="127"/>
      <c r="C168" s="127"/>
      <c r="D168" s="127"/>
      <c r="E168" s="127"/>
      <c r="F168" s="127"/>
      <c r="G168" s="127"/>
      <c r="H168" s="127"/>
      <c r="I168" s="127"/>
      <c r="J168" s="127"/>
      <c r="K168" s="127"/>
      <c r="L168" s="127"/>
      <c r="M168" s="127"/>
      <c r="N168" s="127"/>
      <c r="O168" s="127"/>
      <c r="P168" s="127"/>
      <c r="Q168" s="127"/>
      <c r="R168" s="127"/>
      <c r="S168" s="127"/>
      <c r="T168" s="127"/>
      <c r="U168" s="127"/>
      <c r="V168" s="127"/>
      <c r="W168" s="127"/>
      <c r="X168" s="127"/>
    </row>
    <row r="169" spans="1:24">
      <c r="A169" s="127"/>
      <c r="B169" s="127"/>
      <c r="C169" s="127"/>
      <c r="D169" s="127"/>
      <c r="E169" s="127"/>
      <c r="F169" s="127"/>
      <c r="G169" s="127"/>
      <c r="H169" s="127"/>
      <c r="I169" s="127"/>
      <c r="J169" s="127"/>
      <c r="K169" s="127"/>
      <c r="L169" s="127"/>
      <c r="M169" s="127"/>
      <c r="N169" s="127"/>
      <c r="O169" s="127"/>
      <c r="P169" s="127"/>
      <c r="Q169" s="127"/>
      <c r="R169" s="127"/>
      <c r="S169" s="127"/>
      <c r="T169" s="127"/>
      <c r="U169" s="127"/>
      <c r="V169" s="127"/>
      <c r="W169" s="127"/>
      <c r="X169" s="127"/>
    </row>
    <row r="170" spans="1:24">
      <c r="A170" s="127"/>
      <c r="B170" s="127"/>
      <c r="C170" s="127"/>
      <c r="D170" s="127"/>
      <c r="E170" s="127"/>
      <c r="F170" s="127"/>
      <c r="G170" s="127"/>
      <c r="H170" s="127"/>
      <c r="I170" s="127"/>
      <c r="J170" s="127"/>
      <c r="K170" s="127"/>
      <c r="L170" s="127"/>
      <c r="M170" s="127"/>
      <c r="N170" s="127"/>
      <c r="O170" s="127"/>
      <c r="P170" s="127"/>
      <c r="Q170" s="127"/>
      <c r="R170" s="127"/>
      <c r="S170" s="127"/>
      <c r="T170" s="127"/>
      <c r="U170" s="127"/>
      <c r="V170" s="127"/>
      <c r="W170" s="127"/>
      <c r="X170" s="127"/>
    </row>
    <row r="171" spans="1:24">
      <c r="A171" s="127"/>
      <c r="B171" s="127"/>
      <c r="C171" s="127"/>
      <c r="D171" s="127"/>
      <c r="E171" s="127"/>
      <c r="F171" s="127"/>
      <c r="G171" s="127"/>
      <c r="H171" s="127"/>
      <c r="I171" s="127"/>
      <c r="J171" s="127"/>
      <c r="K171" s="127"/>
      <c r="L171" s="127"/>
      <c r="M171" s="127"/>
      <c r="N171" s="127"/>
      <c r="O171" s="127"/>
      <c r="P171" s="127"/>
      <c r="Q171" s="127"/>
      <c r="R171" s="127"/>
      <c r="S171" s="127"/>
      <c r="T171" s="127"/>
      <c r="U171" s="127"/>
      <c r="V171" s="127"/>
      <c r="W171" s="127"/>
      <c r="X171" s="127"/>
    </row>
    <row r="172" spans="1:24">
      <c r="A172" s="127"/>
      <c r="B172" s="127"/>
      <c r="C172" s="127"/>
      <c r="D172" s="127"/>
      <c r="E172" s="127"/>
      <c r="F172" s="127"/>
      <c r="G172" s="127"/>
      <c r="H172" s="127"/>
      <c r="I172" s="127"/>
      <c r="J172" s="127"/>
      <c r="K172" s="127"/>
      <c r="L172" s="127"/>
      <c r="M172" s="127"/>
      <c r="N172" s="127"/>
      <c r="O172" s="127"/>
      <c r="P172" s="127"/>
      <c r="Q172" s="127"/>
      <c r="R172" s="127"/>
      <c r="S172" s="127"/>
      <c r="T172" s="127"/>
      <c r="U172" s="127"/>
      <c r="V172" s="127"/>
      <c r="W172" s="127"/>
      <c r="X172" s="127"/>
    </row>
    <row r="173" spans="1:24">
      <c r="A173" s="127"/>
      <c r="B173" s="127"/>
      <c r="C173" s="127"/>
      <c r="D173" s="127"/>
      <c r="E173" s="127"/>
      <c r="F173" s="127"/>
      <c r="G173" s="127"/>
      <c r="H173" s="127"/>
      <c r="I173" s="127"/>
      <c r="J173" s="127"/>
      <c r="K173" s="127"/>
      <c r="L173" s="127"/>
      <c r="M173" s="127"/>
      <c r="N173" s="127"/>
      <c r="O173" s="127"/>
      <c r="P173" s="127"/>
      <c r="Q173" s="127"/>
      <c r="R173" s="127"/>
      <c r="S173" s="127"/>
      <c r="T173" s="127"/>
      <c r="U173" s="127"/>
      <c r="V173" s="127"/>
      <c r="W173" s="127"/>
      <c r="X173" s="127"/>
    </row>
    <row r="174" spans="1:24">
      <c r="A174" s="127"/>
      <c r="B174" s="127"/>
      <c r="C174" s="127"/>
      <c r="D174" s="127"/>
      <c r="E174" s="127"/>
      <c r="F174" s="127"/>
      <c r="G174" s="127"/>
      <c r="H174" s="127"/>
      <c r="I174" s="127"/>
      <c r="J174" s="127"/>
      <c r="K174" s="127"/>
      <c r="L174" s="127"/>
      <c r="M174" s="127"/>
      <c r="N174" s="127"/>
      <c r="O174" s="127"/>
      <c r="P174" s="127"/>
      <c r="Q174" s="127"/>
      <c r="R174" s="127"/>
      <c r="S174" s="127"/>
      <c r="T174" s="127"/>
      <c r="U174" s="127"/>
      <c r="V174" s="127"/>
      <c r="W174" s="127"/>
      <c r="X174" s="127"/>
    </row>
    <row r="175" spans="1:24">
      <c r="A175" s="127"/>
      <c r="B175" s="127"/>
      <c r="C175" s="127"/>
      <c r="D175" s="127"/>
      <c r="E175" s="127"/>
      <c r="F175" s="127"/>
      <c r="G175" s="127"/>
      <c r="H175" s="127"/>
      <c r="I175" s="127"/>
      <c r="J175" s="127"/>
      <c r="K175" s="127"/>
      <c r="L175" s="127"/>
      <c r="M175" s="127"/>
      <c r="N175" s="127"/>
      <c r="O175" s="127"/>
      <c r="P175" s="127"/>
      <c r="Q175" s="127"/>
      <c r="R175" s="127"/>
      <c r="S175" s="127"/>
      <c r="T175" s="127"/>
      <c r="U175" s="127"/>
      <c r="V175" s="127"/>
      <c r="W175" s="127"/>
      <c r="X175" s="127"/>
    </row>
    <row r="176" spans="1:24">
      <c r="A176" s="127"/>
      <c r="B176" s="127"/>
      <c r="C176" s="127"/>
      <c r="D176" s="127"/>
      <c r="E176" s="127"/>
      <c r="F176" s="127"/>
      <c r="G176" s="127"/>
      <c r="H176" s="127"/>
      <c r="I176" s="127"/>
      <c r="J176" s="127"/>
      <c r="K176" s="127"/>
      <c r="L176" s="127"/>
      <c r="M176" s="127"/>
      <c r="N176" s="127"/>
      <c r="O176" s="127"/>
      <c r="P176" s="127"/>
      <c r="Q176" s="127"/>
      <c r="R176" s="127"/>
      <c r="S176" s="127"/>
      <c r="T176" s="127"/>
      <c r="U176" s="127"/>
      <c r="V176" s="127"/>
      <c r="W176" s="127"/>
      <c r="X176" s="127"/>
    </row>
    <row r="177" spans="1:24">
      <c r="A177" s="127"/>
      <c r="B177" s="127"/>
      <c r="C177" s="127"/>
      <c r="D177" s="127"/>
      <c r="E177" s="127"/>
      <c r="F177" s="127"/>
      <c r="G177" s="127"/>
      <c r="H177" s="127"/>
      <c r="I177" s="127"/>
      <c r="J177" s="127"/>
      <c r="K177" s="127"/>
      <c r="L177" s="127"/>
      <c r="M177" s="127"/>
      <c r="N177" s="127"/>
      <c r="O177" s="127"/>
      <c r="P177" s="127"/>
      <c r="Q177" s="127"/>
      <c r="R177" s="127"/>
      <c r="S177" s="127"/>
      <c r="T177" s="127"/>
      <c r="U177" s="127"/>
      <c r="V177" s="127"/>
      <c r="W177" s="127"/>
      <c r="X177" s="127"/>
    </row>
    <row r="178" spans="1:24">
      <c r="A178" s="127"/>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row>
    <row r="179" spans="1:24">
      <c r="A179" s="127"/>
      <c r="B179" s="127"/>
      <c r="C179" s="127"/>
      <c r="D179" s="127"/>
      <c r="E179" s="127"/>
      <c r="F179" s="127"/>
      <c r="G179" s="127"/>
      <c r="H179" s="127"/>
      <c r="I179" s="127"/>
      <c r="J179" s="127"/>
      <c r="K179" s="127"/>
      <c r="L179" s="127"/>
      <c r="M179" s="127"/>
      <c r="N179" s="127"/>
      <c r="O179" s="127"/>
      <c r="P179" s="127"/>
      <c r="Q179" s="127"/>
      <c r="R179" s="127"/>
      <c r="S179" s="127"/>
      <c r="T179" s="127"/>
      <c r="U179" s="127"/>
      <c r="V179" s="127"/>
      <c r="W179" s="127"/>
      <c r="X179" s="127"/>
    </row>
    <row r="180" spans="1:24">
      <c r="A180" s="127"/>
      <c r="B180" s="127"/>
      <c r="C180" s="127"/>
      <c r="D180" s="127"/>
      <c r="E180" s="127"/>
      <c r="F180" s="127"/>
      <c r="G180" s="127"/>
      <c r="H180" s="127"/>
      <c r="I180" s="127"/>
      <c r="J180" s="127"/>
      <c r="K180" s="127"/>
      <c r="L180" s="127"/>
      <c r="M180" s="127"/>
      <c r="N180" s="127"/>
      <c r="O180" s="127"/>
      <c r="P180" s="127"/>
      <c r="Q180" s="127"/>
      <c r="R180" s="127"/>
      <c r="S180" s="127"/>
      <c r="T180" s="127"/>
      <c r="U180" s="127"/>
      <c r="V180" s="127"/>
      <c r="W180" s="127"/>
      <c r="X180" s="127"/>
    </row>
    <row r="181" spans="1:24">
      <c r="A181" s="127"/>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row>
    <row r="182" spans="1:24">
      <c r="A182" s="127"/>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row>
    <row r="183" spans="1:24">
      <c r="A183" s="127"/>
      <c r="B183" s="127"/>
      <c r="C183" s="127"/>
      <c r="D183" s="127"/>
      <c r="E183" s="127"/>
      <c r="F183" s="127"/>
      <c r="G183" s="127"/>
      <c r="H183" s="127"/>
      <c r="I183" s="127"/>
      <c r="J183" s="127"/>
      <c r="K183" s="127"/>
      <c r="L183" s="127"/>
      <c r="M183" s="127"/>
      <c r="N183" s="127"/>
      <c r="O183" s="127"/>
      <c r="P183" s="127"/>
      <c r="Q183" s="127"/>
      <c r="R183" s="127"/>
      <c r="S183" s="127"/>
      <c r="T183" s="127"/>
      <c r="U183" s="127"/>
      <c r="V183" s="127"/>
      <c r="W183" s="127"/>
      <c r="X183" s="127"/>
    </row>
    <row r="184" spans="1:24">
      <c r="A184" s="127"/>
      <c r="B184" s="127"/>
      <c r="C184" s="127"/>
      <c r="D184" s="127"/>
      <c r="E184" s="127"/>
      <c r="F184" s="127"/>
      <c r="G184" s="127"/>
      <c r="H184" s="127"/>
      <c r="I184" s="127"/>
      <c r="J184" s="127"/>
      <c r="K184" s="127"/>
      <c r="L184" s="127"/>
      <c r="M184" s="127"/>
      <c r="N184" s="127"/>
      <c r="O184" s="127"/>
      <c r="P184" s="127"/>
      <c r="Q184" s="127"/>
      <c r="R184" s="127"/>
      <c r="S184" s="127"/>
      <c r="T184" s="127"/>
      <c r="U184" s="127"/>
      <c r="V184" s="127"/>
      <c r="W184" s="127"/>
      <c r="X184" s="127"/>
    </row>
    <row r="185" spans="1:24">
      <c r="A185" s="127"/>
      <c r="B185" s="127"/>
      <c r="C185" s="127"/>
      <c r="D185" s="127"/>
      <c r="E185" s="127"/>
      <c r="F185" s="127"/>
      <c r="G185" s="127"/>
      <c r="H185" s="127"/>
      <c r="I185" s="127"/>
      <c r="J185" s="127"/>
      <c r="K185" s="127"/>
      <c r="L185" s="127"/>
      <c r="M185" s="127"/>
      <c r="N185" s="127"/>
      <c r="O185" s="127"/>
      <c r="P185" s="127"/>
      <c r="Q185" s="127"/>
      <c r="R185" s="127"/>
      <c r="S185" s="127"/>
      <c r="T185" s="127"/>
      <c r="U185" s="127"/>
      <c r="V185" s="127"/>
      <c r="W185" s="127"/>
      <c r="X185" s="127"/>
    </row>
    <row r="186" spans="1:24">
      <c r="A186" s="127"/>
      <c r="B186" s="127"/>
      <c r="C186" s="127"/>
      <c r="D186" s="127"/>
      <c r="E186" s="127"/>
      <c r="F186" s="127"/>
      <c r="G186" s="127"/>
      <c r="H186" s="127"/>
      <c r="I186" s="127"/>
      <c r="J186" s="127"/>
      <c r="K186" s="127"/>
      <c r="L186" s="127"/>
      <c r="M186" s="127"/>
      <c r="N186" s="127"/>
      <c r="O186" s="127"/>
      <c r="P186" s="127"/>
      <c r="Q186" s="127"/>
      <c r="R186" s="127"/>
      <c r="S186" s="127"/>
      <c r="T186" s="127"/>
      <c r="U186" s="127"/>
      <c r="V186" s="127"/>
      <c r="W186" s="127"/>
      <c r="X186" s="127"/>
    </row>
    <row r="187" spans="1:24">
      <c r="A187" s="127"/>
      <c r="B187" s="127"/>
      <c r="C187" s="127"/>
      <c r="D187" s="127"/>
      <c r="E187" s="127"/>
      <c r="F187" s="127"/>
      <c r="G187" s="127"/>
      <c r="H187" s="127"/>
      <c r="I187" s="127"/>
      <c r="J187" s="127"/>
      <c r="K187" s="127"/>
      <c r="L187" s="127"/>
      <c r="M187" s="127"/>
      <c r="N187" s="127"/>
      <c r="O187" s="127"/>
      <c r="P187" s="127"/>
      <c r="Q187" s="127"/>
      <c r="R187" s="127"/>
      <c r="S187" s="127"/>
      <c r="T187" s="127"/>
      <c r="U187" s="127"/>
      <c r="V187" s="127"/>
      <c r="W187" s="127"/>
      <c r="X187" s="127"/>
    </row>
    <row r="188" spans="1:24">
      <c r="A188" s="127"/>
      <c r="B188" s="127"/>
      <c r="C188" s="127"/>
      <c r="D188" s="127"/>
      <c r="E188" s="127"/>
      <c r="F188" s="127"/>
      <c r="G188" s="127"/>
      <c r="H188" s="127"/>
      <c r="I188" s="127"/>
      <c r="J188" s="127"/>
      <c r="K188" s="127"/>
      <c r="L188" s="127"/>
      <c r="M188" s="127"/>
      <c r="N188" s="127"/>
      <c r="O188" s="127"/>
      <c r="P188" s="127"/>
      <c r="Q188" s="127"/>
      <c r="R188" s="127"/>
      <c r="S188" s="127"/>
      <c r="T188" s="127"/>
      <c r="U188" s="127"/>
      <c r="V188" s="127"/>
      <c r="W188" s="127"/>
      <c r="X188" s="127"/>
    </row>
    <row r="189" spans="1:24">
      <c r="A189" s="127"/>
      <c r="B189" s="127"/>
      <c r="C189" s="127"/>
      <c r="D189" s="127"/>
      <c r="E189" s="127"/>
      <c r="F189" s="127"/>
      <c r="G189" s="127"/>
      <c r="H189" s="127"/>
      <c r="I189" s="127"/>
      <c r="J189" s="127"/>
      <c r="K189" s="127"/>
      <c r="L189" s="127"/>
      <c r="M189" s="127"/>
      <c r="N189" s="127"/>
      <c r="O189" s="127"/>
      <c r="P189" s="127"/>
      <c r="Q189" s="127"/>
      <c r="R189" s="127"/>
      <c r="S189" s="127"/>
      <c r="T189" s="127"/>
      <c r="U189" s="127"/>
      <c r="V189" s="127"/>
      <c r="W189" s="127"/>
      <c r="X189" s="127"/>
    </row>
    <row r="190" spans="1:24">
      <c r="A190" s="127"/>
      <c r="B190" s="127"/>
      <c r="C190" s="127"/>
      <c r="D190" s="127"/>
      <c r="E190" s="127"/>
      <c r="F190" s="127"/>
      <c r="G190" s="127"/>
      <c r="H190" s="127"/>
      <c r="I190" s="127"/>
      <c r="J190" s="127"/>
      <c r="K190" s="127"/>
      <c r="L190" s="127"/>
      <c r="M190" s="127"/>
      <c r="N190" s="127"/>
      <c r="O190" s="127"/>
      <c r="P190" s="127"/>
      <c r="Q190" s="127"/>
      <c r="R190" s="127"/>
      <c r="S190" s="127"/>
      <c r="T190" s="127"/>
      <c r="U190" s="127"/>
      <c r="V190" s="127"/>
      <c r="W190" s="127"/>
      <c r="X190" s="127"/>
    </row>
    <row r="191" spans="1:24">
      <c r="A191" s="127"/>
      <c r="B191" s="127"/>
      <c r="C191" s="127"/>
      <c r="D191" s="127"/>
      <c r="E191" s="127"/>
      <c r="F191" s="127"/>
      <c r="G191" s="127"/>
      <c r="H191" s="127"/>
      <c r="I191" s="127"/>
      <c r="J191" s="127"/>
      <c r="K191" s="127"/>
      <c r="L191" s="127"/>
      <c r="M191" s="127"/>
      <c r="N191" s="127"/>
      <c r="O191" s="127"/>
      <c r="P191" s="127"/>
      <c r="Q191" s="127"/>
      <c r="R191" s="127"/>
      <c r="S191" s="127"/>
      <c r="T191" s="127"/>
      <c r="U191" s="127"/>
      <c r="V191" s="127"/>
      <c r="W191" s="127"/>
      <c r="X191" s="127"/>
    </row>
    <row r="192" spans="1:24">
      <c r="A192" s="127"/>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row>
    <row r="193" spans="1:24">
      <c r="A193" s="127"/>
      <c r="B193" s="127"/>
      <c r="C193" s="127"/>
      <c r="D193" s="127"/>
      <c r="E193" s="127"/>
      <c r="F193" s="127"/>
      <c r="G193" s="127"/>
      <c r="H193" s="127"/>
      <c r="I193" s="127"/>
      <c r="J193" s="127"/>
      <c r="K193" s="127"/>
      <c r="L193" s="127"/>
      <c r="M193" s="127"/>
      <c r="N193" s="127"/>
      <c r="O193" s="127"/>
      <c r="P193" s="127"/>
      <c r="Q193" s="127"/>
      <c r="R193" s="127"/>
      <c r="S193" s="127"/>
      <c r="T193" s="127"/>
      <c r="U193" s="127"/>
      <c r="V193" s="127"/>
      <c r="W193" s="127"/>
      <c r="X193" s="127"/>
    </row>
    <row r="194" spans="1:24">
      <c r="A194" s="127"/>
      <c r="B194" s="127"/>
      <c r="C194" s="127"/>
      <c r="D194" s="127"/>
      <c r="E194" s="127"/>
      <c r="F194" s="127"/>
      <c r="G194" s="127"/>
      <c r="H194" s="127"/>
      <c r="I194" s="127"/>
      <c r="J194" s="127"/>
      <c r="K194" s="127"/>
      <c r="L194" s="127"/>
      <c r="M194" s="127"/>
      <c r="N194" s="127"/>
      <c r="O194" s="127"/>
      <c r="P194" s="127"/>
      <c r="Q194" s="127"/>
      <c r="R194" s="127"/>
      <c r="S194" s="127"/>
      <c r="T194" s="127"/>
      <c r="U194" s="127"/>
      <c r="V194" s="127"/>
      <c r="W194" s="127"/>
      <c r="X194" s="127"/>
    </row>
    <row r="195" spans="1:24">
      <c r="A195" s="127"/>
      <c r="B195" s="127"/>
      <c r="C195" s="127"/>
      <c r="D195" s="127"/>
      <c r="E195" s="127"/>
      <c r="F195" s="127"/>
      <c r="G195" s="127"/>
      <c r="H195" s="127"/>
      <c r="I195" s="127"/>
      <c r="J195" s="127"/>
      <c r="K195" s="127"/>
      <c r="L195" s="127"/>
      <c r="M195" s="127"/>
      <c r="N195" s="127"/>
      <c r="O195" s="127"/>
      <c r="P195" s="127"/>
      <c r="Q195" s="127"/>
      <c r="R195" s="127"/>
      <c r="S195" s="127"/>
      <c r="T195" s="127"/>
      <c r="U195" s="127"/>
      <c r="V195" s="127"/>
      <c r="W195" s="127"/>
      <c r="X195" s="127"/>
    </row>
    <row r="196" spans="1:24">
      <c r="A196" s="127"/>
      <c r="B196" s="127"/>
      <c r="C196" s="127"/>
      <c r="D196" s="127"/>
      <c r="E196" s="127"/>
      <c r="F196" s="127"/>
      <c r="G196" s="127"/>
      <c r="H196" s="127"/>
      <c r="I196" s="127"/>
      <c r="J196" s="127"/>
      <c r="K196" s="127"/>
      <c r="L196" s="127"/>
      <c r="M196" s="127"/>
      <c r="N196" s="127"/>
      <c r="O196" s="127"/>
      <c r="P196" s="127"/>
      <c r="Q196" s="127"/>
      <c r="R196" s="127"/>
      <c r="S196" s="127"/>
      <c r="T196" s="127"/>
      <c r="U196" s="127"/>
      <c r="V196" s="127"/>
      <c r="W196" s="127"/>
      <c r="X196" s="127"/>
    </row>
    <row r="197" spans="1:24">
      <c r="A197" s="127"/>
      <c r="B197" s="127"/>
      <c r="C197" s="127"/>
      <c r="D197" s="127"/>
      <c r="E197" s="127"/>
      <c r="F197" s="127"/>
      <c r="G197" s="127"/>
      <c r="H197" s="127"/>
      <c r="I197" s="127"/>
      <c r="J197" s="127"/>
      <c r="K197" s="127"/>
      <c r="L197" s="127"/>
      <c r="M197" s="127"/>
      <c r="N197" s="127"/>
      <c r="O197" s="127"/>
      <c r="P197" s="127"/>
      <c r="Q197" s="127"/>
      <c r="R197" s="127"/>
      <c r="S197" s="127"/>
      <c r="T197" s="127"/>
      <c r="U197" s="127"/>
      <c r="V197" s="127"/>
      <c r="W197" s="127"/>
      <c r="X197" s="127"/>
    </row>
    <row r="198" spans="1:24">
      <c r="A198" s="127"/>
      <c r="B198" s="127"/>
      <c r="C198" s="127"/>
      <c r="D198" s="127"/>
      <c r="E198" s="127"/>
      <c r="F198" s="127"/>
      <c r="G198" s="127"/>
      <c r="H198" s="127"/>
      <c r="I198" s="127"/>
      <c r="J198" s="127"/>
      <c r="K198" s="127"/>
      <c r="L198" s="127"/>
      <c r="M198" s="127"/>
      <c r="N198" s="127"/>
      <c r="O198" s="127"/>
      <c r="P198" s="127"/>
      <c r="Q198" s="127"/>
      <c r="R198" s="127"/>
      <c r="S198" s="127"/>
      <c r="T198" s="127"/>
      <c r="U198" s="127"/>
      <c r="V198" s="127"/>
      <c r="W198" s="127"/>
      <c r="X198" s="127"/>
    </row>
    <row r="199" spans="1:24">
      <c r="A199" s="127"/>
      <c r="B199" s="127"/>
      <c r="C199" s="127"/>
      <c r="D199" s="127"/>
      <c r="E199" s="127"/>
      <c r="F199" s="127"/>
      <c r="G199" s="127"/>
      <c r="H199" s="127"/>
      <c r="I199" s="127"/>
      <c r="J199" s="127"/>
      <c r="K199" s="127"/>
      <c r="L199" s="127"/>
      <c r="M199" s="127"/>
      <c r="N199" s="127"/>
      <c r="O199" s="127"/>
      <c r="P199" s="127"/>
      <c r="Q199" s="127"/>
      <c r="R199" s="127"/>
      <c r="S199" s="127"/>
      <c r="T199" s="127"/>
      <c r="U199" s="127"/>
      <c r="V199" s="127"/>
      <c r="W199" s="127"/>
      <c r="X199" s="127"/>
    </row>
    <row r="200" spans="1:24">
      <c r="A200" s="127"/>
      <c r="B200" s="127"/>
      <c r="C200" s="127"/>
      <c r="D200" s="127"/>
      <c r="E200" s="127"/>
      <c r="F200" s="127"/>
      <c r="G200" s="127"/>
      <c r="H200" s="127"/>
      <c r="I200" s="127"/>
      <c r="J200" s="127"/>
      <c r="K200" s="127"/>
      <c r="L200" s="127"/>
      <c r="M200" s="127"/>
      <c r="N200" s="127"/>
      <c r="O200" s="127"/>
      <c r="P200" s="127"/>
      <c r="Q200" s="127"/>
      <c r="R200" s="127"/>
      <c r="S200" s="127"/>
      <c r="T200" s="127"/>
      <c r="U200" s="127"/>
      <c r="V200" s="127"/>
      <c r="W200" s="127"/>
      <c r="X200" s="127"/>
    </row>
    <row r="201" spans="1:24">
      <c r="A201" s="127"/>
      <c r="B201" s="127"/>
      <c r="C201" s="127"/>
      <c r="D201" s="127"/>
      <c r="E201" s="127"/>
      <c r="F201" s="127"/>
      <c r="G201" s="127"/>
      <c r="H201" s="127"/>
      <c r="I201" s="127"/>
      <c r="J201" s="127"/>
      <c r="K201" s="127"/>
      <c r="L201" s="127"/>
      <c r="M201" s="127"/>
      <c r="N201" s="127"/>
      <c r="O201" s="127"/>
      <c r="P201" s="127"/>
      <c r="Q201" s="127"/>
      <c r="R201" s="127"/>
      <c r="S201" s="127"/>
      <c r="T201" s="127"/>
      <c r="U201" s="127"/>
      <c r="V201" s="127"/>
      <c r="W201" s="127"/>
      <c r="X201" s="127"/>
    </row>
    <row r="202" spans="1:24">
      <c r="A202" s="127"/>
      <c r="B202" s="127"/>
      <c r="C202" s="127"/>
      <c r="D202" s="127"/>
      <c r="E202" s="127"/>
      <c r="F202" s="127"/>
      <c r="G202" s="127"/>
      <c r="H202" s="127"/>
      <c r="I202" s="127"/>
      <c r="J202" s="127"/>
      <c r="K202" s="127"/>
      <c r="L202" s="127"/>
      <c r="M202" s="127"/>
      <c r="N202" s="127"/>
      <c r="O202" s="127"/>
      <c r="P202" s="127"/>
      <c r="Q202" s="127"/>
      <c r="R202" s="127"/>
      <c r="S202" s="127"/>
      <c r="T202" s="127"/>
      <c r="U202" s="127"/>
      <c r="V202" s="127"/>
      <c r="W202" s="127"/>
      <c r="X202" s="127"/>
    </row>
    <row r="203" spans="1:24">
      <c r="A203" s="127"/>
      <c r="B203" s="127"/>
      <c r="C203" s="127"/>
      <c r="D203" s="127"/>
      <c r="E203" s="127"/>
      <c r="F203" s="127"/>
      <c r="G203" s="127"/>
      <c r="H203" s="127"/>
      <c r="I203" s="127"/>
      <c r="J203" s="127"/>
      <c r="K203" s="127"/>
      <c r="L203" s="127"/>
      <c r="M203" s="127"/>
      <c r="N203" s="127"/>
      <c r="O203" s="127"/>
      <c r="P203" s="127"/>
      <c r="Q203" s="127"/>
      <c r="R203" s="127"/>
      <c r="S203" s="127"/>
      <c r="T203" s="127"/>
      <c r="U203" s="127"/>
      <c r="V203" s="127"/>
      <c r="W203" s="127"/>
      <c r="X203" s="127"/>
    </row>
    <row r="204" spans="1:24">
      <c r="A204" s="127"/>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row>
    <row r="205" spans="1:24">
      <c r="A205" s="127"/>
      <c r="B205" s="127"/>
      <c r="C205" s="127"/>
      <c r="D205" s="127"/>
      <c r="E205" s="127"/>
      <c r="F205" s="127"/>
      <c r="G205" s="127"/>
      <c r="H205" s="127"/>
      <c r="I205" s="127"/>
      <c r="J205" s="127"/>
      <c r="K205" s="127"/>
      <c r="L205" s="127"/>
      <c r="M205" s="127"/>
      <c r="N205" s="127"/>
      <c r="O205" s="127"/>
      <c r="P205" s="127"/>
      <c r="Q205" s="127"/>
      <c r="R205" s="127"/>
      <c r="S205" s="127"/>
      <c r="T205" s="127"/>
      <c r="U205" s="127"/>
      <c r="V205" s="127"/>
      <c r="W205" s="127"/>
      <c r="X205" s="127"/>
    </row>
    <row r="206" spans="1:24">
      <c r="A206" s="127"/>
      <c r="B206" s="127"/>
      <c r="C206" s="127"/>
      <c r="D206" s="127"/>
      <c r="E206" s="127"/>
      <c r="F206" s="127"/>
      <c r="G206" s="127"/>
      <c r="H206" s="127"/>
      <c r="I206" s="127"/>
      <c r="J206" s="127"/>
      <c r="K206" s="127"/>
      <c r="L206" s="127"/>
      <c r="M206" s="127"/>
      <c r="N206" s="127"/>
      <c r="O206" s="127"/>
      <c r="P206" s="127"/>
      <c r="Q206" s="127"/>
      <c r="R206" s="127"/>
      <c r="S206" s="127"/>
      <c r="T206" s="127"/>
      <c r="U206" s="127"/>
      <c r="V206" s="127"/>
      <c r="W206" s="127"/>
      <c r="X206" s="127"/>
    </row>
    <row r="207" spans="1:24">
      <c r="A207" s="127"/>
      <c r="B207" s="127"/>
      <c r="C207" s="127"/>
      <c r="D207" s="127"/>
      <c r="E207" s="127"/>
      <c r="F207" s="127"/>
      <c r="G207" s="127"/>
      <c r="H207" s="127"/>
      <c r="I207" s="127"/>
      <c r="J207" s="127"/>
      <c r="K207" s="127"/>
      <c r="L207" s="127"/>
      <c r="M207" s="127"/>
      <c r="N207" s="127"/>
      <c r="O207" s="127"/>
      <c r="P207" s="127"/>
      <c r="Q207" s="127"/>
      <c r="R207" s="127"/>
      <c r="S207" s="127"/>
      <c r="T207" s="127"/>
      <c r="U207" s="127"/>
      <c r="V207" s="127"/>
      <c r="W207" s="127"/>
      <c r="X207" s="127"/>
    </row>
    <row r="208" spans="1:24">
      <c r="A208" s="127"/>
      <c r="B208" s="127"/>
      <c r="C208" s="127"/>
      <c r="D208" s="127"/>
      <c r="E208" s="127"/>
      <c r="F208" s="127"/>
      <c r="G208" s="127"/>
      <c r="H208" s="127"/>
      <c r="I208" s="127"/>
      <c r="J208" s="127"/>
      <c r="K208" s="127"/>
      <c r="L208" s="127"/>
      <c r="M208" s="127"/>
      <c r="N208" s="127"/>
      <c r="O208" s="127"/>
      <c r="P208" s="127"/>
      <c r="Q208" s="127"/>
      <c r="R208" s="127"/>
      <c r="S208" s="127"/>
      <c r="T208" s="127"/>
      <c r="U208" s="127"/>
      <c r="V208" s="127"/>
      <c r="W208" s="127"/>
      <c r="X208" s="127"/>
    </row>
    <row r="209" spans="1:24">
      <c r="A209" s="127"/>
      <c r="B209" s="127"/>
      <c r="C209" s="127"/>
      <c r="D209" s="127"/>
      <c r="E209" s="127"/>
      <c r="F209" s="127"/>
      <c r="G209" s="127"/>
      <c r="H209" s="127"/>
      <c r="I209" s="127"/>
      <c r="J209" s="127"/>
      <c r="K209" s="127"/>
      <c r="L209" s="127"/>
      <c r="M209" s="127"/>
      <c r="N209" s="127"/>
      <c r="O209" s="127"/>
      <c r="P209" s="127"/>
      <c r="Q209" s="127"/>
      <c r="R209" s="127"/>
      <c r="S209" s="127"/>
      <c r="T209" s="127"/>
      <c r="U209" s="127"/>
      <c r="V209" s="127"/>
      <c r="W209" s="127"/>
      <c r="X209" s="127"/>
    </row>
    <row r="210" spans="1:24">
      <c r="A210" s="127"/>
      <c r="B210" s="127"/>
      <c r="C210" s="127"/>
      <c r="D210" s="127"/>
      <c r="E210" s="127"/>
      <c r="F210" s="127"/>
      <c r="G210" s="127"/>
      <c r="H210" s="127"/>
      <c r="I210" s="127"/>
      <c r="J210" s="127"/>
      <c r="K210" s="127"/>
      <c r="L210" s="127"/>
      <c r="M210" s="127"/>
      <c r="N210" s="127"/>
      <c r="O210" s="127"/>
      <c r="P210" s="127"/>
      <c r="Q210" s="127"/>
      <c r="R210" s="127"/>
      <c r="S210" s="127"/>
      <c r="T210" s="127"/>
      <c r="U210" s="127"/>
      <c r="V210" s="127"/>
      <c r="W210" s="127"/>
      <c r="X210" s="127"/>
    </row>
    <row r="211" spans="1:24">
      <c r="A211" s="12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row>
    <row r="212" spans="1:24">
      <c r="A212" s="12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row>
    <row r="213" spans="1:24">
      <c r="A213" s="12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row>
    <row r="214" spans="1:24">
      <c r="A214" s="12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row>
    <row r="215" spans="1:24">
      <c r="A215" s="12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row>
    <row r="216" spans="1:24">
      <c r="A216" s="12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row>
    <row r="217" spans="1:24">
      <c r="A217" s="12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row>
  </sheetData>
  <mergeCells count="6">
    <mergeCell ref="A5:A12"/>
    <mergeCell ref="B19:B22"/>
    <mergeCell ref="A19:A22"/>
    <mergeCell ref="A17:A18"/>
    <mergeCell ref="A15:A16"/>
    <mergeCell ref="A13:A14"/>
  </mergeCells>
  <phoneticPr fontId="2" type="noConversion"/>
  <hyperlinks>
    <hyperlink ref="B2" r:id="rId1" location="tabs_content--2021" xr:uid="{00000000-0004-0000-0200-000000000000}"/>
    <hyperlink ref="B3" r:id="rId2" xr:uid="{00000000-0004-0000-0200-000001000000}"/>
    <hyperlink ref="K2" r:id="rId3" xr:uid="{00000000-0004-0000-0200-000002000000}"/>
    <hyperlink ref="K3" r:id="rId4" xr:uid="{00000000-0004-0000-0200-000003000000}"/>
    <hyperlink ref="K4" r:id="rId5" xr:uid="{00000000-0004-0000-0200-000004000000}"/>
    <hyperlink ref="K5" r:id="rId6" xr:uid="{00000000-0004-0000-0200-000005000000}"/>
    <hyperlink ref="D2" r:id="rId7" xr:uid="{00000000-0004-0000-0200-000006000000}"/>
  </hyperlinks>
  <pageMargins left="0.7" right="0.7" top="0.75" bottom="0.75" header="0.3" footer="0.3"/>
  <drawing r:id="rId8"/>
  <legacyDrawing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4"/>
  <dimension ref="A1:AV1000"/>
  <sheetViews>
    <sheetView zoomScaleNormal="100" workbookViewId="0">
      <selection activeCell="AQ7" sqref="AQ7:AQ8"/>
    </sheetView>
  </sheetViews>
  <sheetFormatPr defaultColWidth="12.625" defaultRowHeight="15" customHeight="1"/>
  <cols>
    <col min="1" max="1" width="5" customWidth="1"/>
    <col min="2" max="7" width="8.75" customWidth="1"/>
    <col min="8" max="8" width="3.625" customWidth="1"/>
    <col min="9" max="9" width="11.125" style="100" bestFit="1" customWidth="1"/>
    <col min="10" max="10" width="8.75" style="100" customWidth="1"/>
    <col min="11" max="11" width="15.625" style="100" bestFit="1" customWidth="1"/>
    <col min="12" max="12" width="8.75" style="100" customWidth="1"/>
    <col min="13" max="13" width="1.75" customWidth="1"/>
    <col min="14" max="19" width="8.75" customWidth="1"/>
    <col min="20" max="20" width="3.625" customWidth="1"/>
    <col min="21" max="21" width="11.125" style="100" bestFit="1" customWidth="1"/>
    <col min="22" max="22" width="8.75" style="100" customWidth="1"/>
    <col min="23" max="23" width="15.625" style="100" bestFit="1" customWidth="1"/>
    <col min="24" max="24" width="8.75" style="100" customWidth="1"/>
    <col min="25" max="25" width="1.75" customWidth="1"/>
    <col min="26" max="31" width="8.75" customWidth="1"/>
    <col min="32" max="32" width="3.625" customWidth="1"/>
    <col min="33" max="33" width="11.125" style="103" bestFit="1" customWidth="1"/>
    <col min="34" max="34" width="8.75" style="103" customWidth="1"/>
    <col min="35" max="35" width="15.625" style="103" bestFit="1" customWidth="1"/>
    <col min="36" max="36" width="8.75" style="103" customWidth="1"/>
    <col min="37" max="37" width="1.75" customWidth="1"/>
    <col min="38" max="43" width="8.75" customWidth="1"/>
    <col min="44" max="44" width="3.625" customWidth="1"/>
    <col min="45" max="45" width="11.125" style="100" bestFit="1" customWidth="1"/>
    <col min="46" max="46" width="8.75" style="100" customWidth="1"/>
    <col min="47" max="47" width="15.625" style="100" bestFit="1" customWidth="1"/>
    <col min="48" max="48" width="8.75" style="100" customWidth="1"/>
  </cols>
  <sheetData>
    <row r="1" spans="1:48" ht="17.25" thickBot="1">
      <c r="A1" s="40" t="s">
        <v>96</v>
      </c>
      <c r="B1" s="54" t="s">
        <v>133</v>
      </c>
      <c r="C1" s="241" t="s">
        <v>134</v>
      </c>
      <c r="D1" s="209"/>
      <c r="E1" s="209"/>
      <c r="I1" s="96" t="s">
        <v>135</v>
      </c>
      <c r="J1" s="96" t="s">
        <v>136</v>
      </c>
      <c r="K1" s="96" t="s">
        <v>137</v>
      </c>
      <c r="L1" s="96" t="s">
        <v>138</v>
      </c>
      <c r="U1" s="96" t="s">
        <v>135</v>
      </c>
      <c r="V1" s="96" t="s">
        <v>136</v>
      </c>
      <c r="W1" s="96" t="s">
        <v>137</v>
      </c>
      <c r="X1" s="96" t="s">
        <v>138</v>
      </c>
      <c r="AG1" s="96" t="s">
        <v>135</v>
      </c>
      <c r="AH1" s="96" t="s">
        <v>136</v>
      </c>
      <c r="AI1" s="96" t="s">
        <v>137</v>
      </c>
      <c r="AJ1" s="96" t="s">
        <v>138</v>
      </c>
      <c r="AS1" s="96" t="s">
        <v>135</v>
      </c>
      <c r="AT1" s="96" t="s">
        <v>136</v>
      </c>
      <c r="AU1" s="96" t="s">
        <v>137</v>
      </c>
      <c r="AV1" s="96" t="s">
        <v>138</v>
      </c>
    </row>
    <row r="2" spans="1:48" ht="17.25" thickBot="1">
      <c r="A2" s="41" t="s">
        <v>97</v>
      </c>
      <c r="B2" s="233" t="s">
        <v>204</v>
      </c>
      <c r="C2" s="234"/>
      <c r="D2" s="234"/>
      <c r="E2" s="234"/>
      <c r="F2" s="234"/>
      <c r="G2" s="235"/>
      <c r="I2" s="97">
        <v>44414</v>
      </c>
      <c r="J2" s="96">
        <v>107</v>
      </c>
      <c r="K2" s="96" t="s">
        <v>139</v>
      </c>
      <c r="L2" s="96" t="s">
        <v>202</v>
      </c>
      <c r="N2" s="236" t="s">
        <v>206</v>
      </c>
      <c r="O2" s="237"/>
      <c r="P2" s="237"/>
      <c r="Q2" s="237"/>
      <c r="R2" s="237"/>
      <c r="S2" s="238"/>
      <c r="U2" s="97">
        <v>44414</v>
      </c>
      <c r="V2" s="96">
        <v>136.34</v>
      </c>
      <c r="W2" s="96" t="s">
        <v>139</v>
      </c>
      <c r="X2" s="96">
        <v>84.68</v>
      </c>
      <c r="Z2" s="236" t="s">
        <v>208</v>
      </c>
      <c r="AA2" s="237"/>
      <c r="AB2" s="237"/>
      <c r="AC2" s="237"/>
      <c r="AD2" s="237"/>
      <c r="AE2" s="238"/>
      <c r="AG2" s="97">
        <v>44414</v>
      </c>
      <c r="AH2" s="96">
        <v>82.43</v>
      </c>
      <c r="AI2" s="96" t="s">
        <v>139</v>
      </c>
      <c r="AJ2" s="96">
        <v>37.130000000000003</v>
      </c>
      <c r="AL2" s="236" t="s">
        <v>142</v>
      </c>
      <c r="AM2" s="237"/>
      <c r="AN2" s="237"/>
      <c r="AO2" s="237"/>
      <c r="AP2" s="237"/>
      <c r="AQ2" s="238"/>
      <c r="AS2" s="97">
        <v>44414</v>
      </c>
      <c r="AT2" s="96">
        <v>8.39</v>
      </c>
      <c r="AU2" s="96" t="s">
        <v>139</v>
      </c>
      <c r="AV2" s="96">
        <v>0</v>
      </c>
    </row>
    <row r="3" spans="1:48" ht="16.5">
      <c r="B3" s="230" t="s">
        <v>145</v>
      </c>
      <c r="C3" s="239"/>
      <c r="D3" s="240"/>
      <c r="E3" s="230" t="s">
        <v>146</v>
      </c>
      <c r="F3" s="239"/>
      <c r="G3" s="240"/>
      <c r="I3" s="97"/>
      <c r="J3" s="96"/>
      <c r="K3" s="98"/>
      <c r="L3" s="96"/>
      <c r="N3" s="230" t="s">
        <v>145</v>
      </c>
      <c r="O3" s="231"/>
      <c r="P3" s="232"/>
      <c r="Q3" s="230" t="s">
        <v>146</v>
      </c>
      <c r="R3" s="231"/>
      <c r="S3" s="232"/>
      <c r="U3" s="97">
        <v>44377</v>
      </c>
      <c r="V3" s="96">
        <v>143.83000000000001</v>
      </c>
      <c r="W3" s="98">
        <v>1.61</v>
      </c>
      <c r="X3" s="96">
        <v>89.34</v>
      </c>
      <c r="Z3" s="230" t="s">
        <v>145</v>
      </c>
      <c r="AA3" s="231"/>
      <c r="AB3" s="232"/>
      <c r="AC3" s="230" t="s">
        <v>146</v>
      </c>
      <c r="AD3" s="231"/>
      <c r="AE3" s="232"/>
      <c r="AG3" s="97">
        <v>44377</v>
      </c>
      <c r="AH3" s="96">
        <v>95.44</v>
      </c>
      <c r="AI3" s="98">
        <v>2.2200000000000002</v>
      </c>
      <c r="AJ3" s="96">
        <v>42.99</v>
      </c>
      <c r="AL3" s="230" t="s">
        <v>145</v>
      </c>
      <c r="AM3" s="231"/>
      <c r="AN3" s="232"/>
      <c r="AO3" s="230" t="s">
        <v>146</v>
      </c>
      <c r="AP3" s="231"/>
      <c r="AQ3" s="232"/>
      <c r="AS3" s="97">
        <v>44286</v>
      </c>
      <c r="AT3" s="96">
        <v>8.27</v>
      </c>
      <c r="AU3" s="98">
        <v>-0.95</v>
      </c>
      <c r="AV3" s="96">
        <v>0</v>
      </c>
    </row>
    <row r="4" spans="1:48" ht="16.5">
      <c r="B4" s="51" t="s">
        <v>125</v>
      </c>
      <c r="C4" s="52" t="s">
        <v>126</v>
      </c>
      <c r="D4" s="53" t="s">
        <v>127</v>
      </c>
      <c r="E4" s="51" t="s">
        <v>128</v>
      </c>
      <c r="F4" s="52" t="s">
        <v>126</v>
      </c>
      <c r="G4" s="53" t="s">
        <v>129</v>
      </c>
      <c r="I4" s="97"/>
      <c r="J4" s="96"/>
      <c r="K4" s="98"/>
      <c r="L4" s="96"/>
      <c r="N4" s="51" t="s">
        <v>125</v>
      </c>
      <c r="O4" s="52" t="s">
        <v>126</v>
      </c>
      <c r="P4" s="53" t="s">
        <v>127</v>
      </c>
      <c r="Q4" s="51" t="s">
        <v>128</v>
      </c>
      <c r="R4" s="52" t="s">
        <v>126</v>
      </c>
      <c r="S4" s="53" t="s">
        <v>129</v>
      </c>
      <c r="U4" s="97">
        <v>44286</v>
      </c>
      <c r="V4" s="96">
        <v>135.21</v>
      </c>
      <c r="W4" s="98">
        <v>2.86</v>
      </c>
      <c r="X4" s="96">
        <v>47.28</v>
      </c>
      <c r="Z4" s="51" t="s">
        <v>125</v>
      </c>
      <c r="AA4" s="52" t="s">
        <v>126</v>
      </c>
      <c r="AB4" s="53" t="s">
        <v>127</v>
      </c>
      <c r="AC4" s="51" t="s">
        <v>128</v>
      </c>
      <c r="AD4" s="52" t="s">
        <v>126</v>
      </c>
      <c r="AE4" s="53" t="s">
        <v>129</v>
      </c>
      <c r="AG4" s="97">
        <v>44286</v>
      </c>
      <c r="AH4" s="96">
        <v>92.55</v>
      </c>
      <c r="AI4" s="98">
        <v>2.97</v>
      </c>
      <c r="AJ4" s="96">
        <v>31.16</v>
      </c>
      <c r="AL4" s="51" t="s">
        <v>125</v>
      </c>
      <c r="AM4" s="52" t="s">
        <v>126</v>
      </c>
      <c r="AN4" s="53" t="s">
        <v>127</v>
      </c>
      <c r="AO4" s="51" t="s">
        <v>128</v>
      </c>
      <c r="AP4" s="52" t="s">
        <v>126</v>
      </c>
      <c r="AQ4" s="53" t="s">
        <v>129</v>
      </c>
      <c r="AS4" s="97">
        <v>44196</v>
      </c>
      <c r="AT4" s="96">
        <v>6.83</v>
      </c>
      <c r="AU4" s="98">
        <v>-1.32</v>
      </c>
      <c r="AV4" s="96">
        <v>0</v>
      </c>
    </row>
    <row r="5" spans="1:48" ht="16.5">
      <c r="B5" s="106" t="s">
        <v>130</v>
      </c>
      <c r="C5" s="107" t="s">
        <v>131</v>
      </c>
      <c r="D5" s="108" t="s">
        <v>17</v>
      </c>
      <c r="E5" s="106" t="s">
        <v>132</v>
      </c>
      <c r="F5" s="107" t="s">
        <v>131</v>
      </c>
      <c r="G5" s="108" t="s">
        <v>17</v>
      </c>
      <c r="I5" s="97"/>
      <c r="J5" s="96"/>
      <c r="K5" s="98"/>
      <c r="L5" s="96"/>
      <c r="N5" s="106" t="s">
        <v>130</v>
      </c>
      <c r="O5" s="107" t="s">
        <v>131</v>
      </c>
      <c r="P5" s="108" t="s">
        <v>17</v>
      </c>
      <c r="Q5" s="106" t="s">
        <v>132</v>
      </c>
      <c r="R5" s="107" t="s">
        <v>131</v>
      </c>
      <c r="S5" s="108" t="s">
        <v>17</v>
      </c>
      <c r="U5" s="97">
        <v>44196</v>
      </c>
      <c r="V5" s="96">
        <v>143.25</v>
      </c>
      <c r="W5" s="98">
        <v>4.03</v>
      </c>
      <c r="X5" s="96">
        <v>35.549999999999997</v>
      </c>
      <c r="Z5" s="106" t="s">
        <v>130</v>
      </c>
      <c r="AA5" s="107" t="s">
        <v>131</v>
      </c>
      <c r="AB5" s="108" t="s">
        <v>17</v>
      </c>
      <c r="AC5" s="106" t="s">
        <v>132</v>
      </c>
      <c r="AD5" s="107" t="s">
        <v>131</v>
      </c>
      <c r="AE5" s="108" t="s">
        <v>17</v>
      </c>
      <c r="AG5" s="97">
        <v>44196</v>
      </c>
      <c r="AH5" s="96">
        <v>92.4</v>
      </c>
      <c r="AI5" s="98">
        <v>2.83</v>
      </c>
      <c r="AJ5" s="96">
        <v>32.65</v>
      </c>
      <c r="AL5" s="106" t="s">
        <v>130</v>
      </c>
      <c r="AM5" s="107" t="s">
        <v>131</v>
      </c>
      <c r="AN5" s="108" t="s">
        <v>17</v>
      </c>
      <c r="AO5" s="106" t="s">
        <v>132</v>
      </c>
      <c r="AP5" s="107" t="s">
        <v>131</v>
      </c>
      <c r="AQ5" s="108" t="s">
        <v>17</v>
      </c>
      <c r="AS5" s="97">
        <v>44104</v>
      </c>
      <c r="AT5" s="96">
        <v>11.15</v>
      </c>
      <c r="AU5" s="98">
        <v>-1.46</v>
      </c>
      <c r="AV5" s="96">
        <v>0</v>
      </c>
    </row>
    <row r="6" spans="1:48" ht="17.25" thickBot="1">
      <c r="B6" s="109" t="e">
        <f>AVERAGE(L:L)</f>
        <v>#DIV/0!</v>
      </c>
      <c r="C6" s="110" t="e">
        <f>AVERAGE(K:K)</f>
        <v>#DIV/0!</v>
      </c>
      <c r="D6" s="105">
        <f>AVERAGE(J:J)</f>
        <v>107</v>
      </c>
      <c r="E6" s="111" t="s">
        <v>209</v>
      </c>
      <c r="F6" s="112">
        <v>-1.7529999999999999</v>
      </c>
      <c r="G6" s="105" t="e">
        <f>E6*F6</f>
        <v>#VALUE!</v>
      </c>
      <c r="I6" s="97"/>
      <c r="J6" s="96"/>
      <c r="K6" s="98"/>
      <c r="L6" s="96"/>
      <c r="N6" s="113">
        <f>AVERAGE(X:X)</f>
        <v>40.341666666666669</v>
      </c>
      <c r="O6" s="114">
        <f>AVERAGE(W:W)</f>
        <v>1.4779661016949146</v>
      </c>
      <c r="P6" s="95">
        <f>AVERAGE(V:V)</f>
        <v>61.580000000000005</v>
      </c>
      <c r="Q6" s="115">
        <v>19.202815999999999</v>
      </c>
      <c r="R6" s="116">
        <v>2.3290000000000002</v>
      </c>
      <c r="S6" s="95">
        <f>Q6*R6</f>
        <v>44.723358464</v>
      </c>
      <c r="U6" s="97">
        <v>44104</v>
      </c>
      <c r="V6" s="96">
        <v>129.91999999999999</v>
      </c>
      <c r="W6" s="98">
        <v>4.49</v>
      </c>
      <c r="X6" s="96">
        <v>28.94</v>
      </c>
      <c r="Z6" s="113">
        <f>AVERAGE(AJ:AJ)</f>
        <v>43.933333333333344</v>
      </c>
      <c r="AA6" s="114">
        <f>AVERAGE(AI:AI)</f>
        <v>1.0267796610169491</v>
      </c>
      <c r="AB6" s="95">
        <f>AVERAGE(AH:AH)</f>
        <v>32.413666666666678</v>
      </c>
      <c r="AC6" s="115">
        <v>18.565314999999998</v>
      </c>
      <c r="AD6" s="116">
        <v>3.331</v>
      </c>
      <c r="AE6" s="95">
        <f>AC6*AD6</f>
        <v>61.841064264999993</v>
      </c>
      <c r="AG6" s="97">
        <v>44104</v>
      </c>
      <c r="AH6" s="96">
        <v>80.56</v>
      </c>
      <c r="AI6" s="98">
        <v>2.86</v>
      </c>
      <c r="AJ6" s="96">
        <v>28.17</v>
      </c>
      <c r="AL6" s="113">
        <f>AVERAGE(AV:AV)</f>
        <v>2.915090909090909</v>
      </c>
      <c r="AM6" s="114">
        <f>AVERAGE(AU:AU)</f>
        <v>-0.74962962962962976</v>
      </c>
      <c r="AN6" s="95">
        <f>AVERAGE(AT:AT)</f>
        <v>11.982727272727272</v>
      </c>
      <c r="AO6" s="115">
        <v>4.9064325999999996</v>
      </c>
      <c r="AP6" s="116">
        <v>-0.90700000000000003</v>
      </c>
      <c r="AQ6" s="95">
        <f>AO6*AP6</f>
        <v>-4.4501343681999996</v>
      </c>
      <c r="AS6" s="97">
        <v>44012</v>
      </c>
      <c r="AT6" s="96">
        <v>6.28</v>
      </c>
      <c r="AU6" s="98">
        <v>-1.63</v>
      </c>
      <c r="AV6" s="96">
        <v>0</v>
      </c>
    </row>
    <row r="7" spans="1:48" ht="12.75" customHeight="1">
      <c r="B7" s="222" t="s">
        <v>144</v>
      </c>
      <c r="C7" s="223"/>
      <c r="D7" s="228">
        <f>'1. Yahoo Finance瞭解財政狀況'!$F$3</f>
        <v>107</v>
      </c>
      <c r="E7" s="222" t="s">
        <v>143</v>
      </c>
      <c r="F7" s="223"/>
      <c r="G7" s="226" t="e">
        <f>(G6-D7)/G6</f>
        <v>#VALUE!</v>
      </c>
      <c r="I7" s="97"/>
      <c r="J7" s="96"/>
      <c r="K7" s="98"/>
      <c r="L7" s="96"/>
      <c r="N7" s="222" t="s">
        <v>144</v>
      </c>
      <c r="O7" s="223"/>
      <c r="P7" s="228">
        <f>'1. Yahoo Finance瞭解財政狀況'!$G$3</f>
        <v>136.34</v>
      </c>
      <c r="Q7" s="222" t="s">
        <v>143</v>
      </c>
      <c r="R7" s="223"/>
      <c r="S7" s="226">
        <f>(S6-P7)/S6</f>
        <v>-2.0485188206459646</v>
      </c>
      <c r="U7" s="97">
        <v>44012</v>
      </c>
      <c r="V7" s="96">
        <v>131.55000000000001</v>
      </c>
      <c r="W7" s="98">
        <v>6.75</v>
      </c>
      <c r="X7" s="96">
        <v>19.489999999999998</v>
      </c>
      <c r="Z7" s="222" t="s">
        <v>144</v>
      </c>
      <c r="AA7" s="223"/>
      <c r="AB7" s="228">
        <f>'1. Yahoo Finance瞭解財政狀況'!$H$3</f>
        <v>82.43</v>
      </c>
      <c r="AC7" s="222" t="s">
        <v>143</v>
      </c>
      <c r="AD7" s="223"/>
      <c r="AE7" s="226">
        <f>(AE6-AB7)/AE6</f>
        <v>-0.33293307577587528</v>
      </c>
      <c r="AG7" s="97">
        <v>44012</v>
      </c>
      <c r="AH7" s="96">
        <v>75.53</v>
      </c>
      <c r="AI7" s="98">
        <v>2.34</v>
      </c>
      <c r="AJ7" s="96">
        <v>32.28</v>
      </c>
      <c r="AL7" s="222" t="s">
        <v>144</v>
      </c>
      <c r="AM7" s="223"/>
      <c r="AN7" s="228">
        <f>'1. Yahoo Finance瞭解財政狀況'!$I$3</f>
        <v>8.39</v>
      </c>
      <c r="AO7" s="222" t="s">
        <v>143</v>
      </c>
      <c r="AP7" s="223"/>
      <c r="AQ7" s="226">
        <f>(AQ6-AN7)/AQ6</f>
        <v>2.8853363305058153</v>
      </c>
      <c r="AS7" s="97">
        <v>43921</v>
      </c>
      <c r="AT7" s="96">
        <v>1.84</v>
      </c>
      <c r="AU7" s="98">
        <v>-1.74</v>
      </c>
      <c r="AV7" s="96">
        <v>0</v>
      </c>
    </row>
    <row r="8" spans="1:48" ht="12.75" customHeight="1" thickBot="1">
      <c r="B8" s="224"/>
      <c r="C8" s="225"/>
      <c r="D8" s="229"/>
      <c r="E8" s="224"/>
      <c r="F8" s="225"/>
      <c r="G8" s="227"/>
      <c r="I8" s="97"/>
      <c r="J8" s="96"/>
      <c r="K8" s="98"/>
      <c r="L8" s="96"/>
      <c r="N8" s="224"/>
      <c r="O8" s="225"/>
      <c r="P8" s="229"/>
      <c r="Q8" s="224"/>
      <c r="R8" s="225"/>
      <c r="S8" s="227"/>
      <c r="U8" s="97">
        <v>43921</v>
      </c>
      <c r="V8" s="96">
        <v>99.79</v>
      </c>
      <c r="W8" s="98">
        <v>10.25</v>
      </c>
      <c r="X8" s="96">
        <v>9.74</v>
      </c>
      <c r="Z8" s="224"/>
      <c r="AA8" s="225"/>
      <c r="AB8" s="229"/>
      <c r="AC8" s="224"/>
      <c r="AD8" s="225"/>
      <c r="AE8" s="227"/>
      <c r="AG8" s="97">
        <v>43921</v>
      </c>
      <c r="AH8" s="96">
        <v>58.81</v>
      </c>
      <c r="AI8" s="98">
        <v>2.02</v>
      </c>
      <c r="AJ8" s="96">
        <v>29.11</v>
      </c>
      <c r="AL8" s="224"/>
      <c r="AM8" s="225"/>
      <c r="AN8" s="229"/>
      <c r="AO8" s="224"/>
      <c r="AP8" s="225"/>
      <c r="AQ8" s="227"/>
      <c r="AS8" s="97">
        <v>43830</v>
      </c>
      <c r="AT8" s="96">
        <v>3.38</v>
      </c>
      <c r="AU8" s="98">
        <v>-2.2599999999999998</v>
      </c>
      <c r="AV8" s="96">
        <v>0</v>
      </c>
    </row>
    <row r="9" spans="1:48" ht="12.75" customHeight="1">
      <c r="B9" s="9"/>
      <c r="I9" s="97"/>
      <c r="J9" s="96"/>
      <c r="K9" s="98"/>
      <c r="L9" s="96"/>
      <c r="U9" s="97">
        <v>43830</v>
      </c>
      <c r="V9" s="96">
        <v>107.11</v>
      </c>
      <c r="W9" s="98">
        <v>9.51</v>
      </c>
      <c r="X9" s="96">
        <v>11.26</v>
      </c>
      <c r="AG9" s="97">
        <v>43830</v>
      </c>
      <c r="AH9" s="96">
        <v>58.75</v>
      </c>
      <c r="AI9" s="98">
        <v>1.95</v>
      </c>
      <c r="AJ9" s="96">
        <v>30.13</v>
      </c>
      <c r="AS9" s="97">
        <v>43738</v>
      </c>
      <c r="AT9" s="96">
        <v>2.14</v>
      </c>
      <c r="AU9" s="98">
        <v>-2.25</v>
      </c>
      <c r="AV9" s="96">
        <v>0</v>
      </c>
    </row>
    <row r="10" spans="1:48" ht="12.75" customHeight="1">
      <c r="B10" s="9"/>
      <c r="I10" s="97"/>
      <c r="J10" s="96"/>
      <c r="K10" s="98"/>
      <c r="L10" s="96"/>
      <c r="U10" s="97">
        <v>43738</v>
      </c>
      <c r="V10" s="96">
        <v>97.45</v>
      </c>
      <c r="W10" s="98">
        <v>9.19</v>
      </c>
      <c r="X10" s="96">
        <v>10.6</v>
      </c>
      <c r="AG10" s="97">
        <v>43738</v>
      </c>
      <c r="AH10" s="96">
        <v>52.33</v>
      </c>
      <c r="AI10" s="98">
        <v>2.11</v>
      </c>
      <c r="AJ10" s="96">
        <v>24.8</v>
      </c>
      <c r="AS10" s="97">
        <v>43646</v>
      </c>
      <c r="AT10" s="96">
        <v>2.67</v>
      </c>
      <c r="AU10" s="98">
        <v>-2.15</v>
      </c>
      <c r="AV10" s="96">
        <v>0</v>
      </c>
    </row>
    <row r="11" spans="1:48" ht="12.75" customHeight="1">
      <c r="B11" s="9"/>
      <c r="I11" s="97"/>
      <c r="J11" s="96"/>
      <c r="K11" s="98"/>
      <c r="L11" s="96"/>
      <c r="U11" s="97">
        <v>43646</v>
      </c>
      <c r="V11" s="96">
        <v>100.88</v>
      </c>
      <c r="W11" s="98">
        <v>7.13</v>
      </c>
      <c r="X11" s="96">
        <v>14.15</v>
      </c>
      <c r="AG11" s="97">
        <v>43646</v>
      </c>
      <c r="AH11" s="96">
        <v>46.67</v>
      </c>
      <c r="AI11" s="98">
        <v>2.19</v>
      </c>
      <c r="AJ11" s="96">
        <v>21.31</v>
      </c>
      <c r="AS11" s="97">
        <v>43555</v>
      </c>
      <c r="AT11" s="96">
        <v>4.75</v>
      </c>
      <c r="AU11" s="98">
        <v>-2.41</v>
      </c>
      <c r="AV11" s="96">
        <v>0</v>
      </c>
    </row>
    <row r="12" spans="1:48" ht="12.75" customHeight="1">
      <c r="B12" s="9"/>
      <c r="I12" s="97"/>
      <c r="J12" s="96"/>
      <c r="K12" s="98"/>
      <c r="L12" s="96"/>
      <c r="U12" s="97">
        <v>43555</v>
      </c>
      <c r="V12" s="96">
        <v>101.25</v>
      </c>
      <c r="W12" s="98">
        <v>3.33</v>
      </c>
      <c r="X12" s="96">
        <v>30.4</v>
      </c>
      <c r="AG12" s="97">
        <v>43555</v>
      </c>
      <c r="AH12" s="96">
        <v>45.02</v>
      </c>
      <c r="AI12" s="98">
        <v>2.2799999999999998</v>
      </c>
      <c r="AJ12" s="96">
        <v>19.739999999999998</v>
      </c>
      <c r="AS12" s="97">
        <v>43465</v>
      </c>
      <c r="AT12" s="96">
        <v>2.4</v>
      </c>
      <c r="AU12" s="98">
        <v>-1.91</v>
      </c>
      <c r="AV12" s="96">
        <v>0</v>
      </c>
    </row>
    <row r="13" spans="1:48" ht="12.75" customHeight="1">
      <c r="B13" s="9"/>
      <c r="I13" s="97"/>
      <c r="J13" s="96"/>
      <c r="K13" s="98"/>
      <c r="L13" s="96"/>
      <c r="U13" s="97">
        <v>43465</v>
      </c>
      <c r="V13" s="96">
        <v>78.61</v>
      </c>
      <c r="W13" s="98">
        <v>4.59</v>
      </c>
      <c r="X13" s="96">
        <v>17.13</v>
      </c>
      <c r="AG13" s="97">
        <v>43465</v>
      </c>
      <c r="AH13" s="96">
        <v>45.68</v>
      </c>
      <c r="AI13" s="98">
        <v>2.35</v>
      </c>
      <c r="AJ13" s="96">
        <v>19.440000000000001</v>
      </c>
      <c r="AS13" s="97">
        <v>43373</v>
      </c>
      <c r="AT13" s="96">
        <v>4.4000000000000004</v>
      </c>
      <c r="AU13" s="98">
        <v>-0.79</v>
      </c>
      <c r="AV13" s="96">
        <v>0</v>
      </c>
    </row>
    <row r="14" spans="1:48" ht="12.75" customHeight="1">
      <c r="B14" s="9"/>
      <c r="I14" s="97"/>
      <c r="J14" s="96"/>
      <c r="K14" s="98"/>
      <c r="L14" s="96"/>
      <c r="U14" s="97">
        <v>43373</v>
      </c>
      <c r="V14" s="96">
        <v>120.04</v>
      </c>
      <c r="W14" s="98">
        <v>3.13</v>
      </c>
      <c r="X14" s="96">
        <v>38.35</v>
      </c>
      <c r="AG14" s="97">
        <v>43373</v>
      </c>
      <c r="AH14" s="96">
        <v>81.59</v>
      </c>
      <c r="AI14" s="98">
        <v>0.74</v>
      </c>
      <c r="AJ14" s="96">
        <v>110.26</v>
      </c>
      <c r="AS14" s="97">
        <v>43281</v>
      </c>
      <c r="AT14" s="96">
        <v>7.2</v>
      </c>
      <c r="AU14" s="98">
        <v>0.05</v>
      </c>
      <c r="AV14" s="96">
        <v>144</v>
      </c>
    </row>
    <row r="15" spans="1:48" ht="12.75" customHeight="1">
      <c r="B15" s="9"/>
      <c r="I15" s="97"/>
      <c r="J15" s="96"/>
      <c r="K15" s="98"/>
      <c r="L15" s="96"/>
      <c r="U15" s="97">
        <v>43281</v>
      </c>
      <c r="V15" s="96">
        <v>140.49</v>
      </c>
      <c r="W15" s="98">
        <v>2.23</v>
      </c>
      <c r="X15" s="96">
        <v>63</v>
      </c>
      <c r="AG15" s="97">
        <v>43281</v>
      </c>
      <c r="AH15" s="96">
        <v>74.849999999999994</v>
      </c>
      <c r="AI15" s="98">
        <v>0.65</v>
      </c>
      <c r="AJ15" s="96">
        <v>115.16</v>
      </c>
      <c r="AS15" s="97">
        <v>43190</v>
      </c>
      <c r="AT15" s="96">
        <v>5.15</v>
      </c>
      <c r="AU15" s="98">
        <v>0.57999999999999996</v>
      </c>
      <c r="AV15" s="96">
        <v>8.8800000000000008</v>
      </c>
    </row>
    <row r="16" spans="1:48" ht="12.75" customHeight="1">
      <c r="B16" s="9"/>
      <c r="I16" s="97"/>
      <c r="J16" s="96"/>
      <c r="K16" s="98"/>
      <c r="L16" s="96"/>
      <c r="U16" s="97">
        <v>43190</v>
      </c>
      <c r="V16" s="96">
        <v>120.79</v>
      </c>
      <c r="W16" s="98">
        <v>3.34</v>
      </c>
      <c r="X16" s="96">
        <v>36.159999999999997</v>
      </c>
      <c r="AG16" s="97">
        <v>43190</v>
      </c>
      <c r="AH16" s="96">
        <v>66.16</v>
      </c>
      <c r="AI16" s="98">
        <v>0.45</v>
      </c>
      <c r="AJ16" s="96">
        <v>147.03</v>
      </c>
      <c r="AS16" s="97">
        <v>43100</v>
      </c>
      <c r="AT16" s="96">
        <v>3.8</v>
      </c>
      <c r="AU16" s="98">
        <v>0.51</v>
      </c>
      <c r="AV16" s="96">
        <v>7.45</v>
      </c>
    </row>
    <row r="17" spans="2:48" ht="12.75" customHeight="1">
      <c r="B17" s="9"/>
      <c r="I17" s="97"/>
      <c r="J17" s="96"/>
      <c r="K17" s="98"/>
      <c r="L17" s="96"/>
      <c r="U17" s="97">
        <v>43100</v>
      </c>
      <c r="V17" s="96">
        <v>104.67</v>
      </c>
      <c r="W17" s="98">
        <v>3.2</v>
      </c>
      <c r="X17" s="96">
        <v>32.71</v>
      </c>
      <c r="AG17" s="97">
        <v>43100</v>
      </c>
      <c r="AH17" s="96">
        <v>61.78</v>
      </c>
      <c r="AI17" s="98">
        <v>0.36</v>
      </c>
      <c r="AJ17" s="96">
        <v>171.62</v>
      </c>
      <c r="AS17" s="97">
        <v>43008</v>
      </c>
      <c r="AT17" s="96">
        <v>1.7</v>
      </c>
      <c r="AU17" s="98">
        <v>-0.51</v>
      </c>
      <c r="AV17" s="96">
        <v>0</v>
      </c>
    </row>
    <row r="18" spans="2:48" ht="12.75" customHeight="1">
      <c r="B18" s="9"/>
      <c r="I18" s="97"/>
      <c r="J18" s="96"/>
      <c r="K18" s="98"/>
      <c r="L18" s="96"/>
      <c r="U18" s="97">
        <v>43008</v>
      </c>
      <c r="V18" s="96">
        <v>117.62</v>
      </c>
      <c r="W18" s="98">
        <v>3.8</v>
      </c>
      <c r="X18" s="96">
        <v>30.95</v>
      </c>
      <c r="AG18" s="97">
        <v>43008</v>
      </c>
      <c r="AH18" s="96">
        <v>62.95</v>
      </c>
      <c r="AI18" s="98">
        <v>1.46</v>
      </c>
      <c r="AJ18" s="96">
        <v>43.11</v>
      </c>
      <c r="AS18" s="97">
        <v>42916</v>
      </c>
      <c r="AT18" s="96">
        <v>2</v>
      </c>
      <c r="AU18" s="98">
        <v>-0.73</v>
      </c>
      <c r="AV18" s="96">
        <v>0</v>
      </c>
    </row>
    <row r="19" spans="2:48" ht="12.75" customHeight="1">
      <c r="B19" s="9"/>
      <c r="I19" s="97"/>
      <c r="J19" s="96"/>
      <c r="K19" s="98"/>
      <c r="L19" s="96"/>
      <c r="U19" s="97">
        <v>42916</v>
      </c>
      <c r="V19" s="96">
        <v>105.32</v>
      </c>
      <c r="W19" s="98">
        <v>3.74</v>
      </c>
      <c r="X19" s="96">
        <v>28.16</v>
      </c>
      <c r="AG19" s="97">
        <v>42916</v>
      </c>
      <c r="AH19" s="96">
        <v>56.17</v>
      </c>
      <c r="AI19" s="98">
        <v>1.47</v>
      </c>
      <c r="AJ19" s="96">
        <v>38.21</v>
      </c>
      <c r="AS19" s="97">
        <v>42825</v>
      </c>
      <c r="AT19" s="96">
        <v>3.95</v>
      </c>
      <c r="AU19" s="98">
        <v>-1.5</v>
      </c>
      <c r="AV19" s="96">
        <v>0</v>
      </c>
    </row>
    <row r="20" spans="2:48" ht="12.75" customHeight="1">
      <c r="B20" s="9"/>
      <c r="I20" s="97"/>
      <c r="J20" s="96"/>
      <c r="K20" s="98"/>
      <c r="L20" s="96"/>
      <c r="U20" s="97">
        <v>42825</v>
      </c>
      <c r="V20" s="96">
        <v>89.18</v>
      </c>
      <c r="W20" s="98">
        <v>3.08</v>
      </c>
      <c r="X20" s="96">
        <v>28.96</v>
      </c>
      <c r="AG20" s="97">
        <v>42825</v>
      </c>
      <c r="AH20" s="96">
        <v>48.65</v>
      </c>
      <c r="AI20" s="98">
        <v>1.32</v>
      </c>
      <c r="AJ20" s="96">
        <v>36.86</v>
      </c>
      <c r="AS20" s="97">
        <v>42735</v>
      </c>
      <c r="AT20" s="96">
        <v>4.9000000000000004</v>
      </c>
      <c r="AU20" s="98">
        <v>-1.53</v>
      </c>
      <c r="AV20" s="96">
        <v>0</v>
      </c>
    </row>
    <row r="21" spans="2:48" ht="12.75" customHeight="1">
      <c r="B21" s="9"/>
      <c r="I21" s="97"/>
      <c r="J21" s="96"/>
      <c r="K21" s="98"/>
      <c r="L21" s="96"/>
      <c r="U21" s="97">
        <v>42735</v>
      </c>
      <c r="V21" s="96">
        <v>78.459999999999994</v>
      </c>
      <c r="W21" s="98">
        <v>4.0599999999999996</v>
      </c>
      <c r="X21" s="96">
        <v>19.329999999999998</v>
      </c>
      <c r="AG21" s="97">
        <v>42735</v>
      </c>
      <c r="AH21" s="96">
        <v>35.020000000000003</v>
      </c>
      <c r="AI21" s="98">
        <v>1.21</v>
      </c>
      <c r="AJ21" s="96">
        <v>28.94</v>
      </c>
      <c r="AS21" s="97">
        <v>42643</v>
      </c>
      <c r="AT21" s="96">
        <v>7.74</v>
      </c>
      <c r="AU21" s="98">
        <v>-1.86</v>
      </c>
      <c r="AV21" s="96">
        <v>0</v>
      </c>
    </row>
    <row r="22" spans="2:48" ht="12.75" customHeight="1">
      <c r="B22" s="9"/>
      <c r="I22" s="97"/>
      <c r="J22" s="96"/>
      <c r="K22" s="98"/>
      <c r="L22" s="96"/>
      <c r="U22" s="97">
        <v>42643</v>
      </c>
      <c r="V22" s="96">
        <v>85.08</v>
      </c>
      <c r="W22" s="98">
        <v>3.92</v>
      </c>
      <c r="X22" s="96">
        <v>21.7</v>
      </c>
      <c r="AG22" s="97">
        <v>42643</v>
      </c>
      <c r="AH22" s="96">
        <v>42.97</v>
      </c>
      <c r="AI22" s="98">
        <v>1.0900000000000001</v>
      </c>
      <c r="AJ22" s="96">
        <v>39.42</v>
      </c>
      <c r="AS22" s="97">
        <v>42551</v>
      </c>
      <c r="AT22" s="96">
        <v>5.6</v>
      </c>
      <c r="AU22" s="98">
        <v>-2.11</v>
      </c>
      <c r="AV22" s="96">
        <v>0</v>
      </c>
    </row>
    <row r="23" spans="2:48" ht="12.75" customHeight="1">
      <c r="B23" s="9"/>
      <c r="I23" s="97"/>
      <c r="J23" s="96"/>
      <c r="K23" s="98"/>
      <c r="L23" s="96"/>
      <c r="U23" s="97">
        <v>42551</v>
      </c>
      <c r="V23" s="96">
        <v>75.48</v>
      </c>
      <c r="W23" s="98">
        <v>3.6</v>
      </c>
      <c r="X23" s="96">
        <v>20.97</v>
      </c>
      <c r="AG23" s="97">
        <v>42551</v>
      </c>
      <c r="AH23" s="96">
        <v>38.44</v>
      </c>
      <c r="AI23" s="98">
        <v>1</v>
      </c>
      <c r="AJ23" s="96">
        <v>38.44</v>
      </c>
      <c r="AS23" s="97">
        <v>42460</v>
      </c>
      <c r="AT23" s="96">
        <v>5.38</v>
      </c>
      <c r="AU23" s="98">
        <v>-1.44</v>
      </c>
      <c r="AV23" s="96">
        <v>0</v>
      </c>
    </row>
    <row r="24" spans="2:48" ht="12.75" customHeight="1">
      <c r="B24" s="9"/>
      <c r="I24" s="97"/>
      <c r="J24" s="96"/>
      <c r="K24" s="98"/>
      <c r="L24" s="96"/>
      <c r="U24" s="97">
        <v>42460</v>
      </c>
      <c r="V24" s="96">
        <v>65.86</v>
      </c>
      <c r="W24" s="98">
        <v>3.52</v>
      </c>
      <c r="X24" s="96">
        <v>18.71</v>
      </c>
      <c r="AG24" s="97">
        <v>42460</v>
      </c>
      <c r="AH24" s="96">
        <v>32.82</v>
      </c>
      <c r="AI24" s="98">
        <v>1.1200000000000001</v>
      </c>
      <c r="AJ24" s="96">
        <v>29.31</v>
      </c>
      <c r="AS24" s="97">
        <v>42369</v>
      </c>
      <c r="AT24" s="96">
        <v>8.7100000000000009</v>
      </c>
      <c r="AU24" s="98">
        <v>-1.25</v>
      </c>
      <c r="AV24" s="96">
        <v>0</v>
      </c>
    </row>
    <row r="25" spans="2:48" ht="12.75" customHeight="1">
      <c r="I25" s="97"/>
      <c r="J25" s="96"/>
      <c r="K25" s="98"/>
      <c r="L25" s="96"/>
      <c r="U25" s="97">
        <v>42369</v>
      </c>
      <c r="V25" s="96">
        <v>68.459999999999994</v>
      </c>
      <c r="W25" s="98">
        <v>1.92</v>
      </c>
      <c r="X25" s="96">
        <v>35.659999999999997</v>
      </c>
      <c r="AG25" s="97">
        <v>42369</v>
      </c>
      <c r="AH25" s="96">
        <v>37.24</v>
      </c>
      <c r="AI25" s="98">
        <v>1.2</v>
      </c>
      <c r="AJ25" s="96">
        <v>31.04</v>
      </c>
      <c r="AS25" s="97">
        <v>42277</v>
      </c>
      <c r="AT25" s="96">
        <v>8.39</v>
      </c>
      <c r="AU25" s="98">
        <v>-0.9</v>
      </c>
      <c r="AV25" s="96">
        <v>0</v>
      </c>
    </row>
    <row r="26" spans="2:48" ht="12.75" customHeight="1">
      <c r="B26" s="9"/>
      <c r="I26" s="97"/>
      <c r="J26" s="96"/>
      <c r="K26" s="98"/>
      <c r="L26" s="96"/>
      <c r="U26" s="97">
        <v>42277</v>
      </c>
      <c r="V26" s="96">
        <v>67.5</v>
      </c>
      <c r="W26" s="98">
        <v>2.5</v>
      </c>
      <c r="X26" s="96">
        <v>27</v>
      </c>
      <c r="AG26" s="97">
        <v>42277</v>
      </c>
      <c r="AH26" s="96">
        <v>29.72</v>
      </c>
      <c r="AI26" s="98">
        <v>1.48</v>
      </c>
      <c r="AJ26" s="96">
        <v>20.079999999999998</v>
      </c>
      <c r="AS26" s="97">
        <v>42185</v>
      </c>
      <c r="AT26" s="96">
        <v>17.62</v>
      </c>
      <c r="AU26" s="98">
        <v>-1.1399999999999999</v>
      </c>
      <c r="AV26" s="96">
        <v>0</v>
      </c>
    </row>
    <row r="27" spans="2:48" ht="12.75" customHeight="1">
      <c r="B27" s="9"/>
      <c r="I27" s="97"/>
      <c r="J27" s="96"/>
      <c r="K27" s="98"/>
      <c r="L27" s="96"/>
      <c r="U27" s="97">
        <v>42185</v>
      </c>
      <c r="V27" s="96">
        <v>66.25</v>
      </c>
      <c r="W27" s="98">
        <v>2.96</v>
      </c>
      <c r="X27" s="96">
        <v>22.38</v>
      </c>
      <c r="AG27" s="97">
        <v>42185</v>
      </c>
      <c r="AH27" s="96">
        <v>23.29</v>
      </c>
      <c r="AI27" s="98">
        <v>1.28</v>
      </c>
      <c r="AJ27" s="96">
        <v>18.2</v>
      </c>
      <c r="AS27" s="97">
        <v>42094</v>
      </c>
      <c r="AT27" s="96">
        <v>11.56</v>
      </c>
      <c r="AU27" s="98">
        <v>-1.17</v>
      </c>
      <c r="AV27" s="96">
        <v>0</v>
      </c>
    </row>
    <row r="28" spans="2:48" ht="12.75" customHeight="1">
      <c r="B28" s="9"/>
      <c r="I28" s="97"/>
      <c r="J28" s="96"/>
      <c r="K28" s="98"/>
      <c r="L28" s="96"/>
      <c r="U28" s="97">
        <v>42094</v>
      </c>
      <c r="V28" s="96">
        <v>58.59</v>
      </c>
      <c r="W28" s="98">
        <v>2.68</v>
      </c>
      <c r="X28" s="96">
        <v>21.86</v>
      </c>
      <c r="AG28" s="97">
        <v>42094</v>
      </c>
      <c r="AH28" s="96">
        <v>21.86</v>
      </c>
      <c r="AI28" s="98">
        <v>1.27</v>
      </c>
      <c r="AJ28" s="96">
        <v>17.22</v>
      </c>
      <c r="AS28" s="97">
        <v>42004</v>
      </c>
      <c r="AT28" s="96">
        <v>10.07</v>
      </c>
      <c r="AU28" s="98">
        <v>-1.32</v>
      </c>
      <c r="AV28" s="96">
        <v>0</v>
      </c>
    </row>
    <row r="29" spans="2:48" ht="12.75" customHeight="1">
      <c r="B29" s="9"/>
      <c r="I29" s="97"/>
      <c r="J29" s="96"/>
      <c r="K29" s="98"/>
      <c r="L29" s="96"/>
      <c r="U29" s="97">
        <v>42004</v>
      </c>
      <c r="V29" s="96">
        <v>46.84</v>
      </c>
      <c r="W29" s="98">
        <v>2.64</v>
      </c>
      <c r="X29" s="96">
        <v>17.739999999999998</v>
      </c>
      <c r="AG29" s="97">
        <v>42004</v>
      </c>
      <c r="AH29" s="96">
        <v>19.190000000000001</v>
      </c>
      <c r="AI29" s="98">
        <v>1.1399999999999999</v>
      </c>
      <c r="AJ29" s="96">
        <v>16.829999999999998</v>
      </c>
      <c r="AS29" s="97">
        <v>41912</v>
      </c>
      <c r="AT29" s="96">
        <v>4.5199999999999996</v>
      </c>
      <c r="AU29" s="98">
        <v>-1.7</v>
      </c>
      <c r="AV29" s="96">
        <v>0</v>
      </c>
    </row>
    <row r="30" spans="2:48" ht="12.75" customHeight="1">
      <c r="B30" s="9"/>
      <c r="I30" s="97"/>
      <c r="J30" s="96"/>
      <c r="K30" s="98"/>
      <c r="L30" s="96"/>
      <c r="U30" s="97">
        <v>41912</v>
      </c>
      <c r="V30" s="96">
        <v>35.479999999999997</v>
      </c>
      <c r="W30" s="98">
        <v>1.2</v>
      </c>
      <c r="X30" s="96">
        <v>29.56</v>
      </c>
      <c r="AG30" s="97">
        <v>41912</v>
      </c>
      <c r="AH30" s="96">
        <v>19.8</v>
      </c>
      <c r="AI30" s="98">
        <v>0.87</v>
      </c>
      <c r="AJ30" s="96">
        <v>22.76</v>
      </c>
      <c r="AS30" s="97">
        <v>41820</v>
      </c>
      <c r="AT30" s="96">
        <v>6.75</v>
      </c>
      <c r="AU30" s="98">
        <v>-1.67</v>
      </c>
      <c r="AV30" s="96">
        <v>0</v>
      </c>
    </row>
    <row r="31" spans="2:48" ht="12.75" customHeight="1">
      <c r="B31" s="9"/>
      <c r="I31" s="97"/>
      <c r="J31" s="96"/>
      <c r="K31" s="98"/>
      <c r="L31" s="96"/>
      <c r="U31" s="97">
        <v>41820</v>
      </c>
      <c r="V31" s="96">
        <v>35.74</v>
      </c>
      <c r="W31" s="98">
        <v>0.3</v>
      </c>
      <c r="X31" s="96">
        <v>119.12</v>
      </c>
      <c r="AG31" s="97">
        <v>41820</v>
      </c>
      <c r="AH31" s="96">
        <v>21.24</v>
      </c>
      <c r="AI31" s="98">
        <v>0.95</v>
      </c>
      <c r="AJ31" s="96">
        <v>22.36</v>
      </c>
      <c r="AS31" s="97">
        <v>41729</v>
      </c>
      <c r="AT31" s="96">
        <v>12.82</v>
      </c>
      <c r="AU31" s="98">
        <v>-1.69</v>
      </c>
      <c r="AV31" s="96">
        <v>0</v>
      </c>
    </row>
    <row r="32" spans="2:48" ht="12.75" customHeight="1">
      <c r="B32" s="9"/>
      <c r="I32" s="97"/>
      <c r="J32" s="96"/>
      <c r="K32" s="98"/>
      <c r="L32" s="96"/>
      <c r="U32" s="97">
        <v>41729</v>
      </c>
      <c r="V32" s="96">
        <v>28.9</v>
      </c>
      <c r="W32" s="98">
        <v>-0.03</v>
      </c>
      <c r="X32" s="96">
        <v>0</v>
      </c>
      <c r="AG32" s="97">
        <v>41729</v>
      </c>
      <c r="AH32" s="96">
        <v>19.47</v>
      </c>
      <c r="AI32" s="98">
        <v>0.95</v>
      </c>
      <c r="AJ32" s="96">
        <v>20.49</v>
      </c>
      <c r="AS32" s="97">
        <v>41639</v>
      </c>
      <c r="AT32" s="96">
        <v>8.1</v>
      </c>
      <c r="AU32" s="98">
        <v>-1.26</v>
      </c>
      <c r="AV32" s="96">
        <v>0</v>
      </c>
    </row>
    <row r="33" spans="2:48" ht="12.75" customHeight="1">
      <c r="B33" s="9"/>
      <c r="I33" s="97"/>
      <c r="J33" s="96"/>
      <c r="K33" s="98"/>
      <c r="L33" s="96"/>
      <c r="U33" s="97">
        <v>41639</v>
      </c>
      <c r="V33" s="96">
        <v>22.85</v>
      </c>
      <c r="W33" s="98">
        <v>-0.13</v>
      </c>
      <c r="X33" s="96">
        <v>0</v>
      </c>
      <c r="AG33" s="97">
        <v>41639</v>
      </c>
      <c r="AH33" s="96">
        <v>16.82</v>
      </c>
      <c r="AI33" s="98">
        <v>0.95</v>
      </c>
      <c r="AJ33" s="96">
        <v>17.71</v>
      </c>
      <c r="AS33" s="97">
        <v>41547</v>
      </c>
      <c r="AT33" s="96">
        <v>9.59</v>
      </c>
      <c r="AU33" s="98">
        <v>-0.6</v>
      </c>
      <c r="AV33" s="96">
        <v>0</v>
      </c>
    </row>
    <row r="34" spans="2:48" ht="12.75" customHeight="1">
      <c r="B34" s="9"/>
      <c r="I34" s="97"/>
      <c r="J34" s="96"/>
      <c r="K34" s="98"/>
      <c r="L34" s="96"/>
      <c r="U34" s="97">
        <v>41547</v>
      </c>
      <c r="V34" s="96">
        <v>25.45</v>
      </c>
      <c r="W34" s="98">
        <v>0.72</v>
      </c>
      <c r="X34" s="96">
        <v>35.35</v>
      </c>
      <c r="AG34" s="97">
        <v>41547</v>
      </c>
      <c r="AH34" s="96">
        <v>15.74</v>
      </c>
      <c r="AI34" s="98">
        <v>1.04</v>
      </c>
      <c r="AJ34" s="96">
        <v>15.13</v>
      </c>
      <c r="AS34" s="97">
        <v>41455</v>
      </c>
      <c r="AT34" s="96">
        <v>7.25</v>
      </c>
      <c r="AU34" s="98">
        <v>-0.36</v>
      </c>
      <c r="AV34" s="96">
        <v>0</v>
      </c>
    </row>
    <row r="35" spans="2:48" ht="12.75" customHeight="1">
      <c r="B35" s="9"/>
      <c r="I35" s="97"/>
      <c r="J35" s="96"/>
      <c r="K35" s="98"/>
      <c r="L35" s="96"/>
      <c r="U35" s="97">
        <v>41455</v>
      </c>
      <c r="V35" s="96">
        <v>22.9</v>
      </c>
      <c r="W35" s="98">
        <v>0.4</v>
      </c>
      <c r="X35" s="96">
        <v>57.26</v>
      </c>
      <c r="AG35" s="97">
        <v>41455</v>
      </c>
      <c r="AH35" s="96">
        <v>13.45</v>
      </c>
      <c r="AI35" s="98">
        <v>1.19</v>
      </c>
      <c r="AJ35" s="96">
        <v>11.31</v>
      </c>
      <c r="AS35" s="97">
        <v>41364</v>
      </c>
      <c r="AT35" s="96">
        <v>5</v>
      </c>
      <c r="AU35" s="98">
        <v>-0.01</v>
      </c>
      <c r="AV35" s="96">
        <v>0</v>
      </c>
    </row>
    <row r="36" spans="2:48" ht="12.75" customHeight="1">
      <c r="B36" s="9"/>
      <c r="I36" s="97"/>
      <c r="J36" s="96"/>
      <c r="K36" s="98"/>
      <c r="L36" s="96"/>
      <c r="U36" s="97">
        <v>41364</v>
      </c>
      <c r="V36" s="96">
        <v>17.63</v>
      </c>
      <c r="W36" s="98">
        <v>0.32</v>
      </c>
      <c r="X36" s="96">
        <v>55.11</v>
      </c>
      <c r="AG36" s="97">
        <v>41364</v>
      </c>
      <c r="AH36" s="96">
        <v>13.75</v>
      </c>
      <c r="AI36" s="98">
        <v>1.07</v>
      </c>
      <c r="AJ36" s="96">
        <v>12.85</v>
      </c>
      <c r="AS36" s="97">
        <v>41274</v>
      </c>
      <c r="AT36" s="96">
        <v>3.75</v>
      </c>
      <c r="AU36" s="98">
        <v>0</v>
      </c>
      <c r="AV36" s="96">
        <v>0</v>
      </c>
    </row>
    <row r="37" spans="2:48" ht="12.75" customHeight="1">
      <c r="B37" s="9"/>
      <c r="I37" s="97"/>
      <c r="J37" s="96"/>
      <c r="K37" s="98"/>
      <c r="L37" s="96"/>
      <c r="U37" s="97">
        <v>41274</v>
      </c>
      <c r="V37" s="96">
        <v>14.47</v>
      </c>
      <c r="W37" s="98">
        <v>0.47</v>
      </c>
      <c r="X37" s="96">
        <v>30.78</v>
      </c>
      <c r="AG37" s="97">
        <v>41274</v>
      </c>
      <c r="AH37" s="96">
        <v>9.89</v>
      </c>
      <c r="AI37" s="98">
        <v>1</v>
      </c>
      <c r="AJ37" s="96">
        <v>9.89</v>
      </c>
      <c r="AS37" s="97">
        <v>41182</v>
      </c>
      <c r="AT37" s="96">
        <v>6.25</v>
      </c>
      <c r="AU37" s="98">
        <v>0</v>
      </c>
      <c r="AV37" s="96">
        <v>0</v>
      </c>
    </row>
    <row r="38" spans="2:48" ht="12.75" customHeight="1">
      <c r="B38" s="9"/>
      <c r="I38" s="97"/>
      <c r="J38" s="96"/>
      <c r="K38" s="98"/>
      <c r="L38" s="96"/>
      <c r="U38" s="97">
        <v>41182</v>
      </c>
      <c r="V38" s="96">
        <v>12.64</v>
      </c>
      <c r="W38" s="98">
        <v>0</v>
      </c>
      <c r="X38" s="96">
        <v>0</v>
      </c>
      <c r="AG38" s="97">
        <v>41182</v>
      </c>
      <c r="AH38" s="96">
        <v>10.5</v>
      </c>
      <c r="AI38" s="98">
        <v>0.77</v>
      </c>
      <c r="AJ38" s="96">
        <v>13.64</v>
      </c>
      <c r="AS38" s="97">
        <v>41090</v>
      </c>
      <c r="AT38" s="96">
        <v>6.75</v>
      </c>
      <c r="AU38" s="98">
        <v>0</v>
      </c>
      <c r="AV38" s="96">
        <v>0</v>
      </c>
    </row>
    <row r="39" spans="2:48" ht="12.75" customHeight="1">
      <c r="B39" s="9"/>
      <c r="I39" s="97"/>
      <c r="J39" s="96"/>
      <c r="K39" s="98"/>
      <c r="L39" s="96"/>
      <c r="U39" s="97">
        <v>41090</v>
      </c>
      <c r="V39" s="96">
        <v>12.3</v>
      </c>
      <c r="W39" s="98">
        <v>0.18</v>
      </c>
      <c r="X39" s="96">
        <v>68.349999999999994</v>
      </c>
      <c r="AG39" s="97">
        <v>41090</v>
      </c>
      <c r="AH39" s="96">
        <v>11.16</v>
      </c>
      <c r="AI39" s="98">
        <v>0.7</v>
      </c>
      <c r="AJ39" s="96">
        <v>15.95</v>
      </c>
      <c r="AS39" s="97">
        <v>40999</v>
      </c>
      <c r="AT39" s="96">
        <v>14.75</v>
      </c>
      <c r="AU39" s="98">
        <v>0</v>
      </c>
      <c r="AV39" s="96">
        <v>0</v>
      </c>
    </row>
    <row r="40" spans="2:48" ht="12.75" customHeight="1">
      <c r="B40" s="9"/>
      <c r="I40" s="97"/>
      <c r="J40" s="96"/>
      <c r="K40" s="98"/>
      <c r="L40" s="96"/>
      <c r="U40" s="97">
        <v>40999</v>
      </c>
      <c r="V40" s="96">
        <v>16.420000000000002</v>
      </c>
      <c r="W40" s="98">
        <v>0.21</v>
      </c>
      <c r="X40" s="96">
        <v>78.209999999999994</v>
      </c>
      <c r="AG40" s="97">
        <v>40999</v>
      </c>
      <c r="AH40" s="96">
        <v>11.94</v>
      </c>
      <c r="AI40" s="98">
        <v>0.83</v>
      </c>
      <c r="AJ40" s="96">
        <v>14.38</v>
      </c>
      <c r="AS40" s="97">
        <v>40908</v>
      </c>
      <c r="AT40" s="96">
        <v>5</v>
      </c>
      <c r="AU40" s="98">
        <v>0</v>
      </c>
      <c r="AV40" s="96">
        <v>0</v>
      </c>
    </row>
    <row r="41" spans="2:48" ht="12.75" customHeight="1">
      <c r="B41" s="9"/>
      <c r="I41" s="97"/>
      <c r="J41" s="96"/>
      <c r="K41" s="98"/>
      <c r="L41" s="96"/>
      <c r="U41" s="97">
        <v>40908</v>
      </c>
      <c r="V41" s="96">
        <v>20.52</v>
      </c>
      <c r="W41" s="98">
        <v>-0.54</v>
      </c>
      <c r="X41" s="96">
        <v>0</v>
      </c>
      <c r="AG41" s="97">
        <v>40908</v>
      </c>
      <c r="AH41" s="96">
        <v>11.31</v>
      </c>
      <c r="AI41" s="98">
        <v>0.92</v>
      </c>
      <c r="AJ41" s="96">
        <v>12.29</v>
      </c>
      <c r="AS41" s="97">
        <v>40816</v>
      </c>
      <c r="AT41" s="96">
        <v>5.75</v>
      </c>
      <c r="AU41" s="98">
        <v>0</v>
      </c>
      <c r="AV41" s="96">
        <v>0</v>
      </c>
    </row>
    <row r="42" spans="2:48" ht="12.75" customHeight="1">
      <c r="B42" s="9"/>
      <c r="I42" s="97"/>
      <c r="J42" s="96"/>
      <c r="K42" s="98"/>
      <c r="L42" s="96"/>
      <c r="U42" s="97">
        <v>40816</v>
      </c>
      <c r="V42" s="96">
        <v>20.37</v>
      </c>
      <c r="W42" s="98">
        <v>-0.89</v>
      </c>
      <c r="X42" s="96">
        <v>0</v>
      </c>
      <c r="AG42" s="97">
        <v>40816</v>
      </c>
      <c r="AH42" s="96">
        <v>10.92</v>
      </c>
      <c r="AI42" s="98">
        <v>0.64</v>
      </c>
      <c r="AJ42" s="96">
        <v>17.07</v>
      </c>
      <c r="AS42" s="97">
        <v>40724</v>
      </c>
      <c r="AT42" s="96">
        <v>7.5</v>
      </c>
      <c r="AU42" s="98">
        <v>0</v>
      </c>
      <c r="AV42" s="96">
        <v>0</v>
      </c>
    </row>
    <row r="43" spans="2:48" ht="12.75" customHeight="1">
      <c r="B43" s="9"/>
      <c r="I43" s="97"/>
      <c r="J43" s="96"/>
      <c r="K43" s="98"/>
      <c r="L43" s="96"/>
      <c r="U43" s="97">
        <v>40724</v>
      </c>
      <c r="V43" s="96">
        <v>23.51</v>
      </c>
      <c r="W43" s="98">
        <v>-0.47</v>
      </c>
      <c r="X43" s="96">
        <v>0</v>
      </c>
      <c r="AG43" s="97">
        <v>40724</v>
      </c>
      <c r="AH43" s="96">
        <v>10.72</v>
      </c>
      <c r="AI43" s="98">
        <v>0.55000000000000004</v>
      </c>
      <c r="AJ43" s="96">
        <v>19.489999999999998</v>
      </c>
      <c r="AS43" s="97">
        <v>40633</v>
      </c>
      <c r="AT43" s="96">
        <v>7.5</v>
      </c>
      <c r="AU43" s="98">
        <v>0</v>
      </c>
      <c r="AV43" s="96">
        <v>0</v>
      </c>
    </row>
    <row r="44" spans="2:48" ht="12.75" customHeight="1">
      <c r="B44" s="9"/>
      <c r="I44" s="97"/>
      <c r="J44" s="96"/>
      <c r="K44" s="98"/>
      <c r="L44" s="96"/>
      <c r="U44" s="97">
        <v>40633</v>
      </c>
      <c r="V44" s="96">
        <v>19.46</v>
      </c>
      <c r="W44" s="98">
        <v>-0.84</v>
      </c>
      <c r="X44" s="96">
        <v>0</v>
      </c>
      <c r="AG44" s="97">
        <v>40633</v>
      </c>
      <c r="AH44" s="96">
        <v>10.07</v>
      </c>
      <c r="AI44" s="98">
        <v>0.43</v>
      </c>
      <c r="AJ44" s="96">
        <v>23.42</v>
      </c>
      <c r="AS44" s="97">
        <v>40543</v>
      </c>
      <c r="AT44" s="96">
        <v>15</v>
      </c>
      <c r="AU44" s="98">
        <v>0</v>
      </c>
      <c r="AV44" s="96">
        <v>0</v>
      </c>
    </row>
    <row r="45" spans="2:48" ht="12.75" customHeight="1">
      <c r="B45" s="9"/>
      <c r="I45" s="97"/>
      <c r="J45" s="96"/>
      <c r="K45" s="98"/>
      <c r="L45" s="96"/>
      <c r="U45" s="97">
        <v>40543</v>
      </c>
      <c r="V45" s="96">
        <v>16.32</v>
      </c>
      <c r="W45" s="98">
        <v>-1.2</v>
      </c>
      <c r="X45" s="96">
        <v>0</v>
      </c>
      <c r="AG45" s="97">
        <v>40543</v>
      </c>
      <c r="AH45" s="96">
        <v>11.25</v>
      </c>
      <c r="AI45" s="98">
        <v>0.31</v>
      </c>
      <c r="AJ45" s="96">
        <v>36.29</v>
      </c>
      <c r="AS45" s="97">
        <v>40451</v>
      </c>
      <c r="AT45" s="96">
        <v>43.75</v>
      </c>
      <c r="AU45" s="98">
        <v>0</v>
      </c>
      <c r="AV45" s="96">
        <v>0</v>
      </c>
    </row>
    <row r="46" spans="2:48" ht="12.75" customHeight="1">
      <c r="B46" s="9"/>
      <c r="I46" s="97"/>
      <c r="J46" s="96"/>
      <c r="K46" s="98"/>
      <c r="L46" s="96"/>
      <c r="U46" s="97">
        <v>40451</v>
      </c>
      <c r="V46" s="96">
        <v>16.39</v>
      </c>
      <c r="W46" s="98">
        <v>-0.48</v>
      </c>
      <c r="X46" s="96">
        <v>0</v>
      </c>
      <c r="AG46" s="97">
        <v>40451</v>
      </c>
      <c r="AH46" s="96">
        <v>9.7799999999999994</v>
      </c>
      <c r="AI46" s="98">
        <v>0.28000000000000003</v>
      </c>
      <c r="AJ46" s="96">
        <v>34.94</v>
      </c>
      <c r="AS46" s="97">
        <v>40359</v>
      </c>
      <c r="AT46" s="96">
        <v>43.75</v>
      </c>
      <c r="AU46" s="98">
        <v>0</v>
      </c>
      <c r="AV46" s="96">
        <v>0</v>
      </c>
    </row>
    <row r="47" spans="2:48" ht="12.75" customHeight="1">
      <c r="I47" s="97"/>
      <c r="J47" s="96"/>
      <c r="K47" s="98"/>
      <c r="L47" s="96"/>
      <c r="U47" s="97">
        <v>40359</v>
      </c>
      <c r="V47" s="96">
        <v>14.35</v>
      </c>
      <c r="W47" s="98">
        <v>-1.08</v>
      </c>
      <c r="X47" s="96">
        <v>0</v>
      </c>
      <c r="AG47" s="97">
        <v>40359</v>
      </c>
      <c r="AH47" s="96">
        <v>9.49</v>
      </c>
      <c r="AI47" s="98">
        <v>0.25</v>
      </c>
      <c r="AJ47" s="96">
        <v>37.94</v>
      </c>
      <c r="AS47" s="97">
        <v>40268</v>
      </c>
      <c r="AT47" s="96">
        <v>74.75</v>
      </c>
      <c r="AU47" s="98">
        <v>0</v>
      </c>
      <c r="AV47" s="96">
        <v>0</v>
      </c>
    </row>
    <row r="48" spans="2:48" ht="12.75" customHeight="1">
      <c r="I48" s="97"/>
      <c r="J48" s="96"/>
      <c r="K48" s="98"/>
      <c r="L48" s="96"/>
      <c r="U48" s="97">
        <v>40268</v>
      </c>
      <c r="V48" s="96">
        <v>18.59</v>
      </c>
      <c r="W48" s="98">
        <v>-2.09</v>
      </c>
      <c r="X48" s="96">
        <v>0</v>
      </c>
      <c r="AG48" s="97">
        <v>40268</v>
      </c>
      <c r="AH48" s="96">
        <v>10.9</v>
      </c>
      <c r="AI48" s="98">
        <v>0.23</v>
      </c>
      <c r="AJ48" s="96">
        <v>47.38</v>
      </c>
      <c r="AS48" s="97">
        <v>40178</v>
      </c>
      <c r="AT48" s="96">
        <v>48</v>
      </c>
      <c r="AU48" s="98">
        <v>0</v>
      </c>
      <c r="AV48" s="96">
        <v>0</v>
      </c>
    </row>
    <row r="49" spans="2:48" ht="12.75" customHeight="1">
      <c r="B49" s="9"/>
      <c r="I49" s="97"/>
      <c r="J49" s="96"/>
      <c r="K49" s="98"/>
      <c r="L49" s="96"/>
      <c r="U49" s="97">
        <v>40178</v>
      </c>
      <c r="V49" s="96">
        <v>17.68</v>
      </c>
      <c r="W49" s="98">
        <v>-2.31</v>
      </c>
      <c r="X49" s="96">
        <v>0</v>
      </c>
      <c r="AG49" s="97">
        <v>40178</v>
      </c>
      <c r="AH49" s="96">
        <v>9.91</v>
      </c>
      <c r="AI49" s="98">
        <v>7.0000000000000007E-2</v>
      </c>
      <c r="AJ49" s="96">
        <v>141.57</v>
      </c>
      <c r="AS49" s="97">
        <v>40086</v>
      </c>
      <c r="AT49" s="96">
        <v>12.5</v>
      </c>
      <c r="AU49" s="98">
        <v>0</v>
      </c>
      <c r="AV49" s="96">
        <v>0</v>
      </c>
    </row>
    <row r="50" spans="2:48" ht="12.75" customHeight="1">
      <c r="B50" s="9"/>
      <c r="I50" s="97"/>
      <c r="J50" s="96"/>
      <c r="K50" s="98"/>
      <c r="L50" s="96"/>
      <c r="U50" s="97">
        <v>40086</v>
      </c>
      <c r="V50" s="96">
        <v>18.98</v>
      </c>
      <c r="W50" s="98">
        <v>-4.0599999999999996</v>
      </c>
      <c r="X50" s="96">
        <v>0</v>
      </c>
      <c r="AG50" s="97">
        <v>40086</v>
      </c>
      <c r="AH50" s="96">
        <v>11.05</v>
      </c>
      <c r="AI50" s="98">
        <v>0.25</v>
      </c>
      <c r="AJ50" s="96">
        <v>44.21</v>
      </c>
      <c r="AS50" s="97">
        <v>39994</v>
      </c>
      <c r="AT50" s="96">
        <v>2.5</v>
      </c>
      <c r="AU50" s="98">
        <v>0</v>
      </c>
      <c r="AV50" s="96">
        <v>0</v>
      </c>
    </row>
    <row r="51" spans="2:48" ht="12.75" customHeight="1">
      <c r="B51" s="9"/>
      <c r="I51" s="97"/>
      <c r="J51" s="96"/>
      <c r="K51" s="98"/>
      <c r="L51" s="96"/>
      <c r="U51" s="97">
        <v>39994</v>
      </c>
      <c r="V51" s="96">
        <v>21.64</v>
      </c>
      <c r="W51" s="98">
        <v>-3.82</v>
      </c>
      <c r="X51" s="96">
        <v>0</v>
      </c>
      <c r="AG51" s="97">
        <v>39994</v>
      </c>
      <c r="AH51" s="96">
        <v>11.27</v>
      </c>
      <c r="AI51" s="98">
        <v>0.16</v>
      </c>
      <c r="AJ51" s="96">
        <v>70.41</v>
      </c>
      <c r="AS51" s="97">
        <v>39903</v>
      </c>
      <c r="AT51" s="96">
        <v>2.5</v>
      </c>
      <c r="AU51" s="98">
        <v>0</v>
      </c>
      <c r="AV51" s="96">
        <v>0</v>
      </c>
    </row>
    <row r="52" spans="2:48" ht="12.75" customHeight="1">
      <c r="B52" s="9"/>
      <c r="I52" s="97"/>
      <c r="J52" s="96"/>
      <c r="K52" s="98"/>
      <c r="L52" s="96"/>
      <c r="U52" s="97">
        <v>39903</v>
      </c>
      <c r="V52" s="96">
        <v>18.12</v>
      </c>
      <c r="W52" s="98">
        <v>-3.4</v>
      </c>
      <c r="X52" s="96">
        <v>0</v>
      </c>
      <c r="AG52" s="97">
        <v>39903</v>
      </c>
      <c r="AH52" s="96">
        <v>9.33</v>
      </c>
      <c r="AI52" s="98">
        <v>0.1</v>
      </c>
      <c r="AJ52" s="96">
        <v>93.3</v>
      </c>
      <c r="AS52" s="97">
        <v>39813</v>
      </c>
      <c r="AT52" s="96">
        <v>11.25</v>
      </c>
      <c r="AU52" s="98">
        <v>0</v>
      </c>
      <c r="AV52" s="96">
        <v>0</v>
      </c>
    </row>
    <row r="53" spans="2:48" ht="12.75" customHeight="1">
      <c r="B53" s="9"/>
      <c r="I53" s="97"/>
      <c r="J53" s="96"/>
      <c r="K53" s="98"/>
      <c r="L53" s="96"/>
      <c r="U53" s="97">
        <v>39813</v>
      </c>
      <c r="V53" s="96">
        <v>15.98</v>
      </c>
      <c r="W53" s="98">
        <v>-3.57</v>
      </c>
      <c r="X53" s="96">
        <v>0</v>
      </c>
      <c r="AG53" s="97">
        <v>39813</v>
      </c>
      <c r="AH53" s="96">
        <v>7.71</v>
      </c>
      <c r="AI53" s="98">
        <v>0.03</v>
      </c>
      <c r="AJ53" s="96">
        <v>256.88</v>
      </c>
      <c r="AS53" s="97">
        <v>39721</v>
      </c>
      <c r="AT53" s="96">
        <v>25</v>
      </c>
      <c r="AU53" s="98">
        <v>0</v>
      </c>
      <c r="AV53" s="96">
        <v>0</v>
      </c>
    </row>
    <row r="54" spans="2:48" ht="12.75" customHeight="1">
      <c r="B54" s="9"/>
      <c r="I54" s="97"/>
      <c r="J54" s="96"/>
      <c r="K54" s="98"/>
      <c r="L54" s="96"/>
      <c r="U54" s="97">
        <v>39721</v>
      </c>
      <c r="V54" s="96">
        <v>36.85</v>
      </c>
      <c r="W54" s="98">
        <v>-1.68</v>
      </c>
      <c r="X54" s="96">
        <v>0</v>
      </c>
      <c r="AG54" s="97">
        <v>39721</v>
      </c>
      <c r="AH54" s="96">
        <v>13.76</v>
      </c>
      <c r="AI54" s="98">
        <v>0.51</v>
      </c>
      <c r="AJ54" s="96">
        <v>26.99</v>
      </c>
      <c r="AS54" s="97">
        <v>39629</v>
      </c>
      <c r="AT54" s="96">
        <v>32.5</v>
      </c>
      <c r="AU54" s="98">
        <v>0</v>
      </c>
      <c r="AV54" s="96">
        <v>0</v>
      </c>
    </row>
    <row r="55" spans="2:48" ht="12.75" customHeight="1">
      <c r="B55" s="9"/>
      <c r="I55" s="97"/>
      <c r="J55" s="96"/>
      <c r="K55" s="98"/>
      <c r="L55" s="96"/>
      <c r="U55" s="97">
        <v>39629</v>
      </c>
      <c r="V55" s="96">
        <v>44.26</v>
      </c>
      <c r="W55" s="98">
        <v>-1.33</v>
      </c>
      <c r="X55" s="96">
        <v>0</v>
      </c>
      <c r="AG55" s="97">
        <v>39629</v>
      </c>
      <c r="AH55" s="96">
        <v>15.19</v>
      </c>
      <c r="AI55" s="98">
        <v>0.59</v>
      </c>
      <c r="AJ55" s="96">
        <v>25.75</v>
      </c>
      <c r="AS55" s="97">
        <v>39538</v>
      </c>
      <c r="AT55" s="96">
        <v>32.5</v>
      </c>
      <c r="AU55" s="98">
        <v>0</v>
      </c>
      <c r="AV55" s="96">
        <v>0</v>
      </c>
    </row>
    <row r="56" spans="2:48" ht="12.75" customHeight="1">
      <c r="B56" s="9"/>
      <c r="I56" s="97"/>
      <c r="J56" s="96"/>
      <c r="K56" s="98"/>
      <c r="L56" s="96"/>
      <c r="U56" s="97">
        <v>39538</v>
      </c>
      <c r="V56" s="96">
        <v>49.73</v>
      </c>
      <c r="W56" s="98">
        <v>-1.45</v>
      </c>
      <c r="X56" s="96">
        <v>0</v>
      </c>
      <c r="AG56" s="97">
        <v>39538</v>
      </c>
      <c r="AH56" s="96">
        <v>12.18</v>
      </c>
      <c r="AI56" s="98">
        <v>0.55000000000000004</v>
      </c>
      <c r="AJ56" s="96">
        <v>22.14</v>
      </c>
      <c r="AS56" s="97">
        <v>39447</v>
      </c>
      <c r="AT56" s="96">
        <v>37.5</v>
      </c>
      <c r="AU56" s="98">
        <v>0</v>
      </c>
      <c r="AV56" s="96">
        <v>0</v>
      </c>
    </row>
    <row r="57" spans="2:48" ht="12.75" customHeight="1">
      <c r="B57" s="9"/>
      <c r="I57" s="97"/>
      <c r="J57" s="96"/>
      <c r="K57" s="98"/>
      <c r="L57" s="96"/>
      <c r="U57" s="97">
        <v>39447</v>
      </c>
      <c r="V57" s="96">
        <v>58.19</v>
      </c>
      <c r="W57" s="98">
        <v>-1.23</v>
      </c>
      <c r="X57" s="96">
        <v>0</v>
      </c>
      <c r="AG57" s="97">
        <v>39447</v>
      </c>
      <c r="AH57" s="96">
        <v>13.25</v>
      </c>
      <c r="AI57" s="98">
        <v>0.45</v>
      </c>
      <c r="AJ57" s="96">
        <v>29.43</v>
      </c>
      <c r="AS57" s="97"/>
      <c r="AT57" s="96"/>
      <c r="AU57" s="98"/>
      <c r="AV57" s="96"/>
    </row>
    <row r="58" spans="2:48" ht="12.75" customHeight="1">
      <c r="B58" s="9"/>
      <c r="I58" s="97"/>
      <c r="J58" s="96"/>
      <c r="K58" s="98"/>
      <c r="L58" s="96"/>
      <c r="U58" s="97">
        <v>39355</v>
      </c>
      <c r="V58" s="96">
        <v>55.78</v>
      </c>
      <c r="W58" s="98">
        <v>-0.62</v>
      </c>
      <c r="X58" s="96">
        <v>0</v>
      </c>
      <c r="AG58" s="97">
        <v>39355</v>
      </c>
      <c r="AH58" s="96">
        <v>9.6300000000000008</v>
      </c>
      <c r="AI58" s="98">
        <v>0.23</v>
      </c>
      <c r="AJ58" s="96">
        <v>41.86</v>
      </c>
      <c r="AS58" s="97"/>
      <c r="AT58" s="96"/>
      <c r="AU58" s="98"/>
      <c r="AV58" s="96"/>
    </row>
    <row r="59" spans="2:48" ht="12.75" customHeight="1">
      <c r="B59" s="9"/>
      <c r="I59" s="97"/>
      <c r="J59" s="96"/>
      <c r="K59" s="98"/>
      <c r="L59" s="96"/>
      <c r="U59" s="97">
        <v>39263</v>
      </c>
      <c r="V59" s="96">
        <v>47.14</v>
      </c>
      <c r="W59" s="98">
        <v>7.0000000000000007E-2</v>
      </c>
      <c r="X59" s="96">
        <v>673.46</v>
      </c>
      <c r="AG59" s="97">
        <v>39263</v>
      </c>
      <c r="AH59" s="96">
        <v>8.33</v>
      </c>
      <c r="AI59" s="98">
        <v>0.16</v>
      </c>
      <c r="AJ59" s="96">
        <v>52.04</v>
      </c>
      <c r="AS59" s="97"/>
      <c r="AT59" s="96"/>
      <c r="AU59" s="98"/>
      <c r="AV59" s="96"/>
    </row>
    <row r="60" spans="2:48" ht="12.75" customHeight="1">
      <c r="B60" s="9"/>
      <c r="I60" s="99"/>
      <c r="K60" s="101"/>
      <c r="U60" s="99">
        <v>39172</v>
      </c>
      <c r="V60" s="100">
        <v>50.17</v>
      </c>
      <c r="W60" s="101">
        <v>0.23</v>
      </c>
      <c r="X60" s="100">
        <v>218.13</v>
      </c>
      <c r="AG60" s="102">
        <v>39172</v>
      </c>
      <c r="AH60" s="103">
        <v>8.4499999999999993</v>
      </c>
      <c r="AI60" s="104">
        <v>0.08</v>
      </c>
      <c r="AJ60" s="103">
        <v>105.59</v>
      </c>
      <c r="AS60" s="99"/>
      <c r="AU60" s="101"/>
    </row>
    <row r="61" spans="2:48" ht="12.75" customHeight="1">
      <c r="B61" s="9"/>
      <c r="U61" s="99">
        <v>39082</v>
      </c>
      <c r="V61" s="100">
        <v>50.17</v>
      </c>
      <c r="W61" s="101">
        <v>0.26</v>
      </c>
      <c r="X61" s="100">
        <v>192.97</v>
      </c>
      <c r="AG61" s="102">
        <v>39082</v>
      </c>
      <c r="AH61" s="103">
        <v>7.69</v>
      </c>
      <c r="AI61" s="104">
        <v>0.11</v>
      </c>
      <c r="AJ61" s="103">
        <v>69.900000000000006</v>
      </c>
    </row>
    <row r="62" spans="2:48" ht="12.75" customHeight="1">
      <c r="B62" s="9"/>
    </row>
    <row r="63" spans="2:48" ht="12.75" customHeight="1">
      <c r="B63" s="9"/>
    </row>
    <row r="64" spans="2:48" ht="12.75" customHeight="1">
      <c r="B64" s="9"/>
    </row>
    <row r="65" spans="2:2" ht="12.75" customHeight="1">
      <c r="B65" s="9"/>
    </row>
    <row r="66" spans="2:2" ht="12.75" customHeight="1">
      <c r="B66" s="9"/>
    </row>
    <row r="67" spans="2:2" ht="12.75" customHeight="1">
      <c r="B67" s="9"/>
    </row>
    <row r="68" spans="2:2" ht="12.75" customHeight="1">
      <c r="B68" s="9"/>
    </row>
    <row r="69" spans="2:2" ht="12.75" customHeight="1">
      <c r="B69" s="9"/>
    </row>
    <row r="70" spans="2:2" ht="12.75" customHeight="1">
      <c r="B70" s="9"/>
    </row>
    <row r="71" spans="2:2" ht="12.75" customHeight="1">
      <c r="B71" s="9"/>
    </row>
    <row r="72" spans="2:2" ht="12.75" customHeight="1">
      <c r="B72" s="9"/>
    </row>
    <row r="73" spans="2:2" ht="12.75" customHeight="1">
      <c r="B73" s="9"/>
    </row>
    <row r="74" spans="2:2" ht="12.75" customHeight="1">
      <c r="B74" s="9"/>
    </row>
    <row r="75" spans="2:2" ht="12.75" customHeight="1">
      <c r="B75" s="9"/>
    </row>
    <row r="76" spans="2:2" ht="12.75" customHeight="1">
      <c r="B76" s="9"/>
    </row>
    <row r="77" spans="2:2" ht="12.75" customHeight="1">
      <c r="B77" s="9"/>
    </row>
    <row r="78" spans="2:2" ht="12.75" customHeight="1">
      <c r="B78" s="9"/>
    </row>
    <row r="79" spans="2:2" ht="12.75" customHeight="1">
      <c r="B79" s="9"/>
    </row>
    <row r="80" spans="2:2" ht="12.75" customHeight="1">
      <c r="B80" s="9"/>
    </row>
    <row r="81" spans="2:2" ht="12.75" customHeight="1">
      <c r="B81" s="9"/>
    </row>
    <row r="82" spans="2:2" ht="12.75" customHeight="1">
      <c r="B82" s="9"/>
    </row>
    <row r="83" spans="2:2" ht="12.75" customHeight="1">
      <c r="B83" s="9"/>
    </row>
    <row r="84" spans="2:2" ht="12.75" customHeight="1">
      <c r="B84" s="9"/>
    </row>
    <row r="85" spans="2:2" ht="12.75" customHeight="1">
      <c r="B85" s="9"/>
    </row>
    <row r="86" spans="2:2" ht="12.75" customHeight="1">
      <c r="B86" s="9"/>
    </row>
    <row r="87" spans="2:2" ht="12.75" customHeight="1">
      <c r="B87" s="9"/>
    </row>
    <row r="88" spans="2:2" ht="12.75" customHeight="1">
      <c r="B88" s="9"/>
    </row>
    <row r="89" spans="2:2" ht="12.75" customHeight="1">
      <c r="B89" s="9"/>
    </row>
    <row r="90" spans="2:2" ht="12.75" customHeight="1">
      <c r="B90" s="9"/>
    </row>
    <row r="91" spans="2:2" ht="12.75" customHeight="1">
      <c r="B91" s="9"/>
    </row>
    <row r="92" spans="2:2" ht="12.75" customHeight="1">
      <c r="B92" s="9"/>
    </row>
    <row r="93" spans="2:2" ht="12.75" customHeight="1">
      <c r="B93" s="9"/>
    </row>
    <row r="94" spans="2:2" ht="12.75" customHeight="1">
      <c r="B94" s="9"/>
    </row>
    <row r="95" spans="2:2" ht="12.75" customHeight="1">
      <c r="B95" s="9"/>
    </row>
    <row r="96" spans="2:2" ht="12.75" customHeight="1">
      <c r="B96" s="9"/>
    </row>
    <row r="97" spans="2:2" ht="12.75" customHeight="1">
      <c r="B97" s="9"/>
    </row>
    <row r="98" spans="2:2" ht="12.75" customHeight="1">
      <c r="B98" s="9"/>
    </row>
    <row r="99" spans="2:2" ht="12.75" customHeight="1">
      <c r="B99" s="9"/>
    </row>
    <row r="100" spans="2:2" ht="12.75" customHeight="1">
      <c r="B100" s="9"/>
    </row>
    <row r="101" spans="2:2" ht="12.75" customHeight="1">
      <c r="B101" s="9"/>
    </row>
    <row r="102" spans="2:2" ht="12.75" customHeight="1">
      <c r="B102" s="9"/>
    </row>
    <row r="103" spans="2:2" ht="12.75" customHeight="1">
      <c r="B103" s="9"/>
    </row>
    <row r="104" spans="2:2" ht="12.75" customHeight="1">
      <c r="B104" s="9"/>
    </row>
    <row r="105" spans="2:2" ht="12.75" customHeight="1">
      <c r="B105" s="9"/>
    </row>
    <row r="106" spans="2:2" ht="12.75" customHeight="1">
      <c r="B106" s="9"/>
    </row>
    <row r="107" spans="2:2" ht="12.75" customHeight="1">
      <c r="B107" s="9"/>
    </row>
    <row r="108" spans="2:2" ht="12.75" customHeight="1">
      <c r="B108" s="9"/>
    </row>
    <row r="109" spans="2:2" ht="12.75" customHeight="1">
      <c r="B109" s="9"/>
    </row>
    <row r="110" spans="2:2" ht="12.75" customHeight="1">
      <c r="B110" s="9"/>
    </row>
    <row r="111" spans="2:2" ht="12.75" customHeight="1">
      <c r="B111" s="9"/>
    </row>
    <row r="112" spans="2:2" ht="12.75" customHeight="1">
      <c r="B112" s="9"/>
    </row>
    <row r="113" spans="2:2" ht="12.75" customHeight="1">
      <c r="B113" s="9"/>
    </row>
    <row r="114" spans="2:2" ht="12.75" customHeight="1">
      <c r="B114" s="9"/>
    </row>
    <row r="115" spans="2:2" ht="12.75" customHeight="1">
      <c r="B115" s="9"/>
    </row>
    <row r="116" spans="2:2" ht="12.75" customHeight="1">
      <c r="B116" s="9"/>
    </row>
    <row r="117" spans="2:2" ht="12.75" customHeight="1">
      <c r="B117" s="9"/>
    </row>
    <row r="118" spans="2:2" ht="12.75" customHeight="1">
      <c r="B118" s="9"/>
    </row>
    <row r="119" spans="2:2" ht="12.75" customHeight="1">
      <c r="B119" s="9"/>
    </row>
    <row r="120" spans="2:2" ht="12.75" customHeight="1">
      <c r="B120" s="9"/>
    </row>
    <row r="121" spans="2:2" ht="12.75" customHeight="1">
      <c r="B121" s="9"/>
    </row>
    <row r="122" spans="2:2" ht="12.75" customHeight="1">
      <c r="B122" s="9"/>
    </row>
    <row r="123" spans="2:2" ht="12.75" customHeight="1">
      <c r="B123" s="9"/>
    </row>
    <row r="124" spans="2:2" ht="12.75" customHeight="1">
      <c r="B124" s="9"/>
    </row>
    <row r="125" spans="2:2" ht="12.75" customHeight="1">
      <c r="B125" s="9"/>
    </row>
    <row r="126" spans="2:2" ht="12.75" customHeight="1">
      <c r="B126" s="9"/>
    </row>
    <row r="127" spans="2:2" ht="12.75" customHeight="1">
      <c r="B127" s="9"/>
    </row>
    <row r="128" spans="2:2" ht="12.75" customHeight="1">
      <c r="B128" s="9"/>
    </row>
    <row r="129" spans="2:2" ht="12.75" customHeight="1">
      <c r="B129" s="9"/>
    </row>
    <row r="130" spans="2:2" ht="12.75" customHeight="1">
      <c r="B130" s="9"/>
    </row>
    <row r="131" spans="2:2" ht="12.75" customHeight="1">
      <c r="B131" s="9"/>
    </row>
    <row r="132" spans="2:2" ht="12.75" customHeight="1">
      <c r="B132" s="9"/>
    </row>
    <row r="133" spans="2:2" ht="12.75" customHeight="1">
      <c r="B133" s="9"/>
    </row>
    <row r="134" spans="2:2" ht="12.75" customHeight="1">
      <c r="B134" s="9"/>
    </row>
    <row r="135" spans="2:2" ht="12.75" customHeight="1">
      <c r="B135" s="9"/>
    </row>
    <row r="136" spans="2:2" ht="12.75" customHeight="1">
      <c r="B136" s="9"/>
    </row>
    <row r="137" spans="2:2" ht="12.75" customHeight="1">
      <c r="B137" s="9"/>
    </row>
    <row r="138" spans="2:2" ht="12.75" customHeight="1">
      <c r="B138" s="9"/>
    </row>
    <row r="139" spans="2:2" ht="12.75" customHeight="1">
      <c r="B139" s="9"/>
    </row>
    <row r="140" spans="2:2" ht="12.75" customHeight="1">
      <c r="B140" s="9"/>
    </row>
    <row r="141" spans="2:2" ht="12.75" customHeight="1">
      <c r="B141" s="9"/>
    </row>
    <row r="142" spans="2:2" ht="12.75" customHeight="1">
      <c r="B142" s="9"/>
    </row>
    <row r="143" spans="2:2" ht="12.75" customHeight="1">
      <c r="B143" s="9"/>
    </row>
    <row r="144" spans="2:2" ht="12.75" customHeight="1">
      <c r="B144" s="9"/>
    </row>
    <row r="145" spans="2:2" ht="12.75" customHeight="1">
      <c r="B145" s="9"/>
    </row>
    <row r="146" spans="2:2" ht="12.75" customHeight="1">
      <c r="B146" s="9"/>
    </row>
    <row r="147" spans="2:2" ht="12.75" customHeight="1">
      <c r="B147" s="9"/>
    </row>
    <row r="148" spans="2:2" ht="12.75" customHeight="1">
      <c r="B148" s="9"/>
    </row>
    <row r="149" spans="2:2" ht="12.75" customHeight="1">
      <c r="B149" s="9"/>
    </row>
    <row r="150" spans="2:2" ht="12.75" customHeight="1">
      <c r="B150" s="9"/>
    </row>
    <row r="151" spans="2:2" ht="12.75" customHeight="1">
      <c r="B151" s="9"/>
    </row>
    <row r="152" spans="2:2" ht="12.75" customHeight="1">
      <c r="B152" s="9"/>
    </row>
    <row r="153" spans="2:2" ht="12.75" customHeight="1">
      <c r="B153" s="9"/>
    </row>
    <row r="154" spans="2:2" ht="12.75" customHeight="1">
      <c r="B154" s="9"/>
    </row>
    <row r="155" spans="2:2" ht="12.75" customHeight="1">
      <c r="B155" s="9"/>
    </row>
    <row r="156" spans="2:2" ht="12.75" customHeight="1">
      <c r="B156" s="9"/>
    </row>
    <row r="157" spans="2:2" ht="12.75" customHeight="1">
      <c r="B157" s="9"/>
    </row>
    <row r="158" spans="2:2" ht="12.75" customHeight="1">
      <c r="B158" s="9"/>
    </row>
    <row r="159" spans="2:2" ht="12.75" customHeight="1">
      <c r="B159" s="9"/>
    </row>
    <row r="160" spans="2:2" ht="12.75" customHeight="1">
      <c r="B160" s="9"/>
    </row>
    <row r="161" spans="2:2" ht="12.75" customHeight="1">
      <c r="B161" s="9"/>
    </row>
    <row r="162" spans="2:2" ht="12.75" customHeight="1">
      <c r="B162" s="9"/>
    </row>
    <row r="163" spans="2:2" ht="12.75" customHeight="1">
      <c r="B163" s="9"/>
    </row>
    <row r="164" spans="2:2" ht="12.75" customHeight="1">
      <c r="B164" s="9"/>
    </row>
    <row r="165" spans="2:2" ht="12.75" customHeight="1">
      <c r="B165" s="9"/>
    </row>
    <row r="166" spans="2:2" ht="12.75" customHeight="1">
      <c r="B166" s="9"/>
    </row>
    <row r="167" spans="2:2" ht="12.75" customHeight="1">
      <c r="B167" s="9"/>
    </row>
    <row r="168" spans="2:2" ht="12.75" customHeight="1">
      <c r="B168" s="9"/>
    </row>
    <row r="169" spans="2:2" ht="12.75" customHeight="1">
      <c r="B169" s="9"/>
    </row>
    <row r="170" spans="2:2" ht="12.75" customHeight="1">
      <c r="B170" s="9"/>
    </row>
    <row r="171" spans="2:2" ht="12.75" customHeight="1">
      <c r="B171" s="9"/>
    </row>
    <row r="172" spans="2:2" ht="12.75" customHeight="1">
      <c r="B172" s="9"/>
    </row>
    <row r="173" spans="2:2" ht="12.75" customHeight="1">
      <c r="B173" s="9"/>
    </row>
    <row r="174" spans="2:2" ht="12.75" customHeight="1">
      <c r="B174" s="9"/>
    </row>
    <row r="175" spans="2:2" ht="12.75" customHeight="1">
      <c r="B175" s="9"/>
    </row>
    <row r="176" spans="2:2" ht="12.75" customHeight="1">
      <c r="B176" s="9"/>
    </row>
    <row r="177" spans="2:2" ht="12.75" customHeight="1">
      <c r="B177" s="9"/>
    </row>
    <row r="178" spans="2:2" ht="12.75" customHeight="1">
      <c r="B178" s="9"/>
    </row>
    <row r="179" spans="2:2" ht="12.75" customHeight="1">
      <c r="B179" s="9"/>
    </row>
    <row r="180" spans="2:2" ht="12.75" customHeight="1">
      <c r="B180" s="9"/>
    </row>
    <row r="181" spans="2:2" ht="12.75" customHeight="1">
      <c r="B181" s="9"/>
    </row>
    <row r="182" spans="2:2" ht="12.75" customHeight="1">
      <c r="B182" s="9"/>
    </row>
    <row r="183" spans="2:2" ht="12.75" customHeight="1">
      <c r="B183" s="9"/>
    </row>
    <row r="184" spans="2:2" ht="12.75" customHeight="1">
      <c r="B184" s="9"/>
    </row>
    <row r="185" spans="2:2" ht="12.75" customHeight="1">
      <c r="B185" s="9"/>
    </row>
    <row r="186" spans="2:2" ht="12.75" customHeight="1">
      <c r="B186" s="9"/>
    </row>
    <row r="187" spans="2:2" ht="12.75" customHeight="1">
      <c r="B187" s="9"/>
    </row>
    <row r="188" spans="2:2" ht="12.75" customHeight="1">
      <c r="B188" s="9"/>
    </row>
    <row r="189" spans="2:2" ht="12.75" customHeight="1">
      <c r="B189" s="9"/>
    </row>
    <row r="190" spans="2:2" ht="12.75" customHeight="1">
      <c r="B190" s="9"/>
    </row>
    <row r="191" spans="2:2" ht="12.75" customHeight="1">
      <c r="B191" s="9"/>
    </row>
    <row r="192" spans="2:2" ht="12.75" customHeight="1">
      <c r="B192" s="9"/>
    </row>
    <row r="193" spans="2:2" ht="12.75" customHeight="1">
      <c r="B193" s="9"/>
    </row>
    <row r="194" spans="2:2" ht="12.75" customHeight="1">
      <c r="B194" s="9"/>
    </row>
    <row r="195" spans="2:2" ht="12.75" customHeight="1">
      <c r="B195" s="9"/>
    </row>
    <row r="196" spans="2:2" ht="12.75" customHeight="1">
      <c r="B196" s="9"/>
    </row>
    <row r="197" spans="2:2" ht="12.75" customHeight="1">
      <c r="B197" s="9"/>
    </row>
    <row r="198" spans="2:2" ht="12.75" customHeight="1">
      <c r="B198" s="9"/>
    </row>
    <row r="199" spans="2:2" ht="12.75" customHeight="1">
      <c r="B199" s="9"/>
    </row>
    <row r="200" spans="2:2" ht="12.75" customHeight="1">
      <c r="B200" s="9"/>
    </row>
    <row r="201" spans="2:2" ht="12.75" customHeight="1">
      <c r="B201" s="9"/>
    </row>
    <row r="202" spans="2:2" ht="12.75" customHeight="1">
      <c r="B202" s="9"/>
    </row>
    <row r="203" spans="2:2" ht="12.75" customHeight="1">
      <c r="B203" s="9"/>
    </row>
    <row r="204" spans="2:2" ht="12.75" customHeight="1">
      <c r="B204" s="9"/>
    </row>
    <row r="205" spans="2:2" ht="12.75" customHeight="1">
      <c r="B205" s="9"/>
    </row>
    <row r="206" spans="2:2" ht="12.75" customHeight="1">
      <c r="B206" s="9"/>
    </row>
    <row r="207" spans="2:2" ht="12.75" customHeight="1">
      <c r="B207" s="9"/>
    </row>
    <row r="208" spans="2:2" ht="12.75" customHeight="1">
      <c r="B208" s="9"/>
    </row>
    <row r="209" spans="2:2" ht="12.75" customHeight="1">
      <c r="B209" s="9"/>
    </row>
    <row r="210" spans="2:2" ht="12.75" customHeight="1">
      <c r="B210" s="9"/>
    </row>
    <row r="211" spans="2:2" ht="12.75" customHeight="1">
      <c r="B211" s="9"/>
    </row>
    <row r="212" spans="2:2" ht="12.75" customHeight="1">
      <c r="B212" s="9"/>
    </row>
    <row r="213" spans="2:2" ht="12.75" customHeight="1">
      <c r="B213" s="9"/>
    </row>
    <row r="214" spans="2:2" ht="12.75" customHeight="1">
      <c r="B214" s="9"/>
    </row>
    <row r="215" spans="2:2" ht="12.75" customHeight="1">
      <c r="B215" s="9"/>
    </row>
    <row r="216" spans="2:2" ht="12.75" customHeight="1">
      <c r="B216" s="9"/>
    </row>
    <row r="217" spans="2:2" ht="12.75" customHeight="1">
      <c r="B217" s="9"/>
    </row>
    <row r="218" spans="2:2" ht="12.75" customHeight="1">
      <c r="B218" s="9"/>
    </row>
    <row r="219" spans="2:2" ht="12.75" customHeight="1">
      <c r="B219" s="9"/>
    </row>
    <row r="220" spans="2:2" ht="12.75" customHeight="1">
      <c r="B220" s="9"/>
    </row>
    <row r="221" spans="2:2" ht="12.75" customHeight="1">
      <c r="B221" s="9"/>
    </row>
    <row r="222" spans="2:2" ht="12.75" customHeight="1">
      <c r="B222" s="9"/>
    </row>
    <row r="223" spans="2:2" ht="12.75" customHeight="1">
      <c r="B223" s="9"/>
    </row>
    <row r="224" spans="2:2" ht="12.75" customHeight="1">
      <c r="B224" s="9"/>
    </row>
    <row r="225" spans="2:2" ht="12.75" customHeight="1">
      <c r="B225" s="9"/>
    </row>
    <row r="226" spans="2:2" ht="12.75" customHeight="1">
      <c r="B226" s="9"/>
    </row>
    <row r="227" spans="2:2" ht="12.75" customHeight="1">
      <c r="B227" s="9"/>
    </row>
    <row r="228" spans="2:2" ht="12.75" customHeight="1">
      <c r="B228" s="9"/>
    </row>
    <row r="229" spans="2:2" ht="12.75" customHeight="1">
      <c r="B229" s="9"/>
    </row>
    <row r="230" spans="2:2" ht="12.75" customHeight="1">
      <c r="B230" s="9"/>
    </row>
    <row r="231" spans="2:2" ht="12.75" customHeight="1">
      <c r="B231" s="9"/>
    </row>
    <row r="232" spans="2:2" ht="12.75" customHeight="1">
      <c r="B232" s="9"/>
    </row>
    <row r="233" spans="2:2" ht="12.75" customHeight="1">
      <c r="B233" s="9"/>
    </row>
    <row r="234" spans="2:2" ht="12.75" customHeight="1">
      <c r="B234" s="9"/>
    </row>
    <row r="235" spans="2:2" ht="12.75" customHeight="1">
      <c r="B235" s="9"/>
    </row>
    <row r="236" spans="2:2" ht="12.75" customHeight="1">
      <c r="B236" s="9"/>
    </row>
    <row r="237" spans="2:2" ht="12.75" customHeight="1">
      <c r="B237" s="9"/>
    </row>
    <row r="238" spans="2:2" ht="12.75" customHeight="1">
      <c r="B238" s="9"/>
    </row>
    <row r="239" spans="2:2" ht="12.75" customHeight="1">
      <c r="B239" s="9"/>
    </row>
    <row r="240" spans="2:2" ht="12.75" customHeight="1">
      <c r="B240" s="9"/>
    </row>
    <row r="241" spans="2:2" ht="12.75" customHeight="1">
      <c r="B241" s="9"/>
    </row>
    <row r="242" spans="2:2" ht="12.75" customHeight="1">
      <c r="B242" s="9"/>
    </row>
    <row r="243" spans="2:2" ht="12.75" customHeight="1">
      <c r="B243" s="9"/>
    </row>
    <row r="244" spans="2:2" ht="12.75" customHeight="1">
      <c r="B244" s="9"/>
    </row>
    <row r="245" spans="2:2" ht="12.75" customHeight="1">
      <c r="B245" s="9"/>
    </row>
    <row r="246" spans="2:2" ht="12.75" customHeight="1">
      <c r="B246" s="9"/>
    </row>
    <row r="247" spans="2:2" ht="12.75" customHeight="1">
      <c r="B247" s="9"/>
    </row>
    <row r="248" spans="2:2" ht="12.75" customHeight="1">
      <c r="B248" s="9"/>
    </row>
    <row r="249" spans="2:2" ht="12.75" customHeight="1">
      <c r="B249" s="9"/>
    </row>
    <row r="250" spans="2:2" ht="12.75" customHeight="1">
      <c r="B250" s="9"/>
    </row>
    <row r="251" spans="2:2" ht="12.75" customHeight="1">
      <c r="B251" s="9"/>
    </row>
    <row r="252" spans="2:2" ht="12.75" customHeight="1">
      <c r="B252" s="9"/>
    </row>
    <row r="253" spans="2:2" ht="12.75" customHeight="1">
      <c r="B253" s="9"/>
    </row>
    <row r="254" spans="2:2" ht="12.75" customHeight="1">
      <c r="B254" s="9"/>
    </row>
    <row r="255" spans="2:2" ht="12.75" customHeight="1">
      <c r="B255" s="9"/>
    </row>
    <row r="256" spans="2:2" ht="12.75" customHeight="1">
      <c r="B256" s="9"/>
    </row>
    <row r="257" spans="2:2" ht="12.75" customHeight="1">
      <c r="B257" s="9"/>
    </row>
    <row r="258" spans="2:2" ht="12.75" customHeight="1">
      <c r="B258" s="9"/>
    </row>
    <row r="259" spans="2:2" ht="12.75" customHeight="1">
      <c r="B259" s="9"/>
    </row>
    <row r="260" spans="2:2" ht="12.75" customHeight="1">
      <c r="B260" s="9"/>
    </row>
    <row r="261" spans="2:2" ht="12.75" customHeight="1">
      <c r="B261" s="9"/>
    </row>
    <row r="262" spans="2:2" ht="12.75" customHeight="1">
      <c r="B262" s="9"/>
    </row>
    <row r="263" spans="2:2" ht="12.75" customHeight="1">
      <c r="B263" s="9"/>
    </row>
    <row r="264" spans="2:2" ht="12.75" customHeight="1">
      <c r="B264" s="9"/>
    </row>
    <row r="265" spans="2:2" ht="12.75" customHeight="1">
      <c r="B265" s="9"/>
    </row>
    <row r="266" spans="2:2" ht="12.75" customHeight="1">
      <c r="B266" s="9"/>
    </row>
    <row r="267" spans="2:2" ht="12.75" customHeight="1">
      <c r="B267" s="9"/>
    </row>
    <row r="268" spans="2:2" ht="12.75" customHeight="1">
      <c r="B268" s="9"/>
    </row>
    <row r="269" spans="2:2" ht="12.75" customHeight="1">
      <c r="B269" s="9"/>
    </row>
    <row r="270" spans="2:2" ht="12.75" customHeight="1">
      <c r="B270" s="9"/>
    </row>
    <row r="271" spans="2:2" ht="12.75" customHeight="1">
      <c r="B271" s="9"/>
    </row>
    <row r="272" spans="2:2" ht="12.75" customHeight="1">
      <c r="B272" s="9"/>
    </row>
    <row r="273" spans="2:2" ht="12.75" customHeight="1">
      <c r="B273" s="9"/>
    </row>
    <row r="274" spans="2:2" ht="12.75" customHeight="1">
      <c r="B274" s="9"/>
    </row>
    <row r="275" spans="2:2" ht="12.75" customHeight="1">
      <c r="B275" s="9"/>
    </row>
    <row r="276" spans="2:2" ht="12.75" customHeight="1">
      <c r="B276" s="9"/>
    </row>
    <row r="277" spans="2:2" ht="12.75" customHeight="1">
      <c r="B277" s="9"/>
    </row>
    <row r="278" spans="2:2" ht="12.75" customHeight="1">
      <c r="B278" s="9"/>
    </row>
    <row r="279" spans="2:2" ht="12.75" customHeight="1">
      <c r="B279" s="9"/>
    </row>
    <row r="280" spans="2:2" ht="12.75" customHeight="1">
      <c r="B280" s="9"/>
    </row>
    <row r="281" spans="2:2" ht="12.75" customHeight="1">
      <c r="B281" s="9"/>
    </row>
    <row r="282" spans="2:2" ht="12.75" customHeight="1">
      <c r="B282" s="9"/>
    </row>
    <row r="283" spans="2:2" ht="12.75" customHeight="1">
      <c r="B283" s="9"/>
    </row>
    <row r="284" spans="2:2" ht="12.75" customHeight="1">
      <c r="B284" s="9"/>
    </row>
    <row r="285" spans="2:2" ht="12.75" customHeight="1">
      <c r="B285" s="9"/>
    </row>
    <row r="286" spans="2:2" ht="12.75" customHeight="1">
      <c r="B286" s="9"/>
    </row>
    <row r="287" spans="2:2" ht="12.75" customHeight="1">
      <c r="B287" s="9"/>
    </row>
    <row r="288" spans="2:2" ht="12.75" customHeight="1">
      <c r="B288" s="9"/>
    </row>
    <row r="289" spans="2:2" ht="12.75" customHeight="1">
      <c r="B289" s="9"/>
    </row>
    <row r="290" spans="2:2" ht="12.75" customHeight="1">
      <c r="B290" s="9"/>
    </row>
    <row r="291" spans="2:2" ht="12.75" customHeight="1">
      <c r="B291" s="9"/>
    </row>
    <row r="292" spans="2:2" ht="12.75" customHeight="1">
      <c r="B292" s="9"/>
    </row>
    <row r="293" spans="2:2" ht="12.75" customHeight="1">
      <c r="B293" s="9"/>
    </row>
    <row r="294" spans="2:2" ht="12.75" customHeight="1">
      <c r="B294" s="9"/>
    </row>
    <row r="295" spans="2:2" ht="12.75" customHeight="1">
      <c r="B295" s="9"/>
    </row>
    <row r="296" spans="2:2" ht="12.75" customHeight="1">
      <c r="B296" s="9"/>
    </row>
    <row r="297" spans="2:2" ht="12.75" customHeight="1">
      <c r="B297" s="9"/>
    </row>
    <row r="298" spans="2:2" ht="12.75" customHeight="1">
      <c r="B298" s="9"/>
    </row>
    <row r="299" spans="2:2" ht="12.75" customHeight="1">
      <c r="B299" s="9"/>
    </row>
    <row r="300" spans="2:2" ht="12.75" customHeight="1">
      <c r="B300" s="9"/>
    </row>
    <row r="301" spans="2:2" ht="12.75" customHeight="1">
      <c r="B301" s="9"/>
    </row>
    <row r="302" spans="2:2" ht="12.75" customHeight="1">
      <c r="B302" s="9"/>
    </row>
    <row r="303" spans="2:2" ht="12.75" customHeight="1">
      <c r="B303" s="9"/>
    </row>
    <row r="304" spans="2:2" ht="12.75" customHeight="1">
      <c r="B304" s="9"/>
    </row>
    <row r="305" spans="2:2" ht="12.75" customHeight="1">
      <c r="B305" s="9"/>
    </row>
    <row r="306" spans="2:2" ht="12.75" customHeight="1">
      <c r="B306" s="9"/>
    </row>
    <row r="307" spans="2:2" ht="12.75" customHeight="1">
      <c r="B307" s="9"/>
    </row>
    <row r="308" spans="2:2" ht="12.75" customHeight="1">
      <c r="B308" s="9"/>
    </row>
    <row r="309" spans="2:2" ht="12.75" customHeight="1">
      <c r="B309" s="9"/>
    </row>
    <row r="310" spans="2:2" ht="12.75" customHeight="1">
      <c r="B310" s="9"/>
    </row>
    <row r="311" spans="2:2" ht="12.75" customHeight="1">
      <c r="B311" s="9"/>
    </row>
    <row r="312" spans="2:2" ht="12.75" customHeight="1">
      <c r="B312" s="9"/>
    </row>
    <row r="313" spans="2:2" ht="12.75" customHeight="1">
      <c r="B313" s="9"/>
    </row>
    <row r="314" spans="2:2" ht="12.75" customHeight="1">
      <c r="B314" s="9"/>
    </row>
    <row r="315" spans="2:2" ht="12.75" customHeight="1">
      <c r="B315" s="9"/>
    </row>
    <row r="316" spans="2:2" ht="12.75" customHeight="1">
      <c r="B316" s="9"/>
    </row>
    <row r="317" spans="2:2" ht="12.75" customHeight="1">
      <c r="B317" s="9"/>
    </row>
    <row r="318" spans="2:2" ht="12.75" customHeight="1">
      <c r="B318" s="9"/>
    </row>
    <row r="319" spans="2:2" ht="12.75" customHeight="1">
      <c r="B319" s="9"/>
    </row>
    <row r="320" spans="2:2" ht="12.75" customHeight="1">
      <c r="B320" s="9"/>
    </row>
    <row r="321" spans="2:2" ht="12.75" customHeight="1">
      <c r="B321" s="9"/>
    </row>
    <row r="322" spans="2:2" ht="12.75" customHeight="1">
      <c r="B322" s="9"/>
    </row>
    <row r="323" spans="2:2" ht="12.75" customHeight="1">
      <c r="B323" s="9"/>
    </row>
    <row r="324" spans="2:2" ht="12.75" customHeight="1">
      <c r="B324" s="9"/>
    </row>
    <row r="325" spans="2:2" ht="12.75" customHeight="1">
      <c r="B325" s="9"/>
    </row>
    <row r="326" spans="2:2" ht="12.75" customHeight="1">
      <c r="B326" s="9"/>
    </row>
    <row r="327" spans="2:2" ht="12.75" customHeight="1">
      <c r="B327" s="9"/>
    </row>
    <row r="328" spans="2:2" ht="12.75" customHeight="1">
      <c r="B328" s="9"/>
    </row>
    <row r="329" spans="2:2" ht="12.75" customHeight="1">
      <c r="B329" s="9"/>
    </row>
    <row r="330" spans="2:2" ht="12.75" customHeight="1">
      <c r="B330" s="9"/>
    </row>
    <row r="331" spans="2:2" ht="12.75" customHeight="1">
      <c r="B331" s="9"/>
    </row>
    <row r="332" spans="2:2" ht="12.75" customHeight="1">
      <c r="B332" s="9"/>
    </row>
    <row r="333" spans="2:2" ht="12.75" customHeight="1">
      <c r="B333" s="9"/>
    </row>
    <row r="334" spans="2:2" ht="12.75" customHeight="1">
      <c r="B334" s="9"/>
    </row>
    <row r="335" spans="2:2" ht="12.75" customHeight="1">
      <c r="B335" s="9"/>
    </row>
    <row r="336" spans="2:2" ht="12.75" customHeight="1">
      <c r="B336" s="9"/>
    </row>
    <row r="337" spans="2:2" ht="12.75" customHeight="1">
      <c r="B337" s="9"/>
    </row>
    <row r="338" spans="2:2" ht="12.75" customHeight="1">
      <c r="B338" s="9"/>
    </row>
    <row r="339" spans="2:2" ht="12.75" customHeight="1">
      <c r="B339" s="9"/>
    </row>
    <row r="340" spans="2:2" ht="12.75" customHeight="1">
      <c r="B340" s="9"/>
    </row>
    <row r="341" spans="2:2" ht="12.75" customHeight="1">
      <c r="B341" s="9"/>
    </row>
    <row r="342" spans="2:2" ht="12.75" customHeight="1">
      <c r="B342" s="9"/>
    </row>
    <row r="343" spans="2:2" ht="12.75" customHeight="1">
      <c r="B343" s="9"/>
    </row>
    <row r="344" spans="2:2" ht="12.75" customHeight="1">
      <c r="B344" s="9"/>
    </row>
    <row r="345" spans="2:2" ht="12.75" customHeight="1">
      <c r="B345" s="9"/>
    </row>
    <row r="346" spans="2:2" ht="12.75" customHeight="1">
      <c r="B346" s="9"/>
    </row>
    <row r="347" spans="2:2" ht="12.75" customHeight="1">
      <c r="B347" s="9"/>
    </row>
    <row r="348" spans="2:2" ht="12.75" customHeight="1">
      <c r="B348" s="9"/>
    </row>
    <row r="349" spans="2:2" ht="12.75" customHeight="1">
      <c r="B349" s="9"/>
    </row>
    <row r="350" spans="2:2" ht="12.75" customHeight="1">
      <c r="B350" s="9"/>
    </row>
    <row r="351" spans="2:2" ht="12.75" customHeight="1">
      <c r="B351" s="9"/>
    </row>
    <row r="352" spans="2:2" ht="12.75" customHeight="1">
      <c r="B352" s="9"/>
    </row>
    <row r="353" spans="2:2" ht="12.75" customHeight="1">
      <c r="B353" s="9"/>
    </row>
    <row r="354" spans="2:2" ht="12.75" customHeight="1">
      <c r="B354" s="9"/>
    </row>
    <row r="355" spans="2:2" ht="12.75" customHeight="1">
      <c r="B355" s="9"/>
    </row>
    <row r="356" spans="2:2" ht="12.75" customHeight="1">
      <c r="B356" s="9"/>
    </row>
    <row r="357" spans="2:2" ht="12.75" customHeight="1">
      <c r="B357" s="9"/>
    </row>
    <row r="358" spans="2:2" ht="12.75" customHeight="1">
      <c r="B358" s="9"/>
    </row>
    <row r="359" spans="2:2" ht="12.75" customHeight="1">
      <c r="B359" s="9"/>
    </row>
    <row r="360" spans="2:2" ht="12.75" customHeight="1">
      <c r="B360" s="9"/>
    </row>
    <row r="361" spans="2:2" ht="12.75" customHeight="1">
      <c r="B361" s="9"/>
    </row>
    <row r="362" spans="2:2" ht="12.75" customHeight="1">
      <c r="B362" s="9"/>
    </row>
    <row r="363" spans="2:2" ht="12.75" customHeight="1">
      <c r="B363" s="9"/>
    </row>
    <row r="364" spans="2:2" ht="12.75" customHeight="1">
      <c r="B364" s="9"/>
    </row>
    <row r="365" spans="2:2" ht="12.75" customHeight="1">
      <c r="B365" s="9"/>
    </row>
    <row r="366" spans="2:2" ht="12.75" customHeight="1">
      <c r="B366" s="9"/>
    </row>
    <row r="367" spans="2:2" ht="12.75" customHeight="1">
      <c r="B367" s="9"/>
    </row>
    <row r="368" spans="2:2" ht="12.75" customHeight="1">
      <c r="B368" s="9"/>
    </row>
    <row r="369" spans="2:2" ht="12.75" customHeight="1">
      <c r="B369" s="9"/>
    </row>
    <row r="370" spans="2:2" ht="12.75" customHeight="1">
      <c r="B370" s="9"/>
    </row>
    <row r="371" spans="2:2" ht="12.75" customHeight="1">
      <c r="B371" s="9"/>
    </row>
    <row r="372" spans="2:2" ht="12.75" customHeight="1">
      <c r="B372" s="9"/>
    </row>
    <row r="373" spans="2:2" ht="12.75" customHeight="1">
      <c r="B373" s="9"/>
    </row>
    <row r="374" spans="2:2" ht="12.75" customHeight="1">
      <c r="B374" s="9"/>
    </row>
    <row r="375" spans="2:2" ht="12.75" customHeight="1">
      <c r="B375" s="9"/>
    </row>
    <row r="376" spans="2:2" ht="12.75" customHeight="1">
      <c r="B376" s="9"/>
    </row>
    <row r="377" spans="2:2" ht="12.75" customHeight="1">
      <c r="B377" s="9"/>
    </row>
    <row r="378" spans="2:2" ht="12.75" customHeight="1">
      <c r="B378" s="9"/>
    </row>
    <row r="379" spans="2:2" ht="12.75" customHeight="1">
      <c r="B379" s="9"/>
    </row>
    <row r="380" spans="2:2" ht="12.75" customHeight="1">
      <c r="B380" s="9"/>
    </row>
    <row r="381" spans="2:2" ht="12.75" customHeight="1">
      <c r="B381" s="9"/>
    </row>
    <row r="382" spans="2:2" ht="12.75" customHeight="1">
      <c r="B382" s="9"/>
    </row>
    <row r="383" spans="2:2" ht="12.75" customHeight="1">
      <c r="B383" s="9"/>
    </row>
    <row r="384" spans="2:2" ht="12.75" customHeight="1">
      <c r="B384" s="9"/>
    </row>
    <row r="385" spans="2:2" ht="12.75" customHeight="1">
      <c r="B385" s="9"/>
    </row>
    <row r="386" spans="2:2" ht="12.75" customHeight="1">
      <c r="B386" s="9"/>
    </row>
    <row r="387" spans="2:2" ht="12.75" customHeight="1">
      <c r="B387" s="9"/>
    </row>
    <row r="388" spans="2:2" ht="12.75" customHeight="1">
      <c r="B388" s="9"/>
    </row>
    <row r="389" spans="2:2" ht="12.75" customHeight="1">
      <c r="B389" s="9"/>
    </row>
    <row r="390" spans="2:2" ht="12.75" customHeight="1">
      <c r="B390" s="9"/>
    </row>
    <row r="391" spans="2:2" ht="12.75" customHeight="1">
      <c r="B391" s="9"/>
    </row>
    <row r="392" spans="2:2" ht="12.75" customHeight="1">
      <c r="B392" s="9"/>
    </row>
    <row r="393" spans="2:2" ht="12.75" customHeight="1">
      <c r="B393" s="9"/>
    </row>
    <row r="394" spans="2:2" ht="12.75" customHeight="1">
      <c r="B394" s="9"/>
    </row>
    <row r="395" spans="2:2" ht="12.75" customHeight="1">
      <c r="B395" s="9"/>
    </row>
    <row r="396" spans="2:2" ht="12.75" customHeight="1">
      <c r="B396" s="9"/>
    </row>
    <row r="397" spans="2:2" ht="12.75" customHeight="1">
      <c r="B397" s="9"/>
    </row>
    <row r="398" spans="2:2" ht="12.75" customHeight="1">
      <c r="B398" s="9"/>
    </row>
    <row r="399" spans="2:2" ht="12.75" customHeight="1">
      <c r="B399" s="9"/>
    </row>
    <row r="400" spans="2:2" ht="12.75" customHeight="1">
      <c r="B400" s="9"/>
    </row>
    <row r="401" spans="2:2" ht="12.75" customHeight="1">
      <c r="B401" s="9"/>
    </row>
    <row r="402" spans="2:2" ht="12.75" customHeight="1">
      <c r="B402" s="9"/>
    </row>
    <row r="403" spans="2:2" ht="12.75" customHeight="1">
      <c r="B403" s="9"/>
    </row>
    <row r="404" spans="2:2" ht="12.75" customHeight="1">
      <c r="B404" s="9"/>
    </row>
    <row r="405" spans="2:2" ht="12.75" customHeight="1">
      <c r="B405" s="9"/>
    </row>
    <row r="406" spans="2:2" ht="12.75" customHeight="1">
      <c r="B406" s="9"/>
    </row>
    <row r="407" spans="2:2" ht="12.75" customHeight="1">
      <c r="B407" s="9"/>
    </row>
    <row r="408" spans="2:2" ht="12.75" customHeight="1">
      <c r="B408" s="9"/>
    </row>
    <row r="409" spans="2:2" ht="12.75" customHeight="1">
      <c r="B409" s="9"/>
    </row>
    <row r="410" spans="2:2" ht="12.75" customHeight="1">
      <c r="B410" s="9"/>
    </row>
    <row r="411" spans="2:2" ht="12.75" customHeight="1">
      <c r="B411" s="9"/>
    </row>
    <row r="412" spans="2:2" ht="12.75" customHeight="1">
      <c r="B412" s="9"/>
    </row>
    <row r="413" spans="2:2" ht="12.75" customHeight="1">
      <c r="B413" s="9"/>
    </row>
    <row r="414" spans="2:2" ht="12.75" customHeight="1">
      <c r="B414" s="9"/>
    </row>
    <row r="415" spans="2:2" ht="12.75" customHeight="1">
      <c r="B415" s="9"/>
    </row>
    <row r="416" spans="2:2" ht="12.75" customHeight="1">
      <c r="B416" s="9"/>
    </row>
    <row r="417" spans="2:2" ht="12.75" customHeight="1">
      <c r="B417" s="9"/>
    </row>
    <row r="418" spans="2:2" ht="12.75" customHeight="1">
      <c r="B418" s="9"/>
    </row>
    <row r="419" spans="2:2" ht="12.75" customHeight="1">
      <c r="B419" s="9"/>
    </row>
    <row r="420" spans="2:2" ht="12.75" customHeight="1">
      <c r="B420" s="9"/>
    </row>
    <row r="421" spans="2:2" ht="12.75" customHeight="1">
      <c r="B421" s="9"/>
    </row>
    <row r="422" spans="2:2" ht="12.75" customHeight="1">
      <c r="B422" s="9"/>
    </row>
    <row r="423" spans="2:2" ht="12.75" customHeight="1">
      <c r="B423" s="9"/>
    </row>
    <row r="424" spans="2:2" ht="12.75" customHeight="1">
      <c r="B424" s="9"/>
    </row>
    <row r="425" spans="2:2" ht="12.75" customHeight="1">
      <c r="B425" s="9"/>
    </row>
    <row r="426" spans="2:2" ht="12.75" customHeight="1">
      <c r="B426" s="9"/>
    </row>
    <row r="427" spans="2:2" ht="12.75" customHeight="1">
      <c r="B427" s="9"/>
    </row>
    <row r="428" spans="2:2" ht="12.75" customHeight="1">
      <c r="B428" s="9"/>
    </row>
    <row r="429" spans="2:2" ht="12.75" customHeight="1">
      <c r="B429" s="9"/>
    </row>
    <row r="430" spans="2:2" ht="12.75" customHeight="1">
      <c r="B430" s="9"/>
    </row>
    <row r="431" spans="2:2" ht="12.75" customHeight="1">
      <c r="B431" s="9"/>
    </row>
    <row r="432" spans="2:2" ht="12.75" customHeight="1">
      <c r="B432" s="9"/>
    </row>
    <row r="433" spans="2:2" ht="12.75" customHeight="1">
      <c r="B433" s="9"/>
    </row>
    <row r="434" spans="2:2" ht="12.75" customHeight="1">
      <c r="B434" s="9"/>
    </row>
    <row r="435" spans="2:2" ht="12.75" customHeight="1">
      <c r="B435" s="9"/>
    </row>
    <row r="436" spans="2:2" ht="12.75" customHeight="1">
      <c r="B436" s="9"/>
    </row>
    <row r="437" spans="2:2" ht="12.75" customHeight="1">
      <c r="B437" s="9"/>
    </row>
    <row r="438" spans="2:2" ht="12.75" customHeight="1">
      <c r="B438" s="9"/>
    </row>
    <row r="439" spans="2:2" ht="12.75" customHeight="1">
      <c r="B439" s="9"/>
    </row>
    <row r="440" spans="2:2" ht="12.75" customHeight="1">
      <c r="B440" s="9"/>
    </row>
    <row r="441" spans="2:2" ht="12.75" customHeight="1">
      <c r="B441" s="9"/>
    </row>
    <row r="442" spans="2:2" ht="12.75" customHeight="1">
      <c r="B442" s="9"/>
    </row>
    <row r="443" spans="2:2" ht="12.75" customHeight="1">
      <c r="B443" s="9"/>
    </row>
    <row r="444" spans="2:2" ht="12.75" customHeight="1">
      <c r="B444" s="9"/>
    </row>
    <row r="445" spans="2:2" ht="12.75" customHeight="1">
      <c r="B445" s="9"/>
    </row>
    <row r="446" spans="2:2" ht="12.75" customHeight="1">
      <c r="B446" s="9"/>
    </row>
    <row r="447" spans="2:2" ht="12.75" customHeight="1">
      <c r="B447" s="9"/>
    </row>
    <row r="448" spans="2:2" ht="12.75" customHeight="1">
      <c r="B448" s="9"/>
    </row>
    <row r="449" spans="2:2" ht="12.75" customHeight="1">
      <c r="B449" s="9"/>
    </row>
    <row r="450" spans="2:2" ht="12.75" customHeight="1">
      <c r="B450" s="9"/>
    </row>
    <row r="451" spans="2:2" ht="12.75" customHeight="1">
      <c r="B451" s="9"/>
    </row>
    <row r="452" spans="2:2" ht="12.75" customHeight="1">
      <c r="B452" s="9"/>
    </row>
    <row r="453" spans="2:2" ht="12.75" customHeight="1">
      <c r="B453" s="9"/>
    </row>
    <row r="454" spans="2:2" ht="12.75" customHeight="1">
      <c r="B454" s="9"/>
    </row>
    <row r="455" spans="2:2" ht="12.75" customHeight="1">
      <c r="B455" s="9"/>
    </row>
    <row r="456" spans="2:2" ht="12.75" customHeight="1">
      <c r="B456" s="9"/>
    </row>
    <row r="457" spans="2:2" ht="12.75" customHeight="1">
      <c r="B457" s="9"/>
    </row>
    <row r="458" spans="2:2" ht="12.75" customHeight="1">
      <c r="B458" s="9"/>
    </row>
    <row r="459" spans="2:2" ht="12.75" customHeight="1">
      <c r="B459" s="9"/>
    </row>
    <row r="460" spans="2:2" ht="12.75" customHeight="1">
      <c r="B460" s="9"/>
    </row>
    <row r="461" spans="2:2" ht="12.75" customHeight="1">
      <c r="B461" s="9"/>
    </row>
    <row r="462" spans="2:2" ht="12.75" customHeight="1">
      <c r="B462" s="9"/>
    </row>
    <row r="463" spans="2:2" ht="12.75" customHeight="1">
      <c r="B463" s="9"/>
    </row>
    <row r="464" spans="2:2" ht="12.75" customHeight="1">
      <c r="B464" s="9"/>
    </row>
    <row r="465" spans="2:2" ht="12.75" customHeight="1">
      <c r="B465" s="9"/>
    </row>
    <row r="466" spans="2:2" ht="12.75" customHeight="1">
      <c r="B466" s="9"/>
    </row>
    <row r="467" spans="2:2" ht="12.75" customHeight="1">
      <c r="B467" s="9"/>
    </row>
    <row r="468" spans="2:2" ht="12.75" customHeight="1">
      <c r="B468" s="9"/>
    </row>
    <row r="469" spans="2:2" ht="12.75" customHeight="1">
      <c r="B469" s="9"/>
    </row>
    <row r="470" spans="2:2" ht="12.75" customHeight="1">
      <c r="B470" s="9"/>
    </row>
    <row r="471" spans="2:2" ht="12.75" customHeight="1">
      <c r="B471" s="9"/>
    </row>
    <row r="472" spans="2:2" ht="12.75" customHeight="1">
      <c r="B472" s="9"/>
    </row>
    <row r="473" spans="2:2" ht="12.75" customHeight="1">
      <c r="B473" s="9"/>
    </row>
    <row r="474" spans="2:2" ht="12.75" customHeight="1">
      <c r="B474" s="9"/>
    </row>
    <row r="475" spans="2:2" ht="12.75" customHeight="1">
      <c r="B475" s="9"/>
    </row>
    <row r="476" spans="2:2" ht="12.75" customHeight="1">
      <c r="B476" s="9"/>
    </row>
    <row r="477" spans="2:2" ht="12.75" customHeight="1">
      <c r="B477" s="9"/>
    </row>
    <row r="478" spans="2:2" ht="12.75" customHeight="1">
      <c r="B478" s="9"/>
    </row>
    <row r="479" spans="2:2" ht="12.75" customHeight="1">
      <c r="B479" s="9"/>
    </row>
    <row r="480" spans="2:2" ht="12.75" customHeight="1">
      <c r="B480" s="9"/>
    </row>
    <row r="481" spans="2:2" ht="12.75" customHeight="1">
      <c r="B481" s="9"/>
    </row>
    <row r="482" spans="2:2" ht="12.75" customHeight="1">
      <c r="B482" s="9"/>
    </row>
    <row r="483" spans="2:2" ht="12.75" customHeight="1">
      <c r="B483" s="9"/>
    </row>
    <row r="484" spans="2:2" ht="12.75" customHeight="1">
      <c r="B484" s="9"/>
    </row>
    <row r="485" spans="2:2" ht="12.75" customHeight="1">
      <c r="B485" s="9"/>
    </row>
    <row r="486" spans="2:2" ht="12.75" customHeight="1">
      <c r="B486" s="9"/>
    </row>
    <row r="487" spans="2:2" ht="12.75" customHeight="1">
      <c r="B487" s="9"/>
    </row>
    <row r="488" spans="2:2" ht="12.75" customHeight="1">
      <c r="B488" s="9"/>
    </row>
    <row r="489" spans="2:2" ht="12.75" customHeight="1">
      <c r="B489" s="9"/>
    </row>
    <row r="490" spans="2:2" ht="12.75" customHeight="1">
      <c r="B490" s="9"/>
    </row>
    <row r="491" spans="2:2" ht="12.75" customHeight="1">
      <c r="B491" s="9"/>
    </row>
    <row r="492" spans="2:2" ht="12.75" customHeight="1">
      <c r="B492" s="9"/>
    </row>
    <row r="493" spans="2:2" ht="12.75" customHeight="1">
      <c r="B493" s="9"/>
    </row>
    <row r="494" spans="2:2" ht="12.75" customHeight="1">
      <c r="B494" s="9"/>
    </row>
    <row r="495" spans="2:2" ht="12.75" customHeight="1">
      <c r="B495" s="9"/>
    </row>
    <row r="496" spans="2:2" ht="12.75" customHeight="1">
      <c r="B496" s="9"/>
    </row>
    <row r="497" spans="2:2" ht="12.75" customHeight="1">
      <c r="B497" s="9"/>
    </row>
    <row r="498" spans="2:2" ht="12.75" customHeight="1">
      <c r="B498" s="9"/>
    </row>
    <row r="499" spans="2:2" ht="12.75" customHeight="1">
      <c r="B499" s="9"/>
    </row>
    <row r="500" spans="2:2" ht="12.75" customHeight="1">
      <c r="B500" s="9"/>
    </row>
    <row r="501" spans="2:2" ht="12.75" customHeight="1">
      <c r="B501" s="9"/>
    </row>
    <row r="502" spans="2:2" ht="12.75" customHeight="1">
      <c r="B502" s="9"/>
    </row>
    <row r="503" spans="2:2" ht="12.75" customHeight="1">
      <c r="B503" s="9"/>
    </row>
    <row r="504" spans="2:2" ht="12.75" customHeight="1">
      <c r="B504" s="9"/>
    </row>
    <row r="505" spans="2:2" ht="12.75" customHeight="1">
      <c r="B505" s="9"/>
    </row>
    <row r="506" spans="2:2" ht="12.75" customHeight="1">
      <c r="B506" s="9"/>
    </row>
    <row r="507" spans="2:2" ht="12.75" customHeight="1">
      <c r="B507" s="9"/>
    </row>
    <row r="508" spans="2:2" ht="12.75" customHeight="1">
      <c r="B508" s="9"/>
    </row>
    <row r="509" spans="2:2" ht="12.75" customHeight="1">
      <c r="B509" s="9"/>
    </row>
    <row r="510" spans="2:2" ht="12.75" customHeight="1">
      <c r="B510" s="9"/>
    </row>
    <row r="511" spans="2:2" ht="12.75" customHeight="1">
      <c r="B511" s="9"/>
    </row>
    <row r="512" spans="2:2" ht="12.75" customHeight="1">
      <c r="B512" s="9"/>
    </row>
    <row r="513" spans="2:2" ht="12.75" customHeight="1">
      <c r="B513" s="9"/>
    </row>
    <row r="514" spans="2:2" ht="12.75" customHeight="1">
      <c r="B514" s="9"/>
    </row>
    <row r="515" spans="2:2" ht="12.75" customHeight="1">
      <c r="B515" s="9"/>
    </row>
    <row r="516" spans="2:2" ht="12.75" customHeight="1">
      <c r="B516" s="9"/>
    </row>
    <row r="517" spans="2:2" ht="12.75" customHeight="1">
      <c r="B517" s="9"/>
    </row>
    <row r="518" spans="2:2" ht="12.75" customHeight="1">
      <c r="B518" s="9"/>
    </row>
    <row r="519" spans="2:2" ht="12.75" customHeight="1">
      <c r="B519" s="9"/>
    </row>
    <row r="520" spans="2:2" ht="12.75" customHeight="1">
      <c r="B520" s="9"/>
    </row>
    <row r="521" spans="2:2" ht="12.75" customHeight="1">
      <c r="B521" s="9"/>
    </row>
    <row r="522" spans="2:2" ht="12.75" customHeight="1">
      <c r="B522" s="9"/>
    </row>
    <row r="523" spans="2:2" ht="12.75" customHeight="1">
      <c r="B523" s="9"/>
    </row>
    <row r="524" spans="2:2" ht="12.75" customHeight="1">
      <c r="B524" s="9"/>
    </row>
    <row r="525" spans="2:2" ht="12.75" customHeight="1">
      <c r="B525" s="9"/>
    </row>
    <row r="526" spans="2:2" ht="12.75" customHeight="1">
      <c r="B526" s="9"/>
    </row>
    <row r="527" spans="2:2" ht="12.75" customHeight="1">
      <c r="B527" s="9"/>
    </row>
    <row r="528" spans="2:2" ht="12.75" customHeight="1">
      <c r="B528" s="9"/>
    </row>
    <row r="529" spans="2:2" ht="12.75" customHeight="1">
      <c r="B529" s="9"/>
    </row>
    <row r="530" spans="2:2" ht="12.75" customHeight="1">
      <c r="B530" s="9"/>
    </row>
    <row r="531" spans="2:2" ht="12.75" customHeight="1">
      <c r="B531" s="9"/>
    </row>
    <row r="532" spans="2:2" ht="12.75" customHeight="1">
      <c r="B532" s="9"/>
    </row>
    <row r="533" spans="2:2" ht="12.75" customHeight="1">
      <c r="B533" s="9"/>
    </row>
    <row r="534" spans="2:2" ht="12.75" customHeight="1">
      <c r="B534" s="9"/>
    </row>
    <row r="535" spans="2:2" ht="12.75" customHeight="1">
      <c r="B535" s="9"/>
    </row>
    <row r="536" spans="2:2" ht="12.75" customHeight="1">
      <c r="B536" s="9"/>
    </row>
    <row r="537" spans="2:2" ht="12.75" customHeight="1">
      <c r="B537" s="9"/>
    </row>
    <row r="538" spans="2:2" ht="12.75" customHeight="1">
      <c r="B538" s="9"/>
    </row>
    <row r="539" spans="2:2" ht="12.75" customHeight="1">
      <c r="B539" s="9"/>
    </row>
    <row r="540" spans="2:2" ht="12.75" customHeight="1">
      <c r="B540" s="9"/>
    </row>
    <row r="541" spans="2:2" ht="12.75" customHeight="1">
      <c r="B541" s="9"/>
    </row>
    <row r="542" spans="2:2" ht="12.75" customHeight="1">
      <c r="B542" s="9"/>
    </row>
    <row r="543" spans="2:2" ht="12.75" customHeight="1">
      <c r="B543" s="9"/>
    </row>
    <row r="544" spans="2:2" ht="12.75" customHeight="1">
      <c r="B544" s="9"/>
    </row>
    <row r="545" spans="2:2" ht="12.75" customHeight="1">
      <c r="B545" s="9"/>
    </row>
    <row r="546" spans="2:2" ht="12.75" customHeight="1">
      <c r="B546" s="9"/>
    </row>
    <row r="547" spans="2:2" ht="12.75" customHeight="1">
      <c r="B547" s="9"/>
    </row>
    <row r="548" spans="2:2" ht="12.75" customHeight="1">
      <c r="B548" s="9"/>
    </row>
    <row r="549" spans="2:2" ht="12.75" customHeight="1">
      <c r="B549" s="9"/>
    </row>
    <row r="550" spans="2:2" ht="12.75" customHeight="1">
      <c r="B550" s="9"/>
    </row>
    <row r="551" spans="2:2" ht="12.75" customHeight="1">
      <c r="B551" s="9"/>
    </row>
    <row r="552" spans="2:2" ht="12.75" customHeight="1">
      <c r="B552" s="9"/>
    </row>
    <row r="553" spans="2:2" ht="12.75" customHeight="1">
      <c r="B553" s="9"/>
    </row>
    <row r="554" spans="2:2" ht="12.75" customHeight="1">
      <c r="B554" s="9"/>
    </row>
    <row r="555" spans="2:2" ht="12.75" customHeight="1">
      <c r="B555" s="9"/>
    </row>
    <row r="556" spans="2:2" ht="12.75" customHeight="1">
      <c r="B556" s="9"/>
    </row>
    <row r="557" spans="2:2" ht="12.75" customHeight="1">
      <c r="B557" s="9"/>
    </row>
    <row r="558" spans="2:2" ht="12.75" customHeight="1">
      <c r="B558" s="9"/>
    </row>
    <row r="559" spans="2:2" ht="12.75" customHeight="1">
      <c r="B559" s="9"/>
    </row>
    <row r="560" spans="2:2" ht="12.75" customHeight="1">
      <c r="B560" s="9"/>
    </row>
    <row r="561" spans="2:2" ht="12.75" customHeight="1">
      <c r="B561" s="9"/>
    </row>
    <row r="562" spans="2:2" ht="12.75" customHeight="1">
      <c r="B562" s="9"/>
    </row>
    <row r="563" spans="2:2" ht="12.75" customHeight="1">
      <c r="B563" s="9"/>
    </row>
    <row r="564" spans="2:2" ht="12.75" customHeight="1">
      <c r="B564" s="9"/>
    </row>
    <row r="565" spans="2:2" ht="12.75" customHeight="1">
      <c r="B565" s="9"/>
    </row>
    <row r="566" spans="2:2" ht="12.75" customHeight="1">
      <c r="B566" s="9"/>
    </row>
    <row r="567" spans="2:2" ht="12.75" customHeight="1">
      <c r="B567" s="9"/>
    </row>
    <row r="568" spans="2:2" ht="12.75" customHeight="1">
      <c r="B568" s="9"/>
    </row>
    <row r="569" spans="2:2" ht="12.75" customHeight="1">
      <c r="B569" s="9"/>
    </row>
    <row r="570" spans="2:2" ht="12.75" customHeight="1">
      <c r="B570" s="9"/>
    </row>
    <row r="571" spans="2:2" ht="12.75" customHeight="1">
      <c r="B571" s="9"/>
    </row>
    <row r="572" spans="2:2" ht="12.75" customHeight="1">
      <c r="B572" s="9"/>
    </row>
    <row r="573" spans="2:2" ht="12.75" customHeight="1">
      <c r="B573" s="9"/>
    </row>
    <row r="574" spans="2:2" ht="12.75" customHeight="1">
      <c r="B574" s="9"/>
    </row>
    <row r="575" spans="2:2" ht="12.75" customHeight="1">
      <c r="B575" s="9"/>
    </row>
    <row r="576" spans="2:2" ht="12.75" customHeight="1">
      <c r="B576" s="9"/>
    </row>
    <row r="577" spans="2:2" ht="12.75" customHeight="1">
      <c r="B577" s="9"/>
    </row>
    <row r="578" spans="2:2" ht="12.75" customHeight="1">
      <c r="B578" s="9"/>
    </row>
    <row r="579" spans="2:2" ht="12.75" customHeight="1">
      <c r="B579" s="9"/>
    </row>
    <row r="580" spans="2:2" ht="12.75" customHeight="1">
      <c r="B580" s="9"/>
    </row>
    <row r="581" spans="2:2" ht="12.75" customHeight="1">
      <c r="B581" s="9"/>
    </row>
    <row r="582" spans="2:2" ht="12.75" customHeight="1">
      <c r="B582" s="9"/>
    </row>
    <row r="583" spans="2:2" ht="12.75" customHeight="1">
      <c r="B583" s="9"/>
    </row>
    <row r="584" spans="2:2" ht="12.75" customHeight="1">
      <c r="B584" s="9"/>
    </row>
    <row r="585" spans="2:2" ht="12.75" customHeight="1">
      <c r="B585" s="9"/>
    </row>
    <row r="586" spans="2:2" ht="12.75" customHeight="1">
      <c r="B586" s="9"/>
    </row>
    <row r="587" spans="2:2" ht="12.75" customHeight="1">
      <c r="B587" s="9"/>
    </row>
    <row r="588" spans="2:2" ht="12.75" customHeight="1">
      <c r="B588" s="9"/>
    </row>
    <row r="589" spans="2:2" ht="12.75" customHeight="1">
      <c r="B589" s="9"/>
    </row>
    <row r="590" spans="2:2" ht="12.75" customHeight="1">
      <c r="B590" s="9"/>
    </row>
    <row r="591" spans="2:2" ht="12.75" customHeight="1">
      <c r="B591" s="9"/>
    </row>
    <row r="592" spans="2:2" ht="12.75" customHeight="1">
      <c r="B592" s="9"/>
    </row>
    <row r="593" spans="2:2" ht="12.75" customHeight="1">
      <c r="B593" s="9"/>
    </row>
    <row r="594" spans="2:2" ht="12.75" customHeight="1">
      <c r="B594" s="9"/>
    </row>
    <row r="595" spans="2:2" ht="12.75" customHeight="1">
      <c r="B595" s="9"/>
    </row>
    <row r="596" spans="2:2" ht="12.75" customHeight="1">
      <c r="B596" s="9"/>
    </row>
    <row r="597" spans="2:2" ht="12.75" customHeight="1">
      <c r="B597" s="9"/>
    </row>
    <row r="598" spans="2:2" ht="12.75" customHeight="1">
      <c r="B598" s="9"/>
    </row>
    <row r="599" spans="2:2" ht="12.75" customHeight="1">
      <c r="B599" s="9"/>
    </row>
    <row r="600" spans="2:2" ht="12.75" customHeight="1">
      <c r="B600" s="9"/>
    </row>
    <row r="601" spans="2:2" ht="12.75" customHeight="1">
      <c r="B601" s="9"/>
    </row>
    <row r="602" spans="2:2" ht="12.75" customHeight="1">
      <c r="B602" s="9"/>
    </row>
    <row r="603" spans="2:2" ht="12.75" customHeight="1">
      <c r="B603" s="9"/>
    </row>
    <row r="604" spans="2:2" ht="12.75" customHeight="1">
      <c r="B604" s="9"/>
    </row>
    <row r="605" spans="2:2" ht="12.75" customHeight="1">
      <c r="B605" s="9"/>
    </row>
    <row r="606" spans="2:2" ht="12.75" customHeight="1">
      <c r="B606" s="9"/>
    </row>
    <row r="607" spans="2:2" ht="12.75" customHeight="1">
      <c r="B607" s="9"/>
    </row>
    <row r="608" spans="2:2" ht="12.75" customHeight="1">
      <c r="B608" s="9"/>
    </row>
    <row r="609" spans="2:2" ht="12.75" customHeight="1">
      <c r="B609" s="9"/>
    </row>
    <row r="610" spans="2:2" ht="12.75" customHeight="1">
      <c r="B610" s="9"/>
    </row>
    <row r="611" spans="2:2" ht="12.75" customHeight="1">
      <c r="B611" s="9"/>
    </row>
    <row r="612" spans="2:2" ht="12.75" customHeight="1">
      <c r="B612" s="9"/>
    </row>
    <row r="613" spans="2:2" ht="12.75" customHeight="1">
      <c r="B613" s="9"/>
    </row>
    <row r="614" spans="2:2" ht="12.75" customHeight="1">
      <c r="B614" s="9"/>
    </row>
    <row r="615" spans="2:2" ht="12.75" customHeight="1">
      <c r="B615" s="9"/>
    </row>
    <row r="616" spans="2:2" ht="12.75" customHeight="1">
      <c r="B616" s="9"/>
    </row>
    <row r="617" spans="2:2" ht="12.75" customHeight="1">
      <c r="B617" s="9"/>
    </row>
    <row r="618" spans="2:2" ht="12.75" customHeight="1">
      <c r="B618" s="9"/>
    </row>
    <row r="619" spans="2:2" ht="12.75" customHeight="1">
      <c r="B619" s="9"/>
    </row>
    <row r="620" spans="2:2" ht="12.75" customHeight="1">
      <c r="B620" s="9"/>
    </row>
    <row r="621" spans="2:2" ht="12.75" customHeight="1">
      <c r="B621" s="9"/>
    </row>
    <row r="622" spans="2:2" ht="12.75" customHeight="1">
      <c r="B622" s="9"/>
    </row>
    <row r="623" spans="2:2" ht="12.75" customHeight="1">
      <c r="B623" s="9"/>
    </row>
    <row r="624" spans="2:2" ht="12.75" customHeight="1">
      <c r="B624" s="9"/>
    </row>
    <row r="625" spans="2:2" ht="12.75" customHeight="1">
      <c r="B625" s="9"/>
    </row>
    <row r="626" spans="2:2" ht="12.75" customHeight="1">
      <c r="B626" s="9"/>
    </row>
    <row r="627" spans="2:2" ht="12.75" customHeight="1">
      <c r="B627" s="9"/>
    </row>
    <row r="628" spans="2:2" ht="12.75" customHeight="1">
      <c r="B628" s="9"/>
    </row>
    <row r="629" spans="2:2" ht="12.75" customHeight="1">
      <c r="B629" s="9"/>
    </row>
    <row r="630" spans="2:2" ht="12.75" customHeight="1">
      <c r="B630" s="9"/>
    </row>
    <row r="631" spans="2:2" ht="12.75" customHeight="1">
      <c r="B631" s="9"/>
    </row>
    <row r="632" spans="2:2" ht="12.75" customHeight="1">
      <c r="B632" s="9"/>
    </row>
    <row r="633" spans="2:2" ht="12.75" customHeight="1">
      <c r="B633" s="9"/>
    </row>
    <row r="634" spans="2:2" ht="12.75" customHeight="1">
      <c r="B634" s="9"/>
    </row>
    <row r="635" spans="2:2" ht="12.75" customHeight="1">
      <c r="B635" s="9"/>
    </row>
    <row r="636" spans="2:2" ht="12.75" customHeight="1">
      <c r="B636" s="9"/>
    </row>
    <row r="637" spans="2:2" ht="12.75" customHeight="1">
      <c r="B637" s="9"/>
    </row>
    <row r="638" spans="2:2" ht="12.75" customHeight="1">
      <c r="B638" s="9"/>
    </row>
    <row r="639" spans="2:2" ht="12.75" customHeight="1">
      <c r="B639" s="9"/>
    </row>
    <row r="640" spans="2:2" ht="12.75" customHeight="1">
      <c r="B640" s="9"/>
    </row>
    <row r="641" spans="2:2" ht="12.75" customHeight="1">
      <c r="B641" s="9"/>
    </row>
    <row r="642" spans="2:2" ht="12.75" customHeight="1">
      <c r="B642" s="9"/>
    </row>
    <row r="643" spans="2:2" ht="12.75" customHeight="1">
      <c r="B643" s="9"/>
    </row>
    <row r="644" spans="2:2" ht="12.75" customHeight="1">
      <c r="B644" s="9"/>
    </row>
    <row r="645" spans="2:2" ht="12.75" customHeight="1">
      <c r="B645" s="9"/>
    </row>
    <row r="646" spans="2:2" ht="12.75" customHeight="1">
      <c r="B646" s="9"/>
    </row>
    <row r="647" spans="2:2" ht="12.75" customHeight="1">
      <c r="B647" s="9"/>
    </row>
    <row r="648" spans="2:2" ht="12.75" customHeight="1">
      <c r="B648" s="9"/>
    </row>
    <row r="649" spans="2:2" ht="12.75" customHeight="1">
      <c r="B649" s="9"/>
    </row>
    <row r="650" spans="2:2" ht="12.75" customHeight="1">
      <c r="B650" s="9"/>
    </row>
    <row r="651" spans="2:2" ht="12.75" customHeight="1">
      <c r="B651" s="9"/>
    </row>
    <row r="652" spans="2:2" ht="12.75" customHeight="1">
      <c r="B652" s="9"/>
    </row>
    <row r="653" spans="2:2" ht="12.75" customHeight="1">
      <c r="B653" s="9"/>
    </row>
    <row r="654" spans="2:2" ht="12.75" customHeight="1">
      <c r="B654" s="9"/>
    </row>
    <row r="655" spans="2:2" ht="12.75" customHeight="1">
      <c r="B655" s="9"/>
    </row>
    <row r="656" spans="2:2" ht="12.75" customHeight="1">
      <c r="B656" s="9"/>
    </row>
    <row r="657" spans="2:2" ht="12.75" customHeight="1">
      <c r="B657" s="9"/>
    </row>
    <row r="658" spans="2:2" ht="12.75" customHeight="1">
      <c r="B658" s="9"/>
    </row>
    <row r="659" spans="2:2" ht="12.75" customHeight="1">
      <c r="B659" s="9"/>
    </row>
    <row r="660" spans="2:2" ht="12.75" customHeight="1">
      <c r="B660" s="9"/>
    </row>
    <row r="661" spans="2:2" ht="12.75" customHeight="1">
      <c r="B661" s="9"/>
    </row>
    <row r="662" spans="2:2" ht="12.75" customHeight="1">
      <c r="B662" s="9"/>
    </row>
    <row r="663" spans="2:2" ht="12.75" customHeight="1">
      <c r="B663" s="9"/>
    </row>
    <row r="664" spans="2:2" ht="12.75" customHeight="1">
      <c r="B664" s="9"/>
    </row>
    <row r="665" spans="2:2" ht="12.75" customHeight="1">
      <c r="B665" s="9"/>
    </row>
    <row r="666" spans="2:2" ht="12.75" customHeight="1">
      <c r="B666" s="9"/>
    </row>
    <row r="667" spans="2:2" ht="12.75" customHeight="1">
      <c r="B667" s="9"/>
    </row>
    <row r="668" spans="2:2" ht="12.75" customHeight="1">
      <c r="B668" s="9"/>
    </row>
    <row r="669" spans="2:2" ht="12.75" customHeight="1">
      <c r="B669" s="9"/>
    </row>
    <row r="670" spans="2:2" ht="12.75" customHeight="1">
      <c r="B670" s="9"/>
    </row>
    <row r="671" spans="2:2" ht="12.75" customHeight="1">
      <c r="B671" s="9"/>
    </row>
    <row r="672" spans="2:2" ht="12.75" customHeight="1">
      <c r="B672" s="9"/>
    </row>
    <row r="673" spans="2:2" ht="12.75" customHeight="1">
      <c r="B673" s="9"/>
    </row>
    <row r="674" spans="2:2" ht="12.75" customHeight="1">
      <c r="B674" s="9"/>
    </row>
    <row r="675" spans="2:2" ht="12.75" customHeight="1">
      <c r="B675" s="9"/>
    </row>
    <row r="676" spans="2:2" ht="12.75" customHeight="1">
      <c r="B676" s="9"/>
    </row>
    <row r="677" spans="2:2" ht="12.75" customHeight="1">
      <c r="B677" s="9"/>
    </row>
    <row r="678" spans="2:2" ht="12.75" customHeight="1">
      <c r="B678" s="9"/>
    </row>
    <row r="679" spans="2:2" ht="12.75" customHeight="1">
      <c r="B679" s="9"/>
    </row>
    <row r="680" spans="2:2" ht="12.75" customHeight="1">
      <c r="B680" s="9"/>
    </row>
    <row r="681" spans="2:2" ht="12.75" customHeight="1">
      <c r="B681" s="9"/>
    </row>
    <row r="682" spans="2:2" ht="12.75" customHeight="1">
      <c r="B682" s="9"/>
    </row>
    <row r="683" spans="2:2" ht="12.75" customHeight="1">
      <c r="B683" s="9"/>
    </row>
    <row r="684" spans="2:2" ht="12.75" customHeight="1">
      <c r="B684" s="9"/>
    </row>
    <row r="685" spans="2:2" ht="12.75" customHeight="1">
      <c r="B685" s="9"/>
    </row>
    <row r="686" spans="2:2" ht="12.75" customHeight="1">
      <c r="B686" s="9"/>
    </row>
    <row r="687" spans="2:2" ht="12.75" customHeight="1">
      <c r="B687" s="9"/>
    </row>
    <row r="688" spans="2:2" ht="12.75" customHeight="1">
      <c r="B688" s="9"/>
    </row>
    <row r="689" spans="2:2" ht="12.75" customHeight="1">
      <c r="B689" s="9"/>
    </row>
    <row r="690" spans="2:2" ht="12.75" customHeight="1">
      <c r="B690" s="9"/>
    </row>
    <row r="691" spans="2:2" ht="12.75" customHeight="1">
      <c r="B691" s="9"/>
    </row>
    <row r="692" spans="2:2" ht="12.75" customHeight="1">
      <c r="B692" s="9"/>
    </row>
    <row r="693" spans="2:2" ht="12.75" customHeight="1">
      <c r="B693" s="9"/>
    </row>
    <row r="694" spans="2:2" ht="12.75" customHeight="1">
      <c r="B694" s="9"/>
    </row>
    <row r="695" spans="2:2" ht="12.75" customHeight="1">
      <c r="B695" s="9"/>
    </row>
    <row r="696" spans="2:2" ht="12.75" customHeight="1">
      <c r="B696" s="9"/>
    </row>
    <row r="697" spans="2:2" ht="12.75" customHeight="1">
      <c r="B697" s="9"/>
    </row>
    <row r="698" spans="2:2" ht="12.75" customHeight="1">
      <c r="B698" s="9"/>
    </row>
    <row r="699" spans="2:2" ht="12.75" customHeight="1">
      <c r="B699" s="9"/>
    </row>
    <row r="700" spans="2:2" ht="12.75" customHeight="1">
      <c r="B700" s="9"/>
    </row>
    <row r="701" spans="2:2" ht="12.75" customHeight="1">
      <c r="B701" s="9"/>
    </row>
    <row r="702" spans="2:2" ht="12.75" customHeight="1">
      <c r="B702" s="9"/>
    </row>
    <row r="703" spans="2:2" ht="12.75" customHeight="1">
      <c r="B703" s="9"/>
    </row>
    <row r="704" spans="2:2" ht="12.75" customHeight="1">
      <c r="B704" s="9"/>
    </row>
    <row r="705" spans="2:2" ht="12.75" customHeight="1">
      <c r="B705" s="9"/>
    </row>
    <row r="706" spans="2:2" ht="12.75" customHeight="1">
      <c r="B706" s="9"/>
    </row>
    <row r="707" spans="2:2" ht="12.75" customHeight="1">
      <c r="B707" s="9"/>
    </row>
    <row r="708" spans="2:2" ht="12.75" customHeight="1">
      <c r="B708" s="9"/>
    </row>
    <row r="709" spans="2:2" ht="12.75" customHeight="1">
      <c r="B709" s="9"/>
    </row>
    <row r="710" spans="2:2" ht="12.75" customHeight="1">
      <c r="B710" s="9"/>
    </row>
    <row r="711" spans="2:2" ht="12.75" customHeight="1">
      <c r="B711" s="9"/>
    </row>
    <row r="712" spans="2:2" ht="12.75" customHeight="1">
      <c r="B712" s="9"/>
    </row>
    <row r="713" spans="2:2" ht="12.75" customHeight="1">
      <c r="B713" s="9"/>
    </row>
    <row r="714" spans="2:2" ht="12.75" customHeight="1">
      <c r="B714" s="9"/>
    </row>
    <row r="715" spans="2:2" ht="12.75" customHeight="1">
      <c r="B715" s="9"/>
    </row>
    <row r="716" spans="2:2" ht="12.75" customHeight="1">
      <c r="B716" s="9"/>
    </row>
    <row r="717" spans="2:2" ht="12.75" customHeight="1">
      <c r="B717" s="9"/>
    </row>
    <row r="718" spans="2:2" ht="12.75" customHeight="1">
      <c r="B718" s="9"/>
    </row>
    <row r="719" spans="2:2" ht="12.75" customHeight="1">
      <c r="B719" s="9"/>
    </row>
    <row r="720" spans="2:2" ht="12.75" customHeight="1">
      <c r="B720" s="9"/>
    </row>
    <row r="721" spans="2:2" ht="12.75" customHeight="1">
      <c r="B721" s="9"/>
    </row>
    <row r="722" spans="2:2" ht="12.75" customHeight="1">
      <c r="B722" s="9"/>
    </row>
    <row r="723" spans="2:2" ht="12.75" customHeight="1">
      <c r="B723" s="9"/>
    </row>
    <row r="724" spans="2:2" ht="12.75" customHeight="1">
      <c r="B724" s="9"/>
    </row>
    <row r="725" spans="2:2" ht="12.75" customHeight="1">
      <c r="B725" s="9"/>
    </row>
    <row r="726" spans="2:2" ht="12.75" customHeight="1">
      <c r="B726" s="9"/>
    </row>
    <row r="727" spans="2:2" ht="12.75" customHeight="1">
      <c r="B727" s="9"/>
    </row>
    <row r="728" spans="2:2" ht="12.75" customHeight="1">
      <c r="B728" s="9"/>
    </row>
    <row r="729" spans="2:2" ht="12.75" customHeight="1">
      <c r="B729" s="9"/>
    </row>
    <row r="730" spans="2:2" ht="12.75" customHeight="1">
      <c r="B730" s="9"/>
    </row>
    <row r="731" spans="2:2" ht="12.75" customHeight="1">
      <c r="B731" s="9"/>
    </row>
    <row r="732" spans="2:2" ht="12.75" customHeight="1">
      <c r="B732" s="9"/>
    </row>
    <row r="733" spans="2:2" ht="12.75" customHeight="1">
      <c r="B733" s="9"/>
    </row>
    <row r="734" spans="2:2" ht="12.75" customHeight="1">
      <c r="B734" s="9"/>
    </row>
    <row r="735" spans="2:2" ht="12.75" customHeight="1">
      <c r="B735" s="9"/>
    </row>
    <row r="736" spans="2:2" ht="12.75" customHeight="1">
      <c r="B736" s="9"/>
    </row>
    <row r="737" spans="2:2" ht="12.75" customHeight="1">
      <c r="B737" s="9"/>
    </row>
    <row r="738" spans="2:2" ht="12.75" customHeight="1">
      <c r="B738" s="9"/>
    </row>
    <row r="739" spans="2:2" ht="12.75" customHeight="1">
      <c r="B739" s="9"/>
    </row>
    <row r="740" spans="2:2" ht="12.75" customHeight="1">
      <c r="B740" s="9"/>
    </row>
    <row r="741" spans="2:2" ht="12.75" customHeight="1">
      <c r="B741" s="9"/>
    </row>
    <row r="742" spans="2:2" ht="12.75" customHeight="1">
      <c r="B742" s="9"/>
    </row>
    <row r="743" spans="2:2" ht="12.75" customHeight="1">
      <c r="B743" s="9"/>
    </row>
    <row r="744" spans="2:2" ht="12.75" customHeight="1">
      <c r="B744" s="9"/>
    </row>
    <row r="745" spans="2:2" ht="12.75" customHeight="1">
      <c r="B745" s="9"/>
    </row>
    <row r="746" spans="2:2" ht="12.75" customHeight="1">
      <c r="B746" s="9"/>
    </row>
    <row r="747" spans="2:2" ht="12.75" customHeight="1">
      <c r="B747" s="9"/>
    </row>
    <row r="748" spans="2:2" ht="12.75" customHeight="1">
      <c r="B748" s="9"/>
    </row>
    <row r="749" spans="2:2" ht="12.75" customHeight="1">
      <c r="B749" s="9"/>
    </row>
    <row r="750" spans="2:2" ht="12.75" customHeight="1">
      <c r="B750" s="9"/>
    </row>
    <row r="751" spans="2:2" ht="12.75" customHeight="1">
      <c r="B751" s="9"/>
    </row>
    <row r="752" spans="2:2" ht="12.75" customHeight="1">
      <c r="B752" s="9"/>
    </row>
    <row r="753" spans="2:2" ht="12.75" customHeight="1">
      <c r="B753" s="9"/>
    </row>
    <row r="754" spans="2:2" ht="12.75" customHeight="1">
      <c r="B754" s="9"/>
    </row>
    <row r="755" spans="2:2" ht="12.75" customHeight="1">
      <c r="B755" s="9"/>
    </row>
    <row r="756" spans="2:2" ht="12.75" customHeight="1">
      <c r="B756" s="9"/>
    </row>
    <row r="757" spans="2:2" ht="12.75" customHeight="1">
      <c r="B757" s="9"/>
    </row>
    <row r="758" spans="2:2" ht="12.75" customHeight="1">
      <c r="B758" s="9"/>
    </row>
    <row r="759" spans="2:2" ht="12.75" customHeight="1">
      <c r="B759" s="9"/>
    </row>
    <row r="760" spans="2:2" ht="12.75" customHeight="1">
      <c r="B760" s="9"/>
    </row>
    <row r="761" spans="2:2" ht="12.75" customHeight="1">
      <c r="B761" s="9"/>
    </row>
    <row r="762" spans="2:2" ht="12.75" customHeight="1">
      <c r="B762" s="9"/>
    </row>
    <row r="763" spans="2:2" ht="12.75" customHeight="1">
      <c r="B763" s="9"/>
    </row>
    <row r="764" spans="2:2" ht="12.75" customHeight="1">
      <c r="B764" s="9"/>
    </row>
    <row r="765" spans="2:2" ht="12.75" customHeight="1">
      <c r="B765" s="9"/>
    </row>
    <row r="766" spans="2:2" ht="12.75" customHeight="1">
      <c r="B766" s="9"/>
    </row>
    <row r="767" spans="2:2" ht="12.75" customHeight="1">
      <c r="B767" s="9"/>
    </row>
    <row r="768" spans="2:2" ht="12.75" customHeight="1">
      <c r="B768" s="9"/>
    </row>
    <row r="769" spans="2:2" ht="12.75" customHeight="1">
      <c r="B769" s="9"/>
    </row>
    <row r="770" spans="2:2" ht="12.75" customHeight="1">
      <c r="B770" s="9"/>
    </row>
    <row r="771" spans="2:2" ht="12.75" customHeight="1">
      <c r="B771" s="9"/>
    </row>
    <row r="772" spans="2:2" ht="12.75" customHeight="1">
      <c r="B772" s="9"/>
    </row>
    <row r="773" spans="2:2" ht="12.75" customHeight="1">
      <c r="B773" s="9"/>
    </row>
    <row r="774" spans="2:2" ht="12.75" customHeight="1">
      <c r="B774" s="9"/>
    </row>
    <row r="775" spans="2:2" ht="12.75" customHeight="1">
      <c r="B775" s="9"/>
    </row>
    <row r="776" spans="2:2" ht="12.75" customHeight="1">
      <c r="B776" s="9"/>
    </row>
    <row r="777" spans="2:2" ht="12.75" customHeight="1">
      <c r="B777" s="9"/>
    </row>
    <row r="778" spans="2:2" ht="12.75" customHeight="1">
      <c r="B778" s="9"/>
    </row>
    <row r="779" spans="2:2" ht="12.75" customHeight="1">
      <c r="B779" s="9"/>
    </row>
    <row r="780" spans="2:2" ht="12.75" customHeight="1">
      <c r="B780" s="9"/>
    </row>
    <row r="781" spans="2:2" ht="12.75" customHeight="1">
      <c r="B781" s="9"/>
    </row>
    <row r="782" spans="2:2" ht="12.75" customHeight="1">
      <c r="B782" s="9"/>
    </row>
    <row r="783" spans="2:2" ht="12.75" customHeight="1">
      <c r="B783" s="9"/>
    </row>
    <row r="784" spans="2:2" ht="12.75" customHeight="1">
      <c r="B784" s="9"/>
    </row>
    <row r="785" spans="2:2" ht="12.75" customHeight="1">
      <c r="B785" s="9"/>
    </row>
    <row r="786" spans="2:2" ht="12.75" customHeight="1">
      <c r="B786" s="9"/>
    </row>
    <row r="787" spans="2:2" ht="12.75" customHeight="1">
      <c r="B787" s="9"/>
    </row>
    <row r="788" spans="2:2" ht="12.75" customHeight="1">
      <c r="B788" s="9"/>
    </row>
    <row r="789" spans="2:2" ht="12.75" customHeight="1">
      <c r="B789" s="9"/>
    </row>
    <row r="790" spans="2:2" ht="12.75" customHeight="1">
      <c r="B790" s="9"/>
    </row>
    <row r="791" spans="2:2" ht="12.75" customHeight="1">
      <c r="B791" s="9"/>
    </row>
    <row r="792" spans="2:2" ht="12.75" customHeight="1">
      <c r="B792" s="9"/>
    </row>
    <row r="793" spans="2:2" ht="12.75" customHeight="1">
      <c r="B793" s="9"/>
    </row>
    <row r="794" spans="2:2" ht="12.75" customHeight="1">
      <c r="B794" s="9"/>
    </row>
    <row r="795" spans="2:2" ht="12.75" customHeight="1">
      <c r="B795" s="9"/>
    </row>
    <row r="796" spans="2:2" ht="12.75" customHeight="1">
      <c r="B796" s="9"/>
    </row>
    <row r="797" spans="2:2" ht="12.75" customHeight="1">
      <c r="B797" s="9"/>
    </row>
    <row r="798" spans="2:2" ht="12.75" customHeight="1">
      <c r="B798" s="9"/>
    </row>
    <row r="799" spans="2:2" ht="12.75" customHeight="1">
      <c r="B799" s="9"/>
    </row>
    <row r="800" spans="2:2" ht="12.75" customHeight="1">
      <c r="B800" s="9"/>
    </row>
    <row r="801" spans="2:2" ht="12.75" customHeight="1">
      <c r="B801" s="9"/>
    </row>
    <row r="802" spans="2:2" ht="12.75" customHeight="1">
      <c r="B802" s="9"/>
    </row>
    <row r="803" spans="2:2" ht="12.75" customHeight="1">
      <c r="B803" s="9"/>
    </row>
    <row r="804" spans="2:2" ht="12.75" customHeight="1">
      <c r="B804" s="9"/>
    </row>
    <row r="805" spans="2:2" ht="12.75" customHeight="1">
      <c r="B805" s="9"/>
    </row>
    <row r="806" spans="2:2" ht="12.75" customHeight="1">
      <c r="B806" s="9"/>
    </row>
    <row r="807" spans="2:2" ht="12.75" customHeight="1">
      <c r="B807" s="9"/>
    </row>
    <row r="808" spans="2:2" ht="12.75" customHeight="1">
      <c r="B808" s="9"/>
    </row>
    <row r="809" spans="2:2" ht="12.75" customHeight="1">
      <c r="B809" s="9"/>
    </row>
    <row r="810" spans="2:2" ht="12.75" customHeight="1">
      <c r="B810" s="9"/>
    </row>
    <row r="811" spans="2:2" ht="12.75" customHeight="1">
      <c r="B811" s="9"/>
    </row>
    <row r="812" spans="2:2" ht="12.75" customHeight="1">
      <c r="B812" s="9"/>
    </row>
    <row r="813" spans="2:2" ht="12.75" customHeight="1">
      <c r="B813" s="9"/>
    </row>
    <row r="814" spans="2:2" ht="12.75" customHeight="1">
      <c r="B814" s="9"/>
    </row>
    <row r="815" spans="2:2" ht="12.75" customHeight="1">
      <c r="B815" s="9"/>
    </row>
    <row r="816" spans="2:2" ht="12.75" customHeight="1">
      <c r="B816" s="9"/>
    </row>
    <row r="817" spans="2:2" ht="12.75" customHeight="1">
      <c r="B817" s="9"/>
    </row>
    <row r="818" spans="2:2" ht="12.75" customHeight="1">
      <c r="B818" s="9"/>
    </row>
    <row r="819" spans="2:2" ht="12.75" customHeight="1">
      <c r="B819" s="9"/>
    </row>
    <row r="820" spans="2:2" ht="12.75" customHeight="1">
      <c r="B820" s="9"/>
    </row>
    <row r="821" spans="2:2" ht="12.75" customHeight="1">
      <c r="B821" s="9"/>
    </row>
    <row r="822" spans="2:2" ht="12.75" customHeight="1">
      <c r="B822" s="9"/>
    </row>
    <row r="823" spans="2:2" ht="12.75" customHeight="1">
      <c r="B823" s="9"/>
    </row>
    <row r="824" spans="2:2" ht="12.75" customHeight="1">
      <c r="B824" s="9"/>
    </row>
    <row r="825" spans="2:2" ht="12.75" customHeight="1">
      <c r="B825" s="9"/>
    </row>
    <row r="826" spans="2:2" ht="12.75" customHeight="1">
      <c r="B826" s="9"/>
    </row>
    <row r="827" spans="2:2" ht="12.75" customHeight="1">
      <c r="B827" s="9"/>
    </row>
    <row r="828" spans="2:2" ht="12.75" customHeight="1">
      <c r="B828" s="9"/>
    </row>
    <row r="829" spans="2:2" ht="12.75" customHeight="1">
      <c r="B829" s="9"/>
    </row>
    <row r="830" spans="2:2" ht="12.75" customHeight="1">
      <c r="B830" s="9"/>
    </row>
    <row r="831" spans="2:2" ht="12.75" customHeight="1">
      <c r="B831" s="9"/>
    </row>
    <row r="832" spans="2:2" ht="12.75" customHeight="1">
      <c r="B832" s="9"/>
    </row>
    <row r="833" spans="2:2" ht="12.75" customHeight="1">
      <c r="B833" s="9"/>
    </row>
    <row r="834" spans="2:2" ht="12.75" customHeight="1">
      <c r="B834" s="9"/>
    </row>
    <row r="835" spans="2:2" ht="12.75" customHeight="1">
      <c r="B835" s="9"/>
    </row>
    <row r="836" spans="2:2" ht="12.75" customHeight="1">
      <c r="B836" s="9"/>
    </row>
    <row r="837" spans="2:2" ht="12.75" customHeight="1">
      <c r="B837" s="9"/>
    </row>
    <row r="838" spans="2:2" ht="12.75" customHeight="1">
      <c r="B838" s="9"/>
    </row>
    <row r="839" spans="2:2" ht="12.75" customHeight="1">
      <c r="B839" s="9"/>
    </row>
    <row r="840" spans="2:2" ht="12.75" customHeight="1">
      <c r="B840" s="9"/>
    </row>
    <row r="841" spans="2:2" ht="12.75" customHeight="1">
      <c r="B841" s="9"/>
    </row>
    <row r="842" spans="2:2" ht="12.75" customHeight="1">
      <c r="B842" s="9"/>
    </row>
    <row r="843" spans="2:2" ht="12.75" customHeight="1">
      <c r="B843" s="9"/>
    </row>
    <row r="844" spans="2:2" ht="12.75" customHeight="1">
      <c r="B844" s="9"/>
    </row>
    <row r="845" spans="2:2" ht="12.75" customHeight="1">
      <c r="B845" s="9"/>
    </row>
    <row r="846" spans="2:2" ht="12.75" customHeight="1">
      <c r="B846" s="9"/>
    </row>
    <row r="847" spans="2:2" ht="12.75" customHeight="1">
      <c r="B847" s="9"/>
    </row>
    <row r="848" spans="2:2" ht="12.75" customHeight="1">
      <c r="B848" s="9"/>
    </row>
    <row r="849" spans="2:2" ht="12.75" customHeight="1">
      <c r="B849" s="9"/>
    </row>
    <row r="850" spans="2:2" ht="12.75" customHeight="1">
      <c r="B850" s="9"/>
    </row>
    <row r="851" spans="2:2" ht="12.75" customHeight="1">
      <c r="B851" s="9"/>
    </row>
    <row r="852" spans="2:2" ht="12.75" customHeight="1">
      <c r="B852" s="9"/>
    </row>
    <row r="853" spans="2:2" ht="12.75" customHeight="1">
      <c r="B853" s="9"/>
    </row>
    <row r="854" spans="2:2" ht="12.75" customHeight="1">
      <c r="B854" s="9"/>
    </row>
    <row r="855" spans="2:2" ht="12.75" customHeight="1">
      <c r="B855" s="9"/>
    </row>
    <row r="856" spans="2:2" ht="12.75" customHeight="1">
      <c r="B856" s="9"/>
    </row>
    <row r="857" spans="2:2" ht="12.75" customHeight="1">
      <c r="B857" s="9"/>
    </row>
    <row r="858" spans="2:2" ht="12.75" customHeight="1">
      <c r="B858" s="9"/>
    </row>
    <row r="859" spans="2:2" ht="12.75" customHeight="1">
      <c r="B859" s="9"/>
    </row>
    <row r="860" spans="2:2" ht="12.75" customHeight="1">
      <c r="B860" s="9"/>
    </row>
    <row r="861" spans="2:2" ht="12.75" customHeight="1">
      <c r="B861" s="9"/>
    </row>
    <row r="862" spans="2:2" ht="12.75" customHeight="1">
      <c r="B862" s="9"/>
    </row>
    <row r="863" spans="2:2" ht="12.75" customHeight="1">
      <c r="B863" s="9"/>
    </row>
    <row r="864" spans="2:2" ht="12.75" customHeight="1">
      <c r="B864" s="9"/>
    </row>
    <row r="865" spans="2:2" ht="12.75" customHeight="1">
      <c r="B865" s="9"/>
    </row>
    <row r="866" spans="2:2" ht="12.75" customHeight="1">
      <c r="B866" s="9"/>
    </row>
    <row r="867" spans="2:2" ht="12.75" customHeight="1">
      <c r="B867" s="9"/>
    </row>
    <row r="868" spans="2:2" ht="12.75" customHeight="1">
      <c r="B868" s="9"/>
    </row>
    <row r="869" spans="2:2" ht="12.75" customHeight="1">
      <c r="B869" s="9"/>
    </row>
    <row r="870" spans="2:2" ht="12.75" customHeight="1">
      <c r="B870" s="9"/>
    </row>
    <row r="871" spans="2:2" ht="12.75" customHeight="1">
      <c r="B871" s="9"/>
    </row>
    <row r="872" spans="2:2" ht="12.75" customHeight="1">
      <c r="B872" s="9"/>
    </row>
    <row r="873" spans="2:2" ht="12.75" customHeight="1">
      <c r="B873" s="9"/>
    </row>
    <row r="874" spans="2:2" ht="12.75" customHeight="1">
      <c r="B874" s="9"/>
    </row>
    <row r="875" spans="2:2" ht="12.75" customHeight="1">
      <c r="B875" s="9"/>
    </row>
    <row r="876" spans="2:2" ht="12.75" customHeight="1">
      <c r="B876" s="9"/>
    </row>
    <row r="877" spans="2:2" ht="12.75" customHeight="1">
      <c r="B877" s="9"/>
    </row>
    <row r="878" spans="2:2" ht="12.75" customHeight="1">
      <c r="B878" s="9"/>
    </row>
    <row r="879" spans="2:2" ht="12.75" customHeight="1">
      <c r="B879" s="9"/>
    </row>
    <row r="880" spans="2:2" ht="12.75" customHeight="1">
      <c r="B880" s="9"/>
    </row>
    <row r="881" spans="2:2" ht="12.75" customHeight="1">
      <c r="B881" s="9"/>
    </row>
    <row r="882" spans="2:2" ht="12.75" customHeight="1">
      <c r="B882" s="9"/>
    </row>
    <row r="883" spans="2:2" ht="12.75" customHeight="1">
      <c r="B883" s="9"/>
    </row>
    <row r="884" spans="2:2" ht="12.75" customHeight="1">
      <c r="B884" s="9"/>
    </row>
    <row r="885" spans="2:2" ht="12.75" customHeight="1">
      <c r="B885" s="9"/>
    </row>
    <row r="886" spans="2:2" ht="12.75" customHeight="1">
      <c r="B886" s="9"/>
    </row>
    <row r="887" spans="2:2" ht="12.75" customHeight="1">
      <c r="B887" s="9"/>
    </row>
    <row r="888" spans="2:2" ht="12.75" customHeight="1">
      <c r="B888" s="9"/>
    </row>
    <row r="889" spans="2:2" ht="12.75" customHeight="1">
      <c r="B889" s="9"/>
    </row>
    <row r="890" spans="2:2" ht="12.75" customHeight="1">
      <c r="B890" s="9"/>
    </row>
    <row r="891" spans="2:2" ht="12.75" customHeight="1">
      <c r="B891" s="9"/>
    </row>
    <row r="892" spans="2:2" ht="12.75" customHeight="1">
      <c r="B892" s="9"/>
    </row>
    <row r="893" spans="2:2" ht="12.75" customHeight="1">
      <c r="B893" s="9"/>
    </row>
    <row r="894" spans="2:2" ht="12.75" customHeight="1">
      <c r="B894" s="9"/>
    </row>
    <row r="895" spans="2:2" ht="12.75" customHeight="1">
      <c r="B895" s="9"/>
    </row>
    <row r="896" spans="2:2" ht="12.75" customHeight="1">
      <c r="B896" s="9"/>
    </row>
    <row r="897" spans="2:2" ht="12.75" customHeight="1">
      <c r="B897" s="9"/>
    </row>
    <row r="898" spans="2:2" ht="12.75" customHeight="1">
      <c r="B898" s="9"/>
    </row>
    <row r="899" spans="2:2" ht="12.75" customHeight="1">
      <c r="B899" s="9"/>
    </row>
    <row r="900" spans="2:2" ht="12.75" customHeight="1">
      <c r="B900" s="9"/>
    </row>
    <row r="901" spans="2:2" ht="12.75" customHeight="1">
      <c r="B901" s="9"/>
    </row>
    <row r="902" spans="2:2" ht="12.75" customHeight="1">
      <c r="B902" s="9"/>
    </row>
    <row r="903" spans="2:2" ht="12.75" customHeight="1">
      <c r="B903" s="9"/>
    </row>
    <row r="904" spans="2:2" ht="12.75" customHeight="1">
      <c r="B904" s="9"/>
    </row>
    <row r="905" spans="2:2" ht="12.75" customHeight="1">
      <c r="B905" s="9"/>
    </row>
    <row r="906" spans="2:2" ht="12.75" customHeight="1">
      <c r="B906" s="9"/>
    </row>
    <row r="907" spans="2:2" ht="12.75" customHeight="1">
      <c r="B907" s="9"/>
    </row>
    <row r="908" spans="2:2" ht="12.75" customHeight="1">
      <c r="B908" s="9"/>
    </row>
    <row r="909" spans="2:2" ht="12.75" customHeight="1">
      <c r="B909" s="9"/>
    </row>
    <row r="910" spans="2:2" ht="12.75" customHeight="1">
      <c r="B910" s="9"/>
    </row>
    <row r="911" spans="2:2" ht="12.75" customHeight="1">
      <c r="B911" s="9"/>
    </row>
    <row r="912" spans="2:2" ht="12.75" customHeight="1">
      <c r="B912" s="9"/>
    </row>
    <row r="913" spans="2:2" ht="12.75" customHeight="1">
      <c r="B913" s="9"/>
    </row>
    <row r="914" spans="2:2" ht="12.75" customHeight="1">
      <c r="B914" s="9"/>
    </row>
    <row r="915" spans="2:2" ht="12.75" customHeight="1">
      <c r="B915" s="9"/>
    </row>
    <row r="916" spans="2:2" ht="12.75" customHeight="1">
      <c r="B916" s="9"/>
    </row>
    <row r="917" spans="2:2" ht="12.75" customHeight="1">
      <c r="B917" s="9"/>
    </row>
    <row r="918" spans="2:2" ht="12.75" customHeight="1">
      <c r="B918" s="9"/>
    </row>
    <row r="919" spans="2:2" ht="12.75" customHeight="1">
      <c r="B919" s="9"/>
    </row>
    <row r="920" spans="2:2" ht="12.75" customHeight="1">
      <c r="B920" s="9"/>
    </row>
    <row r="921" spans="2:2" ht="12.75" customHeight="1">
      <c r="B921" s="9"/>
    </row>
    <row r="922" spans="2:2" ht="12.75" customHeight="1">
      <c r="B922" s="9"/>
    </row>
    <row r="923" spans="2:2" ht="12.75" customHeight="1">
      <c r="B923" s="9"/>
    </row>
    <row r="924" spans="2:2" ht="12.75" customHeight="1">
      <c r="B924" s="9"/>
    </row>
    <row r="925" spans="2:2" ht="12.75" customHeight="1">
      <c r="B925" s="9"/>
    </row>
    <row r="926" spans="2:2" ht="12.75" customHeight="1">
      <c r="B926" s="9"/>
    </row>
    <row r="927" spans="2:2" ht="12.75" customHeight="1">
      <c r="B927" s="9"/>
    </row>
    <row r="928" spans="2:2" ht="12.75" customHeight="1">
      <c r="B928" s="9"/>
    </row>
    <row r="929" spans="2:2" ht="12.75" customHeight="1">
      <c r="B929" s="9"/>
    </row>
    <row r="930" spans="2:2" ht="12.75" customHeight="1">
      <c r="B930" s="9"/>
    </row>
    <row r="931" spans="2:2" ht="12.75" customHeight="1">
      <c r="B931" s="9"/>
    </row>
    <row r="932" spans="2:2" ht="12.75" customHeight="1">
      <c r="B932" s="9"/>
    </row>
    <row r="933" spans="2:2" ht="12.75" customHeight="1">
      <c r="B933" s="9"/>
    </row>
    <row r="934" spans="2:2" ht="12.75" customHeight="1">
      <c r="B934" s="9"/>
    </row>
    <row r="935" spans="2:2" ht="12.75" customHeight="1">
      <c r="B935" s="9"/>
    </row>
    <row r="936" spans="2:2" ht="12.75" customHeight="1">
      <c r="B936" s="9"/>
    </row>
    <row r="937" spans="2:2" ht="12.75" customHeight="1">
      <c r="B937" s="9"/>
    </row>
    <row r="938" spans="2:2" ht="12.75" customHeight="1">
      <c r="B938" s="9"/>
    </row>
    <row r="939" spans="2:2" ht="12.75" customHeight="1">
      <c r="B939" s="9"/>
    </row>
    <row r="940" spans="2:2" ht="12.75" customHeight="1">
      <c r="B940" s="9"/>
    </row>
    <row r="941" spans="2:2" ht="12.75" customHeight="1">
      <c r="B941" s="9"/>
    </row>
    <row r="942" spans="2:2" ht="12.75" customHeight="1">
      <c r="B942" s="9"/>
    </row>
    <row r="943" spans="2:2" ht="12.75" customHeight="1">
      <c r="B943" s="9"/>
    </row>
    <row r="944" spans="2:2" ht="12.75" customHeight="1">
      <c r="B944" s="9"/>
    </row>
    <row r="945" spans="2:2" ht="12.75" customHeight="1">
      <c r="B945" s="9"/>
    </row>
    <row r="946" spans="2:2" ht="12.75" customHeight="1">
      <c r="B946" s="9"/>
    </row>
    <row r="947" spans="2:2" ht="12.75" customHeight="1">
      <c r="B947" s="9"/>
    </row>
    <row r="948" spans="2:2" ht="12.75" customHeight="1">
      <c r="B948" s="9"/>
    </row>
    <row r="949" spans="2:2" ht="12.75" customHeight="1">
      <c r="B949" s="9"/>
    </row>
    <row r="950" spans="2:2" ht="12.75" customHeight="1">
      <c r="B950" s="9"/>
    </row>
    <row r="951" spans="2:2" ht="12.75" customHeight="1">
      <c r="B951" s="9"/>
    </row>
    <row r="952" spans="2:2" ht="12.75" customHeight="1">
      <c r="B952" s="9"/>
    </row>
    <row r="953" spans="2:2" ht="12.75" customHeight="1">
      <c r="B953" s="9"/>
    </row>
    <row r="954" spans="2:2" ht="12.75" customHeight="1">
      <c r="B954" s="9"/>
    </row>
    <row r="955" spans="2:2" ht="12.75" customHeight="1">
      <c r="B955" s="9"/>
    </row>
    <row r="956" spans="2:2" ht="12.75" customHeight="1">
      <c r="B956" s="9"/>
    </row>
    <row r="957" spans="2:2" ht="12.75" customHeight="1">
      <c r="B957" s="9"/>
    </row>
    <row r="958" spans="2:2" ht="12.75" customHeight="1">
      <c r="B958" s="9"/>
    </row>
    <row r="959" spans="2:2" ht="12.75" customHeight="1">
      <c r="B959" s="9"/>
    </row>
    <row r="960" spans="2:2" ht="12.75" customHeight="1">
      <c r="B960" s="9"/>
    </row>
    <row r="961" spans="2:2" ht="12.75" customHeight="1">
      <c r="B961" s="9"/>
    </row>
    <row r="962" spans="2:2" ht="12.75" customHeight="1">
      <c r="B962" s="9"/>
    </row>
    <row r="963" spans="2:2" ht="12.75" customHeight="1">
      <c r="B963" s="9"/>
    </row>
    <row r="964" spans="2:2" ht="12.75" customHeight="1">
      <c r="B964" s="9"/>
    </row>
    <row r="965" spans="2:2" ht="12.75" customHeight="1">
      <c r="B965" s="9"/>
    </row>
    <row r="966" spans="2:2" ht="12.75" customHeight="1">
      <c r="B966" s="9"/>
    </row>
    <row r="967" spans="2:2" ht="12.75" customHeight="1">
      <c r="B967" s="9"/>
    </row>
    <row r="968" spans="2:2" ht="12.75" customHeight="1">
      <c r="B968" s="9"/>
    </row>
    <row r="969" spans="2:2" ht="12.75" customHeight="1">
      <c r="B969" s="9"/>
    </row>
    <row r="970" spans="2:2" ht="12.75" customHeight="1">
      <c r="B970" s="9"/>
    </row>
    <row r="971" spans="2:2" ht="12.75" customHeight="1">
      <c r="B971" s="9"/>
    </row>
    <row r="972" spans="2:2" ht="12.75" customHeight="1">
      <c r="B972" s="9"/>
    </row>
    <row r="973" spans="2:2" ht="12.75" customHeight="1">
      <c r="B973" s="9"/>
    </row>
    <row r="974" spans="2:2" ht="12.75" customHeight="1">
      <c r="B974" s="9"/>
    </row>
    <row r="975" spans="2:2" ht="12.75" customHeight="1">
      <c r="B975" s="9"/>
    </row>
    <row r="976" spans="2:2" ht="12.75" customHeight="1">
      <c r="B976" s="9"/>
    </row>
    <row r="977" spans="2:2" ht="12.75" customHeight="1">
      <c r="B977" s="9"/>
    </row>
    <row r="978" spans="2:2" ht="12.75" customHeight="1">
      <c r="B978" s="9"/>
    </row>
    <row r="979" spans="2:2" ht="12.75" customHeight="1">
      <c r="B979" s="9"/>
    </row>
    <row r="980" spans="2:2" ht="12.75" customHeight="1">
      <c r="B980" s="9"/>
    </row>
    <row r="981" spans="2:2" ht="12.75" customHeight="1">
      <c r="B981" s="9"/>
    </row>
    <row r="982" spans="2:2" ht="12.75" customHeight="1">
      <c r="B982" s="9"/>
    </row>
    <row r="983" spans="2:2" ht="12.75" customHeight="1">
      <c r="B983" s="9"/>
    </row>
    <row r="984" spans="2:2" ht="12.75" customHeight="1">
      <c r="B984" s="9"/>
    </row>
    <row r="985" spans="2:2" ht="12.75" customHeight="1">
      <c r="B985" s="9"/>
    </row>
    <row r="986" spans="2:2" ht="12.75" customHeight="1">
      <c r="B986" s="9"/>
    </row>
    <row r="987" spans="2:2" ht="12.75" customHeight="1">
      <c r="B987" s="9"/>
    </row>
    <row r="988" spans="2:2" ht="12.75" customHeight="1">
      <c r="B988" s="9"/>
    </row>
    <row r="989" spans="2:2" ht="12.75" customHeight="1">
      <c r="B989" s="9"/>
    </row>
    <row r="990" spans="2:2" ht="12.75" customHeight="1">
      <c r="B990" s="9"/>
    </row>
    <row r="991" spans="2:2" ht="12.75" customHeight="1">
      <c r="B991" s="9"/>
    </row>
    <row r="992" spans="2:2" ht="12.75" customHeight="1">
      <c r="B992" s="9"/>
    </row>
    <row r="993" spans="2:2" ht="12.75" customHeight="1">
      <c r="B993" s="9"/>
    </row>
    <row r="994" spans="2:2" ht="12.75" customHeight="1">
      <c r="B994" s="9"/>
    </row>
    <row r="995" spans="2:2" ht="12.75" customHeight="1">
      <c r="B995" s="9"/>
    </row>
    <row r="996" spans="2:2" ht="12.75" customHeight="1">
      <c r="B996" s="9"/>
    </row>
    <row r="997" spans="2:2" ht="12.75" customHeight="1">
      <c r="B997" s="9"/>
    </row>
    <row r="998" spans="2:2" ht="12.75" customHeight="1">
      <c r="B998" s="9"/>
    </row>
    <row r="999" spans="2:2" ht="12.75" customHeight="1">
      <c r="B999" s="9"/>
    </row>
    <row r="1000" spans="2:2" ht="12.75" customHeight="1">
      <c r="B1000" s="9"/>
    </row>
  </sheetData>
  <mergeCells count="29">
    <mergeCell ref="C1:E1"/>
    <mergeCell ref="N3:P3"/>
    <mergeCell ref="Q3:S3"/>
    <mergeCell ref="Z3:AB3"/>
    <mergeCell ref="AC3:AE3"/>
    <mergeCell ref="AO3:AQ3"/>
    <mergeCell ref="B2:G2"/>
    <mergeCell ref="N2:S2"/>
    <mergeCell ref="Z2:AE2"/>
    <mergeCell ref="AL2:AQ2"/>
    <mergeCell ref="B3:D3"/>
    <mergeCell ref="E3:G3"/>
    <mergeCell ref="E7:F8"/>
    <mergeCell ref="B7:C8"/>
    <mergeCell ref="D7:D8"/>
    <mergeCell ref="G7:G8"/>
    <mergeCell ref="AL3:AN3"/>
    <mergeCell ref="N7:O8"/>
    <mergeCell ref="P7:P8"/>
    <mergeCell ref="Q7:R8"/>
    <mergeCell ref="S7:S8"/>
    <mergeCell ref="Z7:AA8"/>
    <mergeCell ref="AO7:AP8"/>
    <mergeCell ref="AQ7:AQ8"/>
    <mergeCell ref="AB7:AB8"/>
    <mergeCell ref="AC7:AD8"/>
    <mergeCell ref="AE7:AE8"/>
    <mergeCell ref="AL7:AM8"/>
    <mergeCell ref="AN7:AN8"/>
  </mergeCells>
  <phoneticPr fontId="2" type="noConversion"/>
  <hyperlinks>
    <hyperlink ref="C1" r:id="rId1" xr:uid="{00000000-0004-0000-0300-000000000000}"/>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1. Yahoo Finance瞭解財政狀況</vt:lpstr>
      <vt:lpstr>1-1. 瞭解收入變化(總收益Total Revenue)</vt:lpstr>
      <vt:lpstr>2. Investor Relation瞭解基本業務</vt:lpstr>
      <vt:lpstr>3. PE市盈率分析股價</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吳銘儒MingruWu</dc:creator>
  <cp:lastModifiedBy>FNU LNU</cp:lastModifiedBy>
  <dcterms:created xsi:type="dcterms:W3CDTF">2006-09-16T00:00:00Z</dcterms:created>
  <dcterms:modified xsi:type="dcterms:W3CDTF">2022-04-19T12:17:14Z</dcterms:modified>
</cp:coreProperties>
</file>