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0102-my.sharepoint.com/personal/m5271384265_aps0102_onmicrosoft_com/Documents/git/"/>
    </mc:Choice>
  </mc:AlternateContent>
  <xr:revisionPtr revIDLastSave="4" documentId="13_ncr:1_{E3414C75-75D0-4B41-9128-E8E41890D37E}" xr6:coauthVersionLast="47" xr6:coauthVersionMax="47" xr10:uidLastSave="{0DFC22B3-84CF-4C91-A187-A4B5FDB01B70}"/>
  <bookViews>
    <workbookView xWindow="-120" yWindow="-120" windowWidth="29040" windowHeight="15840" tabRatio="686" xr2:uid="{FFD7388E-8E59-4253-BCDA-5CAF9D5D2E51}"/>
  </bookViews>
  <sheets>
    <sheet name="總表" sheetId="1" r:id="rId1"/>
    <sheet name="工作底稿" sheetId="11" r:id="rId2"/>
    <sheet name="財務比率季表" sheetId="2" r:id="rId3"/>
    <sheet name="現金流量季表" sheetId="4" r:id="rId4"/>
    <sheet name="月營收" sheetId="5" r:id="rId5"/>
    <sheet name="日K" sheetId="6" r:id="rId6"/>
    <sheet name="周K" sheetId="7" r:id="rId7"/>
    <sheet name="股利政策與本益比" sheetId="8" r:id="rId8"/>
    <sheet name="神秘金字塔" sheetId="9" r:id="rId9"/>
    <sheet name="股票代號" sheetId="10" r:id="rId10"/>
    <sheet name="券商名單" sheetId="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Y252" i="11" l="1"/>
  <c r="CY253" i="11"/>
  <c r="CY254" i="11"/>
  <c r="CY255" i="11"/>
  <c r="CY256" i="11"/>
  <c r="CY257" i="11"/>
  <c r="CY258" i="11"/>
  <c r="CY259" i="11"/>
  <c r="CY260" i="11"/>
  <c r="CY261" i="11"/>
  <c r="CY262" i="11"/>
  <c r="CY263" i="11"/>
  <c r="CY264" i="11"/>
  <c r="CY265" i="11"/>
  <c r="A3" i="9"/>
  <c r="A3" i="8"/>
  <c r="C3" i="7"/>
  <c r="A3" i="7"/>
  <c r="E3" i="7" s="1"/>
  <c r="C3" i="6"/>
  <c r="A3" i="6"/>
  <c r="E3" i="6" s="1"/>
  <c r="AY7" i="11" s="1"/>
  <c r="C3" i="5"/>
  <c r="A3" i="5"/>
  <c r="C3" i="4"/>
  <c r="C3" i="2"/>
  <c r="A3" i="4"/>
  <c r="A3" i="2"/>
  <c r="D2" i="1"/>
  <c r="C2" i="1"/>
  <c r="B2" i="1"/>
  <c r="CO5" i="11"/>
  <c r="CO7" i="11" s="1"/>
  <c r="CS5" i="11"/>
  <c r="CS7" i="11" s="1"/>
  <c r="CW5" i="11"/>
  <c r="CK217" i="11"/>
  <c r="CK218" i="11"/>
  <c r="CK219" i="11"/>
  <c r="CK220" i="11"/>
  <c r="CK221" i="11"/>
  <c r="CK222" i="11"/>
  <c r="CK223" i="11"/>
  <c r="CK224" i="11"/>
  <c r="CK225" i="11"/>
  <c r="CK226" i="11"/>
  <c r="CK227" i="11"/>
  <c r="CK228" i="11"/>
  <c r="CK229" i="11"/>
  <c r="CK230" i="11"/>
  <c r="CK231" i="11"/>
  <c r="CK232" i="11"/>
  <c r="CK233" i="11"/>
  <c r="CK234" i="11"/>
  <c r="CK235" i="11"/>
  <c r="CK236" i="11"/>
  <c r="CK237" i="11"/>
  <c r="CK238" i="11"/>
  <c r="CK239" i="11"/>
  <c r="CK240" i="11"/>
  <c r="CK241" i="11"/>
  <c r="CK242" i="11"/>
  <c r="CK243" i="11"/>
  <c r="CK244" i="11"/>
  <c r="CK245" i="11"/>
  <c r="CK246" i="11"/>
  <c r="CK247" i="11"/>
  <c r="CK248" i="11"/>
  <c r="CK249" i="11"/>
  <c r="CK250" i="11"/>
  <c r="CK251" i="11"/>
  <c r="CK252" i="11"/>
  <c r="CK253" i="11"/>
  <c r="CK254" i="11"/>
  <c r="CK255" i="11"/>
  <c r="CK256" i="11"/>
  <c r="CK257" i="11"/>
  <c r="CK258" i="11"/>
  <c r="CK259" i="11"/>
  <c r="CK260" i="11"/>
  <c r="CK261" i="11"/>
  <c r="CK262" i="11"/>
  <c r="CK263" i="11"/>
  <c r="CK264" i="11"/>
  <c r="CK265" i="11"/>
  <c r="CK208" i="11"/>
  <c r="CK209" i="11"/>
  <c r="CK210" i="11"/>
  <c r="CK211" i="11"/>
  <c r="CK212" i="11"/>
  <c r="CK213" i="11"/>
  <c r="CK214" i="11"/>
  <c r="CK215" i="11"/>
  <c r="CK216" i="11"/>
  <c r="CK195" i="11"/>
  <c r="CK196" i="11"/>
  <c r="CU196" i="11" s="1"/>
  <c r="CK197" i="11"/>
  <c r="CK198" i="11"/>
  <c r="CK199" i="11"/>
  <c r="CK200" i="11"/>
  <c r="CK201" i="11"/>
  <c r="CK202" i="11"/>
  <c r="CK203" i="11"/>
  <c r="CK204" i="11"/>
  <c r="CK205" i="11"/>
  <c r="CK206" i="11"/>
  <c r="CK207" i="11"/>
  <c r="CK90" i="11"/>
  <c r="CK91" i="11"/>
  <c r="CK92" i="11"/>
  <c r="CK93" i="11"/>
  <c r="CK94" i="11"/>
  <c r="CK95" i="11"/>
  <c r="CK96" i="11"/>
  <c r="CK97" i="11"/>
  <c r="CK98" i="11"/>
  <c r="CK99" i="11"/>
  <c r="CK100" i="11"/>
  <c r="CK101" i="11"/>
  <c r="CK102" i="11"/>
  <c r="CK103" i="11"/>
  <c r="CK104" i="11"/>
  <c r="CK105" i="11"/>
  <c r="CK106" i="11"/>
  <c r="CK107" i="11"/>
  <c r="CK108" i="11"/>
  <c r="CK109" i="11"/>
  <c r="CK110" i="11"/>
  <c r="CK111" i="11"/>
  <c r="CK112" i="11"/>
  <c r="CK113" i="11"/>
  <c r="CK114" i="11"/>
  <c r="CK115" i="11"/>
  <c r="CK116" i="11"/>
  <c r="CK117" i="11"/>
  <c r="CK118" i="11"/>
  <c r="CK119" i="11"/>
  <c r="CK120" i="11"/>
  <c r="CK121" i="11"/>
  <c r="CK122" i="11"/>
  <c r="CK123" i="11"/>
  <c r="CK124" i="11"/>
  <c r="CK125" i="11"/>
  <c r="CK126" i="11"/>
  <c r="CK127" i="11"/>
  <c r="CK128" i="11"/>
  <c r="CK129" i="11"/>
  <c r="CK130" i="11"/>
  <c r="CK131" i="11"/>
  <c r="CK132" i="11"/>
  <c r="CK133" i="11"/>
  <c r="CK134" i="11"/>
  <c r="CK135" i="11"/>
  <c r="CK136" i="11"/>
  <c r="CK137" i="11"/>
  <c r="CK138" i="11"/>
  <c r="CK139" i="11"/>
  <c r="CK140" i="11"/>
  <c r="CK141" i="11"/>
  <c r="CK142" i="11"/>
  <c r="CK143" i="11"/>
  <c r="CK144" i="11"/>
  <c r="CK145" i="11"/>
  <c r="CK146" i="11"/>
  <c r="CK147" i="11"/>
  <c r="CK148" i="11"/>
  <c r="CK149" i="11"/>
  <c r="CK150" i="11"/>
  <c r="CK151" i="11"/>
  <c r="CK152" i="11"/>
  <c r="CK153" i="11"/>
  <c r="CK154" i="11"/>
  <c r="CK155" i="11"/>
  <c r="CK156" i="11"/>
  <c r="CK157" i="11"/>
  <c r="CK158" i="11"/>
  <c r="CK159" i="11"/>
  <c r="CK160" i="11"/>
  <c r="CK161" i="11"/>
  <c r="CK162" i="11"/>
  <c r="CK163" i="11"/>
  <c r="CK164" i="11"/>
  <c r="CK165" i="11"/>
  <c r="CK166" i="11"/>
  <c r="CK167" i="11"/>
  <c r="CK168" i="11"/>
  <c r="CK169" i="11"/>
  <c r="CK170" i="11"/>
  <c r="CK171" i="11"/>
  <c r="CK172" i="11"/>
  <c r="CK173" i="11"/>
  <c r="CK174" i="11"/>
  <c r="CK175" i="11"/>
  <c r="CK176" i="11"/>
  <c r="CK177" i="11"/>
  <c r="CK178" i="11"/>
  <c r="CK179" i="11"/>
  <c r="CK180" i="11"/>
  <c r="CK181" i="11"/>
  <c r="CK182" i="11"/>
  <c r="CK183" i="11"/>
  <c r="CK184" i="11"/>
  <c r="CK185" i="11"/>
  <c r="CQ185" i="11" s="1"/>
  <c r="CK186" i="11"/>
  <c r="CK187" i="11"/>
  <c r="CK188" i="11"/>
  <c r="CK189" i="11"/>
  <c r="CK190" i="11"/>
  <c r="CK191" i="11"/>
  <c r="CK192" i="11"/>
  <c r="CK193" i="11"/>
  <c r="CK194" i="11"/>
  <c r="BW5" i="11"/>
  <c r="BR5" i="11"/>
  <c r="BN5" i="11"/>
  <c r="BJ5" i="11"/>
  <c r="AA5" i="11"/>
  <c r="DD9" i="11"/>
  <c r="DD10" i="11"/>
  <c r="DD11" i="11"/>
  <c r="DD12" i="11"/>
  <c r="DD13" i="11"/>
  <c r="DD14" i="11"/>
  <c r="DD15" i="11"/>
  <c r="DD16" i="11"/>
  <c r="DD17" i="11"/>
  <c r="DD18" i="11"/>
  <c r="DD19" i="11"/>
  <c r="DD20" i="11"/>
  <c r="DD21" i="11"/>
  <c r="DD22" i="11"/>
  <c r="DD23" i="11"/>
  <c r="DD24" i="11"/>
  <c r="DD25" i="11"/>
  <c r="DD26" i="11"/>
  <c r="DD27" i="11"/>
  <c r="DD28" i="11"/>
  <c r="DD29" i="11"/>
  <c r="DD30" i="11"/>
  <c r="DD31" i="11"/>
  <c r="DD32" i="11"/>
  <c r="DD33" i="11"/>
  <c r="DD34" i="11"/>
  <c r="DD35" i="11"/>
  <c r="DD36" i="11"/>
  <c r="DD37" i="11"/>
  <c r="DD38" i="11"/>
  <c r="DD39" i="11"/>
  <c r="DD40" i="11"/>
  <c r="DD8" i="11"/>
  <c r="DC9" i="11"/>
  <c r="DC10" i="11"/>
  <c r="DC11" i="11"/>
  <c r="DC12" i="11"/>
  <c r="DC13" i="11"/>
  <c r="DC14" i="11"/>
  <c r="DC15" i="11"/>
  <c r="DC16" i="11"/>
  <c r="DC17" i="11"/>
  <c r="DC18" i="11"/>
  <c r="DC19" i="11"/>
  <c r="DC20" i="11"/>
  <c r="DC21" i="11"/>
  <c r="DC22" i="11"/>
  <c r="DC23" i="11"/>
  <c r="DC24" i="11"/>
  <c r="DC25" i="11"/>
  <c r="DC26" i="11"/>
  <c r="DC27" i="11"/>
  <c r="DC28" i="11"/>
  <c r="DC29" i="11"/>
  <c r="DC30" i="11"/>
  <c r="DC31" i="11"/>
  <c r="DC32" i="11"/>
  <c r="DC33" i="11"/>
  <c r="DC34" i="11"/>
  <c r="DC35" i="11"/>
  <c r="DC36" i="11"/>
  <c r="DC37" i="11"/>
  <c r="DC38" i="11"/>
  <c r="DC39" i="11"/>
  <c r="DC40" i="11"/>
  <c r="DB9" i="11"/>
  <c r="DB10" i="11"/>
  <c r="DB11" i="11"/>
  <c r="DB12" i="11"/>
  <c r="DB13" i="11"/>
  <c r="DB14" i="11"/>
  <c r="DB15" i="11"/>
  <c r="DB16" i="11"/>
  <c r="DB17" i="11"/>
  <c r="DB18" i="11"/>
  <c r="DB19" i="11"/>
  <c r="DB20" i="11"/>
  <c r="DB21" i="11"/>
  <c r="DB22" i="11"/>
  <c r="DB23" i="11"/>
  <c r="DB24" i="11"/>
  <c r="DB25" i="11"/>
  <c r="DB26" i="11"/>
  <c r="DB27" i="11"/>
  <c r="DB28" i="11"/>
  <c r="DB29" i="11"/>
  <c r="DB30" i="11"/>
  <c r="DB31" i="11"/>
  <c r="DB32" i="11"/>
  <c r="DA9" i="11"/>
  <c r="DA10" i="11"/>
  <c r="DA11" i="11"/>
  <c r="DA12" i="11"/>
  <c r="DA13" i="11"/>
  <c r="DA14" i="11"/>
  <c r="DA15" i="11"/>
  <c r="DA16" i="11"/>
  <c r="DA17" i="11"/>
  <c r="DA18" i="11"/>
  <c r="DA19" i="11"/>
  <c r="DA20" i="11"/>
  <c r="DA21" i="11"/>
  <c r="DA22" i="11"/>
  <c r="DA23" i="11"/>
  <c r="DA24" i="11"/>
  <c r="DA25" i="11"/>
  <c r="DA26" i="11"/>
  <c r="DA27" i="11"/>
  <c r="DA28" i="11"/>
  <c r="DA29" i="11"/>
  <c r="DA30" i="11"/>
  <c r="DA31" i="11"/>
  <c r="DA32" i="11"/>
  <c r="DA8" i="11"/>
  <c r="DB8" i="11"/>
  <c r="DC8" i="11"/>
  <c r="CZ9" i="11"/>
  <c r="CZ10" i="11"/>
  <c r="CZ11" i="11"/>
  <c r="CZ12" i="11"/>
  <c r="CZ13" i="11"/>
  <c r="CZ14" i="11"/>
  <c r="CZ15" i="11"/>
  <c r="CZ16" i="11"/>
  <c r="CZ17" i="11"/>
  <c r="CZ18" i="11"/>
  <c r="CZ8" i="11"/>
  <c r="CK8" i="11"/>
  <c r="CK9" i="11"/>
  <c r="CK10" i="11"/>
  <c r="CK11" i="11"/>
  <c r="CK12" i="11"/>
  <c r="CK13" i="11"/>
  <c r="CK14" i="11"/>
  <c r="CK15" i="11"/>
  <c r="CK16" i="11"/>
  <c r="CK17" i="11"/>
  <c r="CK18" i="11"/>
  <c r="CK19" i="11"/>
  <c r="CK20" i="11"/>
  <c r="CK21" i="11"/>
  <c r="CK22" i="11"/>
  <c r="CK23" i="11"/>
  <c r="CK24" i="11"/>
  <c r="CK25" i="11"/>
  <c r="CK26" i="11"/>
  <c r="CK27" i="11"/>
  <c r="CK28" i="11"/>
  <c r="CK29" i="11"/>
  <c r="CK30" i="11"/>
  <c r="CK31" i="11"/>
  <c r="CK32" i="11"/>
  <c r="CK33" i="11"/>
  <c r="CK34" i="11"/>
  <c r="CK35" i="11"/>
  <c r="CK36" i="11"/>
  <c r="CK37" i="11"/>
  <c r="CK38" i="11"/>
  <c r="CK39" i="11"/>
  <c r="CK40" i="11"/>
  <c r="CK41" i="11"/>
  <c r="CK42" i="11"/>
  <c r="CK43" i="11"/>
  <c r="CK44" i="11"/>
  <c r="CK45" i="11"/>
  <c r="CK46" i="11"/>
  <c r="CK47" i="11"/>
  <c r="CK48" i="11"/>
  <c r="CK49" i="11"/>
  <c r="CK50" i="11"/>
  <c r="CK51" i="11"/>
  <c r="CK52" i="11"/>
  <c r="CK53" i="11"/>
  <c r="CK54" i="11"/>
  <c r="CK55" i="11"/>
  <c r="CK56" i="11"/>
  <c r="CK57" i="11"/>
  <c r="CK58" i="11"/>
  <c r="CK59" i="11"/>
  <c r="CK60" i="11"/>
  <c r="CK61" i="11"/>
  <c r="CK62" i="11"/>
  <c r="CK63" i="11"/>
  <c r="CK64" i="11"/>
  <c r="CK65" i="11"/>
  <c r="CK66" i="11"/>
  <c r="CK67" i="11"/>
  <c r="CK68" i="11"/>
  <c r="CK69" i="11"/>
  <c r="CK70" i="11"/>
  <c r="CK71" i="11"/>
  <c r="CK72" i="11"/>
  <c r="CK73" i="11"/>
  <c r="CK74" i="11"/>
  <c r="CK75" i="11"/>
  <c r="CK76" i="11"/>
  <c r="CK77" i="11"/>
  <c r="CK78" i="11"/>
  <c r="CK79" i="11"/>
  <c r="CK80" i="11"/>
  <c r="CK81" i="11"/>
  <c r="CK82" i="11"/>
  <c r="CK83" i="11"/>
  <c r="CK84" i="11"/>
  <c r="CK85" i="11"/>
  <c r="CK86" i="11"/>
  <c r="CK87" i="11"/>
  <c r="CK88" i="11"/>
  <c r="CK89" i="11"/>
  <c r="BZ5" i="11"/>
  <c r="BU9" i="11"/>
  <c r="BV9" i="11"/>
  <c r="BW9" i="11"/>
  <c r="BU10" i="11"/>
  <c r="BV10" i="11"/>
  <c r="BW10" i="11"/>
  <c r="BU11" i="11"/>
  <c r="BV11" i="11"/>
  <c r="BW11" i="11"/>
  <c r="BU12" i="11"/>
  <c r="BV12" i="11"/>
  <c r="BW12" i="11"/>
  <c r="BU13" i="11"/>
  <c r="BV13" i="11"/>
  <c r="BW13" i="11"/>
  <c r="BU14" i="11"/>
  <c r="BV14" i="11"/>
  <c r="BW14" i="11"/>
  <c r="BU15" i="11"/>
  <c r="BV15" i="11"/>
  <c r="BW15" i="11"/>
  <c r="BU16" i="11"/>
  <c r="BV16" i="11"/>
  <c r="BW16" i="11"/>
  <c r="BU17" i="11"/>
  <c r="BV17" i="11"/>
  <c r="BW17" i="11"/>
  <c r="BU18" i="11"/>
  <c r="BV18" i="11"/>
  <c r="BW18" i="11"/>
  <c r="BU19" i="11"/>
  <c r="BV19" i="11"/>
  <c r="BW19" i="11"/>
  <c r="BU20" i="11"/>
  <c r="BV20" i="11"/>
  <c r="BW20" i="11"/>
  <c r="BU21" i="11"/>
  <c r="BV21" i="11"/>
  <c r="BW21" i="11"/>
  <c r="BU22" i="11"/>
  <c r="BV22" i="11"/>
  <c r="BW22" i="11"/>
  <c r="BU23" i="11"/>
  <c r="BV23" i="11"/>
  <c r="BW23" i="11"/>
  <c r="BU24" i="11"/>
  <c r="BV24" i="11"/>
  <c r="BW24" i="11"/>
  <c r="BU25" i="11"/>
  <c r="BV25" i="11"/>
  <c r="BW25" i="11"/>
  <c r="BU26" i="11"/>
  <c r="BV26" i="11"/>
  <c r="BW26" i="11"/>
  <c r="BU27" i="11"/>
  <c r="BV27" i="11"/>
  <c r="BW27" i="11"/>
  <c r="BU28" i="11"/>
  <c r="BV28" i="11"/>
  <c r="BW28" i="11"/>
  <c r="BU29" i="11"/>
  <c r="BV29" i="11"/>
  <c r="BW29" i="11"/>
  <c r="BU30" i="11"/>
  <c r="BV30" i="11"/>
  <c r="BW30" i="11"/>
  <c r="BU31" i="11"/>
  <c r="BV31" i="11"/>
  <c r="BW31" i="11"/>
  <c r="BU32" i="11"/>
  <c r="BV32" i="11"/>
  <c r="BW32" i="11"/>
  <c r="BU33" i="11"/>
  <c r="BV33" i="11"/>
  <c r="BW33" i="11"/>
  <c r="BU34" i="11"/>
  <c r="BV34" i="11"/>
  <c r="BW34" i="11"/>
  <c r="BU35" i="11"/>
  <c r="BV35" i="11"/>
  <c r="BW35" i="11"/>
  <c r="BU36" i="11"/>
  <c r="BV36" i="11"/>
  <c r="BW36" i="11"/>
  <c r="BU37" i="11"/>
  <c r="BV37" i="11"/>
  <c r="BW37" i="11"/>
  <c r="BU38" i="11"/>
  <c r="BV38" i="11"/>
  <c r="BW38" i="11"/>
  <c r="BU39" i="11"/>
  <c r="BV39" i="11"/>
  <c r="BW39" i="11"/>
  <c r="BU40" i="11"/>
  <c r="BV40" i="11"/>
  <c r="BW40" i="11"/>
  <c r="BU41" i="11"/>
  <c r="BV41" i="11"/>
  <c r="BW41" i="11"/>
  <c r="BU42" i="11"/>
  <c r="BV42" i="11"/>
  <c r="BW42" i="11"/>
  <c r="BU43" i="11"/>
  <c r="BV43" i="11"/>
  <c r="BW43" i="11"/>
  <c r="BU44" i="11"/>
  <c r="BV44" i="11"/>
  <c r="BW44" i="11"/>
  <c r="BU45" i="11"/>
  <c r="BV45" i="11"/>
  <c r="BW45" i="11"/>
  <c r="BU8" i="11"/>
  <c r="BV8" i="11"/>
  <c r="BW8" i="11"/>
  <c r="BT9" i="11"/>
  <c r="BT10" i="11"/>
  <c r="BT11" i="11"/>
  <c r="BT12" i="11"/>
  <c r="BT13" i="11"/>
  <c r="BT14" i="11"/>
  <c r="BT15" i="11"/>
  <c r="BT16" i="11"/>
  <c r="BT17" i="11"/>
  <c r="BT18" i="11"/>
  <c r="BT19" i="11"/>
  <c r="BT20" i="11"/>
  <c r="BT21" i="11"/>
  <c r="BT22" i="11"/>
  <c r="BT23" i="11"/>
  <c r="BT24" i="11"/>
  <c r="BT25" i="11"/>
  <c r="BT26" i="11"/>
  <c r="BT8" i="11"/>
  <c r="BF9" i="11"/>
  <c r="BF10" i="11"/>
  <c r="BF11" i="11"/>
  <c r="BF12" i="11"/>
  <c r="BF13" i="11"/>
  <c r="BF14" i="11"/>
  <c r="BF15" i="11"/>
  <c r="BF16" i="11"/>
  <c r="BF17" i="11"/>
  <c r="BF18" i="11"/>
  <c r="BF19" i="11"/>
  <c r="BF20" i="11"/>
  <c r="BF21" i="11"/>
  <c r="BF22" i="11"/>
  <c r="BF23" i="11"/>
  <c r="BF24" i="11"/>
  <c r="BF25" i="11"/>
  <c r="BF26" i="11"/>
  <c r="BF27" i="11"/>
  <c r="BF28" i="11"/>
  <c r="BF29" i="11"/>
  <c r="BF30" i="11"/>
  <c r="BF31" i="11"/>
  <c r="BF32" i="11"/>
  <c r="BF33" i="11"/>
  <c r="BF34" i="11"/>
  <c r="BF35" i="11"/>
  <c r="BF36" i="11"/>
  <c r="BF37" i="11"/>
  <c r="BF38" i="11"/>
  <c r="BF39" i="11"/>
  <c r="BF40" i="11"/>
  <c r="BF41" i="11"/>
  <c r="BF42" i="11"/>
  <c r="BF43" i="11"/>
  <c r="BF44" i="11"/>
  <c r="BF45" i="11"/>
  <c r="BF46" i="11"/>
  <c r="BF47" i="11"/>
  <c r="BF48" i="11"/>
  <c r="BF49" i="11"/>
  <c r="BF50" i="11"/>
  <c r="BF51" i="11"/>
  <c r="BF52" i="11"/>
  <c r="BF53" i="11"/>
  <c r="BF54" i="11"/>
  <c r="BF55" i="11"/>
  <c r="BF56" i="11"/>
  <c r="BF57" i="11"/>
  <c r="BF58" i="11"/>
  <c r="BF59" i="11"/>
  <c r="BF60" i="11"/>
  <c r="BF61" i="11"/>
  <c r="BF62" i="11"/>
  <c r="BF63" i="11"/>
  <c r="BF64" i="11"/>
  <c r="BF65" i="11"/>
  <c r="BF66" i="11"/>
  <c r="BF67" i="11"/>
  <c r="BF68" i="11"/>
  <c r="BF69" i="11"/>
  <c r="BF70" i="11"/>
  <c r="BF71" i="11"/>
  <c r="BF72" i="11"/>
  <c r="BF73" i="11"/>
  <c r="BF74" i="11"/>
  <c r="BF75" i="11"/>
  <c r="BF76" i="11"/>
  <c r="BF77" i="11"/>
  <c r="BF78" i="11"/>
  <c r="BF79" i="11"/>
  <c r="BF80" i="11"/>
  <c r="BF81" i="11"/>
  <c r="BF82" i="11"/>
  <c r="BF83" i="11"/>
  <c r="BF84" i="11"/>
  <c r="BF85" i="11"/>
  <c r="BF86" i="11"/>
  <c r="BF87" i="11"/>
  <c r="BF88" i="11"/>
  <c r="BF89" i="11"/>
  <c r="BF90" i="11"/>
  <c r="BF91" i="11"/>
  <c r="BF92" i="11"/>
  <c r="BF93" i="11"/>
  <c r="BF94" i="11"/>
  <c r="BF95" i="11"/>
  <c r="BF96" i="11"/>
  <c r="BF97" i="11"/>
  <c r="BF98" i="11"/>
  <c r="BF99" i="11"/>
  <c r="BF100" i="11"/>
  <c r="BF101" i="11"/>
  <c r="BF102" i="11"/>
  <c r="BF103" i="11"/>
  <c r="BF104" i="11"/>
  <c r="BF105" i="11"/>
  <c r="BF106" i="11"/>
  <c r="BF107" i="11"/>
  <c r="BF108" i="11"/>
  <c r="BF109" i="11"/>
  <c r="BF110" i="11"/>
  <c r="BF111" i="11"/>
  <c r="BF112" i="11"/>
  <c r="BF113" i="11"/>
  <c r="BF114" i="11"/>
  <c r="BF115" i="11"/>
  <c r="BF116" i="11"/>
  <c r="BF117" i="11"/>
  <c r="BF118" i="11"/>
  <c r="BF119" i="11"/>
  <c r="BF120" i="11"/>
  <c r="BF121" i="11"/>
  <c r="BF122" i="11"/>
  <c r="BF123" i="11"/>
  <c r="BF124" i="11"/>
  <c r="BF125" i="11"/>
  <c r="BF126" i="11"/>
  <c r="BF127" i="11"/>
  <c r="BF128" i="11"/>
  <c r="BF129" i="11"/>
  <c r="BF130" i="11"/>
  <c r="BF131" i="11"/>
  <c r="BF132" i="11"/>
  <c r="BF133" i="11"/>
  <c r="BF134" i="11"/>
  <c r="BF135" i="11"/>
  <c r="BF136" i="11"/>
  <c r="BF137" i="11"/>
  <c r="BF138" i="11"/>
  <c r="BF139" i="11"/>
  <c r="BF140" i="11"/>
  <c r="BF141" i="11"/>
  <c r="BF142" i="11"/>
  <c r="BF143" i="11"/>
  <c r="BF144" i="11"/>
  <c r="BF145" i="11"/>
  <c r="BF146" i="11"/>
  <c r="BF147" i="11"/>
  <c r="BF148" i="11"/>
  <c r="BF149" i="11"/>
  <c r="BF150" i="11"/>
  <c r="BF151" i="11"/>
  <c r="BF152" i="11"/>
  <c r="BF153" i="11"/>
  <c r="BF154" i="11"/>
  <c r="BF155" i="11"/>
  <c r="BF156" i="11"/>
  <c r="BF157" i="11"/>
  <c r="BF158" i="11"/>
  <c r="BF159" i="11"/>
  <c r="BF160" i="11"/>
  <c r="BF161" i="11"/>
  <c r="BF162" i="11"/>
  <c r="BF163" i="11"/>
  <c r="BF164" i="11"/>
  <c r="BF165" i="11"/>
  <c r="BF166" i="11"/>
  <c r="BF167" i="11"/>
  <c r="BF168" i="11"/>
  <c r="BF169" i="11"/>
  <c r="BF170" i="11"/>
  <c r="BF171" i="11"/>
  <c r="BF172" i="11"/>
  <c r="BF173" i="11"/>
  <c r="BF174" i="11"/>
  <c r="BF175" i="11"/>
  <c r="BF176" i="11"/>
  <c r="BF177" i="11"/>
  <c r="BF178" i="11"/>
  <c r="BF179" i="11"/>
  <c r="BF180" i="11"/>
  <c r="BF181" i="11"/>
  <c r="BF182" i="11"/>
  <c r="BF183" i="11"/>
  <c r="BF184" i="11"/>
  <c r="BF185" i="11"/>
  <c r="BF186" i="11"/>
  <c r="BF187" i="11"/>
  <c r="BF188" i="11"/>
  <c r="BF189" i="11"/>
  <c r="BF190" i="11"/>
  <c r="BF191" i="11"/>
  <c r="BF192" i="11"/>
  <c r="BF193" i="11"/>
  <c r="BF194" i="11"/>
  <c r="BF195" i="11"/>
  <c r="BF196" i="11"/>
  <c r="BF197" i="11"/>
  <c r="BF198" i="11"/>
  <c r="BF199" i="11"/>
  <c r="BF200" i="11"/>
  <c r="BF201" i="11"/>
  <c r="BF202" i="11"/>
  <c r="BF203" i="11"/>
  <c r="BF204" i="11"/>
  <c r="BF205" i="11"/>
  <c r="BF206" i="11"/>
  <c r="BF207" i="11"/>
  <c r="BF208" i="11"/>
  <c r="BF209" i="11"/>
  <c r="BF210" i="11"/>
  <c r="BF211" i="11"/>
  <c r="BF212" i="11"/>
  <c r="BF213" i="11"/>
  <c r="BF214" i="11"/>
  <c r="BF215" i="11"/>
  <c r="BF216" i="11"/>
  <c r="BF217" i="11"/>
  <c r="BF218" i="11"/>
  <c r="BF219" i="11"/>
  <c r="BF220" i="11"/>
  <c r="BF221" i="11"/>
  <c r="BF222" i="11"/>
  <c r="BF223" i="11"/>
  <c r="BF224" i="11"/>
  <c r="BF225" i="11"/>
  <c r="BF226" i="11"/>
  <c r="BF227" i="11"/>
  <c r="BF228" i="11"/>
  <c r="BF229" i="11"/>
  <c r="BF230" i="11"/>
  <c r="BF231" i="11"/>
  <c r="BF232" i="11"/>
  <c r="BF233" i="11"/>
  <c r="BF234" i="11"/>
  <c r="BF235" i="11"/>
  <c r="BF236" i="11"/>
  <c r="BF237" i="11"/>
  <c r="BF238" i="11"/>
  <c r="BF239" i="11"/>
  <c r="BF240" i="11"/>
  <c r="BF241" i="11"/>
  <c r="BF242" i="11"/>
  <c r="BF243" i="11"/>
  <c r="BF244" i="11"/>
  <c r="BF245" i="11"/>
  <c r="BF246" i="11"/>
  <c r="BF247" i="11"/>
  <c r="BF248" i="11"/>
  <c r="BF249" i="11"/>
  <c r="BF250" i="11"/>
  <c r="BF251" i="11"/>
  <c r="BF8" i="11"/>
  <c r="AV8" i="11"/>
  <c r="Q2" i="1" s="1"/>
  <c r="AU8" i="11"/>
  <c r="O2" i="1" s="1"/>
  <c r="AT8" i="11"/>
  <c r="L2" i="1" s="1"/>
  <c r="AS8" i="11"/>
  <c r="J2" i="1" s="1"/>
  <c r="AQ8" i="11"/>
  <c r="AR8" i="11" s="1"/>
  <c r="H2" i="1" s="1"/>
  <c r="AI9" i="11"/>
  <c r="AI10" i="11"/>
  <c r="AI11" i="11"/>
  <c r="AI12" i="11"/>
  <c r="AI8" i="11"/>
  <c r="AH9" i="11"/>
  <c r="AH10" i="11"/>
  <c r="AH11" i="11"/>
  <c r="AH12" i="11"/>
  <c r="AH8" i="11"/>
  <c r="AG9" i="11"/>
  <c r="AG10" i="11"/>
  <c r="AG11" i="11"/>
  <c r="AG12" i="11"/>
  <c r="AG8" i="11"/>
  <c r="AF9" i="11"/>
  <c r="AF10" i="11"/>
  <c r="AF11" i="11"/>
  <c r="AF12" i="11"/>
  <c r="AF8" i="11"/>
  <c r="AE9" i="11"/>
  <c r="AE10" i="11"/>
  <c r="AE11" i="11"/>
  <c r="AE12" i="11"/>
  <c r="AE8" i="11"/>
  <c r="AD9" i="11"/>
  <c r="AD10" i="11"/>
  <c r="AD11" i="11"/>
  <c r="AD12" i="11"/>
  <c r="AD8" i="11"/>
  <c r="V9" i="11"/>
  <c r="W9" i="11" s="1"/>
  <c r="V10" i="11"/>
  <c r="Y10" i="11" s="1"/>
  <c r="V11" i="11"/>
  <c r="V12" i="11"/>
  <c r="Y12" i="11" s="1"/>
  <c r="V13" i="11"/>
  <c r="Y13" i="11" s="1"/>
  <c r="V14" i="11"/>
  <c r="V15" i="11"/>
  <c r="Y15" i="11" s="1"/>
  <c r="V16" i="11"/>
  <c r="Y16" i="11" s="1"/>
  <c r="V17" i="11"/>
  <c r="W17" i="11" s="1"/>
  <c r="V18" i="11"/>
  <c r="W18" i="11" s="1"/>
  <c r="V19" i="11"/>
  <c r="X19" i="11" s="1"/>
  <c r="V20" i="11"/>
  <c r="W20" i="11" s="1"/>
  <c r="V21" i="11"/>
  <c r="W21" i="11" s="1"/>
  <c r="V22" i="11"/>
  <c r="W22" i="11" s="1"/>
  <c r="V23" i="11"/>
  <c r="V24" i="11"/>
  <c r="Y24" i="11" s="1"/>
  <c r="V25" i="11"/>
  <c r="W25" i="11" s="1"/>
  <c r="V26" i="11"/>
  <c r="V27" i="11"/>
  <c r="Y27" i="11" s="1"/>
  <c r="V28" i="11"/>
  <c r="Y28" i="11" s="1"/>
  <c r="V29" i="11"/>
  <c r="V30" i="11"/>
  <c r="W30" i="11" s="1"/>
  <c r="V31" i="11"/>
  <c r="Y31" i="11" s="1"/>
  <c r="V32" i="11"/>
  <c r="W32" i="11" s="1"/>
  <c r="V33" i="11"/>
  <c r="W33" i="11" s="1"/>
  <c r="V34" i="11"/>
  <c r="X34" i="11" s="1"/>
  <c r="V35" i="11"/>
  <c r="W35" i="11" s="1"/>
  <c r="V36" i="11"/>
  <c r="Y36" i="11" s="1"/>
  <c r="V37" i="11"/>
  <c r="X37" i="11" s="1"/>
  <c r="V38" i="11"/>
  <c r="V39" i="11"/>
  <c r="Y39" i="11" s="1"/>
  <c r="V40" i="11"/>
  <c r="Y40" i="11" s="1"/>
  <c r="V41" i="11"/>
  <c r="V42" i="11"/>
  <c r="W42" i="11" s="1"/>
  <c r="V43" i="11"/>
  <c r="X43" i="11" s="1"/>
  <c r="V44" i="11"/>
  <c r="X44" i="11" s="1"/>
  <c r="V8" i="11"/>
  <c r="Y8" i="11" s="1"/>
  <c r="M1" i="11"/>
  <c r="M2" i="11" s="1"/>
  <c r="N1" i="11"/>
  <c r="N2" i="11" s="1"/>
  <c r="O1" i="11"/>
  <c r="O2" i="11" s="1"/>
  <c r="P1" i="11"/>
  <c r="P2" i="11" s="1"/>
  <c r="Q1" i="11"/>
  <c r="Q2" i="11" s="1"/>
  <c r="R1" i="11"/>
  <c r="R2" i="11" s="1"/>
  <c r="S1" i="11"/>
  <c r="S2" i="11" s="1"/>
  <c r="T1" i="11"/>
  <c r="T2" i="11" s="1"/>
  <c r="L1" i="11"/>
  <c r="L7" i="11"/>
  <c r="B1" i="11"/>
  <c r="B2" i="11" s="1"/>
  <c r="C1" i="11"/>
  <c r="C2" i="11" s="1"/>
  <c r="D1" i="11"/>
  <c r="D2" i="11" s="1"/>
  <c r="E1" i="11"/>
  <c r="E2" i="11" s="1"/>
  <c r="E7" i="11" s="1"/>
  <c r="P7" i="11" s="1"/>
  <c r="F1" i="11"/>
  <c r="F2" i="11" s="1"/>
  <c r="G1" i="11"/>
  <c r="G2" i="11" s="1"/>
  <c r="G7" i="11" s="1"/>
  <c r="R7" i="11" s="1"/>
  <c r="H1" i="11"/>
  <c r="H2" i="11" s="1"/>
  <c r="H10" i="11" s="1"/>
  <c r="I1" i="11"/>
  <c r="I2" i="11" s="1"/>
  <c r="A1" i="11"/>
  <c r="B2" i="3"/>
  <c r="B3" i="2" s="1"/>
  <c r="CD8" i="11" l="1"/>
  <c r="CQ161" i="11"/>
  <c r="CQ137" i="11"/>
  <c r="CQ101" i="11"/>
  <c r="BM195" i="11"/>
  <c r="CV86" i="11"/>
  <c r="CV74" i="11"/>
  <c r="CV50" i="11"/>
  <c r="CW50" i="11" s="1"/>
  <c r="CV14" i="11"/>
  <c r="CW14" i="11" s="1"/>
  <c r="CV140" i="11"/>
  <c r="CV218" i="11"/>
  <c r="CQ173" i="11"/>
  <c r="CQ113" i="11"/>
  <c r="CV32" i="11"/>
  <c r="CW32" i="11" s="1"/>
  <c r="CQ149" i="11"/>
  <c r="CR263" i="11"/>
  <c r="CU214" i="11"/>
  <c r="CM180" i="11"/>
  <c r="CM168" i="11"/>
  <c r="CM156" i="11"/>
  <c r="CM144" i="11"/>
  <c r="CM108" i="11"/>
  <c r="CM202" i="11"/>
  <c r="CV212" i="11"/>
  <c r="CM246" i="11"/>
  <c r="CM222" i="11"/>
  <c r="CU88" i="11"/>
  <c r="CU16" i="11"/>
  <c r="CR191" i="11"/>
  <c r="CR179" i="11"/>
  <c r="CR167" i="11"/>
  <c r="CR155" i="11"/>
  <c r="CR143" i="11"/>
  <c r="CR131" i="11"/>
  <c r="CR119" i="11"/>
  <c r="CR107" i="11"/>
  <c r="CR95" i="11"/>
  <c r="CQ257" i="11"/>
  <c r="CQ125" i="11"/>
  <c r="CQ190" i="11"/>
  <c r="CQ178" i="11"/>
  <c r="CQ166" i="11"/>
  <c r="CQ154" i="11"/>
  <c r="CQ130" i="11"/>
  <c r="CQ106" i="11"/>
  <c r="CQ94" i="11"/>
  <c r="CM55" i="11"/>
  <c r="CN27" i="11"/>
  <c r="CD228" i="11"/>
  <c r="CQ210" i="11"/>
  <c r="CQ256" i="11"/>
  <c r="CD223" i="11"/>
  <c r="CN73" i="11"/>
  <c r="CN25" i="11"/>
  <c r="CM189" i="11"/>
  <c r="CM153" i="11"/>
  <c r="CM129" i="11"/>
  <c r="CM117" i="11"/>
  <c r="CM93" i="11"/>
  <c r="CM199" i="11"/>
  <c r="CN243" i="11"/>
  <c r="CM231" i="11"/>
  <c r="CD220" i="11"/>
  <c r="CM84" i="11"/>
  <c r="CD156" i="11"/>
  <c r="CD109" i="11"/>
  <c r="CM186" i="11"/>
  <c r="CM174" i="11"/>
  <c r="CM162" i="11"/>
  <c r="CM150" i="11"/>
  <c r="CM138" i="11"/>
  <c r="CM126" i="11"/>
  <c r="CD72" i="11"/>
  <c r="CM9" i="11"/>
  <c r="CD60" i="11"/>
  <c r="CM67" i="11"/>
  <c r="CM43" i="11"/>
  <c r="CM19" i="11"/>
  <c r="CD192" i="11"/>
  <c r="CD184" i="11"/>
  <c r="CD181" i="11"/>
  <c r="CD264" i="11"/>
  <c r="CD148" i="11"/>
  <c r="CD259" i="11"/>
  <c r="CD145" i="11"/>
  <c r="CD256" i="11"/>
  <c r="CD120" i="11"/>
  <c r="CD253" i="11"/>
  <c r="CD112" i="11"/>
  <c r="CD217" i="11"/>
  <c r="CD49" i="11"/>
  <c r="CD187" i="11"/>
  <c r="CD151" i="11"/>
  <c r="CD115" i="11"/>
  <c r="CD61" i="11"/>
  <c r="CD252" i="11"/>
  <c r="CD216" i="11"/>
  <c r="CD180" i="11"/>
  <c r="CD144" i="11"/>
  <c r="CD108" i="11"/>
  <c r="CD48" i="11"/>
  <c r="CD247" i="11"/>
  <c r="CD211" i="11"/>
  <c r="CD175" i="11"/>
  <c r="CD139" i="11"/>
  <c r="CD103" i="11"/>
  <c r="CD37" i="11"/>
  <c r="CD244" i="11"/>
  <c r="CD208" i="11"/>
  <c r="CD172" i="11"/>
  <c r="CD136" i="11"/>
  <c r="CD100" i="11"/>
  <c r="CD36" i="11"/>
  <c r="CD241" i="11"/>
  <c r="CD205" i="11"/>
  <c r="CD169" i="11"/>
  <c r="CD133" i="11"/>
  <c r="CD97" i="11"/>
  <c r="CD25" i="11"/>
  <c r="CD240" i="11"/>
  <c r="CD204" i="11"/>
  <c r="CD168" i="11"/>
  <c r="CD132" i="11"/>
  <c r="CD96" i="11"/>
  <c r="CD24" i="11"/>
  <c r="CD235" i="11"/>
  <c r="CD199" i="11"/>
  <c r="CD163" i="11"/>
  <c r="CD127" i="11"/>
  <c r="CD85" i="11"/>
  <c r="CD13" i="11"/>
  <c r="CD232" i="11"/>
  <c r="CD196" i="11"/>
  <c r="CD160" i="11"/>
  <c r="CD124" i="11"/>
  <c r="CD84" i="11"/>
  <c r="CD12" i="11"/>
  <c r="CD265" i="11"/>
  <c r="CD229" i="11"/>
  <c r="CD193" i="11"/>
  <c r="CD157" i="11"/>
  <c r="CD121" i="11"/>
  <c r="CD73" i="11"/>
  <c r="CD263" i="11"/>
  <c r="CD251" i="11"/>
  <c r="CD239" i="11"/>
  <c r="CD227" i="11"/>
  <c r="CD215" i="11"/>
  <c r="CD203" i="11"/>
  <c r="CD191" i="11"/>
  <c r="CD179" i="11"/>
  <c r="CD167" i="11"/>
  <c r="CD155" i="11"/>
  <c r="CD143" i="11"/>
  <c r="CD131" i="11"/>
  <c r="CD119" i="11"/>
  <c r="CD107" i="11"/>
  <c r="CD95" i="11"/>
  <c r="CD83" i="11"/>
  <c r="CD71" i="11"/>
  <c r="CD59" i="11"/>
  <c r="CD47" i="11"/>
  <c r="CD35" i="11"/>
  <c r="CD23" i="11"/>
  <c r="CD11" i="11"/>
  <c r="CD262" i="11"/>
  <c r="CD250" i="11"/>
  <c r="CD238" i="11"/>
  <c r="CD226" i="11"/>
  <c r="CD214" i="11"/>
  <c r="CD202" i="11"/>
  <c r="CD190" i="11"/>
  <c r="CD178" i="11"/>
  <c r="CD166" i="11"/>
  <c r="CD154" i="11"/>
  <c r="CD142" i="11"/>
  <c r="CD130" i="11"/>
  <c r="CD118" i="11"/>
  <c r="CD106" i="11"/>
  <c r="CD94" i="11"/>
  <c r="CD82" i="11"/>
  <c r="CD70" i="11"/>
  <c r="CD58" i="11"/>
  <c r="CD46" i="11"/>
  <c r="CD34" i="11"/>
  <c r="CD22" i="11"/>
  <c r="CD10" i="11"/>
  <c r="CD261" i="11"/>
  <c r="CD249" i="11"/>
  <c r="CD237" i="11"/>
  <c r="CD225" i="11"/>
  <c r="CD213" i="11"/>
  <c r="CD201" i="11"/>
  <c r="CD189" i="11"/>
  <c r="CD177" i="11"/>
  <c r="CD165" i="11"/>
  <c r="CD153" i="11"/>
  <c r="CD141" i="11"/>
  <c r="CD129" i="11"/>
  <c r="CD117" i="11"/>
  <c r="CD105" i="11"/>
  <c r="CD93" i="11"/>
  <c r="CD81" i="11"/>
  <c r="CD69" i="11"/>
  <c r="CD57" i="11"/>
  <c r="CD45" i="11"/>
  <c r="CD33" i="11"/>
  <c r="CD21" i="11"/>
  <c r="CD9" i="11"/>
  <c r="CD260" i="11"/>
  <c r="CD248" i="11"/>
  <c r="CD236" i="11"/>
  <c r="CD224" i="11"/>
  <c r="CD212" i="11"/>
  <c r="CD200" i="11"/>
  <c r="CD188" i="11"/>
  <c r="CD176" i="11"/>
  <c r="CD164" i="11"/>
  <c r="CD152" i="11"/>
  <c r="CD140" i="11"/>
  <c r="CD128" i="11"/>
  <c r="CD116" i="11"/>
  <c r="CD104" i="11"/>
  <c r="CD92" i="11"/>
  <c r="CD80" i="11"/>
  <c r="CD68" i="11"/>
  <c r="CD56" i="11"/>
  <c r="CD44" i="11"/>
  <c r="CD32" i="11"/>
  <c r="CD20" i="11"/>
  <c r="CD91" i="11"/>
  <c r="CD79" i="11"/>
  <c r="CD67" i="11"/>
  <c r="CD55" i="11"/>
  <c r="CD43" i="11"/>
  <c r="CD31" i="11"/>
  <c r="CD19" i="11"/>
  <c r="CD258" i="11"/>
  <c r="CD246" i="11"/>
  <c r="CD234" i="11"/>
  <c r="CD222" i="11"/>
  <c r="CD210" i="11"/>
  <c r="CD198" i="11"/>
  <c r="CD186" i="11"/>
  <c r="CD174" i="11"/>
  <c r="CD162" i="11"/>
  <c r="CD150" i="11"/>
  <c r="CD138" i="11"/>
  <c r="CD126" i="11"/>
  <c r="CD114" i="11"/>
  <c r="CD102" i="11"/>
  <c r="CD90" i="11"/>
  <c r="CD78" i="11"/>
  <c r="CD66" i="11"/>
  <c r="CD54" i="11"/>
  <c r="CD42" i="11"/>
  <c r="CD30" i="11"/>
  <c r="CD18" i="11"/>
  <c r="CD257" i="11"/>
  <c r="CD245" i="11"/>
  <c r="CD233" i="11"/>
  <c r="CD221" i="11"/>
  <c r="CD209" i="11"/>
  <c r="CD197" i="11"/>
  <c r="CD185" i="11"/>
  <c r="CD173" i="11"/>
  <c r="CD161" i="11"/>
  <c r="CD149" i="11"/>
  <c r="CD137" i="11"/>
  <c r="CD125" i="11"/>
  <c r="CD113" i="11"/>
  <c r="CD101" i="11"/>
  <c r="CD89" i="11"/>
  <c r="CD77" i="11"/>
  <c r="CD65" i="11"/>
  <c r="CD53" i="11"/>
  <c r="CD41" i="11"/>
  <c r="CD29" i="11"/>
  <c r="CD17" i="11"/>
  <c r="CD88" i="11"/>
  <c r="CD76" i="11"/>
  <c r="CD64" i="11"/>
  <c r="CD52" i="11"/>
  <c r="CD40" i="11"/>
  <c r="CD28" i="11"/>
  <c r="CD16" i="11"/>
  <c r="CD255" i="11"/>
  <c r="CD243" i="11"/>
  <c r="CD231" i="11"/>
  <c r="CD219" i="11"/>
  <c r="CD207" i="11"/>
  <c r="CD195" i="11"/>
  <c r="CD183" i="11"/>
  <c r="CD171" i="11"/>
  <c r="CD159" i="11"/>
  <c r="CD147" i="11"/>
  <c r="CD135" i="11"/>
  <c r="CD123" i="11"/>
  <c r="CD111" i="11"/>
  <c r="CD99" i="11"/>
  <c r="CD87" i="11"/>
  <c r="CD75" i="11"/>
  <c r="CD63" i="11"/>
  <c r="CD51" i="11"/>
  <c r="CD39" i="11"/>
  <c r="CD27" i="11"/>
  <c r="CD15" i="11"/>
  <c r="CD254" i="11"/>
  <c r="CD242" i="11"/>
  <c r="CD230" i="11"/>
  <c r="CD218" i="11"/>
  <c r="CD206" i="11"/>
  <c r="CD194" i="11"/>
  <c r="CD182" i="11"/>
  <c r="CD170" i="11"/>
  <c r="CD158" i="11"/>
  <c r="CD146" i="11"/>
  <c r="CD134" i="11"/>
  <c r="CD122" i="11"/>
  <c r="CD110" i="11"/>
  <c r="CD98" i="11"/>
  <c r="CD86" i="11"/>
  <c r="CD74" i="11"/>
  <c r="CD62" i="11"/>
  <c r="CD50" i="11"/>
  <c r="CD38" i="11"/>
  <c r="CD26" i="11"/>
  <c r="CD14" i="11"/>
  <c r="CD7" i="11"/>
  <c r="CM198" i="11"/>
  <c r="CN242" i="11"/>
  <c r="CM197" i="11"/>
  <c r="CN253" i="11"/>
  <c r="CM241" i="11"/>
  <c r="CM229" i="11"/>
  <c r="CN217" i="11"/>
  <c r="CM114" i="11"/>
  <c r="CM102" i="11"/>
  <c r="CM90" i="11"/>
  <c r="CM264" i="11"/>
  <c r="CM252" i="11"/>
  <c r="CM240" i="11"/>
  <c r="CM207" i="11"/>
  <c r="CN239" i="11"/>
  <c r="CM205" i="11"/>
  <c r="CM193" i="11"/>
  <c r="CM181" i="11"/>
  <c r="CM169" i="11"/>
  <c r="CM157" i="11"/>
  <c r="CM145" i="11"/>
  <c r="CM133" i="11"/>
  <c r="CN121" i="11"/>
  <c r="CM109" i="11"/>
  <c r="CM97" i="11"/>
  <c r="CQ209" i="11"/>
  <c r="CM219" i="11"/>
  <c r="CQ72" i="11"/>
  <c r="CQ48" i="11"/>
  <c r="CQ24" i="11"/>
  <c r="CQ244" i="11"/>
  <c r="CR83" i="11"/>
  <c r="CQ71" i="11"/>
  <c r="CQ47" i="11"/>
  <c r="CQ23" i="11"/>
  <c r="CQ70" i="11"/>
  <c r="CQ46" i="11"/>
  <c r="CQ22" i="11"/>
  <c r="CQ228" i="11"/>
  <c r="CQ184" i="11"/>
  <c r="CQ172" i="11"/>
  <c r="CQ160" i="11"/>
  <c r="CQ136" i="11"/>
  <c r="CQ112" i="11"/>
  <c r="CQ216" i="11"/>
  <c r="CR215" i="11"/>
  <c r="CR251" i="11"/>
  <c r="CQ66" i="11"/>
  <c r="CQ42" i="11"/>
  <c r="CQ18" i="11"/>
  <c r="CQ204" i="11"/>
  <c r="CQ89" i="11"/>
  <c r="CQ65" i="11"/>
  <c r="CQ41" i="11"/>
  <c r="CR203" i="11"/>
  <c r="CQ76" i="11"/>
  <c r="CQ64" i="11"/>
  <c r="CQ52" i="11"/>
  <c r="CQ40" i="11"/>
  <c r="CQ28" i="11"/>
  <c r="CQ192" i="11"/>
  <c r="CQ132" i="11"/>
  <c r="CQ120" i="11"/>
  <c r="CQ96" i="11"/>
  <c r="CQ258" i="11"/>
  <c r="CQ234" i="11"/>
  <c r="AY9" i="11"/>
  <c r="AY248" i="11"/>
  <c r="AY236" i="11"/>
  <c r="AY224" i="11"/>
  <c r="AY212" i="11"/>
  <c r="AY200" i="11"/>
  <c r="AY188" i="11"/>
  <c r="AY176" i="11"/>
  <c r="AY164" i="11"/>
  <c r="AY152" i="11"/>
  <c r="AY140" i="11"/>
  <c r="AY128" i="11"/>
  <c r="AY116" i="11"/>
  <c r="AY104" i="11"/>
  <c r="AY92" i="11"/>
  <c r="AY80" i="11"/>
  <c r="AY68" i="11"/>
  <c r="AY56" i="11"/>
  <c r="AY44" i="11"/>
  <c r="AY32" i="11"/>
  <c r="AY20" i="11"/>
  <c r="AY247" i="11"/>
  <c r="AY235" i="11"/>
  <c r="AY223" i="11"/>
  <c r="AY211" i="11"/>
  <c r="AY199" i="11"/>
  <c r="AY187" i="11"/>
  <c r="AY175" i="11"/>
  <c r="AY163" i="11"/>
  <c r="AY151" i="11"/>
  <c r="AY139" i="11"/>
  <c r="AY127" i="11"/>
  <c r="AY115" i="11"/>
  <c r="AY103" i="11"/>
  <c r="AY91" i="11"/>
  <c r="AY79" i="11"/>
  <c r="AY67" i="11"/>
  <c r="AY55" i="11"/>
  <c r="AY43" i="11"/>
  <c r="AY31" i="11"/>
  <c r="AY19" i="11"/>
  <c r="AY174" i="11"/>
  <c r="AY54" i="11"/>
  <c r="D3" i="2"/>
  <c r="AY245" i="11"/>
  <c r="AY233" i="11"/>
  <c r="AY221" i="11"/>
  <c r="AY209" i="11"/>
  <c r="AY197" i="11"/>
  <c r="AY185" i="11"/>
  <c r="AY173" i="11"/>
  <c r="AY161" i="11"/>
  <c r="AY149" i="11"/>
  <c r="AY137" i="11"/>
  <c r="AY125" i="11"/>
  <c r="AY113" i="11"/>
  <c r="AY101" i="11"/>
  <c r="AY89" i="11"/>
  <c r="AY77" i="11"/>
  <c r="AY65" i="11"/>
  <c r="AY53" i="11"/>
  <c r="AY41" i="11"/>
  <c r="AY29" i="11"/>
  <c r="AY17" i="11"/>
  <c r="AY234" i="11"/>
  <c r="AY186" i="11"/>
  <c r="AY126" i="11"/>
  <c r="AY18" i="11"/>
  <c r="AY244" i="11"/>
  <c r="AY232" i="11"/>
  <c r="AY220" i="11"/>
  <c r="AY208" i="11"/>
  <c r="AY196" i="11"/>
  <c r="AY184" i="11"/>
  <c r="AY172" i="11"/>
  <c r="AY160" i="11"/>
  <c r="AY148" i="11"/>
  <c r="AY136" i="11"/>
  <c r="AY124" i="11"/>
  <c r="AY112" i="11"/>
  <c r="AY100" i="11"/>
  <c r="AY88" i="11"/>
  <c r="AY76" i="11"/>
  <c r="AY64" i="11"/>
  <c r="AY52" i="11"/>
  <c r="AY40" i="11"/>
  <c r="AY28" i="11"/>
  <c r="AY16" i="11"/>
  <c r="AY246" i="11"/>
  <c r="AY210" i="11"/>
  <c r="AY150" i="11"/>
  <c r="AY30" i="11"/>
  <c r="AY243" i="11"/>
  <c r="AY231" i="11"/>
  <c r="AY219" i="11"/>
  <c r="AY207" i="11"/>
  <c r="AY195" i="11"/>
  <c r="AY183" i="11"/>
  <c r="AY171" i="11"/>
  <c r="AY159" i="11"/>
  <c r="AY147" i="11"/>
  <c r="AY135" i="11"/>
  <c r="AY123" i="11"/>
  <c r="AY111" i="11"/>
  <c r="AY99" i="11"/>
  <c r="AY87" i="11"/>
  <c r="AY75" i="11"/>
  <c r="AY63" i="11"/>
  <c r="AY51" i="11"/>
  <c r="AY39" i="11"/>
  <c r="AY27" i="11"/>
  <c r="AY15" i="11"/>
  <c r="AY222" i="11"/>
  <c r="AY198" i="11"/>
  <c r="AY162" i="11"/>
  <c r="AY138" i="11"/>
  <c r="AY42" i="11"/>
  <c r="AY242" i="11"/>
  <c r="AY230" i="11"/>
  <c r="AY218" i="11"/>
  <c r="AY206" i="11"/>
  <c r="AY194" i="11"/>
  <c r="AY182" i="11"/>
  <c r="AY170" i="11"/>
  <c r="AY158" i="11"/>
  <c r="AY146" i="11"/>
  <c r="AY134" i="11"/>
  <c r="AY122" i="11"/>
  <c r="AY110" i="11"/>
  <c r="AY98" i="11"/>
  <c r="AY86" i="11"/>
  <c r="AY74" i="11"/>
  <c r="AY62" i="11"/>
  <c r="AY50" i="11"/>
  <c r="AY38" i="11"/>
  <c r="AY26" i="11"/>
  <c r="AY14" i="11"/>
  <c r="AY66" i="11"/>
  <c r="AY241" i="11"/>
  <c r="AY229" i="11"/>
  <c r="AY217" i="11"/>
  <c r="AY205" i="11"/>
  <c r="AY193" i="11"/>
  <c r="AY181" i="11"/>
  <c r="AY169" i="11"/>
  <c r="AY157" i="11"/>
  <c r="AY145" i="11"/>
  <c r="AY133" i="11"/>
  <c r="AY121" i="11"/>
  <c r="AY109" i="11"/>
  <c r="AY97" i="11"/>
  <c r="AY85" i="11"/>
  <c r="AY73" i="11"/>
  <c r="AY61" i="11"/>
  <c r="AY49" i="11"/>
  <c r="AY37" i="11"/>
  <c r="AY25" i="11"/>
  <c r="AY13" i="11"/>
  <c r="AY78" i="11"/>
  <c r="AY8" i="11"/>
  <c r="AY240" i="11"/>
  <c r="AY228" i="11"/>
  <c r="AY216" i="11"/>
  <c r="AY204" i="11"/>
  <c r="AY192" i="11"/>
  <c r="AY180" i="11"/>
  <c r="AY168" i="11"/>
  <c r="AY156" i="11"/>
  <c r="AY144" i="11"/>
  <c r="AY132" i="11"/>
  <c r="AY120" i="11"/>
  <c r="AY108" i="11"/>
  <c r="AY96" i="11"/>
  <c r="AY84" i="11"/>
  <c r="AY72" i="11"/>
  <c r="AY60" i="11"/>
  <c r="AY48" i="11"/>
  <c r="AY36" i="11"/>
  <c r="AY24" i="11"/>
  <c r="AY12" i="11"/>
  <c r="AY90" i="11"/>
  <c r="AY251" i="11"/>
  <c r="AY239" i="11"/>
  <c r="AY227" i="11"/>
  <c r="AY215" i="11"/>
  <c r="AY203" i="11"/>
  <c r="AY191" i="11"/>
  <c r="AY179" i="11"/>
  <c r="AY167" i="11"/>
  <c r="AY155" i="11"/>
  <c r="AY143" i="11"/>
  <c r="AY131" i="11"/>
  <c r="AY119" i="11"/>
  <c r="AY107" i="11"/>
  <c r="AY95" i="11"/>
  <c r="AY83" i="11"/>
  <c r="AY71" i="11"/>
  <c r="AY59" i="11"/>
  <c r="AY47" i="11"/>
  <c r="AY35" i="11"/>
  <c r="AY23" i="11"/>
  <c r="AY11" i="11"/>
  <c r="AY102" i="11"/>
  <c r="AY250" i="11"/>
  <c r="AY238" i="11"/>
  <c r="AY226" i="11"/>
  <c r="AY214" i="11"/>
  <c r="AY202" i="11"/>
  <c r="AY190" i="11"/>
  <c r="AY178" i="11"/>
  <c r="AY166" i="11"/>
  <c r="AY154" i="11"/>
  <c r="AY142" i="11"/>
  <c r="AY130" i="11"/>
  <c r="AY118" i="11"/>
  <c r="AY106" i="11"/>
  <c r="AY94" i="11"/>
  <c r="AY82" i="11"/>
  <c r="AY70" i="11"/>
  <c r="AY58" i="11"/>
  <c r="AY46" i="11"/>
  <c r="AY34" i="11"/>
  <c r="AY22" i="11"/>
  <c r="AY10" i="11"/>
  <c r="AY114" i="11"/>
  <c r="AY249" i="11"/>
  <c r="AY237" i="11"/>
  <c r="AY225" i="11"/>
  <c r="AY213" i="11"/>
  <c r="AY201" i="11"/>
  <c r="AY189" i="11"/>
  <c r="AY177" i="11"/>
  <c r="AY165" i="11"/>
  <c r="AY153" i="11"/>
  <c r="AY141" i="11"/>
  <c r="AY129" i="11"/>
  <c r="AY117" i="11"/>
  <c r="AY105" i="11"/>
  <c r="AY93" i="11"/>
  <c r="AY81" i="11"/>
  <c r="AY69" i="11"/>
  <c r="AY57" i="11"/>
  <c r="AY45" i="11"/>
  <c r="AY33" i="11"/>
  <c r="AY21" i="11"/>
  <c r="CQ214" i="11"/>
  <c r="CM121" i="11"/>
  <c r="BP102" i="11"/>
  <c r="CN241" i="11"/>
  <c r="CR239" i="11"/>
  <c r="CR227" i="11"/>
  <c r="CN71" i="11"/>
  <c r="CU232" i="11"/>
  <c r="CQ220" i="11"/>
  <c r="CM230" i="11"/>
  <c r="CQ239" i="11"/>
  <c r="CM258" i="11"/>
  <c r="CQ263" i="11"/>
  <c r="CQ233" i="11"/>
  <c r="CM227" i="11"/>
  <c r="CM194" i="11"/>
  <c r="CM182" i="11"/>
  <c r="CM170" i="11"/>
  <c r="CM158" i="11"/>
  <c r="CM146" i="11"/>
  <c r="CM134" i="11"/>
  <c r="CM122" i="11"/>
  <c r="CM110" i="11"/>
  <c r="CM98" i="11"/>
  <c r="CM253" i="11"/>
  <c r="CM192" i="11"/>
  <c r="CM120" i="11"/>
  <c r="CM83" i="11"/>
  <c r="CN227" i="11"/>
  <c r="CQ240" i="11"/>
  <c r="CQ144" i="11"/>
  <c r="CM17" i="11"/>
  <c r="CN265" i="11"/>
  <c r="CM218" i="11"/>
  <c r="CM65" i="11"/>
  <c r="CQ95" i="11"/>
  <c r="CQ167" i="11"/>
  <c r="CQ251" i="11"/>
  <c r="CM185" i="11"/>
  <c r="CM87" i="11"/>
  <c r="CM75" i="11"/>
  <c r="CN63" i="11"/>
  <c r="CM51" i="11"/>
  <c r="CN39" i="11"/>
  <c r="CN15" i="11"/>
  <c r="CN195" i="11"/>
  <c r="CM215" i="11"/>
  <c r="CM41" i="11"/>
  <c r="CN207" i="11"/>
  <c r="CQ108" i="11"/>
  <c r="CQ264" i="11"/>
  <c r="CM190" i="11"/>
  <c r="CM166" i="11"/>
  <c r="CM142" i="11"/>
  <c r="CM118" i="11"/>
  <c r="CM94" i="11"/>
  <c r="CM200" i="11"/>
  <c r="CM39" i="11"/>
  <c r="CN205" i="11"/>
  <c r="CQ191" i="11"/>
  <c r="CU70" i="11"/>
  <c r="CN213" i="11"/>
  <c r="CN85" i="11"/>
  <c r="CN61" i="11"/>
  <c r="CN49" i="11"/>
  <c r="CN37" i="11"/>
  <c r="CN13" i="11"/>
  <c r="CM183" i="11"/>
  <c r="CM171" i="11"/>
  <c r="CN159" i="11"/>
  <c r="CN147" i="11"/>
  <c r="CM135" i="11"/>
  <c r="CM123" i="11"/>
  <c r="CN111" i="11"/>
  <c r="CN99" i="11"/>
  <c r="CN261" i="11"/>
  <c r="CM249" i="11"/>
  <c r="CM237" i="11"/>
  <c r="CM225" i="11"/>
  <c r="CM15" i="11"/>
  <c r="CN171" i="11"/>
  <c r="CQ118" i="11"/>
  <c r="CM251" i="11"/>
  <c r="CM113" i="11"/>
  <c r="CN23" i="11"/>
  <c r="CM239" i="11"/>
  <c r="CM204" i="11"/>
  <c r="CM173" i="11"/>
  <c r="CM137" i="11"/>
  <c r="CM101" i="11"/>
  <c r="CN169" i="11"/>
  <c r="CQ119" i="11"/>
  <c r="CM234" i="11"/>
  <c r="CM203" i="11"/>
  <c r="CN254" i="11"/>
  <c r="CN123" i="11"/>
  <c r="CU142" i="11"/>
  <c r="CQ168" i="11"/>
  <c r="CM265" i="11"/>
  <c r="CM132" i="11"/>
  <c r="CM96" i="11"/>
  <c r="CQ215" i="11"/>
  <c r="CV146" i="11"/>
  <c r="CM149" i="11"/>
  <c r="CM69" i="11"/>
  <c r="CM45" i="11"/>
  <c r="BM162" i="11"/>
  <c r="CN75" i="11"/>
  <c r="CQ142" i="11"/>
  <c r="CQ227" i="11"/>
  <c r="CM217" i="11"/>
  <c r="CM64" i="11"/>
  <c r="CM80" i="11"/>
  <c r="CM56" i="11"/>
  <c r="CM20" i="11"/>
  <c r="CM8" i="11"/>
  <c r="CM148" i="11"/>
  <c r="CM124" i="11"/>
  <c r="CM262" i="11"/>
  <c r="CM263" i="11"/>
  <c r="CM228" i="11"/>
  <c r="CM195" i="11"/>
  <c r="CM161" i="11"/>
  <c r="CM125" i="11"/>
  <c r="CM85" i="11"/>
  <c r="CQ143" i="11"/>
  <c r="CR44" i="11"/>
  <c r="CV44" i="11"/>
  <c r="CW44" i="11" s="1"/>
  <c r="CQ44" i="11"/>
  <c r="CN44" i="11"/>
  <c r="CN100" i="11"/>
  <c r="CU100" i="11"/>
  <c r="CR100" i="11"/>
  <c r="CN31" i="11"/>
  <c r="CR31" i="11"/>
  <c r="CQ31" i="11"/>
  <c r="CR165" i="11"/>
  <c r="CQ165" i="11"/>
  <c r="CN165" i="11"/>
  <c r="CU165" i="11"/>
  <c r="CR255" i="11"/>
  <c r="CQ255" i="11"/>
  <c r="CU255" i="11"/>
  <c r="CU84" i="11"/>
  <c r="CR84" i="11"/>
  <c r="CN84" i="11"/>
  <c r="CM72" i="11"/>
  <c r="CR72" i="11"/>
  <c r="CU72" i="11"/>
  <c r="CN72" i="11"/>
  <c r="CM60" i="11"/>
  <c r="CU60" i="11"/>
  <c r="CR60" i="11"/>
  <c r="CN60" i="11"/>
  <c r="CU48" i="11"/>
  <c r="CM48" i="11"/>
  <c r="CR48" i="11"/>
  <c r="CN48" i="11"/>
  <c r="CM36" i="11"/>
  <c r="CR36" i="11"/>
  <c r="CU36" i="11"/>
  <c r="CN36" i="11"/>
  <c r="CM24" i="11"/>
  <c r="CU24" i="11"/>
  <c r="CR24" i="11"/>
  <c r="CN24" i="11"/>
  <c r="CU12" i="11"/>
  <c r="CM12" i="11"/>
  <c r="CR12" i="11"/>
  <c r="CS12" i="11" s="1"/>
  <c r="CN12" i="11"/>
  <c r="CR188" i="11"/>
  <c r="CV188" i="11"/>
  <c r="CQ188" i="11"/>
  <c r="CN188" i="11"/>
  <c r="CR176" i="11"/>
  <c r="CQ176" i="11"/>
  <c r="CN176" i="11"/>
  <c r="CR164" i="11"/>
  <c r="CQ164" i="11"/>
  <c r="CN164" i="11"/>
  <c r="CR152" i="11"/>
  <c r="CV152" i="11"/>
  <c r="CQ152" i="11"/>
  <c r="CN152" i="11"/>
  <c r="CR140" i="11"/>
  <c r="CQ140" i="11"/>
  <c r="CN140" i="11"/>
  <c r="CR128" i="11"/>
  <c r="CQ128" i="11"/>
  <c r="CN128" i="11"/>
  <c r="CR116" i="11"/>
  <c r="CV116" i="11"/>
  <c r="CQ116" i="11"/>
  <c r="CN116" i="11"/>
  <c r="CR104" i="11"/>
  <c r="CQ104" i="11"/>
  <c r="CN104" i="11"/>
  <c r="CR92" i="11"/>
  <c r="CQ92" i="11"/>
  <c r="CN92" i="11"/>
  <c r="CN198" i="11"/>
  <c r="CR198" i="11"/>
  <c r="CU198" i="11"/>
  <c r="CN208" i="11"/>
  <c r="CU208" i="11"/>
  <c r="CR208" i="11"/>
  <c r="CR254" i="11"/>
  <c r="CQ254" i="11"/>
  <c r="CR242" i="11"/>
  <c r="CV242" i="11"/>
  <c r="CQ242" i="11"/>
  <c r="CR230" i="11"/>
  <c r="CQ230" i="11"/>
  <c r="CR218" i="11"/>
  <c r="CQ218" i="11"/>
  <c r="CN218" i="11"/>
  <c r="CM256" i="11"/>
  <c r="CM244" i="11"/>
  <c r="CM232" i="11"/>
  <c r="CM220" i="11"/>
  <c r="CM208" i="11"/>
  <c r="CM196" i="11"/>
  <c r="CM184" i="11"/>
  <c r="CM172" i="11"/>
  <c r="CM160" i="11"/>
  <c r="CM136" i="11"/>
  <c r="CM112" i="11"/>
  <c r="CM100" i="11"/>
  <c r="CM88" i="11"/>
  <c r="CN251" i="11"/>
  <c r="CN219" i="11"/>
  <c r="CN183" i="11"/>
  <c r="CN135" i="11"/>
  <c r="CN87" i="11"/>
  <c r="CQ16" i="11"/>
  <c r="CQ88" i="11"/>
  <c r="CQ208" i="11"/>
  <c r="CQ232" i="11"/>
  <c r="CV122" i="11"/>
  <c r="CV194" i="11"/>
  <c r="CR68" i="11"/>
  <c r="CQ68" i="11"/>
  <c r="CN68" i="11"/>
  <c r="CN160" i="11"/>
  <c r="CR160" i="11"/>
  <c r="CN148" i="11"/>
  <c r="CU148" i="11"/>
  <c r="CR148" i="11"/>
  <c r="CN124" i="11"/>
  <c r="CR124" i="11"/>
  <c r="CR206" i="11"/>
  <c r="CV206" i="11"/>
  <c r="CQ206" i="11"/>
  <c r="CN206" i="11"/>
  <c r="CN250" i="11"/>
  <c r="CR250" i="11"/>
  <c r="CR177" i="11"/>
  <c r="CQ177" i="11"/>
  <c r="CN177" i="11"/>
  <c r="CU177" i="11"/>
  <c r="CM71" i="11"/>
  <c r="CR71" i="11"/>
  <c r="CM59" i="11"/>
  <c r="CR59" i="11"/>
  <c r="CM47" i="11"/>
  <c r="CR47" i="11"/>
  <c r="CM35" i="11"/>
  <c r="CR35" i="11"/>
  <c r="CM23" i="11"/>
  <c r="CR23" i="11"/>
  <c r="CS23" i="11" s="1"/>
  <c r="CM11" i="11"/>
  <c r="CR11" i="11"/>
  <c r="CS11" i="11" s="1"/>
  <c r="CR193" i="11"/>
  <c r="CQ193" i="11"/>
  <c r="CR181" i="11"/>
  <c r="CQ181" i="11"/>
  <c r="CR169" i="11"/>
  <c r="CQ169" i="11"/>
  <c r="CR157" i="11"/>
  <c r="CQ157" i="11"/>
  <c r="CR145" i="11"/>
  <c r="CQ145" i="11"/>
  <c r="CR133" i="11"/>
  <c r="CQ133" i="11"/>
  <c r="CR121" i="11"/>
  <c r="CQ121" i="11"/>
  <c r="CR109" i="11"/>
  <c r="CQ109" i="11"/>
  <c r="CR97" i="11"/>
  <c r="CQ97" i="11"/>
  <c r="CR213" i="11"/>
  <c r="CQ213" i="11"/>
  <c r="CU213" i="11"/>
  <c r="CN259" i="11"/>
  <c r="CR259" i="11"/>
  <c r="CQ259" i="11"/>
  <c r="CN247" i="11"/>
  <c r="CR247" i="11"/>
  <c r="CQ247" i="11"/>
  <c r="CN235" i="11"/>
  <c r="CR235" i="11"/>
  <c r="CQ235" i="11"/>
  <c r="CN223" i="11"/>
  <c r="CR223" i="11"/>
  <c r="CQ223" i="11"/>
  <c r="CM255" i="11"/>
  <c r="CM243" i="11"/>
  <c r="CM159" i="11"/>
  <c r="CM147" i="11"/>
  <c r="CM111" i="11"/>
  <c r="CM99" i="11"/>
  <c r="CN249" i="11"/>
  <c r="CN181" i="11"/>
  <c r="CN133" i="11"/>
  <c r="CQ17" i="11"/>
  <c r="CU52" i="11"/>
  <c r="CU124" i="11"/>
  <c r="CN112" i="11"/>
  <c r="CU112" i="11"/>
  <c r="CR112" i="11"/>
  <c r="CU238" i="11"/>
  <c r="CN238" i="11"/>
  <c r="CR238" i="11"/>
  <c r="CN79" i="11"/>
  <c r="CR79" i="11"/>
  <c r="CQ79" i="11"/>
  <c r="CN209" i="11"/>
  <c r="CR209" i="11"/>
  <c r="CR231" i="11"/>
  <c r="CQ231" i="11"/>
  <c r="CU231" i="11"/>
  <c r="CU82" i="11"/>
  <c r="CN82" i="11"/>
  <c r="CR82" i="11"/>
  <c r="CM70" i="11"/>
  <c r="CN70" i="11"/>
  <c r="CR70" i="11"/>
  <c r="CM58" i="11"/>
  <c r="CU58" i="11"/>
  <c r="CN58" i="11"/>
  <c r="CR58" i="11"/>
  <c r="CM46" i="11"/>
  <c r="CU46" i="11"/>
  <c r="CN46" i="11"/>
  <c r="CR46" i="11"/>
  <c r="CM34" i="11"/>
  <c r="CN34" i="11"/>
  <c r="CR34" i="11"/>
  <c r="CM22" i="11"/>
  <c r="CU22" i="11"/>
  <c r="CN22" i="11"/>
  <c r="CR22" i="11"/>
  <c r="CS22" i="11" s="1"/>
  <c r="CM10" i="11"/>
  <c r="CU10" i="11"/>
  <c r="CN10" i="11"/>
  <c r="CO10" i="11" s="1"/>
  <c r="CR10" i="11"/>
  <c r="CS10" i="11" s="1"/>
  <c r="CN186" i="11"/>
  <c r="CU186" i="11"/>
  <c r="CR186" i="11"/>
  <c r="CU174" i="11"/>
  <c r="CN174" i="11"/>
  <c r="CR174" i="11"/>
  <c r="CN162" i="11"/>
  <c r="CR162" i="11"/>
  <c r="CU162" i="11"/>
  <c r="CN150" i="11"/>
  <c r="CU150" i="11"/>
  <c r="CR150" i="11"/>
  <c r="CU138" i="11"/>
  <c r="CN138" i="11"/>
  <c r="CR138" i="11"/>
  <c r="CN126" i="11"/>
  <c r="CR126" i="11"/>
  <c r="CU126" i="11"/>
  <c r="CN114" i="11"/>
  <c r="CU114" i="11"/>
  <c r="CR114" i="11"/>
  <c r="CU102" i="11"/>
  <c r="CN102" i="11"/>
  <c r="CR102" i="11"/>
  <c r="CN90" i="11"/>
  <c r="CR90" i="11"/>
  <c r="CU90" i="11"/>
  <c r="CN196" i="11"/>
  <c r="CR196" i="11"/>
  <c r="CU264" i="11"/>
  <c r="CR264" i="11"/>
  <c r="CN264" i="11"/>
  <c r="CR252" i="11"/>
  <c r="CU252" i="11"/>
  <c r="CN252" i="11"/>
  <c r="CU240" i="11"/>
  <c r="CR240" i="11"/>
  <c r="CN240" i="11"/>
  <c r="CU228" i="11"/>
  <c r="CR228" i="11"/>
  <c r="CN228" i="11"/>
  <c r="CM254" i="11"/>
  <c r="CM242" i="11"/>
  <c r="CM206" i="11"/>
  <c r="CM86" i="11"/>
  <c r="CM68" i="11"/>
  <c r="CM44" i="11"/>
  <c r="CN215" i="11"/>
  <c r="CN179" i="11"/>
  <c r="CN131" i="11"/>
  <c r="CN83" i="11"/>
  <c r="CN35" i="11"/>
  <c r="CQ90" i="11"/>
  <c r="CQ114" i="11"/>
  <c r="CQ138" i="11"/>
  <c r="CQ162" i="11"/>
  <c r="CQ186" i="11"/>
  <c r="CV56" i="11"/>
  <c r="CW56" i="11" s="1"/>
  <c r="CV128" i="11"/>
  <c r="CV200" i="11"/>
  <c r="BP248" i="11"/>
  <c r="BP224" i="11"/>
  <c r="BP200" i="11"/>
  <c r="BP188" i="11"/>
  <c r="BP140" i="11"/>
  <c r="BP128" i="11"/>
  <c r="BP80" i="11"/>
  <c r="BP68" i="11"/>
  <c r="BP20" i="11"/>
  <c r="CR81" i="11"/>
  <c r="CQ81" i="11"/>
  <c r="CU81" i="11"/>
  <c r="CN81" i="11"/>
  <c r="CR69" i="11"/>
  <c r="CQ69" i="11"/>
  <c r="CN69" i="11"/>
  <c r="CU69" i="11"/>
  <c r="CR57" i="11"/>
  <c r="CQ57" i="11"/>
  <c r="CN57" i="11"/>
  <c r="CU57" i="11"/>
  <c r="CR45" i="11"/>
  <c r="CQ45" i="11"/>
  <c r="CU45" i="11"/>
  <c r="CN45" i="11"/>
  <c r="CR33" i="11"/>
  <c r="CQ33" i="11"/>
  <c r="CN33" i="11"/>
  <c r="CU33" i="11"/>
  <c r="CR21" i="11"/>
  <c r="CS21" i="11" s="1"/>
  <c r="CQ21" i="11"/>
  <c r="CN21" i="11"/>
  <c r="CU21" i="11"/>
  <c r="CR9" i="11"/>
  <c r="CS9" i="11" s="1"/>
  <c r="CQ9" i="11"/>
  <c r="CU9" i="11"/>
  <c r="CN9" i="11"/>
  <c r="CR201" i="11"/>
  <c r="CQ201" i="11"/>
  <c r="CU201" i="11"/>
  <c r="CN211" i="11"/>
  <c r="CR211" i="11"/>
  <c r="CQ211" i="11"/>
  <c r="CN257" i="11"/>
  <c r="CR257" i="11"/>
  <c r="CN245" i="11"/>
  <c r="CR245" i="11"/>
  <c r="CN233" i="11"/>
  <c r="CR233" i="11"/>
  <c r="CN221" i="11"/>
  <c r="CR221" i="11"/>
  <c r="CQ238" i="11"/>
  <c r="CQ262" i="11"/>
  <c r="CV68" i="11"/>
  <c r="CR20" i="11"/>
  <c r="CS20" i="11" s="1"/>
  <c r="CQ20" i="11"/>
  <c r="CN20" i="11"/>
  <c r="CR216" i="11"/>
  <c r="CU216" i="11"/>
  <c r="CN216" i="11"/>
  <c r="CU226" i="11"/>
  <c r="CN226" i="11"/>
  <c r="CR226" i="11"/>
  <c r="CM216" i="11"/>
  <c r="CR141" i="11"/>
  <c r="CQ141" i="11"/>
  <c r="CN141" i="11"/>
  <c r="CU141" i="11"/>
  <c r="CR105" i="11"/>
  <c r="CQ105" i="11"/>
  <c r="CN105" i="11"/>
  <c r="CU105" i="11"/>
  <c r="CM143" i="11"/>
  <c r="CM95" i="11"/>
  <c r="CN119" i="11"/>
  <c r="CN78" i="11"/>
  <c r="CU78" i="11"/>
  <c r="CR78" i="11"/>
  <c r="CM78" i="11"/>
  <c r="CU66" i="11"/>
  <c r="CN66" i="11"/>
  <c r="CR66" i="11"/>
  <c r="CM66" i="11"/>
  <c r="CN54" i="11"/>
  <c r="CR54" i="11"/>
  <c r="CU54" i="11"/>
  <c r="CM54" i="11"/>
  <c r="CN42" i="11"/>
  <c r="CU42" i="11"/>
  <c r="CR42" i="11"/>
  <c r="CM42" i="11"/>
  <c r="CU30" i="11"/>
  <c r="CN30" i="11"/>
  <c r="CR30" i="11"/>
  <c r="CM30" i="11"/>
  <c r="CN18" i="11"/>
  <c r="CR18" i="11"/>
  <c r="CU18" i="11"/>
  <c r="CM18" i="11"/>
  <c r="CR194" i="11"/>
  <c r="CQ194" i="11"/>
  <c r="CN194" i="11"/>
  <c r="CR182" i="11"/>
  <c r="CQ182" i="11"/>
  <c r="CN182" i="11"/>
  <c r="CR170" i="11"/>
  <c r="CV170" i="11"/>
  <c r="CQ170" i="11"/>
  <c r="CN170" i="11"/>
  <c r="CR158" i="11"/>
  <c r="CQ158" i="11"/>
  <c r="CN158" i="11"/>
  <c r="CR146" i="11"/>
  <c r="CQ146" i="11"/>
  <c r="CN146" i="11"/>
  <c r="CR134" i="11"/>
  <c r="CV134" i="11"/>
  <c r="CQ134" i="11"/>
  <c r="CN134" i="11"/>
  <c r="CR122" i="11"/>
  <c r="CQ122" i="11"/>
  <c r="CN122" i="11"/>
  <c r="CR110" i="11"/>
  <c r="CQ110" i="11"/>
  <c r="CN110" i="11"/>
  <c r="CR98" i="11"/>
  <c r="CV98" i="11"/>
  <c r="CQ98" i="11"/>
  <c r="CN98" i="11"/>
  <c r="CU204" i="11"/>
  <c r="CR204" i="11"/>
  <c r="CN204" i="11"/>
  <c r="CN214" i="11"/>
  <c r="CR214" i="11"/>
  <c r="CR260" i="11"/>
  <c r="CV260" i="11"/>
  <c r="CQ260" i="11"/>
  <c r="CN260" i="11"/>
  <c r="CR248" i="11"/>
  <c r="CQ248" i="11"/>
  <c r="CN248" i="11"/>
  <c r="CR236" i="11"/>
  <c r="CQ236" i="11"/>
  <c r="CN236" i="11"/>
  <c r="CR224" i="11"/>
  <c r="CV224" i="11"/>
  <c r="CQ224" i="11"/>
  <c r="CN224" i="11"/>
  <c r="CM250" i="11"/>
  <c r="CM238" i="11"/>
  <c r="CM226" i="11"/>
  <c r="CM214" i="11"/>
  <c r="CM178" i="11"/>
  <c r="CM154" i="11"/>
  <c r="CM130" i="11"/>
  <c r="CM106" i="11"/>
  <c r="CM82" i="11"/>
  <c r="CM63" i="11"/>
  <c r="CM33" i="11"/>
  <c r="CN237" i="11"/>
  <c r="CN203" i="11"/>
  <c r="CQ100" i="11"/>
  <c r="CQ124" i="11"/>
  <c r="CQ148" i="11"/>
  <c r="CQ196" i="11"/>
  <c r="CV158" i="11"/>
  <c r="CV230" i="11"/>
  <c r="CN184" i="11"/>
  <c r="CU184" i="11"/>
  <c r="CR184" i="11"/>
  <c r="CM131" i="11"/>
  <c r="CN89" i="11"/>
  <c r="CR89" i="11"/>
  <c r="CN77" i="11"/>
  <c r="CR77" i="11"/>
  <c r="CN65" i="11"/>
  <c r="CR65" i="11"/>
  <c r="CN53" i="11"/>
  <c r="CR53" i="11"/>
  <c r="CN41" i="11"/>
  <c r="CR41" i="11"/>
  <c r="CN29" i="11"/>
  <c r="CR29" i="11"/>
  <c r="CN17" i="11"/>
  <c r="CR17" i="11"/>
  <c r="CS17" i="11" s="1"/>
  <c r="CN187" i="11"/>
  <c r="CR187" i="11"/>
  <c r="CQ187" i="11"/>
  <c r="CN175" i="11"/>
  <c r="CR175" i="11"/>
  <c r="CQ175" i="11"/>
  <c r="CN163" i="11"/>
  <c r="CR163" i="11"/>
  <c r="CQ163" i="11"/>
  <c r="CN151" i="11"/>
  <c r="CR151" i="11"/>
  <c r="CQ151" i="11"/>
  <c r="CN139" i="11"/>
  <c r="CR139" i="11"/>
  <c r="CQ139" i="11"/>
  <c r="CN127" i="11"/>
  <c r="CR127" i="11"/>
  <c r="CQ127" i="11"/>
  <c r="CN115" i="11"/>
  <c r="CR115" i="11"/>
  <c r="CQ115" i="11"/>
  <c r="CN103" i="11"/>
  <c r="CR103" i="11"/>
  <c r="CQ103" i="11"/>
  <c r="CN91" i="11"/>
  <c r="CR91" i="11"/>
  <c r="CQ91" i="11"/>
  <c r="CN197" i="11"/>
  <c r="CR197" i="11"/>
  <c r="CR265" i="11"/>
  <c r="CQ265" i="11"/>
  <c r="CR253" i="11"/>
  <c r="CQ253" i="11"/>
  <c r="CR241" i="11"/>
  <c r="CQ241" i="11"/>
  <c r="CR229" i="11"/>
  <c r="CQ229" i="11"/>
  <c r="CR217" i="11"/>
  <c r="CQ217" i="11"/>
  <c r="CM261" i="11"/>
  <c r="CM213" i="11"/>
  <c r="CM201" i="11"/>
  <c r="CM177" i="11"/>
  <c r="CM165" i="11"/>
  <c r="CM141" i="11"/>
  <c r="CM105" i="11"/>
  <c r="CM81" i="11"/>
  <c r="CM57" i="11"/>
  <c r="CM32" i="11"/>
  <c r="CN263" i="11"/>
  <c r="CN231" i="11"/>
  <c r="CN201" i="11"/>
  <c r="CN157" i="11"/>
  <c r="CN109" i="11"/>
  <c r="CQ29" i="11"/>
  <c r="CQ53" i="11"/>
  <c r="CQ77" i="11"/>
  <c r="CQ197" i="11"/>
  <c r="CQ221" i="11"/>
  <c r="CQ245" i="11"/>
  <c r="CU160" i="11"/>
  <c r="CR8" i="11"/>
  <c r="CS8" i="11" s="1"/>
  <c r="CV8" i="11"/>
  <c r="CW8" i="11" s="1"/>
  <c r="CQ8" i="11"/>
  <c r="BP186" i="11"/>
  <c r="CN19" i="11"/>
  <c r="CR19" i="11"/>
  <c r="CQ19" i="11"/>
  <c r="CR189" i="11"/>
  <c r="CQ189" i="11"/>
  <c r="CU189" i="11"/>
  <c r="CR117" i="11"/>
  <c r="CQ117" i="11"/>
  <c r="CU117" i="11"/>
  <c r="CN117" i="11"/>
  <c r="CM155" i="11"/>
  <c r="CM107" i="11"/>
  <c r="CN88" i="11"/>
  <c r="CR88" i="11"/>
  <c r="CN76" i="11"/>
  <c r="CU76" i="11"/>
  <c r="CR76" i="11"/>
  <c r="CN64" i="11"/>
  <c r="CU64" i="11"/>
  <c r="CR64" i="11"/>
  <c r="CN52" i="11"/>
  <c r="CR52" i="11"/>
  <c r="CN40" i="11"/>
  <c r="CU40" i="11"/>
  <c r="CM40" i="11"/>
  <c r="CR40" i="11"/>
  <c r="CN28" i="11"/>
  <c r="CU28" i="11"/>
  <c r="CM28" i="11"/>
  <c r="CR28" i="11"/>
  <c r="CN16" i="11"/>
  <c r="CM16" i="11"/>
  <c r="CR16" i="11"/>
  <c r="CS16" i="11" s="1"/>
  <c r="CU192" i="11"/>
  <c r="CR192" i="11"/>
  <c r="CN192" i="11"/>
  <c r="CR180" i="11"/>
  <c r="CU180" i="11"/>
  <c r="CN180" i="11"/>
  <c r="CU168" i="11"/>
  <c r="CR168" i="11"/>
  <c r="CN168" i="11"/>
  <c r="CU156" i="11"/>
  <c r="CR156" i="11"/>
  <c r="CN156" i="11"/>
  <c r="CR144" i="11"/>
  <c r="CU144" i="11"/>
  <c r="CN144" i="11"/>
  <c r="CU132" i="11"/>
  <c r="CR132" i="11"/>
  <c r="CN132" i="11"/>
  <c r="CU120" i="11"/>
  <c r="CR120" i="11"/>
  <c r="CN120" i="11"/>
  <c r="CR108" i="11"/>
  <c r="CU108" i="11"/>
  <c r="CN108" i="11"/>
  <c r="CU96" i="11"/>
  <c r="CR96" i="11"/>
  <c r="CN96" i="11"/>
  <c r="CU202" i="11"/>
  <c r="CN202" i="11"/>
  <c r="CR202" i="11"/>
  <c r="CR212" i="11"/>
  <c r="CQ212" i="11"/>
  <c r="CN212" i="11"/>
  <c r="CN258" i="11"/>
  <c r="CU258" i="11"/>
  <c r="CR258" i="11"/>
  <c r="CU246" i="11"/>
  <c r="CN246" i="11"/>
  <c r="CR246" i="11"/>
  <c r="CN234" i="11"/>
  <c r="CR234" i="11"/>
  <c r="CU234" i="11"/>
  <c r="CN222" i="11"/>
  <c r="CU222" i="11"/>
  <c r="CR222" i="11"/>
  <c r="CM260" i="11"/>
  <c r="CM248" i="11"/>
  <c r="CM236" i="11"/>
  <c r="CM224" i="11"/>
  <c r="CM212" i="11"/>
  <c r="CM188" i="11"/>
  <c r="CM176" i="11"/>
  <c r="CM164" i="11"/>
  <c r="CM152" i="11"/>
  <c r="CM140" i="11"/>
  <c r="CM128" i="11"/>
  <c r="CM116" i="11"/>
  <c r="CM104" i="11"/>
  <c r="CM92" i="11"/>
  <c r="CM31" i="11"/>
  <c r="CN230" i="11"/>
  <c r="CN155" i="11"/>
  <c r="CN107" i="11"/>
  <c r="CN59" i="11"/>
  <c r="CN11" i="11"/>
  <c r="CO11" i="11" s="1"/>
  <c r="CQ30" i="11"/>
  <c r="CQ54" i="11"/>
  <c r="CQ78" i="11"/>
  <c r="CQ102" i="11"/>
  <c r="CQ126" i="11"/>
  <c r="CQ150" i="11"/>
  <c r="CQ174" i="11"/>
  <c r="CQ198" i="11"/>
  <c r="CQ222" i="11"/>
  <c r="CQ246" i="11"/>
  <c r="CV20" i="11"/>
  <c r="CW20" i="11" s="1"/>
  <c r="CV92" i="11"/>
  <c r="CV164" i="11"/>
  <c r="CV236" i="11"/>
  <c r="CR80" i="11"/>
  <c r="CV80" i="11"/>
  <c r="CQ80" i="11"/>
  <c r="CN80" i="11"/>
  <c r="CU262" i="11"/>
  <c r="CN262" i="11"/>
  <c r="CR262" i="11"/>
  <c r="BP66" i="11"/>
  <c r="CN67" i="11"/>
  <c r="CR67" i="11"/>
  <c r="CQ67" i="11"/>
  <c r="CR93" i="11"/>
  <c r="CQ93" i="11"/>
  <c r="CN93" i="11"/>
  <c r="CU93" i="11"/>
  <c r="CM179" i="11"/>
  <c r="CM119" i="11"/>
  <c r="CN8" i="11"/>
  <c r="CO8" i="11" s="1"/>
  <c r="CR87" i="11"/>
  <c r="CQ87" i="11"/>
  <c r="CU87" i="11"/>
  <c r="CR75" i="11"/>
  <c r="CQ75" i="11"/>
  <c r="CU75" i="11"/>
  <c r="CR63" i="11"/>
  <c r="CQ63" i="11"/>
  <c r="CU63" i="11"/>
  <c r="CR51" i="11"/>
  <c r="CQ51" i="11"/>
  <c r="CU51" i="11"/>
  <c r="CR39" i="11"/>
  <c r="CQ39" i="11"/>
  <c r="CU39" i="11"/>
  <c r="CR27" i="11"/>
  <c r="CQ27" i="11"/>
  <c r="CU27" i="11"/>
  <c r="CR15" i="11"/>
  <c r="CQ15" i="11"/>
  <c r="CU15" i="11"/>
  <c r="CN185" i="11"/>
  <c r="CR185" i="11"/>
  <c r="CN173" i="11"/>
  <c r="CR173" i="11"/>
  <c r="CN161" i="11"/>
  <c r="CR161" i="11"/>
  <c r="CN149" i="11"/>
  <c r="CR149" i="11"/>
  <c r="CN137" i="11"/>
  <c r="CR137" i="11"/>
  <c r="CN125" i="11"/>
  <c r="CR125" i="11"/>
  <c r="CN113" i="11"/>
  <c r="CR113" i="11"/>
  <c r="CN101" i="11"/>
  <c r="CR101" i="11"/>
  <c r="CR207" i="11"/>
  <c r="CQ207" i="11"/>
  <c r="CU207" i="11"/>
  <c r="CR195" i="11"/>
  <c r="CQ195" i="11"/>
  <c r="CU195" i="11"/>
  <c r="CM259" i="11"/>
  <c r="CM247" i="11"/>
  <c r="CM235" i="11"/>
  <c r="CM223" i="11"/>
  <c r="CM211" i="11"/>
  <c r="CM187" i="11"/>
  <c r="CM175" i="11"/>
  <c r="CM163" i="11"/>
  <c r="CM151" i="11"/>
  <c r="CM139" i="11"/>
  <c r="CM127" i="11"/>
  <c r="CM115" i="11"/>
  <c r="CM103" i="11"/>
  <c r="CM91" i="11"/>
  <c r="CM79" i="11"/>
  <c r="CM29" i="11"/>
  <c r="CN255" i="11"/>
  <c r="CN229" i="11"/>
  <c r="CN193" i="11"/>
  <c r="CN51" i="11"/>
  <c r="CQ10" i="11"/>
  <c r="CQ34" i="11"/>
  <c r="CQ58" i="11"/>
  <c r="CQ82" i="11"/>
  <c r="CQ202" i="11"/>
  <c r="CQ226" i="11"/>
  <c r="CQ250" i="11"/>
  <c r="CV104" i="11"/>
  <c r="CV176" i="11"/>
  <c r="CV248" i="11"/>
  <c r="CR32" i="11"/>
  <c r="CQ32" i="11"/>
  <c r="CN32" i="11"/>
  <c r="CN172" i="11"/>
  <c r="CU172" i="11"/>
  <c r="CR172" i="11"/>
  <c r="BP150" i="11"/>
  <c r="CN43" i="11"/>
  <c r="CR43" i="11"/>
  <c r="CQ43" i="11"/>
  <c r="CR129" i="11"/>
  <c r="CQ129" i="11"/>
  <c r="CN129" i="11"/>
  <c r="CU129" i="11"/>
  <c r="CN199" i="11"/>
  <c r="CR199" i="11"/>
  <c r="CQ199" i="11"/>
  <c r="CM167" i="11"/>
  <c r="W34" i="11"/>
  <c r="CR86" i="11"/>
  <c r="CQ86" i="11"/>
  <c r="CN86" i="11"/>
  <c r="CR74" i="11"/>
  <c r="CQ74" i="11"/>
  <c r="CM74" i="11"/>
  <c r="CN74" i="11"/>
  <c r="CR62" i="11"/>
  <c r="CV62" i="11"/>
  <c r="CQ62" i="11"/>
  <c r="CM62" i="11"/>
  <c r="CN62" i="11"/>
  <c r="CR50" i="11"/>
  <c r="CQ50" i="11"/>
  <c r="CM50" i="11"/>
  <c r="CN50" i="11"/>
  <c r="CR38" i="11"/>
  <c r="CQ38" i="11"/>
  <c r="CM38" i="11"/>
  <c r="CN38" i="11"/>
  <c r="CR26" i="11"/>
  <c r="CV26" i="11"/>
  <c r="CW26" i="11" s="1"/>
  <c r="CQ26" i="11"/>
  <c r="CM26" i="11"/>
  <c r="CN26" i="11"/>
  <c r="CR14" i="11"/>
  <c r="CS14" i="11" s="1"/>
  <c r="CQ14" i="11"/>
  <c r="CM14" i="11"/>
  <c r="CN14" i="11"/>
  <c r="CU190" i="11"/>
  <c r="CN190" i="11"/>
  <c r="CR190" i="11"/>
  <c r="CN178" i="11"/>
  <c r="CR178" i="11"/>
  <c r="CU166" i="11"/>
  <c r="CN166" i="11"/>
  <c r="CR166" i="11"/>
  <c r="CU154" i="11"/>
  <c r="CN154" i="11"/>
  <c r="CR154" i="11"/>
  <c r="CN142" i="11"/>
  <c r="CR142" i="11"/>
  <c r="CU130" i="11"/>
  <c r="CN130" i="11"/>
  <c r="CR130" i="11"/>
  <c r="CU118" i="11"/>
  <c r="CN118" i="11"/>
  <c r="CR118" i="11"/>
  <c r="CN106" i="11"/>
  <c r="CR106" i="11"/>
  <c r="CU94" i="11"/>
  <c r="CN94" i="11"/>
  <c r="CR94" i="11"/>
  <c r="CR200" i="11"/>
  <c r="CQ200" i="11"/>
  <c r="CN200" i="11"/>
  <c r="CU210" i="11"/>
  <c r="CN210" i="11"/>
  <c r="CR210" i="11"/>
  <c r="CN256" i="11"/>
  <c r="CU256" i="11"/>
  <c r="CR256" i="11"/>
  <c r="CN244" i="11"/>
  <c r="CU244" i="11"/>
  <c r="CR244" i="11"/>
  <c r="CN232" i="11"/>
  <c r="CR232" i="11"/>
  <c r="CN220" i="11"/>
  <c r="CU220" i="11"/>
  <c r="CR220" i="11"/>
  <c r="CM210" i="11"/>
  <c r="CM77" i="11"/>
  <c r="CM53" i="11"/>
  <c r="CM27" i="11"/>
  <c r="CN191" i="11"/>
  <c r="CN145" i="11"/>
  <c r="CN97" i="11"/>
  <c r="CQ11" i="11"/>
  <c r="CQ35" i="11"/>
  <c r="CQ59" i="11"/>
  <c r="CQ83" i="11"/>
  <c r="CQ107" i="11"/>
  <c r="CQ131" i="11"/>
  <c r="CQ155" i="11"/>
  <c r="CQ179" i="11"/>
  <c r="CQ203" i="11"/>
  <c r="CU34" i="11"/>
  <c r="CU106" i="11"/>
  <c r="CU178" i="11"/>
  <c r="CU250" i="11"/>
  <c r="CR56" i="11"/>
  <c r="CQ56" i="11"/>
  <c r="CN56" i="11"/>
  <c r="CN136" i="11"/>
  <c r="CU136" i="11"/>
  <c r="CR136" i="11"/>
  <c r="CN55" i="11"/>
  <c r="CR55" i="11"/>
  <c r="CQ55" i="11"/>
  <c r="CR153" i="11"/>
  <c r="CQ153" i="11"/>
  <c r="CU153" i="11"/>
  <c r="CN153" i="11"/>
  <c r="CR243" i="11"/>
  <c r="CQ243" i="11"/>
  <c r="CU243" i="11"/>
  <c r="CR219" i="11"/>
  <c r="CQ219" i="11"/>
  <c r="CU219" i="11"/>
  <c r="CM191" i="11"/>
  <c r="CN167" i="11"/>
  <c r="CR85" i="11"/>
  <c r="CQ85" i="11"/>
  <c r="CM73" i="11"/>
  <c r="CR73" i="11"/>
  <c r="CQ73" i="11"/>
  <c r="CM61" i="11"/>
  <c r="CR61" i="11"/>
  <c r="CQ61" i="11"/>
  <c r="CM49" i="11"/>
  <c r="CR49" i="11"/>
  <c r="CQ49" i="11"/>
  <c r="CM37" i="11"/>
  <c r="CR37" i="11"/>
  <c r="CQ37" i="11"/>
  <c r="CM25" i="11"/>
  <c r="CR25" i="11"/>
  <c r="CS25" i="11" s="1"/>
  <c r="CQ25" i="11"/>
  <c r="CM13" i="11"/>
  <c r="CR13" i="11"/>
  <c r="CS13" i="11" s="1"/>
  <c r="CQ13" i="11"/>
  <c r="CR183" i="11"/>
  <c r="CQ183" i="11"/>
  <c r="CU183" i="11"/>
  <c r="CR171" i="11"/>
  <c r="CQ171" i="11"/>
  <c r="CU171" i="11"/>
  <c r="CR159" i="11"/>
  <c r="CQ159" i="11"/>
  <c r="CU159" i="11"/>
  <c r="CR147" i="11"/>
  <c r="CQ147" i="11"/>
  <c r="CU147" i="11"/>
  <c r="CR135" i="11"/>
  <c r="CQ135" i="11"/>
  <c r="CU135" i="11"/>
  <c r="CR123" i="11"/>
  <c r="CQ123" i="11"/>
  <c r="CU123" i="11"/>
  <c r="CR111" i="11"/>
  <c r="CQ111" i="11"/>
  <c r="CU111" i="11"/>
  <c r="CR99" i="11"/>
  <c r="CQ99" i="11"/>
  <c r="CU99" i="11"/>
  <c r="CR205" i="11"/>
  <c r="CQ205" i="11"/>
  <c r="CR261" i="11"/>
  <c r="CQ261" i="11"/>
  <c r="CU261" i="11"/>
  <c r="CR249" i="11"/>
  <c r="CQ249" i="11"/>
  <c r="CU249" i="11"/>
  <c r="CR237" i="11"/>
  <c r="CQ237" i="11"/>
  <c r="CU237" i="11"/>
  <c r="CR225" i="11"/>
  <c r="CQ225" i="11"/>
  <c r="CU225" i="11"/>
  <c r="CM257" i="11"/>
  <c r="CM245" i="11"/>
  <c r="CM233" i="11"/>
  <c r="CM221" i="11"/>
  <c r="CM209" i="11"/>
  <c r="CM89" i="11"/>
  <c r="CM76" i="11"/>
  <c r="CM52" i="11"/>
  <c r="CM21" i="11"/>
  <c r="CN225" i="11"/>
  <c r="CN189" i="11"/>
  <c r="CN143" i="11"/>
  <c r="CN95" i="11"/>
  <c r="CN47" i="11"/>
  <c r="CQ12" i="11"/>
  <c r="CQ36" i="11"/>
  <c r="CQ60" i="11"/>
  <c r="CQ84" i="11"/>
  <c r="CQ156" i="11"/>
  <c r="CQ180" i="11"/>
  <c r="CQ252" i="11"/>
  <c r="CV38" i="11"/>
  <c r="CV110" i="11"/>
  <c r="CV182" i="11"/>
  <c r="CV254" i="11"/>
  <c r="CV263" i="11"/>
  <c r="F2" i="1"/>
  <c r="BL242" i="11"/>
  <c r="BM206" i="11"/>
  <c r="BM182" i="11"/>
  <c r="BM170" i="11"/>
  <c r="BM158" i="11"/>
  <c r="BM146" i="11"/>
  <c r="BM98" i="11"/>
  <c r="BM62" i="11"/>
  <c r="BM14" i="11"/>
  <c r="BN14" i="11" s="1"/>
  <c r="BM230" i="11"/>
  <c r="BM74" i="11"/>
  <c r="BM110" i="11"/>
  <c r="BM228" i="11"/>
  <c r="BL180" i="11"/>
  <c r="BM115" i="11"/>
  <c r="BL170" i="11"/>
  <c r="BM186" i="11"/>
  <c r="CV12" i="11"/>
  <c r="CV18" i="11"/>
  <c r="CV24" i="11"/>
  <c r="CW24" i="11" s="1"/>
  <c r="CV30" i="11"/>
  <c r="CW30" i="11" s="1"/>
  <c r="CV36" i="11"/>
  <c r="CW36" i="11" s="1"/>
  <c r="CV42" i="11"/>
  <c r="CW42" i="11" s="1"/>
  <c r="CV48" i="11"/>
  <c r="CW48" i="11" s="1"/>
  <c r="CV54" i="11"/>
  <c r="CW54" i="11" s="1"/>
  <c r="CV60" i="11"/>
  <c r="CW60" i="11" s="1"/>
  <c r="CV66" i="11"/>
  <c r="CW66" i="11" s="1"/>
  <c r="CV72" i="11"/>
  <c r="CV78" i="11"/>
  <c r="CV84" i="11"/>
  <c r="CV90" i="11"/>
  <c r="CV96" i="11"/>
  <c r="CV102" i="11"/>
  <c r="CV108" i="11"/>
  <c r="CV114" i="11"/>
  <c r="CV120" i="11"/>
  <c r="CV126" i="11"/>
  <c r="CV132" i="11"/>
  <c r="CV138" i="11"/>
  <c r="CV144" i="11"/>
  <c r="CV150" i="11"/>
  <c r="CV156" i="11"/>
  <c r="CV162" i="11"/>
  <c r="CV168" i="11"/>
  <c r="CV174" i="11"/>
  <c r="CV180" i="11"/>
  <c r="CV186" i="11"/>
  <c r="CV192" i="11"/>
  <c r="CV198" i="11"/>
  <c r="CV204" i="11"/>
  <c r="CV210" i="11"/>
  <c r="CV216" i="11"/>
  <c r="CV222" i="11"/>
  <c r="CV228" i="11"/>
  <c r="CV234" i="11"/>
  <c r="CV240" i="11"/>
  <c r="CV246" i="11"/>
  <c r="CV252" i="11"/>
  <c r="CV258" i="11"/>
  <c r="CV264" i="11"/>
  <c r="CU13" i="11"/>
  <c r="CU19" i="11"/>
  <c r="CU25" i="11"/>
  <c r="CU31" i="11"/>
  <c r="CU37" i="11"/>
  <c r="CU43" i="11"/>
  <c r="CU49" i="11"/>
  <c r="CU55" i="11"/>
  <c r="CU61" i="11"/>
  <c r="CU67" i="11"/>
  <c r="CU73" i="11"/>
  <c r="CU79" i="11"/>
  <c r="CU85" i="11"/>
  <c r="CU91" i="11"/>
  <c r="CU97" i="11"/>
  <c r="CU103" i="11"/>
  <c r="CU109" i="11"/>
  <c r="CU115" i="11"/>
  <c r="CU121" i="11"/>
  <c r="CU127" i="11"/>
  <c r="CU133" i="11"/>
  <c r="CU139" i="11"/>
  <c r="CU145" i="11"/>
  <c r="CU151" i="11"/>
  <c r="CU157" i="11"/>
  <c r="CU163" i="11"/>
  <c r="CU169" i="11"/>
  <c r="CU175" i="11"/>
  <c r="CU181" i="11"/>
  <c r="CU187" i="11"/>
  <c r="CU193" i="11"/>
  <c r="CU199" i="11"/>
  <c r="CU205" i="11"/>
  <c r="CU211" i="11"/>
  <c r="CU217" i="11"/>
  <c r="CU223" i="11"/>
  <c r="CU229" i="11"/>
  <c r="CU235" i="11"/>
  <c r="CU241" i="11"/>
  <c r="CU247" i="11"/>
  <c r="CU253" i="11"/>
  <c r="CU259" i="11"/>
  <c r="CU265" i="11"/>
  <c r="CW7" i="11"/>
  <c r="CV13" i="11"/>
  <c r="CW13" i="11" s="1"/>
  <c r="CV19" i="11"/>
  <c r="CW19" i="11" s="1"/>
  <c r="CV25" i="11"/>
  <c r="CW25" i="11" s="1"/>
  <c r="CV31" i="11"/>
  <c r="CW31" i="11" s="1"/>
  <c r="CV37" i="11"/>
  <c r="CW37" i="11" s="1"/>
  <c r="CV43" i="11"/>
  <c r="CW43" i="11" s="1"/>
  <c r="CV49" i="11"/>
  <c r="CW49" i="11" s="1"/>
  <c r="CV55" i="11"/>
  <c r="CV61" i="11"/>
  <c r="CW61" i="11" s="1"/>
  <c r="CV67" i="11"/>
  <c r="CV73" i="11"/>
  <c r="CV79" i="11"/>
  <c r="CV85" i="11"/>
  <c r="CV91" i="11"/>
  <c r="CV97" i="11"/>
  <c r="CV103" i="11"/>
  <c r="CV109" i="11"/>
  <c r="CV115" i="11"/>
  <c r="CV121" i="11"/>
  <c r="CV127" i="11"/>
  <c r="CV133" i="11"/>
  <c r="CV139" i="11"/>
  <c r="CV145" i="11"/>
  <c r="CV151" i="11"/>
  <c r="CV157" i="11"/>
  <c r="CV163" i="11"/>
  <c r="CV169" i="11"/>
  <c r="CV175" i="11"/>
  <c r="CV181" i="11"/>
  <c r="CV187" i="11"/>
  <c r="CV193" i="11"/>
  <c r="CV199" i="11"/>
  <c r="CV205" i="11"/>
  <c r="CV211" i="11"/>
  <c r="CV217" i="11"/>
  <c r="CV223" i="11"/>
  <c r="CV229" i="11"/>
  <c r="CV235" i="11"/>
  <c r="CV241" i="11"/>
  <c r="CV247" i="11"/>
  <c r="CV253" i="11"/>
  <c r="CV259" i="11"/>
  <c r="CV265" i="11"/>
  <c r="CU8" i="11"/>
  <c r="CU14" i="11"/>
  <c r="CU20" i="11"/>
  <c r="CU26" i="11"/>
  <c r="CU32" i="11"/>
  <c r="CU38" i="11"/>
  <c r="CU44" i="11"/>
  <c r="CU50" i="11"/>
  <c r="CU56" i="11"/>
  <c r="CU62" i="11"/>
  <c r="CU68" i="11"/>
  <c r="CU74" i="11"/>
  <c r="CU80" i="11"/>
  <c r="CU86" i="11"/>
  <c r="CU92" i="11"/>
  <c r="CU98" i="11"/>
  <c r="CU104" i="11"/>
  <c r="CU110" i="11"/>
  <c r="CU116" i="11"/>
  <c r="CU122" i="11"/>
  <c r="CU128" i="11"/>
  <c r="CU134" i="11"/>
  <c r="CU140" i="11"/>
  <c r="CU146" i="11"/>
  <c r="CU152" i="11"/>
  <c r="CU158" i="11"/>
  <c r="CU164" i="11"/>
  <c r="CU170" i="11"/>
  <c r="CU176" i="11"/>
  <c r="CU182" i="11"/>
  <c r="CU188" i="11"/>
  <c r="CU194" i="11"/>
  <c r="CU200" i="11"/>
  <c r="CU206" i="11"/>
  <c r="CU212" i="11"/>
  <c r="CU218" i="11"/>
  <c r="CU224" i="11"/>
  <c r="CU230" i="11"/>
  <c r="CU236" i="11"/>
  <c r="CU242" i="11"/>
  <c r="CU248" i="11"/>
  <c r="CU254" i="11"/>
  <c r="CU260" i="11"/>
  <c r="CV9" i="11"/>
  <c r="CW9" i="11" s="1"/>
  <c r="CV15" i="11"/>
  <c r="CW15" i="11" s="1"/>
  <c r="CV21" i="11"/>
  <c r="CW21" i="11" s="1"/>
  <c r="CV27" i="11"/>
  <c r="CV33" i="11"/>
  <c r="CW33" i="11" s="1"/>
  <c r="CV39" i="11"/>
  <c r="CV45" i="11"/>
  <c r="CW45" i="11" s="1"/>
  <c r="CV51" i="11"/>
  <c r="CV57" i="11"/>
  <c r="CV63" i="11"/>
  <c r="CW63" i="11" s="1"/>
  <c r="CV69" i="11"/>
  <c r="CV75" i="11"/>
  <c r="CV81" i="11"/>
  <c r="CV87" i="11"/>
  <c r="CV93" i="11"/>
  <c r="CV99" i="11"/>
  <c r="CV105" i="11"/>
  <c r="CV111" i="11"/>
  <c r="CV117" i="11"/>
  <c r="CV123" i="11"/>
  <c r="CV129" i="11"/>
  <c r="CV135" i="11"/>
  <c r="CV141" i="11"/>
  <c r="CV147" i="11"/>
  <c r="CV153" i="11"/>
  <c r="CV159" i="11"/>
  <c r="CV165" i="11"/>
  <c r="CV171" i="11"/>
  <c r="CV177" i="11"/>
  <c r="CV183" i="11"/>
  <c r="CV189" i="11"/>
  <c r="CV195" i="11"/>
  <c r="CV201" i="11"/>
  <c r="CV207" i="11"/>
  <c r="CV213" i="11"/>
  <c r="CV219" i="11"/>
  <c r="CV225" i="11"/>
  <c r="CV231" i="11"/>
  <c r="CV237" i="11"/>
  <c r="CV243" i="11"/>
  <c r="CV249" i="11"/>
  <c r="CV255" i="11"/>
  <c r="CV261" i="11"/>
  <c r="CV10" i="11"/>
  <c r="CW10" i="11" s="1"/>
  <c r="CV16" i="11"/>
  <c r="CV22" i="11"/>
  <c r="CW22" i="11" s="1"/>
  <c r="CV28" i="11"/>
  <c r="CW28" i="11" s="1"/>
  <c r="CV34" i="11"/>
  <c r="CW34" i="11" s="1"/>
  <c r="CV40" i="11"/>
  <c r="CW40" i="11" s="1"/>
  <c r="CV46" i="11"/>
  <c r="CW46" i="11" s="1"/>
  <c r="CV52" i="11"/>
  <c r="CW52" i="11" s="1"/>
  <c r="CV58" i="11"/>
  <c r="CV64" i="11"/>
  <c r="CW64" i="11" s="1"/>
  <c r="CV70" i="11"/>
  <c r="CV76" i="11"/>
  <c r="CV82" i="11"/>
  <c r="CV88" i="11"/>
  <c r="CV94" i="11"/>
  <c r="CV100" i="11"/>
  <c r="CV106" i="11"/>
  <c r="CV112" i="11"/>
  <c r="CV118" i="11"/>
  <c r="CV124" i="11"/>
  <c r="CV130" i="11"/>
  <c r="CV136" i="11"/>
  <c r="CV142" i="11"/>
  <c r="CV148" i="11"/>
  <c r="CV154" i="11"/>
  <c r="CV160" i="11"/>
  <c r="CV166" i="11"/>
  <c r="CV172" i="11"/>
  <c r="CV178" i="11"/>
  <c r="CV184" i="11"/>
  <c r="CV190" i="11"/>
  <c r="CV196" i="11"/>
  <c r="CV202" i="11"/>
  <c r="CV208" i="11"/>
  <c r="CV214" i="11"/>
  <c r="CV220" i="11"/>
  <c r="CV226" i="11"/>
  <c r="CV232" i="11"/>
  <c r="CV238" i="11"/>
  <c r="CV244" i="11"/>
  <c r="CV250" i="11"/>
  <c r="CV256" i="11"/>
  <c r="CV262" i="11"/>
  <c r="CU11" i="11"/>
  <c r="CU17" i="11"/>
  <c r="CU23" i="11"/>
  <c r="CU29" i="11"/>
  <c r="CU35" i="11"/>
  <c r="CU41" i="11"/>
  <c r="CU47" i="11"/>
  <c r="CU53" i="11"/>
  <c r="CU59" i="11"/>
  <c r="CU65" i="11"/>
  <c r="CU71" i="11"/>
  <c r="CU77" i="11"/>
  <c r="CU83" i="11"/>
  <c r="CU89" i="11"/>
  <c r="CU95" i="11"/>
  <c r="CU101" i="11"/>
  <c r="CU107" i="11"/>
  <c r="CU113" i="11"/>
  <c r="CU119" i="11"/>
  <c r="CU125" i="11"/>
  <c r="CU131" i="11"/>
  <c r="CU137" i="11"/>
  <c r="CU143" i="11"/>
  <c r="CU149" i="11"/>
  <c r="CU155" i="11"/>
  <c r="CU161" i="11"/>
  <c r="CU167" i="11"/>
  <c r="CU173" i="11"/>
  <c r="CU179" i="11"/>
  <c r="CU185" i="11"/>
  <c r="CU191" i="11"/>
  <c r="CU197" i="11"/>
  <c r="CU203" i="11"/>
  <c r="CU209" i="11"/>
  <c r="CU215" i="11"/>
  <c r="CU221" i="11"/>
  <c r="CU227" i="11"/>
  <c r="CU233" i="11"/>
  <c r="CU239" i="11"/>
  <c r="CU245" i="11"/>
  <c r="CU251" i="11"/>
  <c r="CU257" i="11"/>
  <c r="CU263" i="11"/>
  <c r="CV11" i="11"/>
  <c r="CW11" i="11" s="1"/>
  <c r="CV17" i="11"/>
  <c r="CW17" i="11" s="1"/>
  <c r="CV23" i="11"/>
  <c r="CW23" i="11" s="1"/>
  <c r="CV29" i="11"/>
  <c r="CW29" i="11" s="1"/>
  <c r="CV35" i="11"/>
  <c r="CW35" i="11" s="1"/>
  <c r="CV41" i="11"/>
  <c r="CW41" i="11" s="1"/>
  <c r="CV47" i="11"/>
  <c r="CW47" i="11" s="1"/>
  <c r="CV53" i="11"/>
  <c r="CW53" i="11" s="1"/>
  <c r="CV59" i="11"/>
  <c r="CV65" i="11"/>
  <c r="CW65" i="11" s="1"/>
  <c r="CV71" i="11"/>
  <c r="CV77" i="11"/>
  <c r="CV83" i="11"/>
  <c r="CV89" i="11"/>
  <c r="CV95" i="11"/>
  <c r="CV101" i="11"/>
  <c r="CV107" i="11"/>
  <c r="CV113" i="11"/>
  <c r="CV119" i="11"/>
  <c r="CV125" i="11"/>
  <c r="CV131" i="11"/>
  <c r="CV137" i="11"/>
  <c r="CV143" i="11"/>
  <c r="CV149" i="11"/>
  <c r="CV155" i="11"/>
  <c r="CV161" i="11"/>
  <c r="CV167" i="11"/>
  <c r="CV173" i="11"/>
  <c r="CV179" i="11"/>
  <c r="CV185" i="11"/>
  <c r="CV191" i="11"/>
  <c r="CV197" i="11"/>
  <c r="CV203" i="11"/>
  <c r="CV209" i="11"/>
  <c r="CV215" i="11"/>
  <c r="CV221" i="11"/>
  <c r="CV227" i="11"/>
  <c r="CV233" i="11"/>
  <c r="CV239" i="11"/>
  <c r="CV245" i="11"/>
  <c r="CV251" i="11"/>
  <c r="CV257" i="11"/>
  <c r="BP86" i="11"/>
  <c r="BP50" i="11"/>
  <c r="BP240" i="11"/>
  <c r="BP120" i="11"/>
  <c r="BL226" i="11"/>
  <c r="BL202" i="11"/>
  <c r="BL178" i="11"/>
  <c r="BL166" i="11"/>
  <c r="BM212" i="11"/>
  <c r="BL164" i="11"/>
  <c r="BM152" i="11"/>
  <c r="BM116" i="11"/>
  <c r="BM104" i="11"/>
  <c r="BM92" i="11"/>
  <c r="BM56" i="11"/>
  <c r="BM44" i="11"/>
  <c r="BM32" i="11"/>
  <c r="BN7" i="11"/>
  <c r="BM236" i="11"/>
  <c r="BL247" i="11"/>
  <c r="BL223" i="11"/>
  <c r="BL199" i="11"/>
  <c r="BL175" i="11"/>
  <c r="BM151" i="11"/>
  <c r="BM139" i="11"/>
  <c r="BM127" i="11"/>
  <c r="BM103" i="11"/>
  <c r="BM67" i="11"/>
  <c r="BM55" i="11"/>
  <c r="BM43" i="11"/>
  <c r="BM19" i="11"/>
  <c r="BN19" i="11" s="1"/>
  <c r="BL16" i="11"/>
  <c r="BM246" i="11"/>
  <c r="BM234" i="11"/>
  <c r="BM222" i="11"/>
  <c r="BM210" i="11"/>
  <c r="BM198" i="11"/>
  <c r="BM174" i="11"/>
  <c r="BM138" i="11"/>
  <c r="BM126" i="11"/>
  <c r="BM114" i="11"/>
  <c r="BM90" i="11"/>
  <c r="BM78" i="11"/>
  <c r="BM42" i="11"/>
  <c r="BM18" i="11"/>
  <c r="BN18" i="11" s="1"/>
  <c r="BM31" i="11"/>
  <c r="BM39" i="11"/>
  <c r="BL244" i="11"/>
  <c r="BL232" i="11"/>
  <c r="BL220" i="11"/>
  <c r="BL208" i="11"/>
  <c r="BL196" i="11"/>
  <c r="BL184" i="11"/>
  <c r="BL172" i="11"/>
  <c r="BM160" i="11"/>
  <c r="BM148" i="11"/>
  <c r="BM124" i="11"/>
  <c r="BM112" i="11"/>
  <c r="BL100" i="11"/>
  <c r="BL88" i="11"/>
  <c r="BL76" i="11"/>
  <c r="BL64" i="11"/>
  <c r="BL52" i="11"/>
  <c r="BM40" i="11"/>
  <c r="BM28" i="11"/>
  <c r="BM16" i="11"/>
  <c r="BM52" i="11"/>
  <c r="BL99" i="11"/>
  <c r="BM245" i="11"/>
  <c r="BM221" i="11"/>
  <c r="BM197" i="11"/>
  <c r="BM173" i="11"/>
  <c r="BM161" i="11"/>
  <c r="BM149" i="11"/>
  <c r="BM137" i="11"/>
  <c r="BM125" i="11"/>
  <c r="BM113" i="11"/>
  <c r="BM101" i="11"/>
  <c r="BM89" i="11"/>
  <c r="BM77" i="11"/>
  <c r="BM65" i="11"/>
  <c r="BM53" i="11"/>
  <c r="BM41" i="11"/>
  <c r="BM29" i="11"/>
  <c r="BM17" i="11"/>
  <c r="BN17" i="11" s="1"/>
  <c r="BM38" i="11"/>
  <c r="BM243" i="11"/>
  <c r="BM231" i="11"/>
  <c r="BM219" i="11"/>
  <c r="BM207" i="11"/>
  <c r="BM183" i="11"/>
  <c r="BM159" i="11"/>
  <c r="BM147" i="11"/>
  <c r="BM135" i="11"/>
  <c r="BM123" i="11"/>
  <c r="BM111" i="11"/>
  <c r="BM99" i="11"/>
  <c r="BM87" i="11"/>
  <c r="BL75" i="11"/>
  <c r="BM63" i="11"/>
  <c r="BL51" i="11"/>
  <c r="BL39" i="11"/>
  <c r="BM27" i="11"/>
  <c r="BM15" i="11"/>
  <c r="BN15" i="11" s="1"/>
  <c r="BL45" i="11"/>
  <c r="BM91" i="11"/>
  <c r="BM105" i="11"/>
  <c r="BM249" i="11"/>
  <c r="BM237" i="11"/>
  <c r="BL225" i="11"/>
  <c r="BM213" i="11"/>
  <c r="BL201" i="11"/>
  <c r="BM189" i="11"/>
  <c r="BL177" i="11"/>
  <c r="BM165" i="11"/>
  <c r="BM153" i="11"/>
  <c r="BL141" i="11"/>
  <c r="BM129" i="11"/>
  <c r="BM117" i="11"/>
  <c r="BL105" i="11"/>
  <c r="BM93" i="11"/>
  <c r="BM81" i="11"/>
  <c r="BM69" i="11"/>
  <c r="BL57" i="11"/>
  <c r="BM45" i="11"/>
  <c r="BM33" i="11"/>
  <c r="BM21" i="11"/>
  <c r="BN21" i="11" s="1"/>
  <c r="BM9" i="11"/>
  <c r="BN9" i="11" s="1"/>
  <c r="BZ9" i="11" s="1"/>
  <c r="Y22" i="11"/>
  <c r="AA22" i="11" s="1"/>
  <c r="BM51" i="11"/>
  <c r="BL188" i="11"/>
  <c r="BH189" i="11"/>
  <c r="W10" i="11"/>
  <c r="BL9" i="11"/>
  <c r="BM57" i="11"/>
  <c r="BL213" i="11"/>
  <c r="X21" i="11"/>
  <c r="BM66" i="11"/>
  <c r="BM134" i="11"/>
  <c r="BL237" i="11"/>
  <c r="BL21" i="11"/>
  <c r="BM75" i="11"/>
  <c r="BM141" i="11"/>
  <c r="BM242" i="11"/>
  <c r="Y37" i="11"/>
  <c r="Z37" i="11" s="1"/>
  <c r="BM26" i="11"/>
  <c r="BN26" i="11" s="1"/>
  <c r="BM76" i="11"/>
  <c r="Y34" i="11"/>
  <c r="AA34" i="11" s="1"/>
  <c r="BM30" i="11"/>
  <c r="BL81" i="11"/>
  <c r="BP78" i="11"/>
  <c r="D9" i="11"/>
  <c r="D7" i="11"/>
  <c r="O7" i="11" s="1"/>
  <c r="C8" i="11"/>
  <c r="C9" i="11"/>
  <c r="C10" i="11"/>
  <c r="C7" i="11"/>
  <c r="N7" i="11" s="1"/>
  <c r="F7" i="11"/>
  <c r="Q7" i="11" s="1"/>
  <c r="F10" i="11"/>
  <c r="T8" i="11"/>
  <c r="T9" i="11"/>
  <c r="W40" i="11"/>
  <c r="W16" i="11"/>
  <c r="X28" i="11"/>
  <c r="Y33" i="11"/>
  <c r="Z33" i="11" s="1"/>
  <c r="BL63" i="11"/>
  <c r="BL93" i="11"/>
  <c r="BL111" i="11"/>
  <c r="BM128" i="11"/>
  <c r="BL147" i="11"/>
  <c r="BL165" i="11"/>
  <c r="BM188" i="11"/>
  <c r="BM218" i="11"/>
  <c r="BP114" i="11"/>
  <c r="W37" i="11"/>
  <c r="W13" i="11"/>
  <c r="X25" i="11"/>
  <c r="Y32" i="11"/>
  <c r="AA32" i="11" s="1"/>
  <c r="BL33" i="11"/>
  <c r="BM50" i="11"/>
  <c r="BM79" i="11"/>
  <c r="BL129" i="11"/>
  <c r="BL189" i="11"/>
  <c r="W36" i="11"/>
  <c r="W12" i="11"/>
  <c r="X22" i="11"/>
  <c r="BM20" i="11"/>
  <c r="BN20" i="11" s="1"/>
  <c r="BM64" i="11"/>
  <c r="BM80" i="11"/>
  <c r="BM150" i="11"/>
  <c r="BM194" i="11"/>
  <c r="BP122" i="11"/>
  <c r="X32" i="11"/>
  <c r="G10" i="11"/>
  <c r="X8" i="11"/>
  <c r="X20" i="11"/>
  <c r="Y25" i="11"/>
  <c r="Z25" i="11" s="1"/>
  <c r="BL135" i="11"/>
  <c r="BP14" i="11"/>
  <c r="BM68" i="11"/>
  <c r="BM86" i="11"/>
  <c r="BM100" i="11"/>
  <c r="BL117" i="11"/>
  <c r="BL153" i="11"/>
  <c r="BL173" i="11"/>
  <c r="BP158" i="11"/>
  <c r="E10" i="11"/>
  <c r="W28" i="11"/>
  <c r="X40" i="11"/>
  <c r="X16" i="11"/>
  <c r="Y20" i="11"/>
  <c r="Z20" i="11" s="1"/>
  <c r="BI233" i="11"/>
  <c r="BL27" i="11"/>
  <c r="BL40" i="11"/>
  <c r="BM54" i="11"/>
  <c r="BL69" i="11"/>
  <c r="BL87" i="11"/>
  <c r="BM102" i="11"/>
  <c r="BP42" i="11"/>
  <c r="X13" i="11"/>
  <c r="BM122" i="11"/>
  <c r="BP56" i="11"/>
  <c r="W24" i="11"/>
  <c r="X35" i="11"/>
  <c r="X10" i="11"/>
  <c r="BL15" i="11"/>
  <c r="BL28" i="11"/>
  <c r="BM88" i="11"/>
  <c r="BL123" i="11"/>
  <c r="BM140" i="11"/>
  <c r="BL159" i="11"/>
  <c r="BL236" i="11"/>
  <c r="BL212" i="11"/>
  <c r="BP230" i="11"/>
  <c r="X33" i="11"/>
  <c r="Y9" i="11"/>
  <c r="Z9" i="11" s="1"/>
  <c r="N9" i="11"/>
  <c r="N8" i="11"/>
  <c r="B8" i="11"/>
  <c r="B11" i="11"/>
  <c r="B9" i="11"/>
  <c r="B7" i="11"/>
  <c r="M7" i="11" s="1"/>
  <c r="B10" i="11"/>
  <c r="I10" i="11"/>
  <c r="I11" i="11"/>
  <c r="I7" i="11"/>
  <c r="T7" i="11" s="1"/>
  <c r="I9" i="11"/>
  <c r="I8" i="11"/>
  <c r="S9" i="11"/>
  <c r="S8" i="11"/>
  <c r="R9" i="11"/>
  <c r="R8" i="11"/>
  <c r="Q9" i="11"/>
  <c r="Q8" i="11"/>
  <c r="P8" i="11"/>
  <c r="P9" i="11"/>
  <c r="O9" i="11"/>
  <c r="O8" i="11"/>
  <c r="Y26" i="11"/>
  <c r="AA26" i="11" s="1"/>
  <c r="X26" i="11"/>
  <c r="W26" i="11"/>
  <c r="H11" i="11"/>
  <c r="D10" i="11"/>
  <c r="H8" i="11"/>
  <c r="W23" i="11"/>
  <c r="X23" i="11"/>
  <c r="Y23" i="11"/>
  <c r="AA23" i="11" s="1"/>
  <c r="W11" i="11"/>
  <c r="X11" i="11"/>
  <c r="Y14" i="11"/>
  <c r="Z14" i="11" s="1"/>
  <c r="X14" i="11"/>
  <c r="W14" i="11"/>
  <c r="G8" i="11"/>
  <c r="M9" i="11"/>
  <c r="M8" i="11"/>
  <c r="G11" i="11"/>
  <c r="F11" i="11"/>
  <c r="F8" i="11"/>
  <c r="E11" i="11"/>
  <c r="E8" i="11"/>
  <c r="D11" i="11"/>
  <c r="H9" i="11"/>
  <c r="D8" i="11"/>
  <c r="Y11" i="11"/>
  <c r="AA11" i="11" s="1"/>
  <c r="H7" i="11"/>
  <c r="S7" i="11" s="1"/>
  <c r="C11" i="11"/>
  <c r="G9" i="11"/>
  <c r="Y43" i="11"/>
  <c r="Z43" i="11" s="1"/>
  <c r="W43" i="11"/>
  <c r="X31" i="11"/>
  <c r="W31" i="11"/>
  <c r="W19" i="11"/>
  <c r="Y19" i="11"/>
  <c r="Z19" i="11" s="1"/>
  <c r="Y35" i="11"/>
  <c r="AA35" i="11" s="1"/>
  <c r="Y38" i="11"/>
  <c r="Z38" i="11" s="1"/>
  <c r="X38" i="11"/>
  <c r="W38" i="11"/>
  <c r="F9" i="11"/>
  <c r="BM241" i="11"/>
  <c r="BL241" i="11"/>
  <c r="BM229" i="11"/>
  <c r="BL229" i="11"/>
  <c r="BM217" i="11"/>
  <c r="BL217" i="11"/>
  <c r="BM205" i="11"/>
  <c r="BL205" i="11"/>
  <c r="BM193" i="11"/>
  <c r="BL193" i="11"/>
  <c r="BM181" i="11"/>
  <c r="BL181" i="11"/>
  <c r="BM169" i="11"/>
  <c r="BL169" i="11"/>
  <c r="BM157" i="11"/>
  <c r="BL157" i="11"/>
  <c r="BM145" i="11"/>
  <c r="BL145" i="11"/>
  <c r="BM133" i="11"/>
  <c r="BL133" i="11"/>
  <c r="BM121" i="11"/>
  <c r="BL121" i="11"/>
  <c r="BM109" i="11"/>
  <c r="BL109" i="11"/>
  <c r="BM97" i="11"/>
  <c r="BL97" i="11"/>
  <c r="BM85" i="11"/>
  <c r="BL85" i="11"/>
  <c r="BM73" i="11"/>
  <c r="BL73" i="11"/>
  <c r="BM61" i="11"/>
  <c r="BL61" i="11"/>
  <c r="BM49" i="11"/>
  <c r="BL49" i="11"/>
  <c r="BM37" i="11"/>
  <c r="BL37" i="11"/>
  <c r="BM25" i="11"/>
  <c r="BN25" i="11" s="1"/>
  <c r="BL25" i="11"/>
  <c r="BM13" i="11"/>
  <c r="BN13" i="11" s="1"/>
  <c r="BL13" i="11"/>
  <c r="E9" i="11"/>
  <c r="Y41" i="11"/>
  <c r="Z41" i="11" s="1"/>
  <c r="X41" i="11"/>
  <c r="W41" i="11"/>
  <c r="Y29" i="11"/>
  <c r="AA29" i="11" s="1"/>
  <c r="X29" i="11"/>
  <c r="W29" i="11"/>
  <c r="Y17" i="11"/>
  <c r="Z17" i="11" s="1"/>
  <c r="X17" i="11"/>
  <c r="BP8" i="11"/>
  <c r="BL8" i="11"/>
  <c r="BM240" i="11"/>
  <c r="BL240" i="11"/>
  <c r="BP228" i="11"/>
  <c r="BP216" i="11"/>
  <c r="BM216" i="11"/>
  <c r="BL216" i="11"/>
  <c r="BP204" i="11"/>
  <c r="BM192" i="11"/>
  <c r="BL192" i="11"/>
  <c r="BP180" i="11"/>
  <c r="BP168" i="11"/>
  <c r="BM168" i="11"/>
  <c r="BL168" i="11"/>
  <c r="BM156" i="11"/>
  <c r="BP156" i="11"/>
  <c r="BL156" i="11"/>
  <c r="BP144" i="11"/>
  <c r="BM144" i="11"/>
  <c r="BL144" i="11"/>
  <c r="BM132" i="11"/>
  <c r="BL132" i="11"/>
  <c r="BP132" i="11"/>
  <c r="BM120" i="11"/>
  <c r="BL120" i="11"/>
  <c r="BP108" i="11"/>
  <c r="BM108" i="11"/>
  <c r="BL108" i="11"/>
  <c r="BM96" i="11"/>
  <c r="BP96" i="11"/>
  <c r="BL96" i="11"/>
  <c r="BM84" i="11"/>
  <c r="BL84" i="11"/>
  <c r="BP84" i="11"/>
  <c r="BP72" i="11"/>
  <c r="BM72" i="11"/>
  <c r="BL72" i="11"/>
  <c r="BP60" i="11"/>
  <c r="BM60" i="11"/>
  <c r="BL60" i="11"/>
  <c r="BP48" i="11"/>
  <c r="BM48" i="11"/>
  <c r="BL48" i="11"/>
  <c r="BP36" i="11"/>
  <c r="BM36" i="11"/>
  <c r="BL36" i="11"/>
  <c r="BM24" i="11"/>
  <c r="BN24" i="11" s="1"/>
  <c r="BL24" i="11"/>
  <c r="BP24" i="11"/>
  <c r="BM12" i="11"/>
  <c r="BN12" i="11" s="1"/>
  <c r="BL12" i="11"/>
  <c r="BM180" i="11"/>
  <c r="BL204" i="11"/>
  <c r="BL251" i="11"/>
  <c r="BM251" i="11"/>
  <c r="BL239" i="11"/>
  <c r="BH239" i="11"/>
  <c r="BM239" i="11"/>
  <c r="BL227" i="11"/>
  <c r="BM227" i="11"/>
  <c r="BL215" i="11"/>
  <c r="BM215" i="11"/>
  <c r="BL203" i="11"/>
  <c r="BM203" i="11"/>
  <c r="BL191" i="11"/>
  <c r="BM191" i="11"/>
  <c r="BL179" i="11"/>
  <c r="BM179" i="11"/>
  <c r="BH179" i="11"/>
  <c r="BM167" i="11"/>
  <c r="BL167" i="11"/>
  <c r="BM155" i="11"/>
  <c r="BL155" i="11"/>
  <c r="BM143" i="11"/>
  <c r="BL143" i="11"/>
  <c r="BM131" i="11"/>
  <c r="BL131" i="11"/>
  <c r="BM119" i="11"/>
  <c r="BL119" i="11"/>
  <c r="BM107" i="11"/>
  <c r="BL107" i="11"/>
  <c r="BM95" i="11"/>
  <c r="BL95" i="11"/>
  <c r="BM83" i="11"/>
  <c r="BL83" i="11"/>
  <c r="BM71" i="11"/>
  <c r="BL71" i="11"/>
  <c r="BM59" i="11"/>
  <c r="BL59" i="11"/>
  <c r="BM47" i="11"/>
  <c r="BL47" i="11"/>
  <c r="BM35" i="11"/>
  <c r="BL35" i="11"/>
  <c r="BM23" i="11"/>
  <c r="BN23" i="11" s="1"/>
  <c r="BL23" i="11"/>
  <c r="BM11" i="11"/>
  <c r="BN11" i="11" s="1"/>
  <c r="BZ11" i="11" s="1"/>
  <c r="BL11" i="11"/>
  <c r="BM204" i="11"/>
  <c r="BL228" i="11"/>
  <c r="BP12" i="11"/>
  <c r="X9" i="11"/>
  <c r="W44" i="11"/>
  <c r="Y44" i="11"/>
  <c r="Z44" i="11" s="1"/>
  <c r="W8" i="11"/>
  <c r="Y21" i="11"/>
  <c r="Z21" i="11" s="1"/>
  <c r="Y42" i="11"/>
  <c r="Z42" i="11" s="1"/>
  <c r="X42" i="11"/>
  <c r="Y30" i="11"/>
  <c r="Z30" i="11" s="1"/>
  <c r="X30" i="11"/>
  <c r="Y18" i="11"/>
  <c r="Z18" i="11" s="1"/>
  <c r="X18" i="11"/>
  <c r="BM8" i="11"/>
  <c r="BN8" i="11" s="1"/>
  <c r="BZ8" i="11" s="1"/>
  <c r="BP192" i="11"/>
  <c r="W39" i="11"/>
  <c r="W27" i="11"/>
  <c r="W15" i="11"/>
  <c r="BM250" i="11"/>
  <c r="BM238" i="11"/>
  <c r="BM226" i="11"/>
  <c r="BM214" i="11"/>
  <c r="BM202" i="11"/>
  <c r="BM190" i="11"/>
  <c r="BM178" i="11"/>
  <c r="BM166" i="11"/>
  <c r="BL10" i="11"/>
  <c r="BL22" i="11"/>
  <c r="BL34" i="11"/>
  <c r="BL46" i="11"/>
  <c r="BL58" i="11"/>
  <c r="BL70" i="11"/>
  <c r="BL82" i="11"/>
  <c r="BL94" i="11"/>
  <c r="BL106" i="11"/>
  <c r="BL112" i="11"/>
  <c r="BL118" i="11"/>
  <c r="BL124" i="11"/>
  <c r="BL130" i="11"/>
  <c r="BL136" i="11"/>
  <c r="BL142" i="11"/>
  <c r="BL148" i="11"/>
  <c r="BL154" i="11"/>
  <c r="BL160" i="11"/>
  <c r="BL174" i="11"/>
  <c r="BL182" i="11"/>
  <c r="BL198" i="11"/>
  <c r="BL206" i="11"/>
  <c r="BL222" i="11"/>
  <c r="BL230" i="11"/>
  <c r="BL246" i="11"/>
  <c r="BP194" i="11"/>
  <c r="BL249" i="11"/>
  <c r="CO9" i="11"/>
  <c r="BM10" i="11"/>
  <c r="BN10" i="11" s="1"/>
  <c r="BZ10" i="11" s="1"/>
  <c r="BM22" i="11"/>
  <c r="BN22" i="11" s="1"/>
  <c r="BM34" i="11"/>
  <c r="BM46" i="11"/>
  <c r="BM58" i="11"/>
  <c r="BM70" i="11"/>
  <c r="BM82" i="11"/>
  <c r="BM94" i="11"/>
  <c r="BM106" i="11"/>
  <c r="BM118" i="11"/>
  <c r="BM130" i="11"/>
  <c r="BM136" i="11"/>
  <c r="BM142" i="11"/>
  <c r="BM154" i="11"/>
  <c r="BL190" i="11"/>
  <c r="BL214" i="11"/>
  <c r="BL238" i="11"/>
  <c r="BP30" i="11"/>
  <c r="BL17" i="11"/>
  <c r="BL29" i="11"/>
  <c r="BL41" i="11"/>
  <c r="BL53" i="11"/>
  <c r="BL65" i="11"/>
  <c r="BL77" i="11"/>
  <c r="BL89" i="11"/>
  <c r="BL101" i="11"/>
  <c r="BL113" i="11"/>
  <c r="BL125" i="11"/>
  <c r="BL137" i="11"/>
  <c r="BL149" i="11"/>
  <c r="BL161" i="11"/>
  <c r="BL183" i="11"/>
  <c r="BL207" i="11"/>
  <c r="BL231" i="11"/>
  <c r="BP32" i="11"/>
  <c r="X39" i="11"/>
  <c r="X27" i="11"/>
  <c r="X15" i="11"/>
  <c r="BM247" i="11"/>
  <c r="BM235" i="11"/>
  <c r="BM223" i="11"/>
  <c r="BM211" i="11"/>
  <c r="BM199" i="11"/>
  <c r="BM187" i="11"/>
  <c r="BM175" i="11"/>
  <c r="BM163" i="11"/>
  <c r="BI223" i="11"/>
  <c r="BL176" i="11"/>
  <c r="BL200" i="11"/>
  <c r="BL224" i="11"/>
  <c r="BL248" i="11"/>
  <c r="BP92" i="11"/>
  <c r="BP152" i="11"/>
  <c r="BP212" i="11"/>
  <c r="BP246" i="11"/>
  <c r="BP234" i="11"/>
  <c r="BP210" i="11"/>
  <c r="BP198" i="11"/>
  <c r="BP174" i="11"/>
  <c r="BP162" i="11"/>
  <c r="BP138" i="11"/>
  <c r="BP126" i="11"/>
  <c r="BP90" i="11"/>
  <c r="BP54" i="11"/>
  <c r="BP18" i="11"/>
  <c r="BL18" i="11"/>
  <c r="BL30" i="11"/>
  <c r="BL42" i="11"/>
  <c r="BL54" i="11"/>
  <c r="BL66" i="11"/>
  <c r="BL78" i="11"/>
  <c r="BL90" i="11"/>
  <c r="BL102" i="11"/>
  <c r="BL114" i="11"/>
  <c r="BL126" i="11"/>
  <c r="BL138" i="11"/>
  <c r="BL150" i="11"/>
  <c r="BL162" i="11"/>
  <c r="BM176" i="11"/>
  <c r="BM200" i="11"/>
  <c r="BM224" i="11"/>
  <c r="BM248" i="11"/>
  <c r="BP44" i="11"/>
  <c r="BP222" i="11"/>
  <c r="BL245" i="11"/>
  <c r="BL233" i="11"/>
  <c r="BL221" i="11"/>
  <c r="BL209" i="11"/>
  <c r="BL197" i="11"/>
  <c r="BL185" i="11"/>
  <c r="BM185" i="11"/>
  <c r="BM209" i="11"/>
  <c r="BM233" i="11"/>
  <c r="X36" i="11"/>
  <c r="X24" i="11"/>
  <c r="X12" i="11"/>
  <c r="BM244" i="11"/>
  <c r="BM232" i="11"/>
  <c r="BM220" i="11"/>
  <c r="BM208" i="11"/>
  <c r="BM196" i="11"/>
  <c r="BM184" i="11"/>
  <c r="BM172" i="11"/>
  <c r="BL19" i="11"/>
  <c r="BL31" i="11"/>
  <c r="BL43" i="11"/>
  <c r="BL55" i="11"/>
  <c r="BL67" i="11"/>
  <c r="BL79" i="11"/>
  <c r="BL91" i="11"/>
  <c r="BL103" i="11"/>
  <c r="BL115" i="11"/>
  <c r="BL127" i="11"/>
  <c r="BL139" i="11"/>
  <c r="BL151" i="11"/>
  <c r="BL163" i="11"/>
  <c r="BM177" i="11"/>
  <c r="BL186" i="11"/>
  <c r="BL194" i="11"/>
  <c r="BM201" i="11"/>
  <c r="BL210" i="11"/>
  <c r="BL218" i="11"/>
  <c r="BM225" i="11"/>
  <c r="BL234" i="11"/>
  <c r="BL250" i="11"/>
  <c r="BP104" i="11"/>
  <c r="BP164" i="11"/>
  <c r="BL171" i="11"/>
  <c r="BP242" i="11"/>
  <c r="BP218" i="11"/>
  <c r="BP206" i="11"/>
  <c r="BP182" i="11"/>
  <c r="BP170" i="11"/>
  <c r="BP146" i="11"/>
  <c r="BP134" i="11"/>
  <c r="BP110" i="11"/>
  <c r="BP98" i="11"/>
  <c r="BP74" i="11"/>
  <c r="BP62" i="11"/>
  <c r="BP38" i="11"/>
  <c r="BP26" i="11"/>
  <c r="BL14" i="11"/>
  <c r="BL20" i="11"/>
  <c r="BL26" i="11"/>
  <c r="BL32" i="11"/>
  <c r="BL38" i="11"/>
  <c r="BL44" i="11"/>
  <c r="BL50" i="11"/>
  <c r="BL56" i="11"/>
  <c r="BL62" i="11"/>
  <c r="BL68" i="11"/>
  <c r="BL74" i="11"/>
  <c r="BL80" i="11"/>
  <c r="BL86" i="11"/>
  <c r="BL92" i="11"/>
  <c r="BL98" i="11"/>
  <c r="BL104" i="11"/>
  <c r="BL110" i="11"/>
  <c r="BL116" i="11"/>
  <c r="BL122" i="11"/>
  <c r="BL128" i="11"/>
  <c r="BL134" i="11"/>
  <c r="BL140" i="11"/>
  <c r="BL146" i="11"/>
  <c r="BL152" i="11"/>
  <c r="BL158" i="11"/>
  <c r="BM164" i="11"/>
  <c r="BM171" i="11"/>
  <c r="BL187" i="11"/>
  <c r="BL195" i="11"/>
  <c r="BL211" i="11"/>
  <c r="BL219" i="11"/>
  <c r="BL235" i="11"/>
  <c r="BL243" i="11"/>
  <c r="BP116" i="11"/>
  <c r="BP176" i="11"/>
  <c r="BP236" i="11"/>
  <c r="BH12" i="11"/>
  <c r="BQ251" i="11"/>
  <c r="BI211" i="11"/>
  <c r="BH167" i="11"/>
  <c r="BI161" i="11"/>
  <c r="BH117" i="11"/>
  <c r="BI151" i="11"/>
  <c r="BI139" i="11"/>
  <c r="BH95" i="11"/>
  <c r="BH107" i="11"/>
  <c r="BI89" i="11"/>
  <c r="BH45" i="11"/>
  <c r="BI79" i="11"/>
  <c r="BH35" i="11"/>
  <c r="BI67" i="11"/>
  <c r="BH23" i="11"/>
  <c r="BI17" i="11"/>
  <c r="BH251" i="11"/>
  <c r="BI221" i="11"/>
  <c r="BI149" i="11"/>
  <c r="BI77" i="11"/>
  <c r="BH249" i="11"/>
  <c r="BH177" i="11"/>
  <c r="BH105" i="11"/>
  <c r="BH33" i="11"/>
  <c r="BJ7" i="11"/>
  <c r="BY7" i="11" s="1"/>
  <c r="BI209" i="11"/>
  <c r="BI137" i="11"/>
  <c r="BI65" i="11"/>
  <c r="BH237" i="11"/>
  <c r="BH165" i="11"/>
  <c r="BH93" i="11"/>
  <c r="BH21" i="11"/>
  <c r="BI199" i="11"/>
  <c r="BI127" i="11"/>
  <c r="BI55" i="11"/>
  <c r="BH227" i="11"/>
  <c r="BH155" i="11"/>
  <c r="BH83" i="11"/>
  <c r="BH11" i="11"/>
  <c r="BI125" i="11"/>
  <c r="BH81" i="11"/>
  <c r="BI197" i="11"/>
  <c r="BI53" i="11"/>
  <c r="BH225" i="11"/>
  <c r="BH153" i="11"/>
  <c r="BH9" i="11"/>
  <c r="BI187" i="11"/>
  <c r="BI115" i="11"/>
  <c r="BI43" i="11"/>
  <c r="BH215" i="11"/>
  <c r="BH143" i="11"/>
  <c r="BH71" i="11"/>
  <c r="BI113" i="11"/>
  <c r="BI185" i="11"/>
  <c r="BI41" i="11"/>
  <c r="BH213" i="11"/>
  <c r="BH141" i="11"/>
  <c r="BH69" i="11"/>
  <c r="BI247" i="11"/>
  <c r="BI175" i="11"/>
  <c r="BI103" i="11"/>
  <c r="BI31" i="11"/>
  <c r="BH203" i="11"/>
  <c r="BH131" i="11"/>
  <c r="BH59" i="11"/>
  <c r="BI245" i="11"/>
  <c r="BI173" i="11"/>
  <c r="BI101" i="11"/>
  <c r="BI29" i="11"/>
  <c r="BH201" i="11"/>
  <c r="BH129" i="11"/>
  <c r="BH57" i="11"/>
  <c r="BI235" i="11"/>
  <c r="BI163" i="11"/>
  <c r="BI91" i="11"/>
  <c r="BI19" i="11"/>
  <c r="BH191" i="11"/>
  <c r="BH119" i="11"/>
  <c r="BH47" i="11"/>
  <c r="BQ12" i="11"/>
  <c r="BR12" i="11" s="1"/>
  <c r="BQ18" i="11"/>
  <c r="BR18" i="11" s="1"/>
  <c r="BQ24" i="11"/>
  <c r="BR24" i="11" s="1"/>
  <c r="BQ30" i="11"/>
  <c r="BR30" i="11" s="1"/>
  <c r="BQ36" i="11"/>
  <c r="BQ42" i="11"/>
  <c r="BR42" i="11" s="1"/>
  <c r="BQ48" i="11"/>
  <c r="BR48" i="11" s="1"/>
  <c r="BQ54" i="11"/>
  <c r="BR54" i="11" s="1"/>
  <c r="BQ60" i="11"/>
  <c r="BR60" i="11" s="1"/>
  <c r="BQ66" i="11"/>
  <c r="BR66" i="11" s="1"/>
  <c r="BQ72" i="11"/>
  <c r="BQ78" i="11"/>
  <c r="BQ84" i="11"/>
  <c r="BQ90" i="11"/>
  <c r="BQ96" i="11"/>
  <c r="BQ102" i="11"/>
  <c r="BQ108" i="11"/>
  <c r="BQ114" i="11"/>
  <c r="BQ120" i="11"/>
  <c r="BQ126" i="11"/>
  <c r="BQ132" i="11"/>
  <c r="BQ138" i="11"/>
  <c r="BQ144" i="11"/>
  <c r="BQ150" i="11"/>
  <c r="BQ156" i="11"/>
  <c r="BQ162" i="11"/>
  <c r="BQ168" i="11"/>
  <c r="BQ174" i="11"/>
  <c r="BQ180" i="11"/>
  <c r="BQ186" i="11"/>
  <c r="BQ192" i="11"/>
  <c r="BQ198" i="11"/>
  <c r="BQ204" i="11"/>
  <c r="BQ210" i="11"/>
  <c r="BQ216" i="11"/>
  <c r="BQ222" i="11"/>
  <c r="BQ228" i="11"/>
  <c r="BQ234" i="11"/>
  <c r="BQ240" i="11"/>
  <c r="BQ246" i="11"/>
  <c r="BP13" i="11"/>
  <c r="BP19" i="11"/>
  <c r="BP25" i="11"/>
  <c r="BP31" i="11"/>
  <c r="BP37" i="11"/>
  <c r="BP43" i="11"/>
  <c r="BP49" i="11"/>
  <c r="BP55" i="11"/>
  <c r="BP61" i="11"/>
  <c r="BP67" i="11"/>
  <c r="BP73" i="11"/>
  <c r="BP79" i="11"/>
  <c r="BP85" i="11"/>
  <c r="BP91" i="11"/>
  <c r="BP97" i="11"/>
  <c r="BP103" i="11"/>
  <c r="BP109" i="11"/>
  <c r="BP115" i="11"/>
  <c r="BP121" i="11"/>
  <c r="BP127" i="11"/>
  <c r="BP133" i="11"/>
  <c r="BP139" i="11"/>
  <c r="BP145" i="11"/>
  <c r="BP151" i="11"/>
  <c r="BP157" i="11"/>
  <c r="BP163" i="11"/>
  <c r="BP169" i="11"/>
  <c r="BP175" i="11"/>
  <c r="BP181" i="11"/>
  <c r="BP187" i="11"/>
  <c r="BP193" i="11"/>
  <c r="BP199" i="11"/>
  <c r="BP205" i="11"/>
  <c r="BP211" i="11"/>
  <c r="BP217" i="11"/>
  <c r="BP223" i="11"/>
  <c r="BP229" i="11"/>
  <c r="BP235" i="11"/>
  <c r="BP241" i="11"/>
  <c r="BP247" i="11"/>
  <c r="BR7" i="11"/>
  <c r="CA7" i="11" s="1"/>
  <c r="BQ13" i="11"/>
  <c r="BR13" i="11" s="1"/>
  <c r="BQ19" i="11"/>
  <c r="BR19" i="11" s="1"/>
  <c r="BQ25" i="11"/>
  <c r="BR25" i="11" s="1"/>
  <c r="BQ31" i="11"/>
  <c r="BR31" i="11" s="1"/>
  <c r="BQ37" i="11"/>
  <c r="BR37" i="11" s="1"/>
  <c r="BQ43" i="11"/>
  <c r="BR43" i="11" s="1"/>
  <c r="BQ49" i="11"/>
  <c r="BR49" i="11" s="1"/>
  <c r="BQ55" i="11"/>
  <c r="BQ61" i="11"/>
  <c r="BR61" i="11" s="1"/>
  <c r="BQ67" i="11"/>
  <c r="BQ73" i="11"/>
  <c r="BQ79" i="11"/>
  <c r="BQ85" i="11"/>
  <c r="BQ91" i="11"/>
  <c r="BQ97" i="11"/>
  <c r="BQ103" i="11"/>
  <c r="BQ109" i="11"/>
  <c r="BQ115" i="11"/>
  <c r="BQ121" i="11"/>
  <c r="BQ127" i="11"/>
  <c r="BQ133" i="11"/>
  <c r="BQ139" i="11"/>
  <c r="BQ145" i="11"/>
  <c r="BQ151" i="11"/>
  <c r="BQ157" i="11"/>
  <c r="BQ163" i="11"/>
  <c r="BQ169" i="11"/>
  <c r="BQ175" i="11"/>
  <c r="BQ181" i="11"/>
  <c r="BQ187" i="11"/>
  <c r="BQ193" i="11"/>
  <c r="BQ199" i="11"/>
  <c r="BQ205" i="11"/>
  <c r="BQ211" i="11"/>
  <c r="BQ217" i="11"/>
  <c r="BQ223" i="11"/>
  <c r="BQ229" i="11"/>
  <c r="BQ235" i="11"/>
  <c r="BQ241" i="11"/>
  <c r="BQ247" i="11"/>
  <c r="BQ8" i="11"/>
  <c r="BR8" i="11" s="1"/>
  <c r="CA8" i="11" s="1"/>
  <c r="BQ14" i="11"/>
  <c r="BQ20" i="11"/>
  <c r="BR20" i="11" s="1"/>
  <c r="BQ26" i="11"/>
  <c r="BQ32" i="11"/>
  <c r="BR32" i="11" s="1"/>
  <c r="BQ38" i="11"/>
  <c r="BR38" i="11" s="1"/>
  <c r="BQ44" i="11"/>
  <c r="BR44" i="11" s="1"/>
  <c r="BQ50" i="11"/>
  <c r="BR50" i="11" s="1"/>
  <c r="BQ56" i="11"/>
  <c r="BR56" i="11" s="1"/>
  <c r="BQ62" i="11"/>
  <c r="BR62" i="11" s="1"/>
  <c r="BQ68" i="11"/>
  <c r="BQ74" i="11"/>
  <c r="BQ80" i="11"/>
  <c r="BQ86" i="11"/>
  <c r="BQ92" i="11"/>
  <c r="BQ98" i="11"/>
  <c r="BQ104" i="11"/>
  <c r="BQ110" i="11"/>
  <c r="BQ116" i="11"/>
  <c r="BQ122" i="11"/>
  <c r="BQ128" i="11"/>
  <c r="BQ134" i="11"/>
  <c r="BQ140" i="11"/>
  <c r="BQ146" i="11"/>
  <c r="BQ152" i="11"/>
  <c r="BQ158" i="11"/>
  <c r="BQ164" i="11"/>
  <c r="BQ170" i="11"/>
  <c r="BQ176" i="11"/>
  <c r="BQ182" i="11"/>
  <c r="BQ188" i="11"/>
  <c r="BQ194" i="11"/>
  <c r="BQ200" i="11"/>
  <c r="BQ206" i="11"/>
  <c r="BQ212" i="11"/>
  <c r="BQ218" i="11"/>
  <c r="BQ224" i="11"/>
  <c r="BQ230" i="11"/>
  <c r="BQ236" i="11"/>
  <c r="BQ242" i="11"/>
  <c r="BQ248" i="11"/>
  <c r="BP9" i="11"/>
  <c r="BP15" i="11"/>
  <c r="BP21" i="11"/>
  <c r="BP27" i="11"/>
  <c r="BP33" i="11"/>
  <c r="BP39" i="11"/>
  <c r="BP45" i="11"/>
  <c r="BP51" i="11"/>
  <c r="BP57" i="11"/>
  <c r="BP63" i="11"/>
  <c r="BP69" i="11"/>
  <c r="BP75" i="11"/>
  <c r="BP81" i="11"/>
  <c r="BP87" i="11"/>
  <c r="BP93" i="11"/>
  <c r="BP99" i="11"/>
  <c r="BP105" i="11"/>
  <c r="BP111" i="11"/>
  <c r="BP117" i="11"/>
  <c r="BP123" i="11"/>
  <c r="BP129" i="11"/>
  <c r="BP135" i="11"/>
  <c r="BP141" i="11"/>
  <c r="BP147" i="11"/>
  <c r="BP153" i="11"/>
  <c r="BP159" i="11"/>
  <c r="BP165" i="11"/>
  <c r="BP171" i="11"/>
  <c r="BP177" i="11"/>
  <c r="BP183" i="11"/>
  <c r="BP189" i="11"/>
  <c r="BP195" i="11"/>
  <c r="BP201" i="11"/>
  <c r="BP207" i="11"/>
  <c r="BP213" i="11"/>
  <c r="BP219" i="11"/>
  <c r="BP225" i="11"/>
  <c r="BP231" i="11"/>
  <c r="BP237" i="11"/>
  <c r="BP243" i="11"/>
  <c r="BP249" i="11"/>
  <c r="BQ9" i="11"/>
  <c r="BR9" i="11" s="1"/>
  <c r="CA9" i="11" s="1"/>
  <c r="BQ15" i="11"/>
  <c r="BR15" i="11" s="1"/>
  <c r="BQ21" i="11"/>
  <c r="BR21" i="11" s="1"/>
  <c r="BQ27" i="11"/>
  <c r="BR27" i="11" s="1"/>
  <c r="BQ33" i="11"/>
  <c r="BR33" i="11" s="1"/>
  <c r="BQ39" i="11"/>
  <c r="BQ45" i="11"/>
  <c r="BR45" i="11" s="1"/>
  <c r="BQ51" i="11"/>
  <c r="BR51" i="11" s="1"/>
  <c r="BQ57" i="11"/>
  <c r="BR57" i="11" s="1"/>
  <c r="BQ63" i="11"/>
  <c r="BR63" i="11" s="1"/>
  <c r="BQ69" i="11"/>
  <c r="BQ75" i="11"/>
  <c r="BQ81" i="11"/>
  <c r="BQ87" i="11"/>
  <c r="BQ93" i="11"/>
  <c r="BQ99" i="11"/>
  <c r="BQ105" i="11"/>
  <c r="BQ111" i="11"/>
  <c r="BQ117" i="11"/>
  <c r="BQ123" i="11"/>
  <c r="BQ129" i="11"/>
  <c r="BQ135" i="11"/>
  <c r="BQ141" i="11"/>
  <c r="BQ147" i="11"/>
  <c r="BQ153" i="11"/>
  <c r="BQ159" i="11"/>
  <c r="BQ165" i="11"/>
  <c r="BQ171" i="11"/>
  <c r="BQ177" i="11"/>
  <c r="BQ183" i="11"/>
  <c r="BQ189" i="11"/>
  <c r="BQ195" i="11"/>
  <c r="BQ201" i="11"/>
  <c r="BQ207" i="11"/>
  <c r="BQ213" i="11"/>
  <c r="BQ219" i="11"/>
  <c r="BQ225" i="11"/>
  <c r="BQ231" i="11"/>
  <c r="BQ237" i="11"/>
  <c r="BQ243" i="11"/>
  <c r="BQ249" i="11"/>
  <c r="BP10" i="11"/>
  <c r="BP16" i="11"/>
  <c r="BP22" i="11"/>
  <c r="BP28" i="11"/>
  <c r="BP34" i="11"/>
  <c r="BP40" i="11"/>
  <c r="BP46" i="11"/>
  <c r="BP52" i="11"/>
  <c r="BP58" i="11"/>
  <c r="BP64" i="11"/>
  <c r="BP70" i="11"/>
  <c r="BP76" i="11"/>
  <c r="BP82" i="11"/>
  <c r="BP88" i="11"/>
  <c r="BP94" i="11"/>
  <c r="BP100" i="11"/>
  <c r="BP106" i="11"/>
  <c r="BP112" i="11"/>
  <c r="BP118" i="11"/>
  <c r="BP124" i="11"/>
  <c r="BP130" i="11"/>
  <c r="BP136" i="11"/>
  <c r="BP142" i="11"/>
  <c r="BP148" i="11"/>
  <c r="BP154" i="11"/>
  <c r="BP160" i="11"/>
  <c r="BP166" i="11"/>
  <c r="BP172" i="11"/>
  <c r="BP178" i="11"/>
  <c r="BP184" i="11"/>
  <c r="BP190" i="11"/>
  <c r="BP196" i="11"/>
  <c r="BP202" i="11"/>
  <c r="BP208" i="11"/>
  <c r="BP214" i="11"/>
  <c r="BP220" i="11"/>
  <c r="BP226" i="11"/>
  <c r="BP232" i="11"/>
  <c r="BP238" i="11"/>
  <c r="BP244" i="11"/>
  <c r="BP250" i="11"/>
  <c r="BQ10" i="11"/>
  <c r="BR10" i="11" s="1"/>
  <c r="CA10" i="11" s="1"/>
  <c r="BQ16" i="11"/>
  <c r="BR16" i="11" s="1"/>
  <c r="BQ22" i="11"/>
  <c r="BR22" i="11" s="1"/>
  <c r="BQ28" i="11"/>
  <c r="BR28" i="11" s="1"/>
  <c r="BQ34" i="11"/>
  <c r="BR34" i="11" s="1"/>
  <c r="BQ40" i="11"/>
  <c r="BR40" i="11" s="1"/>
  <c r="BQ46" i="11"/>
  <c r="BR46" i="11" s="1"/>
  <c r="BQ52" i="11"/>
  <c r="BQ58" i="11"/>
  <c r="BR58" i="11" s="1"/>
  <c r="BQ64" i="11"/>
  <c r="BR64" i="11" s="1"/>
  <c r="BQ70" i="11"/>
  <c r="BQ76" i="11"/>
  <c r="BQ82" i="11"/>
  <c r="BQ88" i="11"/>
  <c r="BQ94" i="11"/>
  <c r="BQ100" i="11"/>
  <c r="BQ106" i="11"/>
  <c r="BQ112" i="11"/>
  <c r="BQ118" i="11"/>
  <c r="BQ124" i="11"/>
  <c r="BQ130" i="11"/>
  <c r="BQ136" i="11"/>
  <c r="BQ142" i="11"/>
  <c r="BQ148" i="11"/>
  <c r="BQ154" i="11"/>
  <c r="BQ160" i="11"/>
  <c r="BQ166" i="11"/>
  <c r="BQ172" i="11"/>
  <c r="BQ178" i="11"/>
  <c r="BQ184" i="11"/>
  <c r="BQ190" i="11"/>
  <c r="BQ196" i="11"/>
  <c r="BQ202" i="11"/>
  <c r="BQ208" i="11"/>
  <c r="BQ214" i="11"/>
  <c r="BQ220" i="11"/>
  <c r="BQ226" i="11"/>
  <c r="BQ232" i="11"/>
  <c r="BQ238" i="11"/>
  <c r="BQ244" i="11"/>
  <c r="BQ250" i="11"/>
  <c r="BP11" i="11"/>
  <c r="BP17" i="11"/>
  <c r="BP23" i="11"/>
  <c r="BP29" i="11"/>
  <c r="BP35" i="11"/>
  <c r="BP41" i="11"/>
  <c r="BP47" i="11"/>
  <c r="BP53" i="11"/>
  <c r="BP59" i="11"/>
  <c r="BP65" i="11"/>
  <c r="BP71" i="11"/>
  <c r="BP77" i="11"/>
  <c r="BP83" i="11"/>
  <c r="BP89" i="11"/>
  <c r="BP95" i="11"/>
  <c r="BP101" i="11"/>
  <c r="BP107" i="11"/>
  <c r="BP113" i="11"/>
  <c r="BP119" i="11"/>
  <c r="BP125" i="11"/>
  <c r="BP131" i="11"/>
  <c r="BP137" i="11"/>
  <c r="BP143" i="11"/>
  <c r="BP149" i="11"/>
  <c r="BP155" i="11"/>
  <c r="BP161" i="11"/>
  <c r="BP167" i="11"/>
  <c r="BP173" i="11"/>
  <c r="BP179" i="11"/>
  <c r="BP185" i="11"/>
  <c r="BP191" i="11"/>
  <c r="BP197" i="11"/>
  <c r="BP203" i="11"/>
  <c r="BP209" i="11"/>
  <c r="BP215" i="11"/>
  <c r="BP221" i="11"/>
  <c r="BP227" i="11"/>
  <c r="BP233" i="11"/>
  <c r="BP239" i="11"/>
  <c r="BP245" i="11"/>
  <c r="BP251" i="11"/>
  <c r="BQ11" i="11"/>
  <c r="BR11" i="11" s="1"/>
  <c r="CA11" i="11" s="1"/>
  <c r="BQ17" i="11"/>
  <c r="BR17" i="11" s="1"/>
  <c r="BQ23" i="11"/>
  <c r="BR23" i="11" s="1"/>
  <c r="BQ29" i="11"/>
  <c r="BR29" i="11" s="1"/>
  <c r="BQ35" i="11"/>
  <c r="BR35" i="11" s="1"/>
  <c r="BQ41" i="11"/>
  <c r="BR41" i="11" s="1"/>
  <c r="BQ47" i="11"/>
  <c r="BR47" i="11" s="1"/>
  <c r="BQ53" i="11"/>
  <c r="BR53" i="11" s="1"/>
  <c r="BQ59" i="11"/>
  <c r="BR59" i="11" s="1"/>
  <c r="BQ65" i="11"/>
  <c r="BQ71" i="11"/>
  <c r="BQ77" i="11"/>
  <c r="BQ83" i="11"/>
  <c r="BQ89" i="11"/>
  <c r="BQ95" i="11"/>
  <c r="BQ101" i="11"/>
  <c r="BQ107" i="11"/>
  <c r="BQ113" i="11"/>
  <c r="BQ119" i="11"/>
  <c r="BQ125" i="11"/>
  <c r="BQ131" i="11"/>
  <c r="BQ137" i="11"/>
  <c r="BQ143" i="11"/>
  <c r="BQ149" i="11"/>
  <c r="BQ155" i="11"/>
  <c r="BQ161" i="11"/>
  <c r="BQ167" i="11"/>
  <c r="BQ173" i="11"/>
  <c r="BQ179" i="11"/>
  <c r="BQ185" i="11"/>
  <c r="BQ191" i="11"/>
  <c r="BQ197" i="11"/>
  <c r="BQ203" i="11"/>
  <c r="BQ209" i="11"/>
  <c r="BQ215" i="11"/>
  <c r="BQ221" i="11"/>
  <c r="BQ227" i="11"/>
  <c r="BQ233" i="11"/>
  <c r="BQ239" i="11"/>
  <c r="BQ245" i="11"/>
  <c r="BI246" i="11"/>
  <c r="BI234" i="11"/>
  <c r="BI222" i="11"/>
  <c r="BI210" i="11"/>
  <c r="BI198" i="11"/>
  <c r="BI186" i="11"/>
  <c r="BI174" i="11"/>
  <c r="BI162" i="11"/>
  <c r="BI150" i="11"/>
  <c r="BI138" i="11"/>
  <c r="BI126" i="11"/>
  <c r="BI114" i="11"/>
  <c r="BI102" i="11"/>
  <c r="BI90" i="11"/>
  <c r="BI78" i="11"/>
  <c r="BI66" i="11"/>
  <c r="BI54" i="11"/>
  <c r="BI42" i="11"/>
  <c r="BI30" i="11"/>
  <c r="BI18" i="11"/>
  <c r="BH250" i="11"/>
  <c r="BH238" i="11"/>
  <c r="BH226" i="11"/>
  <c r="BH214" i="11"/>
  <c r="BH202" i="11"/>
  <c r="BH190" i="11"/>
  <c r="BH178" i="11"/>
  <c r="BH166" i="11"/>
  <c r="BH154" i="11"/>
  <c r="BH142" i="11"/>
  <c r="BH130" i="11"/>
  <c r="BH118" i="11"/>
  <c r="BH106" i="11"/>
  <c r="BH94" i="11"/>
  <c r="BH82" i="11"/>
  <c r="BH70" i="11"/>
  <c r="BH58" i="11"/>
  <c r="BH46" i="11"/>
  <c r="BH34" i="11"/>
  <c r="BH22" i="11"/>
  <c r="BH10" i="11"/>
  <c r="BI244" i="11"/>
  <c r="BI232" i="11"/>
  <c r="BI220" i="11"/>
  <c r="BI208" i="11"/>
  <c r="BI196" i="11"/>
  <c r="BI184" i="11"/>
  <c r="BI172" i="11"/>
  <c r="BI160" i="11"/>
  <c r="BI148" i="11"/>
  <c r="BI136" i="11"/>
  <c r="BI124" i="11"/>
  <c r="BI112" i="11"/>
  <c r="BI100" i="11"/>
  <c r="BI88" i="11"/>
  <c r="BI76" i="11"/>
  <c r="BI64" i="11"/>
  <c r="BI52" i="11"/>
  <c r="BI40" i="11"/>
  <c r="BI28" i="11"/>
  <c r="BI16" i="11"/>
  <c r="BH248" i="11"/>
  <c r="BH236" i="11"/>
  <c r="BH224" i="11"/>
  <c r="BH212" i="11"/>
  <c r="BH200" i="11"/>
  <c r="BH188" i="11"/>
  <c r="BH176" i="11"/>
  <c r="BH164" i="11"/>
  <c r="BH152" i="11"/>
  <c r="BH140" i="11"/>
  <c r="BH128" i="11"/>
  <c r="BH116" i="11"/>
  <c r="BH104" i="11"/>
  <c r="BH92" i="11"/>
  <c r="BH80" i="11"/>
  <c r="BH68" i="11"/>
  <c r="BH56" i="11"/>
  <c r="BH44" i="11"/>
  <c r="BH32" i="11"/>
  <c r="BH20" i="11"/>
  <c r="BI243" i="11"/>
  <c r="BI231" i="11"/>
  <c r="BI219" i="11"/>
  <c r="BI207" i="11"/>
  <c r="BI195" i="11"/>
  <c r="BI183" i="11"/>
  <c r="BI171" i="11"/>
  <c r="BI159" i="11"/>
  <c r="BI147" i="11"/>
  <c r="BI135" i="11"/>
  <c r="BI123" i="11"/>
  <c r="BI111" i="11"/>
  <c r="BI99" i="11"/>
  <c r="BI87" i="11"/>
  <c r="BI75" i="11"/>
  <c r="BI63" i="11"/>
  <c r="BI51" i="11"/>
  <c r="BI39" i="11"/>
  <c r="BI27" i="11"/>
  <c r="BI15" i="11"/>
  <c r="BH247" i="11"/>
  <c r="BH235" i="11"/>
  <c r="BH223" i="11"/>
  <c r="BH211" i="11"/>
  <c r="BH199" i="11"/>
  <c r="BH187" i="11"/>
  <c r="BH175" i="11"/>
  <c r="BH163" i="11"/>
  <c r="BH151" i="11"/>
  <c r="BH139" i="11"/>
  <c r="BH127" i="11"/>
  <c r="BH115" i="11"/>
  <c r="BH103" i="11"/>
  <c r="BH91" i="11"/>
  <c r="BH79" i="11"/>
  <c r="BH67" i="11"/>
  <c r="BH55" i="11"/>
  <c r="BH43" i="11"/>
  <c r="BH31" i="11"/>
  <c r="BH19" i="11"/>
  <c r="BI194" i="11"/>
  <c r="BI134" i="11"/>
  <c r="BI74" i="11"/>
  <c r="BH246" i="11"/>
  <c r="BH186" i="11"/>
  <c r="BH138" i="11"/>
  <c r="BH102" i="11"/>
  <c r="BH78" i="11"/>
  <c r="BH42" i="11"/>
  <c r="BH18" i="11"/>
  <c r="BI242" i="11"/>
  <c r="BI158" i="11"/>
  <c r="BI62" i="11"/>
  <c r="BH198" i="11"/>
  <c r="BH54" i="11"/>
  <c r="BI241" i="11"/>
  <c r="BI229" i="11"/>
  <c r="BI217" i="11"/>
  <c r="BI205" i="11"/>
  <c r="BI193" i="11"/>
  <c r="BI181" i="11"/>
  <c r="BI169" i="11"/>
  <c r="BI157" i="11"/>
  <c r="BI145" i="11"/>
  <c r="BI133" i="11"/>
  <c r="BI121" i="11"/>
  <c r="BI109" i="11"/>
  <c r="BI97" i="11"/>
  <c r="BI85" i="11"/>
  <c r="BI73" i="11"/>
  <c r="BI61" i="11"/>
  <c r="BI49" i="11"/>
  <c r="BI37" i="11"/>
  <c r="BI25" i="11"/>
  <c r="BI13" i="11"/>
  <c r="BH245" i="11"/>
  <c r="BH233" i="11"/>
  <c r="BH221" i="11"/>
  <c r="BH209" i="11"/>
  <c r="BH197" i="11"/>
  <c r="BH185" i="11"/>
  <c r="BH173" i="11"/>
  <c r="BH161" i="11"/>
  <c r="BH149" i="11"/>
  <c r="BH137" i="11"/>
  <c r="BH125" i="11"/>
  <c r="BH113" i="11"/>
  <c r="BH101" i="11"/>
  <c r="BH89" i="11"/>
  <c r="BH77" i="11"/>
  <c r="BH65" i="11"/>
  <c r="BH53" i="11"/>
  <c r="BH41" i="11"/>
  <c r="BH29" i="11"/>
  <c r="BH17" i="11"/>
  <c r="BI218" i="11"/>
  <c r="BI146" i="11"/>
  <c r="BI86" i="11"/>
  <c r="BI14" i="11"/>
  <c r="BH210" i="11"/>
  <c r="BH150" i="11"/>
  <c r="BH114" i="11"/>
  <c r="BH66" i="11"/>
  <c r="BI12" i="11"/>
  <c r="BI240" i="11"/>
  <c r="BI228" i="11"/>
  <c r="BI216" i="11"/>
  <c r="BI204" i="11"/>
  <c r="BI192" i="11"/>
  <c r="BI180" i="11"/>
  <c r="BI168" i="11"/>
  <c r="BI156" i="11"/>
  <c r="BI144" i="11"/>
  <c r="BI132" i="11"/>
  <c r="BI120" i="11"/>
  <c r="BI108" i="11"/>
  <c r="BI96" i="11"/>
  <c r="BI84" i="11"/>
  <c r="BI72" i="11"/>
  <c r="BI60" i="11"/>
  <c r="BI48" i="11"/>
  <c r="BI36" i="11"/>
  <c r="BI24" i="11"/>
  <c r="BI11" i="11"/>
  <c r="BJ11" i="11" s="1"/>
  <c r="BY11" i="11" s="1"/>
  <c r="BH244" i="11"/>
  <c r="BH232" i="11"/>
  <c r="BH220" i="11"/>
  <c r="BH208" i="11"/>
  <c r="BH196" i="11"/>
  <c r="BH184" i="11"/>
  <c r="BH172" i="11"/>
  <c r="BH160" i="11"/>
  <c r="BH148" i="11"/>
  <c r="BH136" i="11"/>
  <c r="BH124" i="11"/>
  <c r="BH112" i="11"/>
  <c r="BH100" i="11"/>
  <c r="BH88" i="11"/>
  <c r="BH76" i="11"/>
  <c r="BH64" i="11"/>
  <c r="BH52" i="11"/>
  <c r="BH40" i="11"/>
  <c r="BH28" i="11"/>
  <c r="BH16" i="11"/>
  <c r="BI170" i="11"/>
  <c r="BI98" i="11"/>
  <c r="BI38" i="11"/>
  <c r="BH234" i="11"/>
  <c r="BH162" i="11"/>
  <c r="BH90" i="11"/>
  <c r="BI251" i="11"/>
  <c r="BI239" i="11"/>
  <c r="BI227" i="11"/>
  <c r="BI215" i="11"/>
  <c r="BI203" i="11"/>
  <c r="BI191" i="11"/>
  <c r="BI179" i="11"/>
  <c r="BI167" i="11"/>
  <c r="BI155" i="11"/>
  <c r="BI143" i="11"/>
  <c r="BI131" i="11"/>
  <c r="BI119" i="11"/>
  <c r="BI107" i="11"/>
  <c r="BI95" i="11"/>
  <c r="BI83" i="11"/>
  <c r="BI71" i="11"/>
  <c r="BI59" i="11"/>
  <c r="BI47" i="11"/>
  <c r="BI35" i="11"/>
  <c r="BI23" i="11"/>
  <c r="BI10" i="11"/>
  <c r="BJ10" i="11" s="1"/>
  <c r="BY10" i="11" s="1"/>
  <c r="BH243" i="11"/>
  <c r="BH231" i="11"/>
  <c r="BH219" i="11"/>
  <c r="BH207" i="11"/>
  <c r="BH195" i="11"/>
  <c r="BH183" i="11"/>
  <c r="BH171" i="11"/>
  <c r="BH159" i="11"/>
  <c r="BH147" i="11"/>
  <c r="BH135" i="11"/>
  <c r="BH123" i="11"/>
  <c r="BH111" i="11"/>
  <c r="BH99" i="11"/>
  <c r="BH87" i="11"/>
  <c r="BH75" i="11"/>
  <c r="BH63" i="11"/>
  <c r="BH51" i="11"/>
  <c r="BH39" i="11"/>
  <c r="BH27" i="11"/>
  <c r="BH15" i="11"/>
  <c r="BI206" i="11"/>
  <c r="BI122" i="11"/>
  <c r="BI50" i="11"/>
  <c r="BH222" i="11"/>
  <c r="BH126" i="11"/>
  <c r="BI250" i="11"/>
  <c r="BI238" i="11"/>
  <c r="BI226" i="11"/>
  <c r="BI214" i="11"/>
  <c r="BI202" i="11"/>
  <c r="BI190" i="11"/>
  <c r="BI178" i="11"/>
  <c r="BI166" i="11"/>
  <c r="BI154" i="11"/>
  <c r="BI142" i="11"/>
  <c r="BI130" i="11"/>
  <c r="BI118" i="11"/>
  <c r="BI106" i="11"/>
  <c r="BI94" i="11"/>
  <c r="BI82" i="11"/>
  <c r="BI70" i="11"/>
  <c r="BI58" i="11"/>
  <c r="BI46" i="11"/>
  <c r="BI34" i="11"/>
  <c r="BI22" i="11"/>
  <c r="BI9" i="11"/>
  <c r="BJ9" i="11" s="1"/>
  <c r="BY9" i="11" s="1"/>
  <c r="BH242" i="11"/>
  <c r="BH230" i="11"/>
  <c r="BH218" i="11"/>
  <c r="BH206" i="11"/>
  <c r="BH194" i="11"/>
  <c r="BH182" i="11"/>
  <c r="BH170" i="11"/>
  <c r="BH158" i="11"/>
  <c r="BH146" i="11"/>
  <c r="BH134" i="11"/>
  <c r="BH122" i="11"/>
  <c r="BH110" i="11"/>
  <c r="BH98" i="11"/>
  <c r="BH86" i="11"/>
  <c r="BH74" i="11"/>
  <c r="BH62" i="11"/>
  <c r="BH50" i="11"/>
  <c r="BH38" i="11"/>
  <c r="BH26" i="11"/>
  <c r="BH14" i="11"/>
  <c r="BI230" i="11"/>
  <c r="BI182" i="11"/>
  <c r="BI110" i="11"/>
  <c r="BI26" i="11"/>
  <c r="BH174" i="11"/>
  <c r="BH30" i="11"/>
  <c r="BI249" i="11"/>
  <c r="BI237" i="11"/>
  <c r="BI225" i="11"/>
  <c r="BI213" i="11"/>
  <c r="BI201" i="11"/>
  <c r="BI189" i="11"/>
  <c r="BI177" i="11"/>
  <c r="BI165" i="11"/>
  <c r="BI153" i="11"/>
  <c r="BI141" i="11"/>
  <c r="BI129" i="11"/>
  <c r="BI117" i="11"/>
  <c r="BI105" i="11"/>
  <c r="BI93" i="11"/>
  <c r="BI81" i="11"/>
  <c r="BI69" i="11"/>
  <c r="BI57" i="11"/>
  <c r="BI45" i="11"/>
  <c r="BI33" i="11"/>
  <c r="BI21" i="11"/>
  <c r="BI8" i="11"/>
  <c r="BJ8" i="11" s="1"/>
  <c r="BY8" i="11" s="1"/>
  <c r="BH241" i="11"/>
  <c r="BH229" i="11"/>
  <c r="BH217" i="11"/>
  <c r="BH205" i="11"/>
  <c r="BH193" i="11"/>
  <c r="BH181" i="11"/>
  <c r="BH169" i="11"/>
  <c r="BH157" i="11"/>
  <c r="BH145" i="11"/>
  <c r="BH133" i="11"/>
  <c r="BH121" i="11"/>
  <c r="BH109" i="11"/>
  <c r="BH97" i="11"/>
  <c r="BH85" i="11"/>
  <c r="BH73" i="11"/>
  <c r="BH61" i="11"/>
  <c r="BH49" i="11"/>
  <c r="BH37" i="11"/>
  <c r="BH25" i="11"/>
  <c r="BH13" i="11"/>
  <c r="BI248" i="11"/>
  <c r="BI236" i="11"/>
  <c r="BI224" i="11"/>
  <c r="BI212" i="11"/>
  <c r="BI200" i="11"/>
  <c r="BI188" i="11"/>
  <c r="BI176" i="11"/>
  <c r="BI164" i="11"/>
  <c r="BI152" i="11"/>
  <c r="BI140" i="11"/>
  <c r="BI128" i="11"/>
  <c r="BI116" i="11"/>
  <c r="BI104" i="11"/>
  <c r="BI92" i="11"/>
  <c r="BI80" i="11"/>
  <c r="BI68" i="11"/>
  <c r="BI56" i="11"/>
  <c r="BI44" i="11"/>
  <c r="BI32" i="11"/>
  <c r="BI20" i="11"/>
  <c r="BH8" i="11"/>
  <c r="BH240" i="11"/>
  <c r="BH228" i="11"/>
  <c r="BH216" i="11"/>
  <c r="BH204" i="11"/>
  <c r="BH192" i="11"/>
  <c r="BH180" i="11"/>
  <c r="BH168" i="11"/>
  <c r="BH156" i="11"/>
  <c r="BH144" i="11"/>
  <c r="BH132" i="11"/>
  <c r="BH120" i="11"/>
  <c r="BH108" i="11"/>
  <c r="BH96" i="11"/>
  <c r="BH84" i="11"/>
  <c r="BH72" i="11"/>
  <c r="BH60" i="11"/>
  <c r="BH48" i="11"/>
  <c r="BH36" i="11"/>
  <c r="BH24" i="11"/>
  <c r="BZ7" i="11"/>
  <c r="AA27" i="11"/>
  <c r="Z8" i="11"/>
  <c r="AA8" i="11"/>
  <c r="Z27" i="11"/>
  <c r="AA24" i="11"/>
  <c r="AA39" i="11"/>
  <c r="Z39" i="11"/>
  <c r="AA20" i="11"/>
  <c r="AA36" i="11"/>
  <c r="AA15" i="11"/>
  <c r="Z15" i="11"/>
  <c r="AA14" i="11"/>
  <c r="AA43" i="11"/>
  <c r="AA31" i="11"/>
  <c r="AA13" i="11"/>
  <c r="Z31" i="11"/>
  <c r="Z13" i="11"/>
  <c r="AA12" i="11"/>
  <c r="Z36" i="11"/>
  <c r="Z24" i="11"/>
  <c r="Z12" i="11"/>
  <c r="AA40" i="11"/>
  <c r="AA28" i="11"/>
  <c r="AA16" i="11"/>
  <c r="AA10" i="11"/>
  <c r="Z40" i="11"/>
  <c r="Z28" i="11"/>
  <c r="Z16" i="11"/>
  <c r="Z10" i="11"/>
  <c r="AN12" i="11"/>
  <c r="AN10" i="11"/>
  <c r="AN9" i="11"/>
  <c r="AM10" i="11"/>
  <c r="AN11" i="11"/>
  <c r="AM8" i="11"/>
  <c r="AM9" i="11"/>
  <c r="AN8" i="11"/>
  <c r="AM12" i="11"/>
  <c r="AM11" i="11"/>
  <c r="AJ10" i="11"/>
  <c r="AK10" i="11" s="1"/>
  <c r="AJ11" i="11"/>
  <c r="AJ9" i="11"/>
  <c r="AJ12" i="11"/>
  <c r="AJ8" i="11"/>
  <c r="B3" i="7"/>
  <c r="D3" i="7" s="1"/>
  <c r="B3" i="6"/>
  <c r="D3" i="6" s="1"/>
  <c r="B3" i="5"/>
  <c r="D3" i="5" s="1"/>
  <c r="B3" i="4"/>
  <c r="D3" i="4" s="1"/>
  <c r="CS18" i="11"/>
  <c r="CW62" i="11"/>
  <c r="CS26" i="11"/>
  <c r="CS24" i="11"/>
  <c r="CS15" i="11"/>
  <c r="CW38" i="11"/>
  <c r="CS19" i="11"/>
  <c r="CW12" i="11"/>
  <c r="CW51" i="11"/>
  <c r="CW18" i="11"/>
  <c r="CW57" i="11"/>
  <c r="CW16" i="11"/>
  <c r="CW27" i="11"/>
  <c r="CW58" i="11"/>
  <c r="CW55" i="11"/>
  <c r="CW39" i="11"/>
  <c r="CW59" i="11"/>
  <c r="BN16" i="11"/>
  <c r="BR14" i="11"/>
  <c r="BR36" i="11"/>
  <c r="BR55" i="11"/>
  <c r="BR26" i="11"/>
  <c r="BR39" i="11"/>
  <c r="BR52" i="11"/>
  <c r="BR65" i="11"/>
  <c r="AZ189" i="11"/>
  <c r="AZ174" i="11"/>
  <c r="AZ102" i="11"/>
  <c r="CE246" i="11"/>
  <c r="AZ216" i="11"/>
  <c r="AZ110" i="11"/>
  <c r="AZ87" i="11"/>
  <c r="AZ46" i="11"/>
  <c r="CE116" i="11"/>
  <c r="CE128" i="11"/>
  <c r="AZ34" i="11"/>
  <c r="AZ50" i="11"/>
  <c r="CE257" i="11"/>
  <c r="AZ120" i="11"/>
  <c r="AZ201" i="11"/>
  <c r="CE47" i="11"/>
  <c r="AZ161" i="11"/>
  <c r="CE89" i="11"/>
  <c r="AZ144" i="11"/>
  <c r="CE29" i="11"/>
  <c r="CE132" i="11"/>
  <c r="AZ36" i="11"/>
  <c r="AZ232" i="11"/>
  <c r="CE195" i="11"/>
  <c r="AZ73" i="11"/>
  <c r="CE226" i="11"/>
  <c r="AZ56" i="11"/>
  <c r="CE168" i="11"/>
  <c r="AZ208" i="11"/>
  <c r="CE113" i="11"/>
  <c r="AZ32" i="11"/>
  <c r="CE125" i="11"/>
  <c r="CE182" i="11"/>
  <c r="CE261" i="11"/>
  <c r="AZ130" i="11"/>
  <c r="AZ203" i="11"/>
  <c r="CE218" i="11"/>
  <c r="CE75" i="11"/>
  <c r="CE203" i="11"/>
  <c r="CE86" i="11"/>
  <c r="CE216" i="11"/>
  <c r="CE23" i="11"/>
  <c r="AZ168" i="11"/>
  <c r="CE242" i="11"/>
  <c r="CE159" i="11"/>
  <c r="AZ53" i="11"/>
  <c r="AZ114" i="11"/>
  <c r="CE198" i="11"/>
  <c r="AZ170" i="11"/>
  <c r="AZ62" i="11"/>
  <c r="AZ171" i="11"/>
  <c r="AZ194" i="11"/>
  <c r="CE171" i="11"/>
  <c r="CE201" i="11"/>
  <c r="AZ125" i="11"/>
  <c r="AZ131" i="11"/>
  <c r="AZ55" i="11"/>
  <c r="CE259" i="11"/>
  <c r="AZ82" i="11"/>
  <c r="CE192" i="11"/>
  <c r="AZ226" i="11"/>
  <c r="AZ18" i="11"/>
  <c r="AZ54" i="11"/>
  <c r="AZ187" i="11"/>
  <c r="CE67" i="11"/>
  <c r="AZ19" i="11"/>
  <c r="AZ37" i="11"/>
  <c r="AZ247" i="11"/>
  <c r="CE138" i="11"/>
  <c r="CE13" i="11"/>
  <c r="AZ160" i="11"/>
  <c r="AZ119" i="11"/>
  <c r="AZ198" i="11"/>
  <c r="CE8" i="11"/>
  <c r="AZ41" i="11"/>
  <c r="AZ180" i="11"/>
  <c r="CE136" i="11"/>
  <c r="CE239" i="11"/>
  <c r="CE260" i="11"/>
  <c r="CE141" i="11"/>
  <c r="AZ163" i="11"/>
  <c r="CE25" i="11"/>
  <c r="AZ249" i="11"/>
  <c r="AZ246" i="11"/>
  <c r="CE82" i="11"/>
  <c r="CE124" i="11"/>
  <c r="AZ49" i="11"/>
  <c r="AZ24" i="11"/>
  <c r="CE77" i="11"/>
  <c r="AZ241" i="11"/>
  <c r="CE28" i="11"/>
  <c r="CE253" i="11"/>
  <c r="AZ80" i="11"/>
  <c r="CE220" i="11"/>
  <c r="CE48" i="11"/>
  <c r="CE263" i="11"/>
  <c r="AZ218" i="11"/>
  <c r="AZ23" i="11"/>
  <c r="CE204" i="11"/>
  <c r="AZ59" i="11"/>
  <c r="AZ238" i="11"/>
  <c r="CE119" i="11"/>
  <c r="CE50" i="11"/>
  <c r="CE98" i="11"/>
  <c r="AZ186" i="11"/>
  <c r="CE206" i="11"/>
  <c r="AZ84" i="11"/>
  <c r="AZ143" i="11"/>
  <c r="AZ151" i="11"/>
  <c r="AZ227" i="11"/>
  <c r="CE166" i="11"/>
  <c r="AZ231" i="11"/>
  <c r="AZ35" i="11"/>
  <c r="CE170" i="11"/>
  <c r="CE73" i="11"/>
  <c r="AZ175" i="11"/>
  <c r="AZ243" i="11"/>
  <c r="AZ206" i="11"/>
  <c r="CE36" i="11"/>
  <c r="CE54" i="11"/>
  <c r="AZ26" i="11"/>
  <c r="AZ150" i="11"/>
  <c r="AZ132" i="11"/>
  <c r="CE189" i="11"/>
  <c r="AZ112" i="11"/>
  <c r="CE244" i="11"/>
  <c r="CE147" i="11"/>
  <c r="CE81" i="11"/>
  <c r="CE225" i="11"/>
  <c r="AZ211" i="11"/>
  <c r="CE235" i="11"/>
  <c r="AZ92" i="11"/>
  <c r="AZ44" i="11"/>
  <c r="CE160" i="11"/>
  <c r="AZ134" i="11"/>
  <c r="AZ138" i="11"/>
  <c r="CE31" i="11"/>
  <c r="AZ153" i="11"/>
  <c r="CE191" i="11"/>
  <c r="CE30" i="11"/>
  <c r="AZ224" i="11"/>
  <c r="AZ93" i="11"/>
  <c r="CE21" i="11"/>
  <c r="CE37" i="11"/>
  <c r="AZ30" i="11"/>
  <c r="CE172" i="11"/>
  <c r="AZ183" i="11"/>
  <c r="AZ88" i="11"/>
  <c r="AZ115" i="11"/>
  <c r="CE20" i="11"/>
  <c r="CE221" i="11"/>
  <c r="AZ204" i="11"/>
  <c r="CE94" i="11"/>
  <c r="CE232" i="11"/>
  <c r="CE95" i="11"/>
  <c r="CE157" i="11"/>
  <c r="AZ169" i="11"/>
  <c r="CE100" i="11"/>
  <c r="AZ12" i="11"/>
  <c r="AZ207" i="11"/>
  <c r="AZ91" i="11"/>
  <c r="AZ154" i="11"/>
  <c r="CE178" i="11"/>
  <c r="AZ158" i="11"/>
  <c r="CE60" i="11"/>
  <c r="AZ67" i="11"/>
  <c r="CE64" i="11"/>
  <c r="CE133" i="11"/>
  <c r="AZ233" i="11"/>
  <c r="AZ31" i="11"/>
  <c r="AZ182" i="11"/>
  <c r="AZ250" i="11"/>
  <c r="CE222" i="11"/>
  <c r="AZ107" i="11"/>
  <c r="CE107" i="11"/>
  <c r="AZ141" i="11"/>
  <c r="AZ27" i="11"/>
  <c r="AZ214" i="11"/>
  <c r="AZ219" i="11"/>
  <c r="CE93" i="11"/>
  <c r="AZ64" i="11"/>
  <c r="AZ146" i="11"/>
  <c r="AZ109" i="11"/>
  <c r="AZ179" i="11"/>
  <c r="CE91" i="11"/>
  <c r="CE229" i="11"/>
  <c r="AZ94" i="11"/>
  <c r="AZ193" i="11"/>
  <c r="CE217" i="11"/>
  <c r="AZ75" i="11"/>
  <c r="CE68" i="11"/>
  <c r="AZ213" i="11"/>
  <c r="AZ162" i="11"/>
  <c r="CE146" i="11"/>
  <c r="CE49" i="11"/>
  <c r="AZ240" i="11"/>
  <c r="CE79" i="11"/>
  <c r="CE265" i="11"/>
  <c r="AZ63" i="11"/>
  <c r="CE199" i="11"/>
  <c r="AZ122" i="11"/>
  <c r="CE158" i="11"/>
  <c r="CE143" i="11"/>
  <c r="AZ135" i="11"/>
  <c r="CE71" i="11"/>
  <c r="CE126" i="11"/>
  <c r="AZ235" i="11"/>
  <c r="CE55" i="11"/>
  <c r="CE140" i="11"/>
  <c r="AZ148" i="11"/>
  <c r="AZ210" i="11"/>
  <c r="AZ52" i="11"/>
  <c r="AZ47" i="11"/>
  <c r="CE120" i="11"/>
  <c r="AZ164" i="11"/>
  <c r="AZ209" i="11"/>
  <c r="CE200" i="11"/>
  <c r="AZ239" i="11"/>
  <c r="CE179" i="11"/>
  <c r="AZ147" i="11"/>
  <c r="CE83" i="11"/>
  <c r="CE241" i="11"/>
  <c r="AZ116" i="11"/>
  <c r="AZ71" i="11"/>
  <c r="AZ205" i="11"/>
  <c r="AZ20" i="11"/>
  <c r="AZ155" i="11"/>
  <c r="CE63" i="11"/>
  <c r="CE84" i="11"/>
  <c r="AZ17" i="11"/>
  <c r="CE209" i="11"/>
  <c r="AZ165" i="11"/>
  <c r="AZ196" i="11"/>
  <c r="CE185" i="11"/>
  <c r="CE74" i="11"/>
  <c r="AZ98" i="11"/>
  <c r="CE130" i="11"/>
  <c r="AZ79" i="11"/>
  <c r="CE213" i="11"/>
  <c r="AZ57" i="11"/>
  <c r="CE205" i="11"/>
  <c r="CE215" i="11"/>
  <c r="CE251" i="11"/>
  <c r="AZ21" i="11"/>
  <c r="CE88" i="11"/>
  <c r="AZ197" i="11"/>
  <c r="CE247" i="11"/>
  <c r="CE194" i="11"/>
  <c r="AZ25" i="11"/>
  <c r="CE231" i="11"/>
  <c r="CE197" i="11"/>
  <c r="AZ217" i="11"/>
  <c r="AZ185" i="11"/>
  <c r="AZ83" i="11"/>
  <c r="AZ89" i="11"/>
  <c r="AZ181" i="11"/>
  <c r="AZ22" i="11"/>
  <c r="AZ188" i="11"/>
  <c r="CE224" i="11"/>
  <c r="AZ14" i="11"/>
  <c r="CE230" i="11"/>
  <c r="CE154" i="11"/>
  <c r="CE188" i="11"/>
  <c r="AZ248" i="11"/>
  <c r="AZ221" i="11"/>
  <c r="CE181" i="11"/>
  <c r="CE78" i="11"/>
  <c r="CE145" i="11"/>
  <c r="CE155" i="11"/>
  <c r="AZ139" i="11"/>
  <c r="CE227" i="11"/>
  <c r="AZ152" i="11"/>
  <c r="AZ100" i="11"/>
  <c r="AZ11" i="11"/>
  <c r="CE174" i="11"/>
  <c r="AZ99" i="11"/>
  <c r="AZ95" i="11"/>
  <c r="CE57" i="11"/>
  <c r="AZ230" i="11"/>
  <c r="AZ126" i="11"/>
  <c r="AZ40" i="11"/>
  <c r="AZ149" i="11"/>
  <c r="CE219" i="11"/>
  <c r="AZ156" i="11"/>
  <c r="AZ127" i="11"/>
  <c r="AZ229" i="11"/>
  <c r="AZ39" i="11"/>
  <c r="CE51" i="11"/>
  <c r="AZ113" i="11"/>
  <c r="AZ103" i="11"/>
  <c r="CE61" i="11"/>
  <c r="CE167" i="11"/>
  <c r="CE208" i="11"/>
  <c r="AZ199" i="11"/>
  <c r="CE207" i="11"/>
  <c r="AZ78" i="11"/>
  <c r="CE35" i="11"/>
  <c r="CE34" i="11"/>
  <c r="CE264" i="11"/>
  <c r="AZ190" i="11"/>
  <c r="CE65" i="11"/>
  <c r="CE228" i="11"/>
  <c r="CE249" i="11"/>
  <c r="AZ8" i="11"/>
  <c r="AZ140" i="11"/>
  <c r="AZ38" i="11"/>
  <c r="CE190" i="11"/>
  <c r="AZ244" i="11"/>
  <c r="AZ225" i="11"/>
  <c r="CE76" i="11"/>
  <c r="CE245" i="11"/>
  <c r="AZ117" i="11"/>
  <c r="AZ212" i="11"/>
  <c r="AZ121" i="11"/>
  <c r="CE212" i="11"/>
  <c r="CE137" i="11"/>
  <c r="CE183" i="11"/>
  <c r="CE56" i="11"/>
  <c r="AZ90" i="11"/>
  <c r="CE108" i="11"/>
  <c r="CE43" i="11"/>
  <c r="AZ58" i="11"/>
  <c r="CE87" i="11"/>
  <c r="CE193" i="11"/>
  <c r="AZ222" i="11"/>
  <c r="AZ97" i="11"/>
  <c r="CE149" i="11"/>
  <c r="AZ167" i="11"/>
  <c r="AZ72" i="11"/>
  <c r="CE109" i="11"/>
  <c r="AZ173" i="11"/>
  <c r="CE85" i="11"/>
  <c r="CE169" i="11"/>
  <c r="CE33" i="11"/>
  <c r="CE131" i="11"/>
  <c r="AZ9" i="11"/>
  <c r="CE214" i="11"/>
  <c r="AZ29" i="11"/>
  <c r="CE163" i="11"/>
  <c r="CE129" i="11"/>
  <c r="CE122" i="11"/>
  <c r="CE142" i="11"/>
  <c r="CE234" i="11"/>
  <c r="CE134" i="11"/>
  <c r="CE255" i="11"/>
  <c r="AZ81" i="11"/>
  <c r="AZ65" i="11"/>
  <c r="CE177" i="11"/>
  <c r="AZ66" i="11"/>
  <c r="CE105" i="11"/>
  <c r="CE175" i="11"/>
  <c r="AZ106" i="11"/>
  <c r="CE58" i="11"/>
  <c r="CE80" i="11"/>
  <c r="AZ215" i="11"/>
  <c r="CE110" i="11"/>
  <c r="CE237" i="11"/>
  <c r="CE46" i="11"/>
  <c r="AZ42" i="11"/>
  <c r="CE248" i="11"/>
  <c r="AZ16" i="11"/>
  <c r="CE24" i="11"/>
  <c r="CE114" i="11"/>
  <c r="AZ237" i="11"/>
  <c r="AZ184" i="11"/>
  <c r="AZ192" i="11"/>
  <c r="CE176" i="11"/>
  <c r="CE211" i="11"/>
  <c r="CE196" i="11"/>
  <c r="CE45" i="11"/>
  <c r="AZ145" i="11"/>
  <c r="AZ13" i="11"/>
  <c r="AZ191" i="11"/>
  <c r="CE62" i="11"/>
  <c r="AZ45" i="11"/>
  <c r="AZ176" i="11"/>
  <c r="AZ48" i="11"/>
  <c r="AZ200" i="11"/>
  <c r="AZ220" i="11"/>
  <c r="CE97" i="11"/>
  <c r="AZ159" i="11"/>
  <c r="CE39" i="11"/>
  <c r="AZ129" i="11"/>
  <c r="AZ86" i="11"/>
  <c r="CE258" i="11"/>
  <c r="CE139" i="11"/>
  <c r="AZ33" i="11"/>
  <c r="CE42" i="11"/>
  <c r="AZ223" i="11"/>
  <c r="CE173" i="11"/>
  <c r="AZ133" i="11"/>
  <c r="AZ101" i="11"/>
  <c r="CE40" i="11"/>
  <c r="CE52" i="11"/>
  <c r="AZ202" i="11"/>
  <c r="CE152" i="11"/>
  <c r="AZ236" i="11"/>
  <c r="CE53" i="11"/>
  <c r="CE26" i="11"/>
  <c r="CE41" i="11"/>
  <c r="AZ128" i="11"/>
  <c r="AZ28" i="11"/>
  <c r="AZ43" i="11"/>
  <c r="CE238" i="11"/>
  <c r="AZ74" i="11"/>
  <c r="CE161" i="11"/>
  <c r="AZ96" i="11"/>
  <c r="CE202" i="11"/>
  <c r="AZ76" i="11"/>
  <c r="CE66" i="11"/>
  <c r="CE115" i="11"/>
  <c r="AZ15" i="11"/>
  <c r="CE32" i="11"/>
  <c r="CE144" i="11"/>
  <c r="CE187" i="11"/>
  <c r="AZ234" i="11"/>
  <c r="CE118" i="11"/>
  <c r="CE135" i="11"/>
  <c r="AZ10" i="11"/>
  <c r="AZ77" i="11"/>
  <c r="CE111" i="11"/>
  <c r="AZ70" i="11"/>
  <c r="CE106" i="11"/>
  <c r="AZ195" i="11"/>
  <c r="CE156" i="11"/>
  <c r="CE262" i="11"/>
  <c r="CE22" i="11"/>
  <c r="CE104" i="11"/>
  <c r="AZ242" i="11"/>
  <c r="CE252" i="11"/>
  <c r="AZ172" i="11"/>
  <c r="AZ108" i="11"/>
  <c r="CE96" i="11"/>
  <c r="CE256" i="11"/>
  <c r="CE240" i="11"/>
  <c r="AZ68" i="11"/>
  <c r="AZ178" i="11"/>
  <c r="CE184" i="11"/>
  <c r="CE151" i="11"/>
  <c r="CE117" i="11"/>
  <c r="CE44" i="11"/>
  <c r="AZ123" i="11"/>
  <c r="CE210" i="11"/>
  <c r="CE102" i="11"/>
  <c r="CE99" i="11"/>
  <c r="AZ60" i="11"/>
  <c r="CE223" i="11"/>
  <c r="CE233" i="11"/>
  <c r="CE92" i="11"/>
  <c r="CE250" i="11"/>
  <c r="CE101" i="11"/>
  <c r="CE150" i="11"/>
  <c r="AZ111" i="11"/>
  <c r="CE165" i="11"/>
  <c r="AZ228" i="11"/>
  <c r="CE112" i="11"/>
  <c r="CE243" i="11"/>
  <c r="CE27" i="11"/>
  <c r="CE123" i="11"/>
  <c r="AZ85" i="11"/>
  <c r="CE38" i="11"/>
  <c r="CE254" i="11"/>
  <c r="AZ61" i="11"/>
  <c r="CE59" i="11"/>
  <c r="CE180" i="11"/>
  <c r="AZ177" i="11"/>
  <c r="AZ245" i="11"/>
  <c r="CE127" i="11"/>
  <c r="AZ142" i="11"/>
  <c r="CE153" i="11"/>
  <c r="AZ157" i="11"/>
  <c r="AZ104" i="11"/>
  <c r="AZ137" i="11"/>
  <c r="CE69" i="11"/>
  <c r="CE70" i="11"/>
  <c r="AZ136" i="11"/>
  <c r="CE236" i="11"/>
  <c r="CE186" i="11"/>
  <c r="CE90" i="11"/>
  <c r="CE121" i="11"/>
  <c r="CE103" i="11"/>
  <c r="CE72" i="11"/>
  <c r="AZ124" i="11"/>
  <c r="AZ166" i="11"/>
  <c r="AZ118" i="11"/>
  <c r="CE148" i="11"/>
  <c r="AZ51" i="11"/>
  <c r="CE164" i="11"/>
  <c r="AZ105" i="11"/>
  <c r="CE162" i="11"/>
  <c r="CF8" i="11" l="1"/>
  <c r="CH8" i="11"/>
  <c r="CG8" i="11"/>
  <c r="CJ8" i="11"/>
  <c r="CI8" i="11"/>
  <c r="CI109" i="11"/>
  <c r="CJ109" i="11"/>
  <c r="CF109" i="11"/>
  <c r="CH109" i="11"/>
  <c r="CG109" i="11"/>
  <c r="CG156" i="11"/>
  <c r="CI156" i="11"/>
  <c r="CH156" i="11"/>
  <c r="CJ156" i="11"/>
  <c r="CF156" i="11"/>
  <c r="CI223" i="11"/>
  <c r="CF223" i="11"/>
  <c r="CG223" i="11"/>
  <c r="CH223" i="11"/>
  <c r="CJ223" i="11"/>
  <c r="CG60" i="11"/>
  <c r="CF60" i="11"/>
  <c r="CH60" i="11"/>
  <c r="CI220" i="11"/>
  <c r="CJ220" i="11"/>
  <c r="CG220" i="11"/>
  <c r="CH220" i="11"/>
  <c r="CH72" i="11"/>
  <c r="CI72" i="11"/>
  <c r="CJ72" i="11"/>
  <c r="CI228" i="11"/>
  <c r="CJ228" i="11"/>
  <c r="CH228" i="11"/>
  <c r="CG228" i="11"/>
  <c r="CF228" i="11"/>
  <c r="CI60" i="11"/>
  <c r="CG72" i="11"/>
  <c r="CF220" i="11"/>
  <c r="CF72" i="11"/>
  <c r="CJ60" i="11"/>
  <c r="CH211" i="11"/>
  <c r="CF211" i="11"/>
  <c r="CG241" i="11"/>
  <c r="CF247" i="11"/>
  <c r="CG84" i="11"/>
  <c r="CI84" i="11"/>
  <c r="CH84" i="11"/>
  <c r="CJ84" i="11"/>
  <c r="CF84" i="11"/>
  <c r="CI96" i="11"/>
  <c r="CJ96" i="11"/>
  <c r="CH96" i="11"/>
  <c r="CG96" i="11"/>
  <c r="CF96" i="11"/>
  <c r="CI100" i="11"/>
  <c r="CJ100" i="11"/>
  <c r="CF100" i="11"/>
  <c r="CG100" i="11"/>
  <c r="CH100" i="11"/>
  <c r="CH108" i="11"/>
  <c r="CI108" i="11"/>
  <c r="CJ108" i="11"/>
  <c r="CG108" i="11"/>
  <c r="CF108" i="11"/>
  <c r="CI124" i="11"/>
  <c r="CJ124" i="11"/>
  <c r="CF124" i="11"/>
  <c r="CH124" i="11"/>
  <c r="CG124" i="11"/>
  <c r="CG132" i="11"/>
  <c r="CF132" i="11"/>
  <c r="CH132" i="11"/>
  <c r="CI132" i="11"/>
  <c r="CJ132" i="11"/>
  <c r="CF136" i="11"/>
  <c r="CG136" i="11"/>
  <c r="CH136" i="11"/>
  <c r="CI136" i="11"/>
  <c r="CJ136" i="11"/>
  <c r="CF144" i="11"/>
  <c r="CI144" i="11"/>
  <c r="CJ144" i="11"/>
  <c r="CG144" i="11"/>
  <c r="CH144" i="11"/>
  <c r="CF160" i="11"/>
  <c r="CH160" i="11"/>
  <c r="CI168" i="11"/>
  <c r="CH168" i="11"/>
  <c r="CJ172" i="11"/>
  <c r="CH172" i="11"/>
  <c r="CF180" i="11"/>
  <c r="CH196" i="11"/>
  <c r="CF196" i="11"/>
  <c r="CG196" i="11"/>
  <c r="CI196" i="11"/>
  <c r="CJ196" i="11"/>
  <c r="CG204" i="11"/>
  <c r="CF204" i="11"/>
  <c r="CJ204" i="11"/>
  <c r="CH204" i="11"/>
  <c r="CI204" i="11"/>
  <c r="CI208" i="11"/>
  <c r="CJ208" i="11"/>
  <c r="CF208" i="11"/>
  <c r="CG208" i="11"/>
  <c r="CH208" i="11"/>
  <c r="CF216" i="11"/>
  <c r="CG216" i="11"/>
  <c r="CH216" i="11"/>
  <c r="CI216" i="11"/>
  <c r="CJ216" i="11"/>
  <c r="CF240" i="11"/>
  <c r="CH240" i="11"/>
  <c r="CI240" i="11"/>
  <c r="CG244" i="11"/>
  <c r="CI244" i="11"/>
  <c r="CH244" i="11"/>
  <c r="CJ244" i="11"/>
  <c r="CH252" i="11"/>
  <c r="CJ73" i="11"/>
  <c r="CI73" i="11"/>
  <c r="CH73" i="11"/>
  <c r="CJ25" i="11"/>
  <c r="CI25" i="11"/>
  <c r="CF25" i="11"/>
  <c r="CH25" i="11"/>
  <c r="CG25" i="11"/>
  <c r="CF37" i="11"/>
  <c r="CG37" i="11"/>
  <c r="CI37" i="11"/>
  <c r="CJ37" i="11"/>
  <c r="CH37" i="11"/>
  <c r="CJ61" i="11"/>
  <c r="CI61" i="11"/>
  <c r="CF61" i="11"/>
  <c r="CG61" i="11"/>
  <c r="CH61" i="11"/>
  <c r="CF121" i="11"/>
  <c r="CG121" i="11"/>
  <c r="CH121" i="11"/>
  <c r="CJ85" i="11"/>
  <c r="CI85" i="11"/>
  <c r="CF85" i="11"/>
  <c r="CH85" i="11"/>
  <c r="CG85" i="11"/>
  <c r="CJ97" i="11"/>
  <c r="CI97" i="11"/>
  <c r="CF97" i="11"/>
  <c r="CG97" i="11"/>
  <c r="CH97" i="11"/>
  <c r="CI103" i="11"/>
  <c r="CJ103" i="11"/>
  <c r="CF103" i="11"/>
  <c r="CG103" i="11"/>
  <c r="CH103" i="11"/>
  <c r="CF115" i="11"/>
  <c r="CG115" i="11"/>
  <c r="CI115" i="11"/>
  <c r="CH115" i="11"/>
  <c r="CH157" i="11"/>
  <c r="CJ157" i="11"/>
  <c r="CI157" i="11"/>
  <c r="CF157" i="11"/>
  <c r="CG157" i="11"/>
  <c r="CF127" i="11"/>
  <c r="CG127" i="11"/>
  <c r="CJ127" i="11"/>
  <c r="CG133" i="11"/>
  <c r="CH133" i="11"/>
  <c r="CF133" i="11"/>
  <c r="CJ133" i="11"/>
  <c r="CI133" i="11"/>
  <c r="CG139" i="11"/>
  <c r="CJ139" i="11"/>
  <c r="CI139" i="11"/>
  <c r="CH139" i="11"/>
  <c r="CF139" i="11"/>
  <c r="CJ151" i="11"/>
  <c r="CI151" i="11"/>
  <c r="CH151" i="11"/>
  <c r="CI193" i="11"/>
  <c r="CH193" i="11"/>
  <c r="CJ163" i="11"/>
  <c r="CI163" i="11"/>
  <c r="CI169" i="11"/>
  <c r="CF169" i="11"/>
  <c r="CG169" i="11"/>
  <c r="CH169" i="11"/>
  <c r="CI175" i="11"/>
  <c r="CH175" i="11"/>
  <c r="CG175" i="11"/>
  <c r="CG187" i="11"/>
  <c r="CJ253" i="11"/>
  <c r="CI253" i="11"/>
  <c r="CH253" i="11"/>
  <c r="CF253" i="11"/>
  <c r="CG253" i="11"/>
  <c r="CI112" i="11"/>
  <c r="CG120" i="11"/>
  <c r="CH120" i="11"/>
  <c r="CF120" i="11"/>
  <c r="CI120" i="11"/>
  <c r="CJ120" i="11"/>
  <c r="CH256" i="11"/>
  <c r="CI256" i="11"/>
  <c r="CJ256" i="11"/>
  <c r="CH145" i="11"/>
  <c r="CJ145" i="11"/>
  <c r="CI145" i="11"/>
  <c r="CF145" i="11"/>
  <c r="CG145" i="11"/>
  <c r="CH259" i="11"/>
  <c r="CJ259" i="11"/>
  <c r="CI259" i="11"/>
  <c r="CF259" i="11"/>
  <c r="CG13" i="11"/>
  <c r="CF13" i="11"/>
  <c r="CJ13" i="11"/>
  <c r="CH13" i="11"/>
  <c r="CJ148" i="11"/>
  <c r="CF148" i="11"/>
  <c r="CG148" i="11"/>
  <c r="CI148" i="11"/>
  <c r="CH148" i="11"/>
  <c r="CH264" i="11"/>
  <c r="CI264" i="11"/>
  <c r="CJ264" i="11"/>
  <c r="CF264" i="11"/>
  <c r="CG264" i="11"/>
  <c r="CI181" i="11"/>
  <c r="CF181" i="11"/>
  <c r="CG181" i="11"/>
  <c r="CH181" i="11"/>
  <c r="CJ181" i="11"/>
  <c r="CF184" i="11"/>
  <c r="CG184" i="11"/>
  <c r="CH184" i="11"/>
  <c r="CJ184" i="11"/>
  <c r="CF49" i="11"/>
  <c r="CG49" i="11"/>
  <c r="CJ49" i="11"/>
  <c r="CI49" i="11"/>
  <c r="CH49" i="11"/>
  <c r="CJ192" i="11"/>
  <c r="CG192" i="11"/>
  <c r="CF192" i="11"/>
  <c r="CH192" i="11"/>
  <c r="CI192" i="11"/>
  <c r="CJ217" i="11"/>
  <c r="CI24" i="11"/>
  <c r="CG247" i="11"/>
  <c r="CH48" i="11"/>
  <c r="CF168" i="11"/>
  <c r="CG172" i="11"/>
  <c r="CF256" i="11"/>
  <c r="CF235" i="11"/>
  <c r="CI232" i="11"/>
  <c r="CG252" i="11"/>
  <c r="CG259" i="11"/>
  <c r="CJ265" i="11"/>
  <c r="CF73" i="11"/>
  <c r="CF241" i="11"/>
  <c r="CJ121" i="11"/>
  <c r="CJ115" i="11"/>
  <c r="CI127" i="11"/>
  <c r="CF151" i="11"/>
  <c r="CJ193" i="11"/>
  <c r="CI184" i="11"/>
  <c r="CF252" i="11"/>
  <c r="CG73" i="11"/>
  <c r="CG256" i="11"/>
  <c r="CG151" i="11"/>
  <c r="CI121" i="11"/>
  <c r="CJ235" i="11"/>
  <c r="CJ232" i="11"/>
  <c r="CH217" i="11"/>
  <c r="CH127" i="11"/>
  <c r="CJ48" i="11"/>
  <c r="CI217" i="11"/>
  <c r="CI235" i="11"/>
  <c r="CH241" i="11"/>
  <c r="CF265" i="11"/>
  <c r="CI247" i="11"/>
  <c r="CG160" i="11"/>
  <c r="CJ168" i="11"/>
  <c r="CI180" i="11"/>
  <c r="CG265" i="11"/>
  <c r="CI241" i="11"/>
  <c r="CJ247" i="11"/>
  <c r="CH265" i="11"/>
  <c r="CG112" i="11"/>
  <c r="CJ241" i="11"/>
  <c r="CF232" i="11"/>
  <c r="CG240" i="11"/>
  <c r="CF244" i="11"/>
  <c r="CI252" i="11"/>
  <c r="CH112" i="11"/>
  <c r="CF112" i="11"/>
  <c r="CJ24" i="11"/>
  <c r="CF24" i="11"/>
  <c r="CH235" i="11"/>
  <c r="CG235" i="11"/>
  <c r="CI265" i="11"/>
  <c r="CH247" i="11"/>
  <c r="CG217" i="11"/>
  <c r="CF193" i="11"/>
  <c r="CH163" i="11"/>
  <c r="CJ169" i="11"/>
  <c r="CF175" i="11"/>
  <c r="CH187" i="11"/>
  <c r="CF217" i="11"/>
  <c r="CJ112" i="11"/>
  <c r="CJ240" i="11"/>
  <c r="CI205" i="11"/>
  <c r="CJ175" i="11"/>
  <c r="CJ205" i="11"/>
  <c r="CH24" i="11"/>
  <c r="CH205" i="11"/>
  <c r="CG193" i="11"/>
  <c r="CG163" i="11"/>
  <c r="CG232" i="11"/>
  <c r="CJ36" i="11"/>
  <c r="CJ180" i="11"/>
  <c r="CJ252" i="11"/>
  <c r="CI187" i="11"/>
  <c r="CH36" i="11"/>
  <c r="CH180" i="11"/>
  <c r="CF163" i="11"/>
  <c r="CI36" i="11"/>
  <c r="CJ187" i="11"/>
  <c r="CH229" i="11"/>
  <c r="CG205" i="11"/>
  <c r="CI229" i="11"/>
  <c r="CI199" i="11"/>
  <c r="CG24" i="11"/>
  <c r="CG168" i="11"/>
  <c r="CF205" i="11"/>
  <c r="CI172" i="11"/>
  <c r="CI48" i="11"/>
  <c r="CJ229" i="11"/>
  <c r="CJ199" i="11"/>
  <c r="CF36" i="11"/>
  <c r="CI211" i="11"/>
  <c r="CH232" i="11"/>
  <c r="CG36" i="11"/>
  <c r="CG180" i="11"/>
  <c r="CF187" i="11"/>
  <c r="CJ211" i="11"/>
  <c r="CF48" i="11"/>
  <c r="CG229" i="11"/>
  <c r="CG199" i="11"/>
  <c r="CJ160" i="11"/>
  <c r="CI13" i="11"/>
  <c r="CF172" i="11"/>
  <c r="CG48" i="11"/>
  <c r="CF229" i="11"/>
  <c r="CF199" i="11"/>
  <c r="CI160" i="11"/>
  <c r="CH199" i="11"/>
  <c r="CG211" i="11"/>
  <c r="CJ128" i="11"/>
  <c r="CH50" i="11"/>
  <c r="CH194" i="11"/>
  <c r="CH75" i="11"/>
  <c r="CH219" i="11"/>
  <c r="CI29" i="11"/>
  <c r="CF29" i="11"/>
  <c r="CH66" i="11"/>
  <c r="CJ210" i="11"/>
  <c r="CG210" i="11"/>
  <c r="CF210" i="11"/>
  <c r="CF91" i="11"/>
  <c r="CG91" i="11"/>
  <c r="CG141" i="11"/>
  <c r="CJ141" i="11"/>
  <c r="CI141" i="11"/>
  <c r="CH141" i="11"/>
  <c r="CF141" i="11"/>
  <c r="CH143" i="11"/>
  <c r="CH231" i="11"/>
  <c r="CG41" i="11"/>
  <c r="CH155" i="11"/>
  <c r="CI74" i="11"/>
  <c r="CF74" i="11"/>
  <c r="CJ74" i="11"/>
  <c r="CG74" i="11"/>
  <c r="CH74" i="11"/>
  <c r="CI218" i="11"/>
  <c r="CF218" i="11"/>
  <c r="CJ218" i="11"/>
  <c r="CG218" i="11"/>
  <c r="CH218" i="11"/>
  <c r="CJ99" i="11"/>
  <c r="CG99" i="11"/>
  <c r="CH99" i="11"/>
  <c r="CI99" i="11"/>
  <c r="CF99" i="11"/>
  <c r="CJ243" i="11"/>
  <c r="CG243" i="11"/>
  <c r="CF243" i="11"/>
  <c r="CH243" i="11"/>
  <c r="CI243" i="11"/>
  <c r="CI53" i="11"/>
  <c r="CF53" i="11"/>
  <c r="CJ53" i="11"/>
  <c r="CG53" i="11"/>
  <c r="CH53" i="11"/>
  <c r="CH197" i="11"/>
  <c r="CI197" i="11"/>
  <c r="CF197" i="11"/>
  <c r="CJ197" i="11"/>
  <c r="CG197" i="11"/>
  <c r="CI90" i="11"/>
  <c r="CG90" i="11"/>
  <c r="CJ90" i="11"/>
  <c r="CF90" i="11"/>
  <c r="CH90" i="11"/>
  <c r="CJ234" i="11"/>
  <c r="CG234" i="11"/>
  <c r="CI234" i="11"/>
  <c r="CH234" i="11"/>
  <c r="CF234" i="11"/>
  <c r="CI20" i="11"/>
  <c r="CG20" i="11"/>
  <c r="CJ20" i="11"/>
  <c r="CF20" i="11"/>
  <c r="CH20" i="11"/>
  <c r="CI164" i="11"/>
  <c r="CG164" i="11"/>
  <c r="CJ164" i="11"/>
  <c r="CF164" i="11"/>
  <c r="CH164" i="11"/>
  <c r="CI21" i="11"/>
  <c r="CF21" i="11"/>
  <c r="CJ21" i="11"/>
  <c r="CG21" i="11"/>
  <c r="CH21" i="11"/>
  <c r="CH165" i="11"/>
  <c r="CI165" i="11"/>
  <c r="CF165" i="11"/>
  <c r="CJ165" i="11"/>
  <c r="CG165" i="11"/>
  <c r="CF154" i="11"/>
  <c r="CH154" i="11"/>
  <c r="CG154" i="11"/>
  <c r="CI154" i="11"/>
  <c r="CJ154" i="11"/>
  <c r="CH23" i="11"/>
  <c r="CG23" i="11"/>
  <c r="CI23" i="11"/>
  <c r="CJ23" i="11"/>
  <c r="CF23" i="11"/>
  <c r="CH167" i="11"/>
  <c r="CF167" i="11"/>
  <c r="CI167" i="11"/>
  <c r="CG167" i="11"/>
  <c r="CJ167" i="11"/>
  <c r="CG86" i="11"/>
  <c r="CH86" i="11"/>
  <c r="CI86" i="11"/>
  <c r="CF86" i="11"/>
  <c r="CG230" i="11"/>
  <c r="CH230" i="11"/>
  <c r="CF230" i="11"/>
  <c r="CJ230" i="11"/>
  <c r="CH111" i="11"/>
  <c r="CI111" i="11"/>
  <c r="CJ111" i="11"/>
  <c r="CF111" i="11"/>
  <c r="CG111" i="11"/>
  <c r="CH255" i="11"/>
  <c r="CF255" i="11"/>
  <c r="CG255" i="11"/>
  <c r="CI255" i="11"/>
  <c r="CJ255" i="11"/>
  <c r="CH65" i="11"/>
  <c r="CF65" i="11"/>
  <c r="CG65" i="11"/>
  <c r="CI65" i="11"/>
  <c r="CJ65" i="11"/>
  <c r="CH209" i="11"/>
  <c r="CF209" i="11"/>
  <c r="CJ209" i="11"/>
  <c r="CG209" i="11"/>
  <c r="CJ102" i="11"/>
  <c r="CF102" i="11"/>
  <c r="CH102" i="11"/>
  <c r="CG102" i="11"/>
  <c r="CI102" i="11"/>
  <c r="CJ246" i="11"/>
  <c r="CF246" i="11"/>
  <c r="CH246" i="11"/>
  <c r="CG246" i="11"/>
  <c r="CI246" i="11"/>
  <c r="CF32" i="11"/>
  <c r="CG32" i="11"/>
  <c r="CH32" i="11"/>
  <c r="CF176" i="11"/>
  <c r="CG176" i="11"/>
  <c r="CH176" i="11"/>
  <c r="CI33" i="11"/>
  <c r="CF33" i="11"/>
  <c r="CJ33" i="11"/>
  <c r="CG33" i="11"/>
  <c r="CH33" i="11"/>
  <c r="CI177" i="11"/>
  <c r="CF177" i="11"/>
  <c r="CJ177" i="11"/>
  <c r="CG177" i="11"/>
  <c r="CH177" i="11"/>
  <c r="CH22" i="11"/>
  <c r="CI22" i="11"/>
  <c r="CJ22" i="11"/>
  <c r="CG22" i="11"/>
  <c r="CF22" i="11"/>
  <c r="CH166" i="11"/>
  <c r="CI166" i="11"/>
  <c r="CJ166" i="11"/>
  <c r="CG166" i="11"/>
  <c r="CF166" i="11"/>
  <c r="CI35" i="11"/>
  <c r="CJ35" i="11"/>
  <c r="CG35" i="11"/>
  <c r="CH35" i="11"/>
  <c r="CF35" i="11"/>
  <c r="CI179" i="11"/>
  <c r="CJ179" i="11"/>
  <c r="CG179" i="11"/>
  <c r="CF179" i="11"/>
  <c r="CH179" i="11"/>
  <c r="CH98" i="11"/>
  <c r="CJ98" i="11"/>
  <c r="CF98" i="11"/>
  <c r="CG98" i="11"/>
  <c r="CI98" i="11"/>
  <c r="CH242" i="11"/>
  <c r="CI242" i="11"/>
  <c r="CJ242" i="11"/>
  <c r="CG242" i="11"/>
  <c r="CF242" i="11"/>
  <c r="CI123" i="11"/>
  <c r="CF123" i="11"/>
  <c r="CJ123" i="11"/>
  <c r="CG123" i="11"/>
  <c r="CH123" i="11"/>
  <c r="CH77" i="11"/>
  <c r="CI77" i="11"/>
  <c r="CJ77" i="11"/>
  <c r="CF77" i="11"/>
  <c r="CG77" i="11"/>
  <c r="CF221" i="11"/>
  <c r="CG221" i="11"/>
  <c r="CH221" i="11"/>
  <c r="CI114" i="11"/>
  <c r="CJ114" i="11"/>
  <c r="CG114" i="11"/>
  <c r="CF114" i="11"/>
  <c r="CH114" i="11"/>
  <c r="CI258" i="11"/>
  <c r="CG258" i="11"/>
  <c r="CF258" i="11"/>
  <c r="CH258" i="11"/>
  <c r="CG44" i="11"/>
  <c r="CI44" i="11"/>
  <c r="CF44" i="11"/>
  <c r="CH44" i="11"/>
  <c r="CG188" i="11"/>
  <c r="CF188" i="11"/>
  <c r="CH188" i="11"/>
  <c r="CI188" i="11"/>
  <c r="CI45" i="11"/>
  <c r="CF45" i="11"/>
  <c r="CJ45" i="11"/>
  <c r="CG45" i="11"/>
  <c r="CH45" i="11"/>
  <c r="CI189" i="11"/>
  <c r="CF189" i="11"/>
  <c r="CJ189" i="11"/>
  <c r="CG189" i="11"/>
  <c r="CH189" i="11"/>
  <c r="CH34" i="11"/>
  <c r="CI34" i="11"/>
  <c r="CF34" i="11"/>
  <c r="CJ34" i="11"/>
  <c r="CG34" i="11"/>
  <c r="CH178" i="11"/>
  <c r="CI178" i="11"/>
  <c r="CF178" i="11"/>
  <c r="CJ178" i="11"/>
  <c r="CG178" i="11"/>
  <c r="CI47" i="11"/>
  <c r="CF47" i="11"/>
  <c r="CJ47" i="11"/>
  <c r="CH47" i="11"/>
  <c r="CG47" i="11"/>
  <c r="CI191" i="11"/>
  <c r="CF191" i="11"/>
  <c r="CJ191" i="11"/>
  <c r="CH191" i="11"/>
  <c r="CG191" i="11"/>
  <c r="CH110" i="11"/>
  <c r="CI110" i="11"/>
  <c r="CF110" i="11"/>
  <c r="CJ110" i="11"/>
  <c r="CG110" i="11"/>
  <c r="CH254" i="11"/>
  <c r="CJ254" i="11"/>
  <c r="CF254" i="11"/>
  <c r="CI254" i="11"/>
  <c r="CG254" i="11"/>
  <c r="CI135" i="11"/>
  <c r="CF135" i="11"/>
  <c r="CJ135" i="11"/>
  <c r="CG135" i="11"/>
  <c r="CH135" i="11"/>
  <c r="CH28" i="11"/>
  <c r="CI28" i="11"/>
  <c r="CF28" i="11"/>
  <c r="CJ28" i="11"/>
  <c r="CG28" i="11"/>
  <c r="CJ89" i="11"/>
  <c r="CF89" i="11"/>
  <c r="CG89" i="11"/>
  <c r="CH89" i="11"/>
  <c r="CI89" i="11"/>
  <c r="CI233" i="11"/>
  <c r="CF233" i="11"/>
  <c r="CJ233" i="11"/>
  <c r="CG233" i="11"/>
  <c r="CH233" i="11"/>
  <c r="CI126" i="11"/>
  <c r="CF126" i="11"/>
  <c r="CJ126" i="11"/>
  <c r="CG126" i="11"/>
  <c r="CH126" i="11"/>
  <c r="CH56" i="11"/>
  <c r="CI56" i="11"/>
  <c r="CJ56" i="11"/>
  <c r="CF56" i="11"/>
  <c r="CG56" i="11"/>
  <c r="CH200" i="11"/>
  <c r="CG200" i="11"/>
  <c r="CF200" i="11"/>
  <c r="CI200" i="11"/>
  <c r="CJ200" i="11"/>
  <c r="CJ57" i="11"/>
  <c r="CG57" i="11"/>
  <c r="CH57" i="11"/>
  <c r="CF57" i="11"/>
  <c r="CI57" i="11"/>
  <c r="CJ201" i="11"/>
  <c r="CG201" i="11"/>
  <c r="CH201" i="11"/>
  <c r="CI201" i="11"/>
  <c r="CF201" i="11"/>
  <c r="CI46" i="11"/>
  <c r="CF46" i="11"/>
  <c r="CJ46" i="11"/>
  <c r="CG46" i="11"/>
  <c r="CH46" i="11"/>
  <c r="CI190" i="11"/>
  <c r="CF190" i="11"/>
  <c r="CJ190" i="11"/>
  <c r="CG190" i="11"/>
  <c r="CH190" i="11"/>
  <c r="CI59" i="11"/>
  <c r="CF59" i="11"/>
  <c r="CJ59" i="11"/>
  <c r="CG59" i="11"/>
  <c r="CH59" i="11"/>
  <c r="CI203" i="11"/>
  <c r="CF203" i="11"/>
  <c r="CJ203" i="11"/>
  <c r="CG203" i="11"/>
  <c r="CH203" i="11"/>
  <c r="CH122" i="11"/>
  <c r="CI122" i="11"/>
  <c r="CF122" i="11"/>
  <c r="CJ122" i="11"/>
  <c r="CG122" i="11"/>
  <c r="CI147" i="11"/>
  <c r="CF147" i="11"/>
  <c r="CJ147" i="11"/>
  <c r="CG147" i="11"/>
  <c r="CH147" i="11"/>
  <c r="CI40" i="11"/>
  <c r="CF40" i="11"/>
  <c r="CJ40" i="11"/>
  <c r="CG40" i="11"/>
  <c r="CH40" i="11"/>
  <c r="CI101" i="11"/>
  <c r="CF101" i="11"/>
  <c r="CJ101" i="11"/>
  <c r="CG101" i="11"/>
  <c r="CH101" i="11"/>
  <c r="CH245" i="11"/>
  <c r="CI245" i="11"/>
  <c r="CF245" i="11"/>
  <c r="CJ245" i="11"/>
  <c r="CG245" i="11"/>
  <c r="CI138" i="11"/>
  <c r="CG138" i="11"/>
  <c r="CJ138" i="11"/>
  <c r="CF138" i="11"/>
  <c r="CH138" i="11"/>
  <c r="CI68" i="11"/>
  <c r="CF68" i="11"/>
  <c r="CJ68" i="11"/>
  <c r="CG68" i="11"/>
  <c r="CH68" i="11"/>
  <c r="CI212" i="11"/>
  <c r="CF212" i="11"/>
  <c r="CJ212" i="11"/>
  <c r="CG212" i="11"/>
  <c r="CH212" i="11"/>
  <c r="CF69" i="11"/>
  <c r="CG69" i="11"/>
  <c r="CI69" i="11"/>
  <c r="CJ69" i="11"/>
  <c r="CH69" i="11"/>
  <c r="CI213" i="11"/>
  <c r="CH213" i="11"/>
  <c r="CJ213" i="11"/>
  <c r="CG213" i="11"/>
  <c r="CF213" i="11"/>
  <c r="CI58" i="11"/>
  <c r="CF58" i="11"/>
  <c r="CJ58" i="11"/>
  <c r="CG58" i="11"/>
  <c r="CH58" i="11"/>
  <c r="CI202" i="11"/>
  <c r="CF202" i="11"/>
  <c r="CJ202" i="11"/>
  <c r="CG202" i="11"/>
  <c r="CH202" i="11"/>
  <c r="CI71" i="11"/>
  <c r="CF71" i="11"/>
  <c r="CJ71" i="11"/>
  <c r="CG71" i="11"/>
  <c r="CH71" i="11"/>
  <c r="CI215" i="11"/>
  <c r="CF215" i="11"/>
  <c r="CJ215" i="11"/>
  <c r="CG215" i="11"/>
  <c r="CH215" i="11"/>
  <c r="CI134" i="11"/>
  <c r="CG134" i="11"/>
  <c r="CJ134" i="11"/>
  <c r="CF134" i="11"/>
  <c r="CH134" i="11"/>
  <c r="CI159" i="11"/>
  <c r="CF159" i="11"/>
  <c r="CJ159" i="11"/>
  <c r="CG159" i="11"/>
  <c r="CH159" i="11"/>
  <c r="CI52" i="11"/>
  <c r="CF52" i="11"/>
  <c r="CJ52" i="11"/>
  <c r="CG52" i="11"/>
  <c r="CH52" i="11"/>
  <c r="CH113" i="11"/>
  <c r="CI113" i="11"/>
  <c r="CF113" i="11"/>
  <c r="CJ113" i="11"/>
  <c r="CG113" i="11"/>
  <c r="CI257" i="11"/>
  <c r="CF257" i="11"/>
  <c r="CJ257" i="11"/>
  <c r="CG257" i="11"/>
  <c r="CH257" i="11"/>
  <c r="CI150" i="11"/>
  <c r="CG150" i="11"/>
  <c r="CJ150" i="11"/>
  <c r="CF150" i="11"/>
  <c r="CH150" i="11"/>
  <c r="CH31" i="11"/>
  <c r="CJ31" i="11"/>
  <c r="CF31" i="11"/>
  <c r="CI31" i="11"/>
  <c r="CG31" i="11"/>
  <c r="CI80" i="11"/>
  <c r="CF80" i="11"/>
  <c r="CJ80" i="11"/>
  <c r="CG80" i="11"/>
  <c r="CH80" i="11"/>
  <c r="CJ224" i="11"/>
  <c r="CF224" i="11"/>
  <c r="CI224" i="11"/>
  <c r="CG224" i="11"/>
  <c r="CH224" i="11"/>
  <c r="CI81" i="11"/>
  <c r="CJ81" i="11"/>
  <c r="CG81" i="11"/>
  <c r="CF81" i="11"/>
  <c r="CH81" i="11"/>
  <c r="CI225" i="11"/>
  <c r="CJ225" i="11"/>
  <c r="CG225" i="11"/>
  <c r="CH225" i="11"/>
  <c r="CF225" i="11"/>
  <c r="CJ70" i="11"/>
  <c r="CG70" i="11"/>
  <c r="CH70" i="11"/>
  <c r="CF70" i="11"/>
  <c r="CI70" i="11"/>
  <c r="CJ214" i="11"/>
  <c r="CG214" i="11"/>
  <c r="CF214" i="11"/>
  <c r="CH214" i="11"/>
  <c r="CI214" i="11"/>
  <c r="CJ83" i="11"/>
  <c r="CG83" i="11"/>
  <c r="CH83" i="11"/>
  <c r="CI83" i="11"/>
  <c r="CF83" i="11"/>
  <c r="CJ227" i="11"/>
  <c r="CG227" i="11"/>
  <c r="CH227" i="11"/>
  <c r="CI227" i="11"/>
  <c r="CF227" i="11"/>
  <c r="CI146" i="11"/>
  <c r="CF146" i="11"/>
  <c r="CJ146" i="11"/>
  <c r="CG146" i="11"/>
  <c r="CH146" i="11"/>
  <c r="CJ27" i="11"/>
  <c r="CG27" i="11"/>
  <c r="CH27" i="11"/>
  <c r="CF27" i="11"/>
  <c r="CI27" i="11"/>
  <c r="CJ171" i="11"/>
  <c r="CG171" i="11"/>
  <c r="CH171" i="11"/>
  <c r="CF171" i="11"/>
  <c r="CI171" i="11"/>
  <c r="CI64" i="11"/>
  <c r="CF64" i="11"/>
  <c r="CJ64" i="11"/>
  <c r="CG64" i="11"/>
  <c r="CH64" i="11"/>
  <c r="CH125" i="11"/>
  <c r="CI125" i="11"/>
  <c r="CJ125" i="11"/>
  <c r="CF125" i="11"/>
  <c r="CG125" i="11"/>
  <c r="CH162" i="11"/>
  <c r="CG162" i="11"/>
  <c r="CI162" i="11"/>
  <c r="CF162" i="11"/>
  <c r="CJ162" i="11"/>
  <c r="CH43" i="11"/>
  <c r="CJ43" i="11"/>
  <c r="CF43" i="11"/>
  <c r="CI43" i="11"/>
  <c r="CG43" i="11"/>
  <c r="CI92" i="11"/>
  <c r="CF92" i="11"/>
  <c r="CJ92" i="11"/>
  <c r="CG92" i="11"/>
  <c r="CH92" i="11"/>
  <c r="CJ236" i="11"/>
  <c r="CF236" i="11"/>
  <c r="CI236" i="11"/>
  <c r="CG236" i="11"/>
  <c r="CH236" i="11"/>
  <c r="CI93" i="11"/>
  <c r="CF93" i="11"/>
  <c r="CJ93" i="11"/>
  <c r="CG93" i="11"/>
  <c r="CH93" i="11"/>
  <c r="CI237" i="11"/>
  <c r="CF237" i="11"/>
  <c r="CJ237" i="11"/>
  <c r="CH237" i="11"/>
  <c r="CG237" i="11"/>
  <c r="CH82" i="11"/>
  <c r="CF82" i="11"/>
  <c r="CI82" i="11"/>
  <c r="CG82" i="11"/>
  <c r="CJ82" i="11"/>
  <c r="CH226" i="11"/>
  <c r="CI226" i="11"/>
  <c r="CJ226" i="11"/>
  <c r="CF226" i="11"/>
  <c r="CG226" i="11"/>
  <c r="CH95" i="11"/>
  <c r="CI95" i="11"/>
  <c r="CJ95" i="11"/>
  <c r="CF95" i="11"/>
  <c r="CG95" i="11"/>
  <c r="CJ239" i="11"/>
  <c r="CF239" i="11"/>
  <c r="CH239" i="11"/>
  <c r="CG239" i="11"/>
  <c r="CI239" i="11"/>
  <c r="CJ158" i="11"/>
  <c r="CG158" i="11"/>
  <c r="CF158" i="11"/>
  <c r="CI158" i="11"/>
  <c r="CH158" i="11"/>
  <c r="CH39" i="11"/>
  <c r="CG39" i="11"/>
  <c r="CJ39" i="11"/>
  <c r="CI39" i="11"/>
  <c r="CF39" i="11"/>
  <c r="CH183" i="11"/>
  <c r="CI183" i="11"/>
  <c r="CJ183" i="11"/>
  <c r="CF183" i="11"/>
  <c r="CG183" i="11"/>
  <c r="CJ76" i="11"/>
  <c r="CG76" i="11"/>
  <c r="CH76" i="11"/>
  <c r="CI76" i="11"/>
  <c r="CF76" i="11"/>
  <c r="CI137" i="11"/>
  <c r="CJ137" i="11"/>
  <c r="CG137" i="11"/>
  <c r="CH137" i="11"/>
  <c r="CF137" i="11"/>
  <c r="CJ30" i="11"/>
  <c r="CF30" i="11"/>
  <c r="CH30" i="11"/>
  <c r="CI30" i="11"/>
  <c r="CG30" i="11"/>
  <c r="CI174" i="11"/>
  <c r="CG174" i="11"/>
  <c r="CJ174" i="11"/>
  <c r="CF174" i="11"/>
  <c r="CH174" i="11"/>
  <c r="CJ55" i="11"/>
  <c r="CF55" i="11"/>
  <c r="CI55" i="11"/>
  <c r="CG55" i="11"/>
  <c r="CH55" i="11"/>
  <c r="CI104" i="11"/>
  <c r="CF104" i="11"/>
  <c r="CJ104" i="11"/>
  <c r="CG104" i="11"/>
  <c r="CH104" i="11"/>
  <c r="CJ248" i="11"/>
  <c r="CF248" i="11"/>
  <c r="CI248" i="11"/>
  <c r="CG248" i="11"/>
  <c r="CH248" i="11"/>
  <c r="CI105" i="11"/>
  <c r="CF105" i="11"/>
  <c r="CJ105" i="11"/>
  <c r="CG105" i="11"/>
  <c r="CH105" i="11"/>
  <c r="CI249" i="11"/>
  <c r="CF249" i="11"/>
  <c r="CJ249" i="11"/>
  <c r="CG249" i="11"/>
  <c r="CH249" i="11"/>
  <c r="CI94" i="11"/>
  <c r="CJ94" i="11"/>
  <c r="CG94" i="11"/>
  <c r="CF94" i="11"/>
  <c r="CH94" i="11"/>
  <c r="CI238" i="11"/>
  <c r="CJ238" i="11"/>
  <c r="CG238" i="11"/>
  <c r="CF238" i="11"/>
  <c r="CH238" i="11"/>
  <c r="CH107" i="11"/>
  <c r="CI107" i="11"/>
  <c r="CJ107" i="11"/>
  <c r="CG107" i="11"/>
  <c r="CF107" i="11"/>
  <c r="CH251" i="11"/>
  <c r="CI251" i="11"/>
  <c r="CJ251" i="11"/>
  <c r="CG251" i="11"/>
  <c r="CF251" i="11"/>
  <c r="CH26" i="11"/>
  <c r="CI26" i="11"/>
  <c r="CJ26" i="11"/>
  <c r="CF26" i="11"/>
  <c r="CG26" i="11"/>
  <c r="CH170" i="11"/>
  <c r="CG170" i="11"/>
  <c r="CF170" i="11"/>
  <c r="CI170" i="11"/>
  <c r="CJ170" i="11"/>
  <c r="CH51" i="11"/>
  <c r="CI51" i="11"/>
  <c r="CF51" i="11"/>
  <c r="CJ51" i="11"/>
  <c r="CG51" i="11"/>
  <c r="CH195" i="11"/>
  <c r="CI195" i="11"/>
  <c r="CF195" i="11"/>
  <c r="CJ195" i="11"/>
  <c r="CG195" i="11"/>
  <c r="CH88" i="11"/>
  <c r="CI88" i="11"/>
  <c r="CJ88" i="11"/>
  <c r="CF88" i="11"/>
  <c r="CG88" i="11"/>
  <c r="CI149" i="11"/>
  <c r="CF149" i="11"/>
  <c r="CJ149" i="11"/>
  <c r="CG149" i="11"/>
  <c r="CH149" i="11"/>
  <c r="CJ42" i="11"/>
  <c r="CF42" i="11"/>
  <c r="CG42" i="11"/>
  <c r="CI42" i="11"/>
  <c r="CH42" i="11"/>
  <c r="CH186" i="11"/>
  <c r="CI186" i="11"/>
  <c r="CJ186" i="11"/>
  <c r="CF186" i="11"/>
  <c r="CG186" i="11"/>
  <c r="CJ67" i="11"/>
  <c r="CF67" i="11"/>
  <c r="CI67" i="11"/>
  <c r="CG67" i="11"/>
  <c r="CH67" i="11"/>
  <c r="CJ116" i="11"/>
  <c r="CG116" i="11"/>
  <c r="CH116" i="11"/>
  <c r="CI116" i="11"/>
  <c r="CF116" i="11"/>
  <c r="CJ260" i="11"/>
  <c r="CG260" i="11"/>
  <c r="CH260" i="11"/>
  <c r="CI260" i="11"/>
  <c r="CF260" i="11"/>
  <c r="CI117" i="11"/>
  <c r="CF117" i="11"/>
  <c r="CJ117" i="11"/>
  <c r="CG117" i="11"/>
  <c r="CH117" i="11"/>
  <c r="CI261" i="11"/>
  <c r="CF261" i="11"/>
  <c r="CJ261" i="11"/>
  <c r="CG261" i="11"/>
  <c r="CH261" i="11"/>
  <c r="CI106" i="11"/>
  <c r="CF106" i="11"/>
  <c r="CJ106" i="11"/>
  <c r="CH106" i="11"/>
  <c r="CG106" i="11"/>
  <c r="CI250" i="11"/>
  <c r="CF250" i="11"/>
  <c r="CJ250" i="11"/>
  <c r="CG250" i="11"/>
  <c r="CH250" i="11"/>
  <c r="CH119" i="11"/>
  <c r="CI119" i="11"/>
  <c r="CF119" i="11"/>
  <c r="CJ119" i="11"/>
  <c r="CG119" i="11"/>
  <c r="CH263" i="11"/>
  <c r="CI263" i="11"/>
  <c r="CF263" i="11"/>
  <c r="CJ263" i="11"/>
  <c r="CG263" i="11"/>
  <c r="CF41" i="11"/>
  <c r="CI222" i="11"/>
  <c r="CF153" i="11"/>
  <c r="CI38" i="11"/>
  <c r="CF38" i="11"/>
  <c r="CJ38" i="11"/>
  <c r="CG38" i="11"/>
  <c r="CI182" i="11"/>
  <c r="CF182" i="11"/>
  <c r="CJ182" i="11"/>
  <c r="CG182" i="11"/>
  <c r="CH63" i="11"/>
  <c r="CI63" i="11"/>
  <c r="CF63" i="11"/>
  <c r="CJ63" i="11"/>
  <c r="CG63" i="11"/>
  <c r="CH207" i="11"/>
  <c r="CI207" i="11"/>
  <c r="CF207" i="11"/>
  <c r="CJ207" i="11"/>
  <c r="CG207" i="11"/>
  <c r="CH161" i="11"/>
  <c r="CI161" i="11"/>
  <c r="CJ161" i="11"/>
  <c r="CG161" i="11"/>
  <c r="CI54" i="11"/>
  <c r="CG54" i="11"/>
  <c r="CJ54" i="11"/>
  <c r="CF54" i="11"/>
  <c r="CH54" i="11"/>
  <c r="CH198" i="11"/>
  <c r="CI198" i="11"/>
  <c r="CG198" i="11"/>
  <c r="CJ198" i="11"/>
  <c r="CF198" i="11"/>
  <c r="CI79" i="11"/>
  <c r="CG79" i="11"/>
  <c r="CH128" i="11"/>
  <c r="CJ129" i="11"/>
  <c r="CG129" i="11"/>
  <c r="CI118" i="11"/>
  <c r="CF118" i="11"/>
  <c r="CJ118" i="11"/>
  <c r="CG118" i="11"/>
  <c r="CH118" i="11"/>
  <c r="CI262" i="11"/>
  <c r="CF262" i="11"/>
  <c r="CJ262" i="11"/>
  <c r="CG262" i="11"/>
  <c r="CH262" i="11"/>
  <c r="CI131" i="11"/>
  <c r="CF131" i="11"/>
  <c r="CJ131" i="11"/>
  <c r="CG131" i="11"/>
  <c r="CH182" i="11"/>
  <c r="CI128" i="11"/>
  <c r="CI50" i="11"/>
  <c r="CF50" i="11"/>
  <c r="CJ50" i="11"/>
  <c r="CG50" i="11"/>
  <c r="CI194" i="11"/>
  <c r="CF194" i="11"/>
  <c r="CJ194" i="11"/>
  <c r="CG194" i="11"/>
  <c r="CI75" i="11"/>
  <c r="CF75" i="11"/>
  <c r="CJ75" i="11"/>
  <c r="CG75" i="11"/>
  <c r="CI219" i="11"/>
  <c r="CF219" i="11"/>
  <c r="CJ219" i="11"/>
  <c r="CG219" i="11"/>
  <c r="CJ29" i="11"/>
  <c r="CG29" i="11"/>
  <c r="CH29" i="11"/>
  <c r="CI173" i="11"/>
  <c r="CF173" i="11"/>
  <c r="CJ173" i="11"/>
  <c r="CG173" i="11"/>
  <c r="CH173" i="11"/>
  <c r="CI66" i="11"/>
  <c r="CG66" i="11"/>
  <c r="CJ66" i="11"/>
  <c r="CF66" i="11"/>
  <c r="CH210" i="11"/>
  <c r="CH91" i="11"/>
  <c r="CH140" i="11"/>
  <c r="CI140" i="11"/>
  <c r="CF140" i="11"/>
  <c r="CJ140" i="11"/>
  <c r="CG140" i="11"/>
  <c r="CI130" i="11"/>
  <c r="CF130" i="11"/>
  <c r="CJ130" i="11"/>
  <c r="CG130" i="11"/>
  <c r="CH130" i="11"/>
  <c r="CI143" i="11"/>
  <c r="CF143" i="11"/>
  <c r="CJ143" i="11"/>
  <c r="CG143" i="11"/>
  <c r="CI62" i="11"/>
  <c r="CF62" i="11"/>
  <c r="CJ62" i="11"/>
  <c r="CG62" i="11"/>
  <c r="CH62" i="11"/>
  <c r="CI206" i="11"/>
  <c r="CG206" i="11"/>
  <c r="CJ206" i="11"/>
  <c r="CF206" i="11"/>
  <c r="CH206" i="11"/>
  <c r="CI87" i="11"/>
  <c r="CF87" i="11"/>
  <c r="CJ87" i="11"/>
  <c r="CG87" i="11"/>
  <c r="CI231" i="11"/>
  <c r="CF231" i="11"/>
  <c r="CJ231" i="11"/>
  <c r="CG231" i="11"/>
  <c r="CH41" i="11"/>
  <c r="CI185" i="11"/>
  <c r="CF185" i="11"/>
  <c r="CJ185" i="11"/>
  <c r="CI78" i="11"/>
  <c r="CG78" i="11"/>
  <c r="CJ78" i="11"/>
  <c r="CF78" i="11"/>
  <c r="CH78" i="11"/>
  <c r="CJ222" i="11"/>
  <c r="CF222" i="11"/>
  <c r="CH152" i="11"/>
  <c r="CI152" i="11"/>
  <c r="CF152" i="11"/>
  <c r="CJ152" i="11"/>
  <c r="CG152" i="11"/>
  <c r="CH153" i="11"/>
  <c r="CI153" i="11"/>
  <c r="CJ153" i="11"/>
  <c r="CG153" i="11"/>
  <c r="CJ142" i="11"/>
  <c r="CG142" i="11"/>
  <c r="CJ155" i="11"/>
  <c r="CG155" i="11"/>
  <c r="CH129" i="11"/>
  <c r="CG185" i="11"/>
  <c r="CF79" i="11"/>
  <c r="CI129" i="11"/>
  <c r="CI142" i="11"/>
  <c r="CJ41" i="11"/>
  <c r="CJ258" i="11"/>
  <c r="CH222" i="11"/>
  <c r="CF142" i="11"/>
  <c r="CI210" i="11"/>
  <c r="CI41" i="11"/>
  <c r="CH142" i="11"/>
  <c r="CF128" i="11"/>
  <c r="CI155" i="11"/>
  <c r="CH185" i="11"/>
  <c r="CH38" i="11"/>
  <c r="CH79" i="11"/>
  <c r="CF161" i="11"/>
  <c r="CF155" i="11"/>
  <c r="CG128" i="11"/>
  <c r="CJ79" i="11"/>
  <c r="CH87" i="11"/>
  <c r="CI91" i="11"/>
  <c r="CH131" i="11"/>
  <c r="CF129" i="11"/>
  <c r="CG222" i="11"/>
  <c r="CJ91" i="11"/>
  <c r="CI209" i="11"/>
  <c r="CJ32" i="11"/>
  <c r="CJ176" i="11"/>
  <c r="CJ221" i="11"/>
  <c r="CI32" i="11"/>
  <c r="CI176" i="11"/>
  <c r="CI221" i="11"/>
  <c r="CJ86" i="11"/>
  <c r="CI230" i="11"/>
  <c r="CJ44" i="11"/>
  <c r="CJ188" i="11"/>
  <c r="Z34" i="11"/>
  <c r="Z22" i="11"/>
  <c r="CA35" i="11"/>
  <c r="CA22" i="11"/>
  <c r="CA25" i="11"/>
  <c r="CA29" i="11"/>
  <c r="CA16" i="11"/>
  <c r="CA19" i="11"/>
  <c r="CA23" i="11"/>
  <c r="CA13" i="11"/>
  <c r="CA17" i="11"/>
  <c r="CA44" i="11"/>
  <c r="CA38" i="11"/>
  <c r="CA45" i="11"/>
  <c r="CA32" i="11"/>
  <c r="CA42" i="11"/>
  <c r="CA39" i="11"/>
  <c r="CA26" i="11"/>
  <c r="CA36" i="11"/>
  <c r="CA33" i="11"/>
  <c r="CA20" i="11"/>
  <c r="CA30" i="11"/>
  <c r="CA40" i="11"/>
  <c r="CA27" i="11"/>
  <c r="CA14" i="11"/>
  <c r="CA43" i="11"/>
  <c r="CA24" i="11"/>
  <c r="CA34" i="11"/>
  <c r="CA21" i="11"/>
  <c r="CA37" i="11"/>
  <c r="CA18" i="11"/>
  <c r="CA41" i="11"/>
  <c r="CA28" i="11"/>
  <c r="CA15" i="11"/>
  <c r="CA31" i="11"/>
  <c r="CA12" i="11"/>
  <c r="BZ25" i="11"/>
  <c r="BZ23" i="11"/>
  <c r="BZ24" i="11"/>
  <c r="BZ13" i="11"/>
  <c r="BZ22" i="11"/>
  <c r="BZ12" i="11"/>
  <c r="BZ20" i="11"/>
  <c r="BZ26" i="11"/>
  <c r="BZ15" i="11"/>
  <c r="BZ21" i="11"/>
  <c r="BZ17" i="11"/>
  <c r="BZ18" i="11"/>
  <c r="BZ19" i="11"/>
  <c r="BZ16" i="11"/>
  <c r="BZ14" i="11"/>
  <c r="AA33" i="11"/>
  <c r="AA17" i="11"/>
  <c r="AA21" i="11"/>
  <c r="Z23" i="11"/>
  <c r="Z32" i="11"/>
  <c r="AA42" i="11"/>
  <c r="AA9" i="11"/>
  <c r="AA18" i="11"/>
  <c r="AA19" i="11"/>
  <c r="AA30" i="11"/>
  <c r="Z35" i="11"/>
  <c r="AA44" i="11"/>
  <c r="AA37" i="11"/>
  <c r="AA25" i="11"/>
  <c r="O10" i="11"/>
  <c r="Z29" i="11"/>
  <c r="Z26" i="11"/>
  <c r="AA38" i="11"/>
  <c r="S10" i="11"/>
  <c r="N10" i="11"/>
  <c r="T10" i="11"/>
  <c r="G12" i="11"/>
  <c r="Q10" i="11"/>
  <c r="M10" i="11"/>
  <c r="AA41" i="11"/>
  <c r="Z11" i="11"/>
  <c r="I12" i="11"/>
  <c r="P10" i="11"/>
  <c r="H12" i="11"/>
  <c r="R10" i="11"/>
  <c r="F12" i="11"/>
  <c r="AL10" i="11"/>
  <c r="AK11" i="11"/>
  <c r="AL11" i="11"/>
  <c r="AK12" i="11"/>
  <c r="AL12" i="11"/>
  <c r="AK9" i="11"/>
  <c r="AL9" i="11"/>
  <c r="AK8" i="11"/>
  <c r="AL8" i="11"/>
  <c r="D93" i="1" l="1"/>
  <c r="H93" i="1"/>
  <c r="P93" i="1"/>
  <c r="B93" i="1"/>
  <c r="F93" i="1" l="1"/>
  <c r="L93" i="1"/>
  <c r="N93" i="1" s="1"/>
  <c r="J93" i="1"/>
  <c r="BA34" i="11"/>
  <c r="BE50" i="11"/>
  <c r="BB142" i="11"/>
  <c r="BB68" i="11"/>
  <c r="BA239" i="11"/>
  <c r="BB54" i="11"/>
  <c r="BD13" i="11"/>
  <c r="BC35" i="11"/>
  <c r="BE189" i="11"/>
  <c r="BD178" i="11"/>
  <c r="BA17" i="11"/>
  <c r="BD88" i="11"/>
  <c r="BC95" i="11"/>
  <c r="BE176" i="11"/>
  <c r="BD232" i="11"/>
  <c r="BB60" i="11"/>
  <c r="BB237" i="11"/>
  <c r="BE202" i="11"/>
  <c r="CE11" i="11"/>
  <c r="BB40" i="11"/>
  <c r="BA225" i="11"/>
  <c r="BD193" i="11"/>
  <c r="BD61" i="11"/>
  <c r="BA60" i="11"/>
  <c r="BE118" i="11"/>
  <c r="CO38" i="11"/>
  <c r="BC191" i="11"/>
  <c r="BE165" i="11"/>
  <c r="BB165" i="11"/>
  <c r="BA114" i="11"/>
  <c r="BE188" i="11"/>
  <c r="BA87" i="11"/>
  <c r="BD58" i="11"/>
  <c r="BE85" i="11"/>
  <c r="BE72" i="11"/>
  <c r="BD54" i="11"/>
  <c r="BC208" i="11"/>
  <c r="BE131" i="11"/>
  <c r="BD16" i="11"/>
  <c r="BD164" i="11"/>
  <c r="BA116" i="11"/>
  <c r="BB13" i="11"/>
  <c r="BE17" i="11"/>
  <c r="BA231" i="11"/>
  <c r="BD210" i="11"/>
  <c r="BC166" i="11"/>
  <c r="BC10" i="11"/>
  <c r="BB98" i="11"/>
  <c r="BC237" i="11"/>
  <c r="BE161" i="11"/>
  <c r="BC127" i="11"/>
  <c r="BE145" i="11"/>
  <c r="BE203" i="11"/>
  <c r="BB139" i="11"/>
  <c r="BC193" i="11"/>
  <c r="BB48" i="11"/>
  <c r="BC37" i="11"/>
  <c r="BB159" i="11"/>
  <c r="BA147" i="11"/>
  <c r="BA103" i="11"/>
  <c r="BD221" i="11"/>
  <c r="BB227" i="11"/>
  <c r="BB122" i="11"/>
  <c r="BA28" i="11"/>
  <c r="BC177" i="11"/>
  <c r="BD156" i="11"/>
  <c r="BB106" i="11"/>
  <c r="BE60" i="11"/>
  <c r="BC14" i="11"/>
  <c r="BB92" i="11"/>
  <c r="BE33" i="11"/>
  <c r="BD131" i="11"/>
  <c r="BA244" i="11"/>
  <c r="BE200" i="11"/>
  <c r="BC49" i="11"/>
  <c r="BA167" i="11"/>
  <c r="BD30" i="11"/>
  <c r="BD37" i="11"/>
  <c r="BA169" i="11"/>
  <c r="CO68" i="11"/>
  <c r="CO120" i="11"/>
  <c r="CW168" i="11"/>
  <c r="CO217" i="11"/>
  <c r="CS263" i="11"/>
  <c r="CS155" i="11"/>
  <c r="BE61" i="11"/>
  <c r="BD182" i="11"/>
  <c r="CO65" i="11"/>
  <c r="CO116" i="11"/>
  <c r="CS166" i="11"/>
  <c r="CO214" i="11"/>
  <c r="CO262" i="11"/>
  <c r="BA234" i="11"/>
  <c r="BB10" i="11"/>
  <c r="BB149" i="11"/>
  <c r="CO60" i="11"/>
  <c r="CO114" i="11"/>
  <c r="CS161" i="11"/>
  <c r="CS211" i="11"/>
  <c r="CO257" i="11"/>
  <c r="CS129" i="11"/>
  <c r="BC139" i="11"/>
  <c r="BA223" i="11"/>
  <c r="CS66" i="11"/>
  <c r="CS117" i="11"/>
  <c r="CW166" i="11"/>
  <c r="CW213" i="11"/>
  <c r="CS260" i="11"/>
  <c r="CO194" i="11"/>
  <c r="BD157" i="11"/>
  <c r="BA221" i="11"/>
  <c r="CO66" i="11"/>
  <c r="CS118" i="11"/>
  <c r="CO165" i="11"/>
  <c r="CW212" i="11"/>
  <c r="CO261" i="11"/>
  <c r="CO153" i="11"/>
  <c r="BE138" i="11"/>
  <c r="BA63" i="11"/>
  <c r="CS54" i="11"/>
  <c r="CO111" i="11"/>
  <c r="CS160" i="11"/>
  <c r="CS207" i="11"/>
  <c r="CO255" i="11"/>
  <c r="CO33" i="11"/>
  <c r="BE231" i="11"/>
  <c r="BB204" i="11"/>
  <c r="BE207" i="11"/>
  <c r="BA107" i="11"/>
  <c r="BD181" i="11"/>
  <c r="BA122" i="11"/>
  <c r="BD107" i="11"/>
  <c r="BA179" i="11"/>
  <c r="BB168" i="11"/>
  <c r="BA45" i="11"/>
  <c r="BD209" i="11"/>
  <c r="BE105" i="11"/>
  <c r="BB46" i="11"/>
  <c r="BD85" i="11"/>
  <c r="BE142" i="11"/>
  <c r="BC66" i="11"/>
  <c r="BE55" i="11"/>
  <c r="BB66" i="11"/>
  <c r="BA171" i="11"/>
  <c r="BB62" i="11"/>
  <c r="BB114" i="11"/>
  <c r="BD168" i="11"/>
  <c r="BC232" i="11"/>
  <c r="BB183" i="11"/>
  <c r="BD226" i="11"/>
  <c r="BC213" i="11"/>
  <c r="BC122" i="11"/>
  <c r="BC23" i="11"/>
  <c r="BD14" i="11"/>
  <c r="BB152" i="11"/>
  <c r="BA93" i="11"/>
  <c r="BE81" i="11"/>
  <c r="BC200" i="11"/>
  <c r="BC207" i="11"/>
  <c r="BC52" i="11"/>
  <c r="BB11" i="11"/>
  <c r="BA86" i="11"/>
  <c r="BA38" i="11"/>
  <c r="BA246" i="11"/>
  <c r="BB124" i="11"/>
  <c r="BD77" i="11"/>
  <c r="BE51" i="11"/>
  <c r="BC178" i="11"/>
  <c r="BE246" i="11"/>
  <c r="BE101" i="11"/>
  <c r="BA233" i="11"/>
  <c r="BD106" i="11"/>
  <c r="BA187" i="11"/>
  <c r="BB203" i="11"/>
  <c r="BC216" i="11"/>
  <c r="BA250" i="11"/>
  <c r="BD129" i="11"/>
  <c r="CO34" i="11"/>
  <c r="BA241" i="11"/>
  <c r="BA105" i="11"/>
  <c r="BB94" i="11"/>
  <c r="BE169" i="11"/>
  <c r="BA184" i="11"/>
  <c r="BA164" i="11"/>
  <c r="BC167" i="11"/>
  <c r="BE235" i="11"/>
  <c r="BE195" i="11"/>
  <c r="BA52" i="11"/>
  <c r="BC241" i="11"/>
  <c r="BD99" i="11"/>
  <c r="BE225" i="11"/>
  <c r="BA70" i="11"/>
  <c r="BD91" i="11"/>
  <c r="BE87" i="11"/>
  <c r="BE126" i="11"/>
  <c r="BB225" i="11"/>
  <c r="BA191" i="11"/>
  <c r="BD109" i="11"/>
  <c r="BA145" i="11"/>
  <c r="BE112" i="11"/>
  <c r="BC210" i="11"/>
  <c r="BD142" i="11"/>
  <c r="BC162" i="11"/>
  <c r="BB209" i="11"/>
  <c r="BA248" i="11"/>
  <c r="BB9" i="11"/>
  <c r="CS76" i="11"/>
  <c r="CO125" i="11"/>
  <c r="CO175" i="11"/>
  <c r="CO223" i="11"/>
  <c r="CO190" i="11"/>
  <c r="BD24" i="11"/>
  <c r="BC234" i="11"/>
  <c r="CO73" i="11"/>
  <c r="CS121" i="11"/>
  <c r="CO169" i="11"/>
  <c r="CS217" i="11"/>
  <c r="CS264" i="11"/>
  <c r="CO44" i="11"/>
  <c r="BD204" i="11"/>
  <c r="BC89" i="11"/>
  <c r="CS67" i="11"/>
  <c r="CO118" i="11"/>
  <c r="CO166" i="11"/>
  <c r="CS213" i="11"/>
  <c r="CS261" i="11"/>
  <c r="CS165" i="11"/>
  <c r="BA157" i="11"/>
  <c r="BE125" i="11"/>
  <c r="CS72" i="11"/>
  <c r="CW122" i="11"/>
  <c r="CW171" i="11"/>
  <c r="CO220" i="11"/>
  <c r="CO227" i="11"/>
  <c r="BC172" i="11"/>
  <c r="BB65" i="11"/>
  <c r="CS73" i="11"/>
  <c r="CW124" i="11"/>
  <c r="CO170" i="11"/>
  <c r="CS218" i="11"/>
  <c r="CW182" i="11"/>
  <c r="BB174" i="11"/>
  <c r="BB125" i="11"/>
  <c r="CS61" i="11"/>
  <c r="CO115" i="11"/>
  <c r="CO162" i="11"/>
  <c r="CS209" i="11"/>
  <c r="CS257" i="11"/>
  <c r="CS93" i="11"/>
  <c r="BE185" i="11"/>
  <c r="BE34" i="11"/>
  <c r="BA29" i="11"/>
  <c r="BE106" i="11"/>
  <c r="BA139" i="11"/>
  <c r="BC29" i="11"/>
  <c r="BD112" i="11"/>
  <c r="BC65" i="11"/>
  <c r="BA210" i="11"/>
  <c r="BB148" i="11"/>
  <c r="BD73" i="11"/>
  <c r="BC100" i="11"/>
  <c r="BE228" i="11"/>
  <c r="BC199" i="11"/>
  <c r="BA37" i="11"/>
  <c r="BA235" i="11"/>
  <c r="BD124" i="11"/>
  <c r="BB248" i="11"/>
  <c r="BB20" i="11"/>
  <c r="BE157" i="11"/>
  <c r="BC184" i="11"/>
  <c r="BE146" i="11"/>
  <c r="BD167" i="11"/>
  <c r="BB154" i="11"/>
  <c r="BB206" i="11"/>
  <c r="BB166" i="11"/>
  <c r="BA61" i="11"/>
  <c r="BA155" i="11"/>
  <c r="BC165" i="11"/>
  <c r="BA19" i="11"/>
  <c r="BA232" i="11"/>
  <c r="BE122" i="11"/>
  <c r="BE83" i="11"/>
  <c r="BC215" i="11"/>
  <c r="BD150" i="11"/>
  <c r="BB41" i="11"/>
  <c r="BC180" i="11"/>
  <c r="BE75" i="11"/>
  <c r="BE141" i="11"/>
  <c r="BE143" i="11"/>
  <c r="BC227" i="11"/>
  <c r="BC143" i="11"/>
  <c r="BD229" i="11"/>
  <c r="BE24" i="11"/>
  <c r="BD44" i="11"/>
  <c r="BE241" i="11"/>
  <c r="BB111" i="11"/>
  <c r="BA149" i="11"/>
  <c r="BC221" i="11"/>
  <c r="BC108" i="11"/>
  <c r="BD176" i="11"/>
  <c r="BD41" i="11"/>
  <c r="BD120" i="11"/>
  <c r="BE134" i="11"/>
  <c r="BE230" i="11"/>
  <c r="BE133" i="11"/>
  <c r="BE129" i="11"/>
  <c r="BC209" i="11"/>
  <c r="BE144" i="11"/>
  <c r="BE41" i="11"/>
  <c r="BA50" i="11"/>
  <c r="BD28" i="11"/>
  <c r="BC55" i="11"/>
  <c r="BE115" i="11"/>
  <c r="BA75" i="11"/>
  <c r="BB128" i="11"/>
  <c r="BE80" i="11"/>
  <c r="BC43" i="11"/>
  <c r="BB17" i="11"/>
  <c r="BC243" i="11"/>
  <c r="BB141" i="11"/>
  <c r="BE245" i="11"/>
  <c r="BA21" i="11"/>
  <c r="BB190" i="11"/>
  <c r="BD127" i="11"/>
  <c r="BB52" i="11"/>
  <c r="BC188" i="11"/>
  <c r="BB182" i="11"/>
  <c r="CO36" i="11"/>
  <c r="BA182" i="11"/>
  <c r="BD21" i="11"/>
  <c r="CO81" i="11"/>
  <c r="CW130" i="11"/>
  <c r="CO178" i="11"/>
  <c r="CS224" i="11"/>
  <c r="CO219" i="11"/>
  <c r="BB101" i="11"/>
  <c r="BB29" i="11"/>
  <c r="CW79" i="11"/>
  <c r="CO127" i="11"/>
  <c r="CS173" i="11"/>
  <c r="CS221" i="11"/>
  <c r="CW100" i="11"/>
  <c r="BD89" i="11"/>
  <c r="CE10" i="11"/>
  <c r="CO71" i="11"/>
  <c r="CW123" i="11"/>
  <c r="CS172" i="11"/>
  <c r="CW220" i="11"/>
  <c r="CW202" i="11"/>
  <c r="BE158" i="11"/>
  <c r="BE191" i="11"/>
  <c r="CO77" i="11"/>
  <c r="CS126" i="11"/>
  <c r="CS174" i="11"/>
  <c r="CO222" i="11"/>
  <c r="CO265" i="11"/>
  <c r="BE215" i="11"/>
  <c r="BC192" i="11"/>
  <c r="CS78" i="11"/>
  <c r="CS127" i="11"/>
  <c r="CW174" i="11"/>
  <c r="CW221" i="11"/>
  <c r="CO215" i="11"/>
  <c r="BB193" i="11"/>
  <c r="BD155" i="11"/>
  <c r="CO67" i="11"/>
  <c r="CO121" i="11"/>
  <c r="CW169" i="11"/>
  <c r="CS216" i="11"/>
  <c r="CO263" i="11"/>
  <c r="CS120" i="11"/>
  <c r="BC57" i="11"/>
  <c r="BD231" i="11"/>
  <c r="BA67" i="11"/>
  <c r="BE96" i="11"/>
  <c r="BD174" i="11"/>
  <c r="BB192" i="11"/>
  <c r="BA41" i="11"/>
  <c r="BA96" i="11"/>
  <c r="BC16" i="11"/>
  <c r="BE177" i="11"/>
  <c r="CE19" i="11"/>
  <c r="BC92" i="11"/>
  <c r="BD90" i="11"/>
  <c r="BA43" i="11"/>
  <c r="BE149" i="11"/>
  <c r="BC26" i="11"/>
  <c r="BD75" i="11"/>
  <c r="BE47" i="11"/>
  <c r="BC141" i="11"/>
  <c r="BC21" i="11"/>
  <c r="BC128" i="11"/>
  <c r="BD64" i="11"/>
  <c r="BB53" i="11"/>
  <c r="BB8" i="11"/>
  <c r="BA188" i="11"/>
  <c r="BD113" i="11"/>
  <c r="BA151" i="11"/>
  <c r="BD192" i="11"/>
  <c r="BA46" i="11"/>
  <c r="BC134" i="11"/>
  <c r="BC228" i="11"/>
  <c r="BD227" i="11"/>
  <c r="BA180" i="11"/>
  <c r="BC147" i="11"/>
  <c r="BA40" i="11"/>
  <c r="BD249" i="11"/>
  <c r="BA136" i="11"/>
  <c r="BB177" i="11"/>
  <c r="BC87" i="11"/>
  <c r="BE187" i="11"/>
  <c r="BB112" i="11"/>
  <c r="BD215" i="11"/>
  <c r="BD94" i="11"/>
  <c r="BB150" i="11"/>
  <c r="CO30" i="11"/>
  <c r="BC155" i="11"/>
  <c r="BE74" i="11"/>
  <c r="BB170" i="11"/>
  <c r="BE159" i="11"/>
  <c r="BB75" i="11"/>
  <c r="BE139" i="11"/>
  <c r="BC231" i="11"/>
  <c r="BD136" i="11"/>
  <c r="BB89" i="11"/>
  <c r="BD20" i="11"/>
  <c r="BE22" i="11"/>
  <c r="BB242" i="11"/>
  <c r="BD65" i="11"/>
  <c r="BE232" i="11"/>
  <c r="BE111" i="11"/>
  <c r="BB196" i="11"/>
  <c r="BC206" i="11"/>
  <c r="BA26" i="11"/>
  <c r="BA108" i="11"/>
  <c r="BD236" i="11"/>
  <c r="BA79" i="11"/>
  <c r="BD189" i="11"/>
  <c r="BA48" i="11"/>
  <c r="CE16" i="11"/>
  <c r="BE38" i="11"/>
  <c r="BE117" i="11"/>
  <c r="BC198" i="11"/>
  <c r="BB187" i="11"/>
  <c r="BE137" i="11"/>
  <c r="BD10" i="11"/>
  <c r="BE182" i="11"/>
  <c r="BD98" i="11"/>
  <c r="BE116" i="11"/>
  <c r="BC117" i="11"/>
  <c r="BC51" i="11"/>
  <c r="BD197" i="11"/>
  <c r="CO85" i="11"/>
  <c r="CS131" i="11"/>
  <c r="CS180" i="11"/>
  <c r="CS227" i="11"/>
  <c r="CS200" i="11"/>
  <c r="CW254" i="11"/>
  <c r="BB189" i="11"/>
  <c r="BA74" i="11"/>
  <c r="CO80" i="11"/>
  <c r="CS128" i="11"/>
  <c r="CW177" i="11"/>
  <c r="CO225" i="11"/>
  <c r="CW141" i="11"/>
  <c r="BB90" i="11"/>
  <c r="BA126" i="11"/>
  <c r="CS77" i="11"/>
  <c r="CW125" i="11"/>
  <c r="CS175" i="11"/>
  <c r="CO221" i="11"/>
  <c r="CO231" i="11"/>
  <c r="BD22" i="11"/>
  <c r="BE79" i="11"/>
  <c r="CW80" i="11"/>
  <c r="CO129" i="11"/>
  <c r="CO176" i="11"/>
  <c r="CS225" i="11"/>
  <c r="CO189" i="11"/>
  <c r="BE42" i="11"/>
  <c r="BC135" i="11"/>
  <c r="CS80" i="11"/>
  <c r="CS130" i="11"/>
  <c r="CS178" i="11"/>
  <c r="CW226" i="11"/>
  <c r="CO248" i="11"/>
  <c r="BA163" i="11"/>
  <c r="BA154" i="11"/>
  <c r="CO72" i="11"/>
  <c r="CO123" i="11"/>
  <c r="CW172" i="11"/>
  <c r="CS219" i="11"/>
  <c r="CO159" i="11"/>
  <c r="BE107" i="11"/>
  <c r="BE210" i="11"/>
  <c r="BA58" i="11"/>
  <c r="BD151" i="11"/>
  <c r="BA208" i="11"/>
  <c r="BC151" i="11"/>
  <c r="BA125" i="11"/>
  <c r="BD63" i="11"/>
  <c r="BD241" i="11"/>
  <c r="BE172" i="11"/>
  <c r="BC105" i="11"/>
  <c r="BC217" i="11"/>
  <c r="BA161" i="11"/>
  <c r="BB216" i="11"/>
  <c r="BC211" i="11"/>
  <c r="BC81" i="11"/>
  <c r="BC159" i="11"/>
  <c r="CO28" i="11"/>
  <c r="BC34" i="11"/>
  <c r="BC107" i="11"/>
  <c r="BB134" i="11"/>
  <c r="BD49" i="11"/>
  <c r="BD222" i="11"/>
  <c r="BB155" i="11"/>
  <c r="BD160" i="11"/>
  <c r="BD207" i="11"/>
  <c r="BB64" i="11"/>
  <c r="BA76" i="11"/>
  <c r="BB47" i="11"/>
  <c r="BC130" i="11"/>
  <c r="BD152" i="11"/>
  <c r="BD180" i="11"/>
  <c r="BA158" i="11"/>
  <c r="BA98" i="11"/>
  <c r="BC98" i="11"/>
  <c r="BD68" i="11"/>
  <c r="BC70" i="11"/>
  <c r="BA213" i="11"/>
  <c r="BE52" i="11"/>
  <c r="BB129" i="11"/>
  <c r="BC91" i="11"/>
  <c r="BE173" i="11"/>
  <c r="BD42" i="11"/>
  <c r="BC248" i="11"/>
  <c r="BA109" i="11"/>
  <c r="BA104" i="11"/>
  <c r="BB138" i="11"/>
  <c r="BA181" i="11"/>
  <c r="BD114" i="11"/>
  <c r="BD86" i="11"/>
  <c r="BD119" i="11"/>
  <c r="BB97" i="11"/>
  <c r="BB246" i="11"/>
  <c r="BA51" i="11"/>
  <c r="BD172" i="11"/>
  <c r="BD173" i="11"/>
  <c r="BD246" i="11"/>
  <c r="BA84" i="11"/>
  <c r="BE237" i="11"/>
  <c r="BC168" i="11"/>
  <c r="BC19" i="11"/>
  <c r="BC74" i="11"/>
  <c r="BE88" i="11"/>
  <c r="BA203" i="11"/>
  <c r="BB194" i="11"/>
  <c r="BA185" i="11"/>
  <c r="BB104" i="11"/>
  <c r="BA177" i="11"/>
  <c r="BC156" i="11"/>
  <c r="BB32" i="11"/>
  <c r="BD92" i="11"/>
  <c r="BC222" i="11"/>
  <c r="BE160" i="11"/>
  <c r="BC101" i="11"/>
  <c r="BD223" i="11"/>
  <c r="BA238" i="11"/>
  <c r="BD148" i="11"/>
  <c r="BA170" i="11"/>
  <c r="BA10" i="11"/>
  <c r="BD190" i="11"/>
  <c r="BE226" i="11"/>
  <c r="CW89" i="11"/>
  <c r="CO137" i="11"/>
  <c r="CW187" i="11"/>
  <c r="CW235" i="11"/>
  <c r="CW214" i="11"/>
  <c r="BC226" i="11"/>
  <c r="BC149" i="11"/>
  <c r="CS85" i="11"/>
  <c r="CW131" i="11"/>
  <c r="CS181" i="11"/>
  <c r="CW228" i="11"/>
  <c r="CO177" i="11"/>
  <c r="BC225" i="11"/>
  <c r="BD74" i="11"/>
  <c r="CO82" i="11"/>
  <c r="CO128" i="11"/>
  <c r="CS176" i="11"/>
  <c r="CO224" i="11"/>
  <c r="BC181" i="11"/>
  <c r="BB59" i="11"/>
  <c r="BC64" i="11"/>
  <c r="CW88" i="11"/>
  <c r="CW134" i="11"/>
  <c r="CS183" i="11"/>
  <c r="CW232" i="11"/>
  <c r="CW238" i="11"/>
  <c r="BD45" i="11"/>
  <c r="BC194" i="11"/>
  <c r="BE98" i="11"/>
  <c r="CS88" i="11"/>
  <c r="CS134" i="11"/>
  <c r="CW183" i="11"/>
  <c r="CS230" i="11"/>
  <c r="CW176" i="11"/>
  <c r="BE193" i="11"/>
  <c r="BD200" i="11"/>
  <c r="CO79" i="11"/>
  <c r="CO126" i="11"/>
  <c r="CW173" i="11"/>
  <c r="CW223" i="11"/>
  <c r="CS192" i="11"/>
  <c r="BD96" i="11"/>
  <c r="BC146" i="11"/>
  <c r="BD97" i="11"/>
  <c r="BE217" i="11"/>
  <c r="BB85" i="11"/>
  <c r="BB93" i="11"/>
  <c r="BC12" i="11"/>
  <c r="BC176" i="11"/>
  <c r="BA144" i="11"/>
  <c r="BA35" i="11"/>
  <c r="BA123" i="11"/>
  <c r="BC116" i="11"/>
  <c r="BD177" i="11"/>
  <c r="BD135" i="11"/>
  <c r="BE123" i="11"/>
  <c r="BB247" i="11"/>
  <c r="BC145" i="11"/>
  <c r="CS39" i="11"/>
  <c r="BC20" i="11"/>
  <c r="BB157" i="11"/>
  <c r="BE244" i="11"/>
  <c r="BA121" i="11"/>
  <c r="BA24" i="11"/>
  <c r="BB185" i="11"/>
  <c r="BC13" i="11"/>
  <c r="BC110" i="11"/>
  <c r="BB24" i="11"/>
  <c r="BB211" i="11"/>
  <c r="BA134" i="11"/>
  <c r="BC63" i="11"/>
  <c r="BC205" i="11"/>
  <c r="BJ209" i="11" s="1"/>
  <c r="BE49" i="11"/>
  <c r="BB23" i="11"/>
  <c r="BC154" i="11"/>
  <c r="BC229" i="11"/>
  <c r="BC230" i="11"/>
  <c r="BJ231" i="11" s="1"/>
  <c r="BD50" i="11"/>
  <c r="BB80" i="11"/>
  <c r="BE155" i="11"/>
  <c r="BE204" i="11"/>
  <c r="BB83" i="11"/>
  <c r="BE249" i="11"/>
  <c r="BB221" i="11"/>
  <c r="BC41" i="11"/>
  <c r="BC142" i="11"/>
  <c r="BC190" i="11"/>
  <c r="BD153" i="11"/>
  <c r="BC131" i="11"/>
  <c r="BC56" i="11"/>
  <c r="BB162" i="11"/>
  <c r="BE211" i="11"/>
  <c r="BC152" i="11"/>
  <c r="BB113" i="11"/>
  <c r="BD48" i="11"/>
  <c r="BD123" i="11"/>
  <c r="BA205" i="11"/>
  <c r="BC245" i="11"/>
  <c r="BC17" i="11"/>
  <c r="BE183" i="11"/>
  <c r="BE186" i="11"/>
  <c r="BA128" i="11"/>
  <c r="BA176" i="11"/>
  <c r="BE120" i="11"/>
  <c r="BD43" i="11"/>
  <c r="BE37" i="11"/>
  <c r="BD220" i="11"/>
  <c r="BD149" i="11"/>
  <c r="BE140" i="11"/>
  <c r="BA243" i="11"/>
  <c r="BC164" i="11"/>
  <c r="BA194" i="11"/>
  <c r="BC173" i="11"/>
  <c r="BA209" i="11"/>
  <c r="BA95" i="11"/>
  <c r="BE11" i="11"/>
  <c r="BE67" i="11"/>
  <c r="BD47" i="11"/>
  <c r="BC39" i="11"/>
  <c r="BD217" i="11"/>
  <c r="BC36" i="11"/>
  <c r="CW92" i="11"/>
  <c r="CS140" i="11"/>
  <c r="CS189" i="11"/>
  <c r="CW237" i="11"/>
  <c r="CS226" i="11"/>
  <c r="BC109" i="11"/>
  <c r="BD132" i="11"/>
  <c r="BE99" i="11"/>
  <c r="CS90" i="11"/>
  <c r="CW137" i="11"/>
  <c r="CS186" i="11"/>
  <c r="CS233" i="11"/>
  <c r="CS208" i="11"/>
  <c r="BE84" i="11"/>
  <c r="BB91" i="11"/>
  <c r="CW87" i="11"/>
  <c r="CW135" i="11"/>
  <c r="CO183" i="11"/>
  <c r="CW231" i="11"/>
  <c r="BD218" i="11"/>
  <c r="BC40" i="11"/>
  <c r="BC169" i="11"/>
  <c r="CO89" i="11"/>
  <c r="CW138" i="11"/>
  <c r="CO187" i="11"/>
  <c r="CO233" i="11"/>
  <c r="CW261" i="11"/>
  <c r="BA220" i="11"/>
  <c r="BC137" i="11"/>
  <c r="CW91" i="11"/>
  <c r="CS137" i="11"/>
  <c r="CO186" i="11"/>
  <c r="CO234" i="11"/>
  <c r="CO244" i="11"/>
  <c r="BC58" i="11"/>
  <c r="BA94" i="11"/>
  <c r="BD62" i="11"/>
  <c r="CS83" i="11"/>
  <c r="CW132" i="11"/>
  <c r="CO180" i="11"/>
  <c r="CW227" i="11"/>
  <c r="CW224" i="11"/>
  <c r="BB175" i="11"/>
  <c r="BE192" i="11"/>
  <c r="BD140" i="11"/>
  <c r="BE44" i="11"/>
  <c r="BC195" i="11"/>
  <c r="BD245" i="11"/>
  <c r="BD29" i="11"/>
  <c r="BD115" i="11"/>
  <c r="BD34" i="11"/>
  <c r="BC204" i="11"/>
  <c r="BE31" i="11"/>
  <c r="BB73" i="11"/>
  <c r="BA33" i="11"/>
  <c r="BC113" i="11"/>
  <c r="BB120" i="11"/>
  <c r="BB28" i="11"/>
  <c r="BA219" i="11"/>
  <c r="BE130" i="11"/>
  <c r="BA106" i="11"/>
  <c r="BB71" i="11"/>
  <c r="BD26" i="11"/>
  <c r="BA195" i="11"/>
  <c r="BD116" i="11"/>
  <c r="BE21" i="11"/>
  <c r="BA73" i="11"/>
  <c r="BC235" i="11"/>
  <c r="BD213" i="11"/>
  <c r="BD212" i="11"/>
  <c r="BB249" i="11"/>
  <c r="BD19" i="11"/>
  <c r="BE199" i="11"/>
  <c r="BD170" i="11"/>
  <c r="BE100" i="11"/>
  <c r="BA124" i="11"/>
  <c r="CO29" i="11"/>
  <c r="BA99" i="11"/>
  <c r="BA247" i="11"/>
  <c r="BE94" i="11"/>
  <c r="BB110" i="11"/>
  <c r="BC126" i="11"/>
  <c r="BC76" i="11"/>
  <c r="BA112" i="11"/>
  <c r="BD228" i="11"/>
  <c r="BE168" i="11"/>
  <c r="BA44" i="11"/>
  <c r="BB167" i="11"/>
  <c r="BD146" i="11"/>
  <c r="BA77" i="11"/>
  <c r="BC18" i="11"/>
  <c r="BJ20" i="11" s="1"/>
  <c r="BD139" i="11"/>
  <c r="BB43" i="11"/>
  <c r="BB224" i="11"/>
  <c r="BA30" i="11"/>
  <c r="BA111" i="11"/>
  <c r="BE95" i="11"/>
  <c r="BD195" i="11"/>
  <c r="BE113" i="11"/>
  <c r="BE135" i="11"/>
  <c r="BD17" i="11"/>
  <c r="BA9" i="11"/>
  <c r="BE8" i="11"/>
  <c r="BC96" i="11"/>
  <c r="BE97" i="11"/>
  <c r="BB220" i="11"/>
  <c r="BB226" i="11"/>
  <c r="BC73" i="11"/>
  <c r="BB236" i="11"/>
  <c r="BD143" i="11"/>
  <c r="BE78" i="11"/>
  <c r="BB86" i="11"/>
  <c r="BE220" i="11"/>
  <c r="AZ69" i="11"/>
  <c r="BB67" i="11"/>
  <c r="BB57" i="11"/>
  <c r="BA127" i="11"/>
  <c r="BD158" i="11"/>
  <c r="BC242" i="11"/>
  <c r="BB169" i="11"/>
  <c r="BE227" i="11"/>
  <c r="BE20" i="11"/>
  <c r="BJ21" i="11"/>
  <c r="CO96" i="11"/>
  <c r="CO144" i="11"/>
  <c r="CW192" i="11"/>
  <c r="CS241" i="11"/>
  <c r="CO249" i="11"/>
  <c r="BB34" i="11"/>
  <c r="BA80" i="11"/>
  <c r="CO93" i="11"/>
  <c r="CS142" i="11"/>
  <c r="CW188" i="11"/>
  <c r="CW236" i="11"/>
  <c r="CW240" i="11"/>
  <c r="BD52" i="11"/>
  <c r="BB218" i="11"/>
  <c r="CO90" i="11"/>
  <c r="CS138" i="11"/>
  <c r="CO185" i="11"/>
  <c r="CW233" i="11"/>
  <c r="CO192" i="11"/>
  <c r="BA117" i="11"/>
  <c r="BE64" i="11"/>
  <c r="CO92" i="11"/>
  <c r="CS141" i="11"/>
  <c r="CO188" i="11"/>
  <c r="CS236" i="11"/>
  <c r="BB199" i="11"/>
  <c r="BC249" i="11"/>
  <c r="BA156" i="11"/>
  <c r="BE77" i="11"/>
  <c r="CS92" i="11"/>
  <c r="CW140" i="11"/>
  <c r="CS190" i="11"/>
  <c r="CO237" i="11"/>
  <c r="BD163" i="11"/>
  <c r="BE32" i="11"/>
  <c r="BC171" i="11"/>
  <c r="CS87" i="11"/>
  <c r="CO135" i="11"/>
  <c r="CS184" i="11"/>
  <c r="CO230" i="11"/>
  <c r="CW262" i="11"/>
  <c r="BB14" i="11"/>
  <c r="BE221" i="11"/>
  <c r="BC42" i="11"/>
  <c r="BE68" i="11"/>
  <c r="BD70" i="11"/>
  <c r="BB77" i="11"/>
  <c r="BB50" i="11"/>
  <c r="BE170" i="11"/>
  <c r="BD171" i="11"/>
  <c r="BE46" i="11"/>
  <c r="BB16" i="11"/>
  <c r="BE124" i="11"/>
  <c r="BB140" i="11"/>
  <c r="BE239" i="11"/>
  <c r="BC102" i="11"/>
  <c r="BE248" i="11"/>
  <c r="BD31" i="11"/>
  <c r="BA129" i="11"/>
  <c r="BB58" i="11"/>
  <c r="BD122" i="11"/>
  <c r="BB208" i="11"/>
  <c r="BB213" i="11"/>
  <c r="BD250" i="11"/>
  <c r="BC24" i="11"/>
  <c r="BD100" i="11"/>
  <c r="BD224" i="11"/>
  <c r="BB219" i="11"/>
  <c r="BD183" i="11"/>
  <c r="BB136" i="11"/>
  <c r="BD165" i="11"/>
  <c r="BD110" i="11"/>
  <c r="BD234" i="11"/>
  <c r="BD51" i="11"/>
  <c r="BB232" i="11"/>
  <c r="CO39" i="11"/>
  <c r="BE92" i="11"/>
  <c r="BB235" i="11"/>
  <c r="BA102" i="11"/>
  <c r="BB123" i="11"/>
  <c r="BE109" i="11"/>
  <c r="BC82" i="11"/>
  <c r="BA183" i="11"/>
  <c r="BC121" i="11"/>
  <c r="BD184" i="11"/>
  <c r="BA20" i="11"/>
  <c r="BA148" i="11"/>
  <c r="BA198" i="11"/>
  <c r="BD39" i="11"/>
  <c r="BB240" i="11"/>
  <c r="BB186" i="11"/>
  <c r="BE58" i="11"/>
  <c r="BE108" i="11"/>
  <c r="BA249" i="11"/>
  <c r="BB18" i="11"/>
  <c r="BB30" i="11"/>
  <c r="BD216" i="11"/>
  <c r="BA143" i="11"/>
  <c r="BA32" i="11"/>
  <c r="BD211" i="11"/>
  <c r="BB102" i="11"/>
  <c r="BJ232" i="11"/>
  <c r="BC59" i="11"/>
  <c r="BA228" i="11"/>
  <c r="BE206" i="11"/>
  <c r="BC71" i="11"/>
  <c r="BC223" i="11"/>
  <c r="BB217" i="11"/>
  <c r="BD59" i="11"/>
  <c r="BE136" i="11"/>
  <c r="BC170" i="11"/>
  <c r="BC88" i="11"/>
  <c r="BA197" i="11"/>
  <c r="BB176" i="11"/>
  <c r="BC186" i="11"/>
  <c r="BA142" i="11"/>
  <c r="BC15" i="11"/>
  <c r="BJ19" i="11" s="1"/>
  <c r="BD8" i="11"/>
  <c r="BD154" i="11"/>
  <c r="BA150" i="11"/>
  <c r="CS40" i="11"/>
  <c r="CS103" i="11"/>
  <c r="CS149" i="11"/>
  <c r="CO198" i="11"/>
  <c r="CO245" i="11"/>
  <c r="BD93" i="11"/>
  <c r="BC150" i="11"/>
  <c r="CO97" i="11"/>
  <c r="CO143" i="11"/>
  <c r="CW191" i="11"/>
  <c r="CO239" i="11"/>
  <c r="CS205" i="11"/>
  <c r="BA236" i="11"/>
  <c r="BB212" i="11"/>
  <c r="BE12" i="11"/>
  <c r="CW93" i="11"/>
  <c r="CW142" i="11"/>
  <c r="CS188" i="11"/>
  <c r="CO236" i="11"/>
  <c r="CO218" i="11"/>
  <c r="BB25" i="11"/>
  <c r="BC203" i="11"/>
  <c r="CS99" i="11"/>
  <c r="CW148" i="11"/>
  <c r="CO196" i="11"/>
  <c r="CS244" i="11"/>
  <c r="BC250" i="11"/>
  <c r="BA226" i="11"/>
  <c r="BC132" i="11"/>
  <c r="CW98" i="11"/>
  <c r="CS148" i="11"/>
  <c r="CS196" i="11"/>
  <c r="CW243" i="11"/>
  <c r="BE175" i="11"/>
  <c r="BA162" i="11"/>
  <c r="BA230" i="11"/>
  <c r="BC163" i="11"/>
  <c r="CS89" i="11"/>
  <c r="CO138" i="11"/>
  <c r="CS185" i="11"/>
  <c r="CW234" i="11"/>
  <c r="CO184" i="11"/>
  <c r="BB56" i="11"/>
  <c r="BB135" i="11"/>
  <c r="BB179" i="11"/>
  <c r="BB127" i="11"/>
  <c r="BD103" i="11"/>
  <c r="BE25" i="11"/>
  <c r="BD242" i="11"/>
  <c r="BB33" i="11"/>
  <c r="BE56" i="11"/>
  <c r="BE152" i="11"/>
  <c r="BE27" i="11"/>
  <c r="BA152" i="11"/>
  <c r="BA159" i="11"/>
  <c r="BE216" i="11"/>
  <c r="BE73" i="11"/>
  <c r="BD145" i="11"/>
  <c r="BC22" i="11"/>
  <c r="BA237" i="11"/>
  <c r="BA206" i="11"/>
  <c r="BE164" i="11"/>
  <c r="BC125" i="11"/>
  <c r="BB76" i="11"/>
  <c r="BB38" i="11"/>
  <c r="BA146" i="11"/>
  <c r="BA49" i="11"/>
  <c r="BE14" i="11"/>
  <c r="BA193" i="11"/>
  <c r="BA199" i="11"/>
  <c r="BB215" i="11"/>
  <c r="BB207" i="11"/>
  <c r="BE48" i="11"/>
  <c r="BC38" i="11"/>
  <c r="BJ40" i="11" s="1"/>
  <c r="BE234" i="11"/>
  <c r="BC236" i="11"/>
  <c r="BD40" i="11"/>
  <c r="BA66" i="11"/>
  <c r="BD104" i="11"/>
  <c r="BC161" i="11"/>
  <c r="BA201" i="11"/>
  <c r="BC212" i="11"/>
  <c r="BJ212" i="11" s="1"/>
  <c r="BB19" i="11"/>
  <c r="BD194" i="11"/>
  <c r="BA218" i="11"/>
  <c r="BD202" i="11"/>
  <c r="BC106" i="11"/>
  <c r="BC174" i="11"/>
  <c r="BD230" i="11"/>
  <c r="BC218" i="11"/>
  <c r="BC153" i="11"/>
  <c r="BJ155" i="11" s="1"/>
  <c r="BE104" i="11"/>
  <c r="BA120" i="11"/>
  <c r="BC187" i="11"/>
  <c r="BA42" i="11"/>
  <c r="BA65" i="11"/>
  <c r="BC47" i="11"/>
  <c r="BD125" i="11"/>
  <c r="BD72" i="11"/>
  <c r="BD46" i="11"/>
  <c r="BC97" i="11"/>
  <c r="BD117" i="11"/>
  <c r="BE29" i="11"/>
  <c r="BJ24" i="11"/>
  <c r="BC50" i="11"/>
  <c r="BE13" i="11"/>
  <c r="BD87" i="11"/>
  <c r="BE151" i="11"/>
  <c r="BD11" i="11"/>
  <c r="BD138" i="11"/>
  <c r="BA101" i="11"/>
  <c r="BB171" i="11"/>
  <c r="BC72" i="11"/>
  <c r="BB51" i="11"/>
  <c r="BC33" i="11"/>
  <c r="BC120" i="11"/>
  <c r="BC144" i="11"/>
  <c r="BB234" i="11"/>
  <c r="BE102" i="11"/>
  <c r="BA166" i="11"/>
  <c r="BB35" i="11"/>
  <c r="BC160" i="11"/>
  <c r="BC90" i="11"/>
  <c r="CS46" i="11"/>
  <c r="CW104" i="11"/>
  <c r="CW153" i="11"/>
  <c r="CS201" i="11"/>
  <c r="CW249" i="11"/>
  <c r="BC182" i="11"/>
  <c r="BE57" i="11"/>
  <c r="BE110" i="11"/>
  <c r="CO41" i="11"/>
  <c r="CS101" i="11"/>
  <c r="CW151" i="11"/>
  <c r="CS198" i="11"/>
  <c r="CO247" i="11"/>
  <c r="CW216" i="11"/>
  <c r="BB163" i="11"/>
  <c r="BB81" i="11"/>
  <c r="BD141" i="11"/>
  <c r="CO98" i="11"/>
  <c r="CW146" i="11"/>
  <c r="CS195" i="11"/>
  <c r="CW242" i="11"/>
  <c r="CW252" i="11"/>
  <c r="BA81" i="11"/>
  <c r="BC84" i="11"/>
  <c r="CS41" i="11"/>
  <c r="CW101" i="11"/>
  <c r="CW149" i="11"/>
  <c r="CS197" i="11"/>
  <c r="CO246" i="11"/>
  <c r="CS62" i="11"/>
  <c r="BE153" i="11"/>
  <c r="BE63" i="11"/>
  <c r="CS43" i="11"/>
  <c r="CW102" i="11"/>
  <c r="CO150" i="11"/>
  <c r="CO199" i="11"/>
  <c r="CW247" i="11"/>
  <c r="BD144" i="11"/>
  <c r="BE233" i="11"/>
  <c r="BC118" i="11"/>
  <c r="BJ166" i="11"/>
  <c r="CW95" i="11"/>
  <c r="CS143" i="11"/>
  <c r="CO193" i="11"/>
  <c r="CS239" i="11"/>
  <c r="CS231" i="11"/>
  <c r="BD53" i="11"/>
  <c r="BD198" i="11"/>
  <c r="BC11" i="11"/>
  <c r="BJ14" i="11" s="1"/>
  <c r="CO26" i="11"/>
  <c r="BE201" i="11"/>
  <c r="BC196" i="11"/>
  <c r="BA72" i="11"/>
  <c r="BB178" i="11"/>
  <c r="BD205" i="11"/>
  <c r="BD12" i="11"/>
  <c r="BE40" i="11"/>
  <c r="BA204" i="11"/>
  <c r="BD121" i="11"/>
  <c r="BE213" i="11"/>
  <c r="BD199" i="11"/>
  <c r="BE184" i="11"/>
  <c r="CO32" i="11"/>
  <c r="BC183" i="11"/>
  <c r="BD83" i="11"/>
  <c r="BC53" i="11"/>
  <c r="BA18" i="11"/>
  <c r="CO52" i="11"/>
  <c r="CS252" i="11"/>
  <c r="CO47" i="11"/>
  <c r="CS248" i="11"/>
  <c r="CS42" i="11"/>
  <c r="CW246" i="11"/>
  <c r="CS48" i="11"/>
  <c r="CO250" i="11"/>
  <c r="CO49" i="11"/>
  <c r="CW250" i="11"/>
  <c r="CS243" i="11"/>
  <c r="BA100" i="11"/>
  <c r="BC140" i="11"/>
  <c r="CS84" i="11"/>
  <c r="CS132" i="11"/>
  <c r="CW181" i="11"/>
  <c r="CS228" i="11"/>
  <c r="BC112" i="11"/>
  <c r="CS58" i="11"/>
  <c r="CO112" i="11"/>
  <c r="CS159" i="11"/>
  <c r="CS206" i="11"/>
  <c r="CS256" i="11"/>
  <c r="BB31" i="11"/>
  <c r="BB116" i="11"/>
  <c r="BC25" i="11"/>
  <c r="CO27" i="11"/>
  <c r="CS98" i="11"/>
  <c r="CO146" i="11"/>
  <c r="BA83" i="11"/>
  <c r="CS238" i="11"/>
  <c r="BA54" i="11"/>
  <c r="BB39" i="11"/>
  <c r="CO56" i="11"/>
  <c r="CS112" i="11"/>
  <c r="CO158" i="11"/>
  <c r="CO206" i="11"/>
  <c r="CO70" i="11"/>
  <c r="BB119" i="11"/>
  <c r="CW180" i="11"/>
  <c r="CW139" i="11"/>
  <c r="BE114" i="11"/>
  <c r="CO253" i="11"/>
  <c r="BJ143" i="11"/>
  <c r="CO152" i="11"/>
  <c r="BE156" i="11"/>
  <c r="CW251" i="11"/>
  <c r="BJ156" i="11"/>
  <c r="BJ208" i="11"/>
  <c r="BJ154" i="11"/>
  <c r="BJ195" i="11"/>
  <c r="BB12" i="11"/>
  <c r="CW230" i="11"/>
  <c r="CS64" i="11"/>
  <c r="CO210" i="11"/>
  <c r="BB72" i="11"/>
  <c r="BB239" i="11"/>
  <c r="CO46" i="11"/>
  <c r="CS154" i="11"/>
  <c r="BJ42" i="11"/>
  <c r="BC189" i="11"/>
  <c r="BJ190" i="11" s="1"/>
  <c r="CW117" i="11"/>
  <c r="CO213" i="11"/>
  <c r="CE17" i="11"/>
  <c r="BJ22" i="11"/>
  <c r="BA216" i="11"/>
  <c r="BD84" i="11"/>
  <c r="BA165" i="11"/>
  <c r="BB156" i="11"/>
  <c r="BE65" i="11"/>
  <c r="CO40" i="11"/>
  <c r="BB55" i="11"/>
  <c r="BD55" i="11"/>
  <c r="BE76" i="11"/>
  <c r="BA57" i="11"/>
  <c r="BA64" i="11"/>
  <c r="BC124" i="11"/>
  <c r="BD60" i="11"/>
  <c r="BB36" i="11"/>
  <c r="BD80" i="11"/>
  <c r="BC77" i="11"/>
  <c r="BD128" i="11"/>
  <c r="BA47" i="11"/>
  <c r="BE208" i="11"/>
  <c r="BD33" i="11"/>
  <c r="BB88" i="11"/>
  <c r="BD36" i="11"/>
  <c r="CO57" i="11"/>
  <c r="CO259" i="11"/>
  <c r="CO55" i="11"/>
  <c r="CW253" i="11"/>
  <c r="CS49" i="11"/>
  <c r="CS250" i="11"/>
  <c r="CS55" i="11"/>
  <c r="CS254" i="11"/>
  <c r="CS53" i="11"/>
  <c r="CO254" i="11"/>
  <c r="CO42" i="11"/>
  <c r="CS247" i="11"/>
  <c r="BC201" i="11"/>
  <c r="BB173" i="11"/>
  <c r="CW86" i="11"/>
  <c r="CO134" i="11"/>
  <c r="CS182" i="11"/>
  <c r="BB74" i="11"/>
  <c r="BA15" i="11"/>
  <c r="CO113" i="11"/>
  <c r="CW162" i="11"/>
  <c r="CW257" i="11"/>
  <c r="BD95" i="11"/>
  <c r="CO104" i="11"/>
  <c r="BA8" i="11"/>
  <c r="BD81" i="11"/>
  <c r="CO64" i="11"/>
  <c r="CS164" i="11"/>
  <c r="CW120" i="11"/>
  <c r="CO228" i="11"/>
  <c r="CW186" i="11"/>
  <c r="BB145" i="11"/>
  <c r="CS202" i="11"/>
  <c r="CS212" i="11"/>
  <c r="BJ146" i="11"/>
  <c r="BB147" i="11"/>
  <c r="BC111" i="11"/>
  <c r="BC45" i="11"/>
  <c r="BB63" i="11"/>
  <c r="BA174" i="11"/>
  <c r="BC175" i="11"/>
  <c r="BE148" i="11"/>
  <c r="BA140" i="11"/>
  <c r="BE82" i="11"/>
  <c r="BA119" i="11"/>
  <c r="BE35" i="11"/>
  <c r="BE163" i="11"/>
  <c r="BA31" i="11"/>
  <c r="BB191" i="11"/>
  <c r="BE190" i="11"/>
  <c r="BA59" i="11"/>
  <c r="BE236" i="11"/>
  <c r="BC61" i="11"/>
  <c r="BE9" i="11"/>
  <c r="BA68" i="11"/>
  <c r="CO63" i="11"/>
  <c r="CO260" i="11"/>
  <c r="CS59" i="11"/>
  <c r="CW258" i="11"/>
  <c r="CO53" i="11"/>
  <c r="CO256" i="11"/>
  <c r="CO59" i="11"/>
  <c r="CS258" i="11"/>
  <c r="CS60" i="11"/>
  <c r="CW259" i="11"/>
  <c r="CS47" i="11"/>
  <c r="CO252" i="11"/>
  <c r="BA212" i="11"/>
  <c r="CW90" i="11"/>
  <c r="CO139" i="11"/>
  <c r="CS187" i="11"/>
  <c r="CO235" i="11"/>
  <c r="BJ37" i="11"/>
  <c r="BA132" i="11"/>
  <c r="BD134" i="11"/>
  <c r="CO69" i="11"/>
  <c r="CO119" i="11"/>
  <c r="CS168" i="11"/>
  <c r="CW217" i="11"/>
  <c r="CW263" i="11"/>
  <c r="CE14" i="11"/>
  <c r="BC219" i="11"/>
  <c r="BE128" i="11"/>
  <c r="CS51" i="11"/>
  <c r="CW108" i="11"/>
  <c r="CS156" i="11"/>
  <c r="BD239" i="11"/>
  <c r="BE28" i="11"/>
  <c r="BC9" i="11"/>
  <c r="BE119" i="11"/>
  <c r="CS68" i="11"/>
  <c r="CS119" i="11"/>
  <c r="CW167" i="11"/>
  <c r="CW215" i="11"/>
  <c r="CO168" i="11"/>
  <c r="CS114" i="11"/>
  <c r="BJ23" i="11"/>
  <c r="CS235" i="11"/>
  <c r="BA133" i="11"/>
  <c r="BA137" i="11"/>
  <c r="CS249" i="11"/>
  <c r="CO51" i="11"/>
  <c r="BJ15" i="11"/>
  <c r="BJ39" i="11"/>
  <c r="BA138" i="11"/>
  <c r="CO131" i="11"/>
  <c r="CO181" i="11"/>
  <c r="BB223" i="11"/>
  <c r="CW119" i="11"/>
  <c r="CW229" i="11"/>
  <c r="BD233" i="11"/>
  <c r="CW189" i="11"/>
  <c r="CO58" i="11"/>
  <c r="BC75" i="11"/>
  <c r="BB146" i="11"/>
  <c r="BC83" i="11"/>
  <c r="BE147" i="11"/>
  <c r="BD243" i="11"/>
  <c r="BE66" i="11"/>
  <c r="BD147" i="11"/>
  <c r="BD244" i="11"/>
  <c r="BB172" i="11"/>
  <c r="BA130" i="11"/>
  <c r="BC27" i="11"/>
  <c r="BD191" i="11"/>
  <c r="BB243" i="11"/>
  <c r="BB99" i="11"/>
  <c r="BE71" i="11"/>
  <c r="BE89" i="11"/>
  <c r="BA211" i="11"/>
  <c r="BD208" i="11"/>
  <c r="BC30" i="11"/>
  <c r="BB229" i="11"/>
  <c r="CO109" i="11"/>
  <c r="BE224" i="11"/>
  <c r="CS106" i="11"/>
  <c r="CO240" i="11"/>
  <c r="CO103" i="11"/>
  <c r="CO264" i="11"/>
  <c r="CW105" i="11"/>
  <c r="CW106" i="11"/>
  <c r="CS104" i="11"/>
  <c r="CS50" i="11"/>
  <c r="CS100" i="11"/>
  <c r="CS255" i="11"/>
  <c r="BE205" i="11"/>
  <c r="BJ165" i="11"/>
  <c r="CW96" i="11"/>
  <c r="CS144" i="11"/>
  <c r="CO191" i="11"/>
  <c r="CW239" i="11"/>
  <c r="CW208" i="11"/>
  <c r="BA56" i="11"/>
  <c r="BC138" i="11"/>
  <c r="CO74" i="11"/>
  <c r="CO122" i="11"/>
  <c r="CS171" i="11"/>
  <c r="CS220" i="11"/>
  <c r="CS69" i="11"/>
  <c r="BB87" i="11"/>
  <c r="BB70" i="11"/>
  <c r="CS57" i="11"/>
  <c r="CS111" i="11"/>
  <c r="CW160" i="11"/>
  <c r="BB160" i="11"/>
  <c r="BE242" i="11"/>
  <c r="BB61" i="11"/>
  <c r="BJ192" i="11"/>
  <c r="CO75" i="11"/>
  <c r="CS123" i="11"/>
  <c r="CO171" i="11"/>
  <c r="CW218" i="11"/>
  <c r="CO216" i="11"/>
  <c r="CS75" i="11"/>
  <c r="CW165" i="11"/>
  <c r="CW260" i="11"/>
  <c r="CW199" i="11"/>
  <c r="CS262" i="11"/>
  <c r="CW94" i="11"/>
  <c r="CS151" i="11"/>
  <c r="BJ184" i="11"/>
  <c r="CO107" i="11"/>
  <c r="BJ59" i="11"/>
  <c r="BJ18" i="11"/>
  <c r="BJ38" i="11"/>
  <c r="BJ43" i="11"/>
  <c r="BJ173" i="11"/>
  <c r="BJ144" i="11"/>
  <c r="BJ25" i="11"/>
  <c r="BJ13" i="11"/>
  <c r="CO117" i="11"/>
  <c r="CO229" i="11"/>
  <c r="BE162" i="11"/>
  <c r="CO203" i="11"/>
  <c r="BB184" i="11"/>
  <c r="BA153" i="11"/>
  <c r="BD118" i="11"/>
  <c r="BE16" i="11"/>
  <c r="BE250" i="11"/>
  <c r="BA222" i="11"/>
  <c r="BE127" i="11"/>
  <c r="BE86" i="11"/>
  <c r="BB22" i="11"/>
  <c r="BA227" i="11"/>
  <c r="BC119" i="11"/>
  <c r="BE30" i="11"/>
  <c r="BB96" i="11"/>
  <c r="BC240" i="11"/>
  <c r="BB205" i="11"/>
  <c r="BC246" i="11"/>
  <c r="BB132" i="11"/>
  <c r="BD76" i="11"/>
  <c r="BA110" i="11"/>
  <c r="BC185" i="11"/>
  <c r="CS113" i="11"/>
  <c r="CO76" i="11"/>
  <c r="CO108" i="11"/>
  <c r="CO105" i="11"/>
  <c r="BC85" i="11"/>
  <c r="CW111" i="11"/>
  <c r="CO136" i="11"/>
  <c r="CS110" i="11"/>
  <c r="CS96" i="11"/>
  <c r="CW103" i="11"/>
  <c r="BE166" i="11"/>
  <c r="BB181" i="11"/>
  <c r="CO25" i="11"/>
  <c r="CO99" i="11"/>
  <c r="CS146" i="11"/>
  <c r="CW194" i="11"/>
  <c r="CO242" i="11"/>
  <c r="BB231" i="11"/>
  <c r="BB109" i="11"/>
  <c r="BA175" i="11"/>
  <c r="CS79" i="11"/>
  <c r="CW127" i="11"/>
  <c r="CO173" i="11"/>
  <c r="CS223" i="11"/>
  <c r="BJ16" i="11"/>
  <c r="CO86" i="11"/>
  <c r="BD111" i="11"/>
  <c r="BD15" i="11"/>
  <c r="CO62" i="11"/>
  <c r="CS116" i="11"/>
  <c r="CO164" i="11"/>
  <c r="BD161" i="11"/>
  <c r="BE194" i="11"/>
  <c r="BC78" i="11"/>
  <c r="BJ172" i="11"/>
  <c r="CW81" i="11"/>
  <c r="CO130" i="11"/>
  <c r="CW178" i="11"/>
  <c r="CW225" i="11"/>
  <c r="CS251" i="11"/>
  <c r="CS125" i="11"/>
  <c r="BD101" i="11"/>
  <c r="CO142" i="11"/>
  <c r="CW97" i="11"/>
  <c r="BJ177" i="11"/>
  <c r="CS157" i="11"/>
  <c r="BJ169" i="11"/>
  <c r="BJ153" i="11"/>
  <c r="BJ171" i="11"/>
  <c r="BJ191" i="11"/>
  <c r="CW116" i="11"/>
  <c r="CS199" i="11"/>
  <c r="CW83" i="11"/>
  <c r="BB153" i="11"/>
  <c r="CS70" i="11"/>
  <c r="BB230" i="11"/>
  <c r="CW84" i="11"/>
  <c r="CO179" i="11"/>
  <c r="CO174" i="11"/>
  <c r="CS102" i="11"/>
  <c r="CW143" i="11"/>
  <c r="BJ186" i="11"/>
  <c r="BJ174" i="11"/>
  <c r="BD201" i="11"/>
  <c r="BD35" i="11"/>
  <c r="BD25" i="11"/>
  <c r="BC247" i="11"/>
  <c r="BA217" i="11"/>
  <c r="BC46" i="11"/>
  <c r="CO31" i="11"/>
  <c r="BD237" i="11"/>
  <c r="BC103" i="11"/>
  <c r="BA85" i="11"/>
  <c r="BC129" i="11"/>
  <c r="BD169" i="11"/>
  <c r="BC94" i="11"/>
  <c r="BE222" i="11"/>
  <c r="BC233" i="11"/>
  <c r="BE45" i="11"/>
  <c r="BB250" i="11"/>
  <c r="BD105" i="11"/>
  <c r="BD79" i="11"/>
  <c r="CW114" i="11"/>
  <c r="BA91" i="11"/>
  <c r="CW112" i="11"/>
  <c r="CO83" i="11"/>
  <c r="CS115" i="11"/>
  <c r="CS167" i="11"/>
  <c r="CW113" i="11"/>
  <c r="CS124" i="11"/>
  <c r="CS109" i="11"/>
  <c r="BD175" i="11"/>
  <c r="BJ74" i="11"/>
  <c r="CO43" i="11"/>
  <c r="CO102" i="11"/>
  <c r="CW150" i="11"/>
  <c r="CS246" i="11"/>
  <c r="BD187" i="11"/>
  <c r="BA25" i="11"/>
  <c r="CW133" i="11"/>
  <c r="CW110" i="11"/>
  <c r="CS169" i="11"/>
  <c r="CS133" i="11"/>
  <c r="BC67" i="11"/>
  <c r="BJ67" i="11" s="1"/>
  <c r="BD66" i="11"/>
  <c r="BB143" i="11"/>
  <c r="BD18" i="11"/>
  <c r="BE43" i="11"/>
  <c r="BC8" i="11"/>
  <c r="BA178" i="11"/>
  <c r="BE54" i="11"/>
  <c r="BD38" i="11"/>
  <c r="BA36" i="11"/>
  <c r="BE179" i="11"/>
  <c r="BA141" i="11"/>
  <c r="BE18" i="11"/>
  <c r="BD235" i="11"/>
  <c r="BB228" i="11"/>
  <c r="BA82" i="11"/>
  <c r="BD27" i="11"/>
  <c r="BD67" i="11"/>
  <c r="BE219" i="11"/>
  <c r="BB118" i="11"/>
  <c r="CO155" i="11"/>
  <c r="BE209" i="11"/>
  <c r="CW154" i="11"/>
  <c r="BD196" i="11"/>
  <c r="CS150" i="11"/>
  <c r="BD23" i="11"/>
  <c r="CO154" i="11"/>
  <c r="BB233" i="11"/>
  <c r="CS152" i="11"/>
  <c r="BE247" i="11"/>
  <c r="CO148" i="11"/>
  <c r="BA23" i="11"/>
  <c r="BB158" i="11"/>
  <c r="CO48" i="11"/>
  <c r="CW107" i="11"/>
  <c r="CW157" i="11"/>
  <c r="CW205" i="11"/>
  <c r="CO251" i="11"/>
  <c r="BD219" i="11"/>
  <c r="BA71" i="11"/>
  <c r="BD130" i="11"/>
  <c r="CO88" i="11"/>
  <c r="CS136" i="11"/>
  <c r="CO182" i="11"/>
  <c r="CS232" i="11"/>
  <c r="BJ53" i="11"/>
  <c r="CW147" i="11"/>
  <c r="BD206" i="11"/>
  <c r="BE180" i="11"/>
  <c r="CS74" i="11"/>
  <c r="CO124" i="11"/>
  <c r="CW170" i="11"/>
  <c r="CS56" i="11"/>
  <c r="BD137" i="11"/>
  <c r="BB164" i="11"/>
  <c r="CO87" i="11"/>
  <c r="CW136" i="11"/>
  <c r="CW184" i="11"/>
  <c r="CO232" i="11"/>
  <c r="CW222" i="11"/>
  <c r="CS63" i="11"/>
  <c r="BA12" i="11"/>
  <c r="CS237" i="11"/>
  <c r="CS193" i="11"/>
  <c r="CW248" i="11"/>
  <c r="BJ211" i="11"/>
  <c r="BJ210" i="11"/>
  <c r="BJ175" i="11"/>
  <c r="BA215" i="11"/>
  <c r="BE62" i="11"/>
  <c r="BC62" i="11"/>
  <c r="BJ66" i="11" s="1"/>
  <c r="BC115" i="11"/>
  <c r="BE150" i="11"/>
  <c r="BE212" i="11"/>
  <c r="BA53" i="11"/>
  <c r="BB21" i="11"/>
  <c r="BB100" i="11"/>
  <c r="BB133" i="11"/>
  <c r="AZ251" i="11"/>
  <c r="CO202" i="11"/>
  <c r="BE59" i="11"/>
  <c r="CS65" i="11"/>
  <c r="CS215" i="11"/>
  <c r="BB15" i="11"/>
  <c r="CO147" i="11"/>
  <c r="BD159" i="11"/>
  <c r="BB151" i="11"/>
  <c r="BC220" i="11"/>
  <c r="BD166" i="11"/>
  <c r="BE238" i="11"/>
  <c r="BB95" i="11"/>
  <c r="BE223" i="11"/>
  <c r="BA14" i="11"/>
  <c r="CE9" i="11"/>
  <c r="BD102" i="11"/>
  <c r="BE39" i="11"/>
  <c r="BD78" i="11"/>
  <c r="BE53" i="11"/>
  <c r="BC123" i="11"/>
  <c r="BD240" i="11"/>
  <c r="BA173" i="11"/>
  <c r="BC214" i="11"/>
  <c r="BE132" i="11"/>
  <c r="BD188" i="11"/>
  <c r="BC31" i="11"/>
  <c r="BB200" i="11"/>
  <c r="BD56" i="11"/>
  <c r="CW163" i="11"/>
  <c r="BD57" i="11"/>
  <c r="CW155" i="11"/>
  <c r="BB210" i="11"/>
  <c r="CS153" i="11"/>
  <c r="BB131" i="11"/>
  <c r="CW159" i="11"/>
  <c r="BB245" i="11"/>
  <c r="CS158" i="11"/>
  <c r="BB202" i="11"/>
  <c r="CO151" i="11"/>
  <c r="BD179" i="11"/>
  <c r="BC68" i="11"/>
  <c r="CO54" i="11"/>
  <c r="CO110" i="11"/>
  <c r="CO160" i="11"/>
  <c r="CO207" i="11"/>
  <c r="CW255" i="11"/>
  <c r="BC79" i="11"/>
  <c r="BC239" i="11"/>
  <c r="BJ187" i="11"/>
  <c r="CO91" i="11"/>
  <c r="CS139" i="11"/>
  <c r="CW185" i="11"/>
  <c r="CS234" i="11"/>
  <c r="CS179" i="11"/>
  <c r="CW179" i="11"/>
  <c r="BC157" i="11"/>
  <c r="BE19" i="11"/>
  <c r="CS81" i="11"/>
  <c r="CW129" i="11"/>
  <c r="CS194" i="11"/>
  <c r="CW82" i="11"/>
  <c r="BB115" i="11"/>
  <c r="BE70" i="11"/>
  <c r="CO94" i="11"/>
  <c r="CO141" i="11"/>
  <c r="CW190" i="11"/>
  <c r="CO238" i="11"/>
  <c r="BJ113" i="11"/>
  <c r="CW256" i="11"/>
  <c r="CS82" i="11"/>
  <c r="BD126" i="11"/>
  <c r="CW265" i="11"/>
  <c r="CO241" i="11"/>
  <c r="BN178" i="11"/>
  <c r="BJ193" i="11"/>
  <c r="BD71" i="11"/>
  <c r="BE103" i="11"/>
  <c r="BE214" i="11"/>
  <c r="BE197" i="11"/>
  <c r="BC197" i="11"/>
  <c r="BA196" i="11"/>
  <c r="BA88" i="11"/>
  <c r="BE154" i="11"/>
  <c r="BA214" i="11"/>
  <c r="BC133" i="11"/>
  <c r="CW203" i="11"/>
  <c r="CW197" i="11"/>
  <c r="CW201" i="11"/>
  <c r="BD162" i="11"/>
  <c r="BD238" i="11"/>
  <c r="CO167" i="11"/>
  <c r="BA118" i="11"/>
  <c r="CW99" i="11"/>
  <c r="CS242" i="11"/>
  <c r="BE171" i="11"/>
  <c r="BE36" i="11"/>
  <c r="BB37" i="11"/>
  <c r="BB241" i="11"/>
  <c r="BC179" i="11"/>
  <c r="CE12" i="11"/>
  <c r="BA192" i="11"/>
  <c r="BA78" i="11"/>
  <c r="BE91" i="11"/>
  <c r="BA39" i="11"/>
  <c r="BA172" i="11"/>
  <c r="BD82" i="11"/>
  <c r="BC28" i="11"/>
  <c r="BA168" i="11"/>
  <c r="BB197" i="11"/>
  <c r="BA89" i="11"/>
  <c r="BB214" i="11"/>
  <c r="BC32" i="11"/>
  <c r="BA200" i="11"/>
  <c r="BD203" i="11"/>
  <c r="BD108" i="11"/>
  <c r="CW164" i="11"/>
  <c r="BA160" i="11"/>
  <c r="CS163" i="11"/>
  <c r="BA55" i="11"/>
  <c r="CW158" i="11"/>
  <c r="BA92" i="11"/>
  <c r="CO161" i="11"/>
  <c r="BB105" i="11"/>
  <c r="CO163" i="11"/>
  <c r="BB27" i="11"/>
  <c r="CO156" i="11"/>
  <c r="BB79" i="11"/>
  <c r="BD133" i="11"/>
  <c r="CO61" i="11"/>
  <c r="CW115" i="11"/>
  <c r="CS162" i="11"/>
  <c r="CO211" i="11"/>
  <c r="CS259" i="11"/>
  <c r="BA186" i="11"/>
  <c r="BC93" i="11"/>
  <c r="BJ141" i="11"/>
  <c r="CS95" i="11"/>
  <c r="CW144" i="11"/>
  <c r="CW193" i="11"/>
  <c r="CW241" i="11"/>
  <c r="CE15" i="11"/>
  <c r="CO212" i="11"/>
  <c r="BE198" i="11"/>
  <c r="BA202" i="11"/>
  <c r="CO84" i="11"/>
  <c r="CO132" i="11"/>
  <c r="CS229" i="11"/>
  <c r="CS108" i="11"/>
  <c r="BB188" i="11"/>
  <c r="BE181" i="11"/>
  <c r="BJ94" i="11"/>
  <c r="CS97" i="11"/>
  <c r="CS145" i="11"/>
  <c r="CS191" i="11"/>
  <c r="CS240" i="11"/>
  <c r="CW128" i="11"/>
  <c r="BD186" i="11"/>
  <c r="BA240" i="11"/>
  <c r="CS245" i="11"/>
  <c r="CW264" i="11"/>
  <c r="BD185" i="11"/>
  <c r="BJ127" i="11"/>
  <c r="BN187" i="11"/>
  <c r="BN193" i="11"/>
  <c r="BJ213" i="11"/>
  <c r="BJ120" i="11"/>
  <c r="BJ111" i="11"/>
  <c r="BN222" i="11"/>
  <c r="BJ142" i="11"/>
  <c r="BJ223" i="11"/>
  <c r="BN34" i="11"/>
  <c r="BE174" i="11"/>
  <c r="BA97" i="11"/>
  <c r="CO201" i="11"/>
  <c r="BA16" i="11"/>
  <c r="CW196" i="11"/>
  <c r="CW121" i="11"/>
  <c r="CS265" i="11"/>
  <c r="CO24" i="11"/>
  <c r="CW195" i="11"/>
  <c r="CW244" i="11"/>
  <c r="CS86" i="11"/>
  <c r="BD9" i="11"/>
  <c r="BC244" i="11"/>
  <c r="BE23" i="11"/>
  <c r="BB201" i="11"/>
  <c r="CW200" i="11"/>
  <c r="CW198" i="11"/>
  <c r="CW219" i="11"/>
  <c r="CO149" i="11"/>
  <c r="BA11" i="11"/>
  <c r="CO205" i="11"/>
  <c r="CS107" i="11"/>
  <c r="BB45" i="11"/>
  <c r="CS91" i="11"/>
  <c r="CO106" i="11"/>
  <c r="BJ250" i="11"/>
  <c r="BE26" i="11"/>
  <c r="BD247" i="11"/>
  <c r="BA242" i="11"/>
  <c r="BA22" i="11"/>
  <c r="CW207" i="11"/>
  <c r="CW204" i="11"/>
  <c r="CS222" i="11"/>
  <c r="CO157" i="11"/>
  <c r="BJ170" i="11"/>
  <c r="BC114" i="11"/>
  <c r="CS147" i="11"/>
  <c r="BC224" i="11"/>
  <c r="BJ129" i="11"/>
  <c r="BJ249" i="11"/>
  <c r="BN228" i="11"/>
  <c r="BN236" i="11"/>
  <c r="BB126" i="11"/>
  <c r="BD214" i="11"/>
  <c r="BB130" i="11"/>
  <c r="BC80" i="11"/>
  <c r="BE90" i="11"/>
  <c r="BA113" i="11"/>
  <c r="BJ41" i="11"/>
  <c r="CO197" i="11"/>
  <c r="CS94" i="11"/>
  <c r="BB82" i="11"/>
  <c r="CW152" i="11"/>
  <c r="CW161" i="11"/>
  <c r="BJ131" i="11"/>
  <c r="BJ214" i="11"/>
  <c r="BJ176" i="11"/>
  <c r="BJ119" i="11"/>
  <c r="BN129" i="11"/>
  <c r="BN237" i="11"/>
  <c r="BN31" i="11"/>
  <c r="BB42" i="11"/>
  <c r="CS253" i="11"/>
  <c r="CO226" i="11"/>
  <c r="BJ167" i="11"/>
  <c r="BN39" i="11"/>
  <c r="BB44" i="11"/>
  <c r="BA189" i="11"/>
  <c r="CO133" i="11"/>
  <c r="BA115" i="11"/>
  <c r="BB107" i="11"/>
  <c r="BA229" i="11"/>
  <c r="BD225" i="11"/>
  <c r="BE196" i="11"/>
  <c r="BE240" i="11"/>
  <c r="BJ85" i="11"/>
  <c r="CS203" i="11"/>
  <c r="CO95" i="11"/>
  <c r="BA245" i="11"/>
  <c r="CW156" i="11"/>
  <c r="CW118" i="11"/>
  <c r="BN229" i="11"/>
  <c r="BN196" i="11"/>
  <c r="BN179" i="11"/>
  <c r="BJ112" i="11"/>
  <c r="BJ221" i="11"/>
  <c r="BN29" i="11"/>
  <c r="BC60" i="11"/>
  <c r="BA207" i="11"/>
  <c r="BD32" i="11"/>
  <c r="BJ118" i="11"/>
  <c r="BJ78" i="11"/>
  <c r="BB161" i="11"/>
  <c r="CW210" i="11"/>
  <c r="CW126" i="11"/>
  <c r="CO50" i="11"/>
  <c r="BB103" i="11"/>
  <c r="BA224" i="11"/>
  <c r="BC99" i="11"/>
  <c r="CS210" i="11"/>
  <c r="CO208" i="11"/>
  <c r="BC44" i="11"/>
  <c r="BD248" i="11"/>
  <c r="CW245" i="11"/>
  <c r="CS135" i="11"/>
  <c r="BC238" i="11"/>
  <c r="CO195" i="11"/>
  <c r="CS177" i="11"/>
  <c r="BN135" i="11"/>
  <c r="BN200" i="11"/>
  <c r="BN182" i="11"/>
  <c r="BN225" i="11"/>
  <c r="BN35" i="11"/>
  <c r="BN132" i="11"/>
  <c r="BN245" i="11"/>
  <c r="BN231" i="11"/>
  <c r="BE93" i="11"/>
  <c r="CS214" i="11"/>
  <c r="CO209" i="11"/>
  <c r="BA62" i="11"/>
  <c r="CO140" i="11"/>
  <c r="CO200" i="11"/>
  <c r="BJ185" i="11"/>
  <c r="BJ116" i="11"/>
  <c r="BN40" i="11"/>
  <c r="BN240" i="11"/>
  <c r="BC148" i="11"/>
  <c r="BC136" i="11"/>
  <c r="BJ84" i="11"/>
  <c r="BN154" i="11"/>
  <c r="BA90" i="11"/>
  <c r="BB238" i="11"/>
  <c r="BB137" i="11"/>
  <c r="BB244" i="11"/>
  <c r="BB84" i="11"/>
  <c r="CS71" i="11"/>
  <c r="BB121" i="11"/>
  <c r="BE10" i="11"/>
  <c r="CO145" i="11"/>
  <c r="BA190" i="11"/>
  <c r="CO204" i="11"/>
  <c r="CO258" i="11"/>
  <c r="CW211" i="11"/>
  <c r="BB49" i="11"/>
  <c r="BJ102" i="11"/>
  <c r="BN138" i="11"/>
  <c r="BN37" i="11"/>
  <c r="BJ12" i="11"/>
  <c r="BN243" i="11"/>
  <c r="BN36" i="11"/>
  <c r="BB26" i="11"/>
  <c r="BE167" i="11"/>
  <c r="CS204" i="11"/>
  <c r="CS122" i="11"/>
  <c r="BC104" i="11"/>
  <c r="CO45" i="11"/>
  <c r="BC202" i="11"/>
  <c r="BE178" i="11"/>
  <c r="BB198" i="11"/>
  <c r="BC48" i="11"/>
  <c r="BA135" i="11"/>
  <c r="BA27" i="11"/>
  <c r="CO78" i="11"/>
  <c r="BB144" i="11"/>
  <c r="BC54" i="11"/>
  <c r="BN57" i="11"/>
  <c r="CO37" i="11"/>
  <c r="CO243" i="11"/>
  <c r="BJ99" i="11"/>
  <c r="BJ179" i="11"/>
  <c r="BJ164" i="11"/>
  <c r="BJ207" i="11"/>
  <c r="BJ194" i="11"/>
  <c r="BN214" i="11"/>
  <c r="BJ93" i="11"/>
  <c r="BN121" i="11"/>
  <c r="BR67" i="11"/>
  <c r="BB180" i="11"/>
  <c r="CW206" i="11"/>
  <c r="CS45" i="11"/>
  <c r="BJ230" i="11"/>
  <c r="CW85" i="11"/>
  <c r="BJ128" i="11"/>
  <c r="BJ163" i="11"/>
  <c r="BR219" i="11"/>
  <c r="CW209" i="11"/>
  <c r="CS52" i="11"/>
  <c r="BE218" i="11"/>
  <c r="BJ77" i="11"/>
  <c r="BJ45" i="11"/>
  <c r="BN197" i="11"/>
  <c r="BB78" i="11"/>
  <c r="BC158" i="11"/>
  <c r="BA13" i="11"/>
  <c r="BA131" i="11"/>
  <c r="BB195" i="11"/>
  <c r="CO172" i="11"/>
  <c r="CO101" i="11"/>
  <c r="BB222" i="11"/>
  <c r="CW145" i="11"/>
  <c r="CO100" i="11"/>
  <c r="BJ150" i="11"/>
  <c r="BC86" i="11"/>
  <c r="BE243" i="11"/>
  <c r="BJ79" i="11"/>
  <c r="BN51" i="11"/>
  <c r="BR165" i="11"/>
  <c r="BJ68" i="11"/>
  <c r="BJ196" i="11"/>
  <c r="BJ47" i="11"/>
  <c r="BR150" i="11"/>
  <c r="BN118" i="11"/>
  <c r="BR204" i="11"/>
  <c r="BN151" i="11"/>
  <c r="BN94" i="11"/>
  <c r="BN189" i="11"/>
  <c r="BJ86" i="11"/>
  <c r="BB108" i="11"/>
  <c r="CE18" i="11"/>
  <c r="BE15" i="11"/>
  <c r="BE229" i="11"/>
  <c r="BB117" i="11"/>
  <c r="CW175" i="11"/>
  <c r="CW109" i="11"/>
  <c r="BE121" i="11"/>
  <c r="CS170" i="11"/>
  <c r="CS105" i="11"/>
  <c r="CO35" i="11"/>
  <c r="BN167" i="11"/>
  <c r="CS44" i="11"/>
  <c r="BN95" i="11"/>
  <c r="BN52" i="11"/>
  <c r="BR166" i="11"/>
  <c r="BR228" i="11"/>
  <c r="BJ121" i="11"/>
  <c r="BJ48" i="11"/>
  <c r="BN156" i="11"/>
  <c r="BN120" i="11"/>
  <c r="BR207" i="11"/>
  <c r="BR174" i="11"/>
  <c r="BR132" i="11"/>
  <c r="BN192" i="11"/>
  <c r="BN103" i="11"/>
  <c r="BR234" i="11"/>
  <c r="BR153" i="11"/>
  <c r="BJ26" i="11"/>
  <c r="BJ227" i="11"/>
  <c r="BJ219" i="11"/>
  <c r="BJ17" i="11"/>
  <c r="BJ241" i="11"/>
  <c r="BJ203" i="11"/>
  <c r="BJ34" i="11"/>
  <c r="BJ220" i="11"/>
  <c r="BJ126" i="11"/>
  <c r="BJ65" i="11"/>
  <c r="BJ91" i="11"/>
  <c r="BJ92" i="11"/>
  <c r="BJ109" i="11"/>
  <c r="BJ110" i="11"/>
  <c r="BJ100" i="11"/>
  <c r="BJ101" i="11"/>
  <c r="BJ145" i="11"/>
  <c r="BJ147" i="11"/>
  <c r="BN181" i="11"/>
  <c r="BR231" i="11"/>
  <c r="BN191" i="11"/>
  <c r="BR218" i="11"/>
  <c r="BN180" i="11"/>
  <c r="BJ178" i="11"/>
  <c r="BJ75" i="11"/>
  <c r="BR134" i="11"/>
  <c r="BN91" i="11"/>
  <c r="BR141" i="11"/>
  <c r="BJ87" i="11"/>
  <c r="BJ30" i="11"/>
  <c r="BJ29" i="11"/>
  <c r="BN30" i="11"/>
  <c r="BR68" i="11"/>
  <c r="BJ27" i="11"/>
  <c r="BN32" i="11"/>
  <c r="BJ31" i="11"/>
  <c r="BR177" i="11"/>
  <c r="BN137" i="11"/>
  <c r="BJ122" i="11"/>
  <c r="BJ123" i="11"/>
  <c r="BR240" i="11"/>
  <c r="BR243" i="11"/>
  <c r="BJ189" i="11"/>
  <c r="BN203" i="11"/>
  <c r="BN199" i="11"/>
  <c r="BR244" i="11"/>
  <c r="BR239" i="11"/>
  <c r="BJ188" i="11"/>
  <c r="BJ89" i="11"/>
  <c r="BR144" i="11"/>
  <c r="BN104" i="11"/>
  <c r="BR131" i="11"/>
  <c r="BR136" i="11"/>
  <c r="BN64" i="11"/>
  <c r="BN65" i="11"/>
  <c r="BJ49" i="11"/>
  <c r="BJ50" i="11"/>
  <c r="BJ106" i="11"/>
  <c r="BR160" i="11"/>
  <c r="BN145" i="11"/>
  <c r="BN146" i="11"/>
  <c r="BN144" i="11"/>
  <c r="BN147" i="11"/>
  <c r="BR184" i="11"/>
  <c r="BN148" i="11"/>
  <c r="BJ132" i="11"/>
  <c r="BJ130" i="11"/>
  <c r="BJ133" i="11"/>
  <c r="BN246" i="11"/>
  <c r="BJ235" i="11"/>
  <c r="BJ234" i="11"/>
  <c r="BN250" i="11"/>
  <c r="BN244" i="11"/>
  <c r="BN249" i="11"/>
  <c r="BJ233" i="11"/>
  <c r="BJ236" i="11"/>
  <c r="BJ237" i="11"/>
  <c r="BN27" i="11"/>
  <c r="BJ222" i="11"/>
  <c r="BN235" i="11"/>
  <c r="BN234" i="11"/>
  <c r="BR180" i="11"/>
  <c r="BN136" i="11"/>
  <c r="BJ125" i="11"/>
  <c r="BN140" i="11"/>
  <c r="BR181" i="11"/>
  <c r="BR179" i="11"/>
  <c r="BJ124" i="11"/>
  <c r="BN230" i="11"/>
  <c r="BJ217" i="11"/>
  <c r="BJ216" i="11"/>
  <c r="BN226" i="11"/>
  <c r="BJ215" i="11"/>
  <c r="BN223" i="11"/>
  <c r="BN227" i="11"/>
  <c r="BJ218" i="11"/>
  <c r="BN49" i="11"/>
  <c r="BN48" i="11"/>
  <c r="BJ33" i="11"/>
  <c r="BJ35" i="11"/>
  <c r="BJ80" i="11"/>
  <c r="BN97" i="11"/>
  <c r="BR138" i="11"/>
  <c r="BN90" i="11"/>
  <c r="BJ82" i="11"/>
  <c r="BN89" i="11"/>
  <c r="BJ157" i="11"/>
  <c r="BN168" i="11"/>
  <c r="BJ159" i="11"/>
  <c r="BR210" i="11"/>
  <c r="BN169" i="11"/>
  <c r="BR214" i="11"/>
  <c r="BR211" i="11"/>
  <c r="BJ158" i="11"/>
  <c r="BN207" i="11"/>
  <c r="BR242" i="11"/>
  <c r="BN208" i="11"/>
  <c r="BR246" i="11"/>
  <c r="BN201" i="11"/>
  <c r="BN216" i="11"/>
  <c r="BR248" i="11"/>
  <c r="BN206" i="11"/>
  <c r="BN215" i="11"/>
  <c r="BN204" i="11"/>
  <c r="BJ197" i="11"/>
  <c r="BN212" i="11"/>
  <c r="BR249" i="11"/>
  <c r="BJ198" i="11"/>
  <c r="BN211" i="11"/>
  <c r="BN213" i="11"/>
  <c r="BJ201" i="11"/>
  <c r="BJ199" i="11"/>
  <c r="BJ200" i="11"/>
  <c r="BR178" i="11"/>
  <c r="BR183" i="11"/>
  <c r="BN134" i="11"/>
  <c r="BR191" i="11"/>
  <c r="BR188" i="11"/>
  <c r="BJ137" i="11"/>
  <c r="BJ134" i="11"/>
  <c r="BR189" i="11"/>
  <c r="BN152" i="11"/>
  <c r="BJ135" i="11"/>
  <c r="BJ136" i="11"/>
  <c r="BN149" i="11"/>
  <c r="BR190" i="11"/>
  <c r="BN190" i="11"/>
  <c r="BR222" i="11"/>
  <c r="BN186" i="11"/>
  <c r="BN194" i="11"/>
  <c r="BR236" i="11"/>
  <c r="BN188" i="11"/>
  <c r="BR225" i="11"/>
  <c r="BN195" i="11"/>
  <c r="BR230" i="11"/>
  <c r="BJ183" i="11"/>
  <c r="BJ182" i="11"/>
  <c r="BN185" i="11"/>
  <c r="BR224" i="11"/>
  <c r="BN198" i="11"/>
  <c r="BN183" i="11"/>
  <c r="BN184" i="11"/>
  <c r="BR229" i="11"/>
  <c r="BJ180" i="11"/>
  <c r="BJ181" i="11"/>
  <c r="BJ28" i="11"/>
  <c r="BJ32" i="11"/>
  <c r="BN41" i="11"/>
  <c r="BN46" i="11"/>
  <c r="BN38" i="11"/>
  <c r="BN28" i="11"/>
  <c r="BN42" i="11"/>
  <c r="BN43" i="11"/>
  <c r="BN33" i="11"/>
  <c r="BN44" i="11"/>
  <c r="BN47" i="11"/>
  <c r="BN50" i="11"/>
  <c r="BJ36" i="11"/>
  <c r="BN107" i="11"/>
  <c r="BN111" i="11"/>
  <c r="BR147" i="11"/>
  <c r="BN106" i="11"/>
  <c r="BJ95" i="11"/>
  <c r="BN110" i="11"/>
  <c r="BJ96" i="11"/>
  <c r="BJ97" i="11"/>
  <c r="BR149" i="11"/>
  <c r="BJ246" i="11"/>
  <c r="BJ248" i="11"/>
  <c r="BJ245" i="11"/>
  <c r="BN128" i="11"/>
  <c r="BR172" i="11"/>
  <c r="BR171" i="11"/>
  <c r="BR167" i="11"/>
  <c r="BJ117" i="11"/>
  <c r="BN126" i="11"/>
  <c r="BN127" i="11"/>
  <c r="BN125" i="11"/>
  <c r="BN124" i="11"/>
  <c r="BJ115" i="11"/>
  <c r="BJ114" i="11"/>
  <c r="BN133" i="11"/>
  <c r="BN130" i="11"/>
  <c r="BR170" i="11"/>
  <c r="BN131" i="11"/>
  <c r="BJ226" i="11"/>
  <c r="BN239" i="11"/>
  <c r="BN232" i="11"/>
  <c r="BN224" i="11"/>
  <c r="BJ224" i="11"/>
  <c r="BN233" i="11"/>
  <c r="BN242" i="11"/>
  <c r="BJ228" i="11"/>
  <c r="BJ225" i="11"/>
  <c r="BN241" i="11"/>
  <c r="BR133" i="11"/>
  <c r="BR137" i="11"/>
  <c r="BJ81" i="11"/>
  <c r="BJ83" i="11"/>
  <c r="BR135" i="11"/>
  <c r="BN93" i="11"/>
  <c r="BN96" i="11"/>
  <c r="BR130" i="11"/>
  <c r="BR129" i="11"/>
  <c r="BN99" i="11"/>
  <c r="BJ63" i="11"/>
  <c r="BJ64" i="11"/>
  <c r="BJ60" i="11"/>
  <c r="BR158" i="11"/>
  <c r="BR151" i="11"/>
  <c r="BR154" i="11"/>
  <c r="BN115" i="11"/>
  <c r="BR156" i="11"/>
  <c r="BN112" i="11"/>
  <c r="BR146" i="11"/>
  <c r="BN116" i="11"/>
  <c r="BN114" i="11"/>
  <c r="BN113" i="11"/>
  <c r="BR155" i="11"/>
  <c r="BN117" i="11"/>
  <c r="BR157" i="11"/>
  <c r="BJ103" i="11"/>
  <c r="BN45" i="11"/>
  <c r="BN61" i="11"/>
  <c r="BN58" i="11"/>
  <c r="BJ44" i="11"/>
  <c r="BN53" i="11"/>
  <c r="BN55" i="11"/>
  <c r="BN54" i="11"/>
  <c r="BN56" i="11"/>
  <c r="BJ46" i="11"/>
  <c r="BN63" i="11"/>
  <c r="BN62" i="11"/>
  <c r="BN248" i="11"/>
  <c r="BN247" i="11"/>
  <c r="BN238" i="11"/>
  <c r="BJ238" i="11"/>
  <c r="BJ239" i="11"/>
  <c r="BJ242" i="11"/>
  <c r="BJ240" i="11"/>
  <c r="BR197" i="11"/>
  <c r="BR200" i="11"/>
  <c r="BJ152" i="11"/>
  <c r="BR196" i="11"/>
  <c r="BJ149" i="11"/>
  <c r="BN166" i="11"/>
  <c r="BR206" i="11"/>
  <c r="BN158" i="11"/>
  <c r="BR202" i="11"/>
  <c r="BN165" i="11"/>
  <c r="BR199" i="11"/>
  <c r="BJ151" i="11"/>
  <c r="BN164" i="11"/>
  <c r="BN157" i="11"/>
  <c r="BR198" i="11"/>
  <c r="BJ148" i="11"/>
  <c r="BN161" i="11"/>
  <c r="BN163" i="11"/>
  <c r="BN162" i="11"/>
  <c r="BN159" i="11"/>
  <c r="BR164" i="11"/>
  <c r="BN143" i="11"/>
  <c r="BN141" i="11"/>
  <c r="BR185" i="11"/>
  <c r="BR173" i="11"/>
  <c r="BN139" i="11"/>
  <c r="BR186" i="11"/>
  <c r="BJ140" i="11"/>
  <c r="BN150" i="11"/>
  <c r="BR169" i="11"/>
  <c r="BR176" i="11"/>
  <c r="BR168" i="11"/>
  <c r="BR187" i="11"/>
  <c r="BR175" i="11"/>
  <c r="BR192" i="11"/>
  <c r="BR194" i="11"/>
  <c r="BR182" i="11"/>
  <c r="BN142" i="11"/>
  <c r="BJ138" i="11"/>
  <c r="BR193" i="11"/>
  <c r="BJ139" i="11"/>
  <c r="BN155" i="11"/>
  <c r="BR195" i="11"/>
  <c r="BN153" i="11"/>
  <c r="BJ104" i="11"/>
  <c r="BN108" i="11"/>
  <c r="BR152" i="11"/>
  <c r="BR148" i="11"/>
  <c r="BN109" i="11"/>
  <c r="BN122" i="11"/>
  <c r="BR163" i="11"/>
  <c r="BN119" i="11"/>
  <c r="BJ105" i="11"/>
  <c r="BR161" i="11"/>
  <c r="BR159" i="11"/>
  <c r="BJ107" i="11"/>
  <c r="BJ108" i="11"/>
  <c r="BN123" i="11"/>
  <c r="BR223" i="11"/>
  <c r="BR232" i="11"/>
  <c r="BJ202" i="11"/>
  <c r="BN221" i="11"/>
  <c r="BR220" i="11"/>
  <c r="BR227" i="11"/>
  <c r="BN210" i="11"/>
  <c r="BJ206" i="11"/>
  <c r="BR238" i="11"/>
  <c r="BN205" i="11"/>
  <c r="BN209" i="11"/>
  <c r="BR247" i="11"/>
  <c r="BN202" i="11"/>
  <c r="BR241" i="11"/>
  <c r="BR233" i="11"/>
  <c r="BR245" i="11"/>
  <c r="BR250" i="11"/>
  <c r="BN220" i="11"/>
  <c r="BR237" i="11"/>
  <c r="BR235" i="11"/>
  <c r="BR221" i="11"/>
  <c r="BR226" i="11"/>
  <c r="BN219" i="11"/>
  <c r="BN217" i="11"/>
  <c r="BJ204" i="11"/>
  <c r="BJ205" i="11"/>
  <c r="BN218" i="11"/>
  <c r="BN60" i="11"/>
  <c r="BN59" i="11"/>
  <c r="BN66" i="11"/>
  <c r="BN67" i="11"/>
  <c r="BJ51" i="11"/>
  <c r="BJ52" i="11"/>
  <c r="BN68" i="11"/>
  <c r="BJ58" i="11"/>
  <c r="BJ54" i="11"/>
  <c r="BJ57" i="11"/>
  <c r="BJ55" i="11"/>
  <c r="BJ56" i="11"/>
  <c r="BR162" i="11"/>
  <c r="BN173" i="11"/>
  <c r="BR205" i="11"/>
  <c r="BR203" i="11"/>
  <c r="BN160" i="11"/>
  <c r="BN177" i="11"/>
  <c r="BR201" i="11"/>
  <c r="BR216" i="11"/>
  <c r="BR213" i="11"/>
  <c r="BN175" i="11"/>
  <c r="BR208" i="11"/>
  <c r="BN176" i="11"/>
  <c r="BR209" i="11"/>
  <c r="BJ161" i="11"/>
  <c r="BN174" i="11"/>
  <c r="BN170" i="11"/>
  <c r="BN172" i="11"/>
  <c r="BR212" i="11"/>
  <c r="BJ160" i="11"/>
  <c r="BN171" i="11"/>
  <c r="BR215" i="11"/>
  <c r="BJ162" i="11"/>
  <c r="BR217" i="11"/>
  <c r="BN105" i="11"/>
  <c r="BR143" i="11"/>
  <c r="BN92" i="11"/>
  <c r="BN98" i="11"/>
  <c r="BR140" i="11"/>
  <c r="BJ88" i="11"/>
  <c r="BR139" i="11"/>
  <c r="BN100" i="11"/>
  <c r="BR145" i="11"/>
  <c r="BN102" i="11"/>
  <c r="BN101" i="11"/>
  <c r="BR142" i="11"/>
  <c r="BJ90" i="11"/>
  <c r="BY90" i="11" l="1"/>
  <c r="BY88" i="11"/>
  <c r="BY162" i="11"/>
  <c r="BY160" i="11"/>
  <c r="BY161" i="11"/>
  <c r="BY56" i="11"/>
  <c r="BY55" i="11"/>
  <c r="BY57" i="11"/>
  <c r="BY54" i="11"/>
  <c r="BY58" i="11"/>
  <c r="BY52" i="11"/>
  <c r="BY51" i="11"/>
  <c r="BY205" i="11"/>
  <c r="BY204" i="11"/>
  <c r="BY206" i="11"/>
  <c r="BY202" i="11"/>
  <c r="BY108" i="11"/>
  <c r="BY107" i="11"/>
  <c r="BY105" i="11"/>
  <c r="BY104" i="11"/>
  <c r="BY139" i="11"/>
  <c r="BY138" i="11"/>
  <c r="BY140" i="11"/>
  <c r="BY148" i="11"/>
  <c r="BY151" i="11"/>
  <c r="BY149" i="11"/>
  <c r="BY152" i="11"/>
  <c r="BY240" i="11"/>
  <c r="BY242" i="11"/>
  <c r="BY239" i="11"/>
  <c r="BY238" i="11"/>
  <c r="BY46" i="11"/>
  <c r="BY44" i="11"/>
  <c r="BZ45" i="11"/>
  <c r="BY103" i="11"/>
  <c r="BY60" i="11"/>
  <c r="BY64" i="11"/>
  <c r="BY63" i="11"/>
  <c r="BY83" i="11"/>
  <c r="BY81" i="11"/>
  <c r="BY225" i="11"/>
  <c r="BY228" i="11"/>
  <c r="BY224" i="11"/>
  <c r="BY226" i="11"/>
  <c r="BY114" i="11"/>
  <c r="BY115" i="11"/>
  <c r="BY117" i="11"/>
  <c r="BY245" i="11"/>
  <c r="BY248" i="11"/>
  <c r="BY246" i="11"/>
  <c r="BY97" i="11"/>
  <c r="BY96" i="11"/>
  <c r="BY95" i="11"/>
  <c r="BY36" i="11"/>
  <c r="BZ44" i="11"/>
  <c r="BZ33" i="11"/>
  <c r="BZ43" i="11"/>
  <c r="BZ42" i="11"/>
  <c r="BZ28" i="11"/>
  <c r="BZ38" i="11"/>
  <c r="BZ41" i="11"/>
  <c r="BY32" i="11"/>
  <c r="BY28" i="11"/>
  <c r="BY181" i="11"/>
  <c r="BY180" i="11"/>
  <c r="BY182" i="11"/>
  <c r="BY183" i="11"/>
  <c r="BY136" i="11"/>
  <c r="BY135" i="11"/>
  <c r="BY134" i="11"/>
  <c r="BY137" i="11"/>
  <c r="BY200" i="11"/>
  <c r="BY199" i="11"/>
  <c r="BY201" i="11"/>
  <c r="BY198" i="11"/>
  <c r="BY197" i="11"/>
  <c r="BY158" i="11"/>
  <c r="BY159" i="11"/>
  <c r="BY157" i="11"/>
  <c r="BY82" i="11"/>
  <c r="BY80" i="11"/>
  <c r="BY35" i="11"/>
  <c r="BY33" i="11"/>
  <c r="BY218" i="11"/>
  <c r="BY215" i="11"/>
  <c r="BY216" i="11"/>
  <c r="BY217" i="11"/>
  <c r="BY124" i="11"/>
  <c r="BY125" i="11"/>
  <c r="BY222" i="11"/>
  <c r="BZ27" i="11"/>
  <c r="BY237" i="11"/>
  <c r="BY236" i="11"/>
  <c r="BY233" i="11"/>
  <c r="BY234" i="11"/>
  <c r="BY235" i="11"/>
  <c r="BY133" i="11"/>
  <c r="BY130" i="11"/>
  <c r="BY132" i="11"/>
  <c r="BY106" i="11"/>
  <c r="BY50" i="11"/>
  <c r="BY49" i="11"/>
  <c r="BY89" i="11"/>
  <c r="BY188" i="11"/>
  <c r="BY189" i="11"/>
  <c r="BY123" i="11"/>
  <c r="BY122" i="11"/>
  <c r="BY31" i="11"/>
  <c r="BZ32" i="11"/>
  <c r="BY27" i="11"/>
  <c r="BZ30" i="11"/>
  <c r="BY29" i="11"/>
  <c r="BY30" i="11"/>
  <c r="BY87" i="11"/>
  <c r="BY75" i="11"/>
  <c r="BY178" i="11"/>
  <c r="BY147" i="11"/>
  <c r="BY145" i="11"/>
  <c r="BY101" i="11"/>
  <c r="BY100" i="11"/>
  <c r="BY110" i="11"/>
  <c r="BY109" i="11"/>
  <c r="BY92" i="11"/>
  <c r="BY91" i="11"/>
  <c r="BY65" i="11"/>
  <c r="BY126" i="11"/>
  <c r="BY220" i="11"/>
  <c r="BY34" i="11"/>
  <c r="BY203" i="11"/>
  <c r="BY241" i="11"/>
  <c r="BY17" i="11"/>
  <c r="BY219" i="11"/>
  <c r="BY227" i="11"/>
  <c r="BY26" i="11"/>
  <c r="BY48" i="11"/>
  <c r="BY121" i="11"/>
  <c r="CY117" i="11"/>
  <c r="CI18" i="11"/>
  <c r="CJ18" i="11"/>
  <c r="CH18" i="11"/>
  <c r="CG18" i="11"/>
  <c r="CF18" i="11"/>
  <c r="CY108" i="11"/>
  <c r="BY86" i="11"/>
  <c r="BY47" i="11"/>
  <c r="BY196" i="11"/>
  <c r="BY68" i="11"/>
  <c r="BY79" i="11"/>
  <c r="BY150" i="11"/>
  <c r="CY222" i="11"/>
  <c r="CY195" i="11"/>
  <c r="CY78" i="11"/>
  <c r="BY45" i="11"/>
  <c r="BY77" i="11"/>
  <c r="BY163" i="11"/>
  <c r="BY128" i="11"/>
  <c r="BY230" i="11"/>
  <c r="CY180" i="11"/>
  <c r="BY93" i="11"/>
  <c r="BY194" i="11"/>
  <c r="BY207" i="11"/>
  <c r="BY164" i="11"/>
  <c r="BY179" i="11"/>
  <c r="BY99" i="11"/>
  <c r="CY144" i="11"/>
  <c r="CY198" i="11"/>
  <c r="CY26" i="11"/>
  <c r="BZ36" i="11"/>
  <c r="BY12" i="11"/>
  <c r="BZ37" i="11"/>
  <c r="BY102" i="11"/>
  <c r="CY49" i="11"/>
  <c r="CY121" i="11"/>
  <c r="CY84" i="11"/>
  <c r="CY244" i="11"/>
  <c r="CY137" i="11"/>
  <c r="CY238" i="11"/>
  <c r="BY84" i="11"/>
  <c r="BZ40" i="11"/>
  <c r="BY116" i="11"/>
  <c r="BY185" i="11"/>
  <c r="BZ35" i="11"/>
  <c r="CY103" i="11"/>
  <c r="CY161" i="11"/>
  <c r="BY78" i="11"/>
  <c r="BY118" i="11"/>
  <c r="BT51" i="11"/>
  <c r="BZ29" i="11"/>
  <c r="BY221" i="11"/>
  <c r="BY112" i="11"/>
  <c r="BY85" i="11"/>
  <c r="BT244" i="11"/>
  <c r="CY107" i="11"/>
  <c r="CY44" i="11"/>
  <c r="BZ39" i="11"/>
  <c r="BY167" i="11"/>
  <c r="CY42" i="11"/>
  <c r="BZ31" i="11"/>
  <c r="BY119" i="11"/>
  <c r="BY176" i="11"/>
  <c r="BY214" i="11"/>
  <c r="BY131" i="11"/>
  <c r="CY82" i="11"/>
  <c r="BY41" i="11"/>
  <c r="CY130" i="11"/>
  <c r="BT233" i="11"/>
  <c r="CY126" i="11"/>
  <c r="BY249" i="11"/>
  <c r="BY129" i="11"/>
  <c r="BY170" i="11"/>
  <c r="BY250" i="11"/>
  <c r="CY45" i="11"/>
  <c r="CY201" i="11"/>
  <c r="BT28" i="11"/>
  <c r="BZ34" i="11"/>
  <c r="BY223" i="11"/>
  <c r="BY142" i="11"/>
  <c r="BY111" i="11"/>
  <c r="BY120" i="11"/>
  <c r="BY213" i="11"/>
  <c r="BY127" i="11"/>
  <c r="BT204" i="11"/>
  <c r="BT205" i="11"/>
  <c r="BY94" i="11"/>
  <c r="CY188" i="11"/>
  <c r="CH15" i="11"/>
  <c r="CG15" i="11"/>
  <c r="CJ15" i="11"/>
  <c r="CI15" i="11"/>
  <c r="CF15" i="11"/>
  <c r="BY141" i="11"/>
  <c r="BT152" i="11"/>
  <c r="CY79" i="11"/>
  <c r="CY27" i="11"/>
  <c r="CY105" i="11"/>
  <c r="BT127" i="11"/>
  <c r="BT222" i="11"/>
  <c r="CY214" i="11"/>
  <c r="CY197" i="11"/>
  <c r="BT101" i="11"/>
  <c r="CF12" i="11"/>
  <c r="CG12" i="11"/>
  <c r="CI12" i="11"/>
  <c r="CH12" i="11"/>
  <c r="CJ12" i="11"/>
  <c r="CY241" i="11"/>
  <c r="CY37" i="11"/>
  <c r="BT181" i="11"/>
  <c r="BT90" i="11"/>
  <c r="BY193" i="11"/>
  <c r="BT145" i="11"/>
  <c r="BY113" i="11"/>
  <c r="CY115" i="11"/>
  <c r="BY187" i="11"/>
  <c r="BT198" i="11"/>
  <c r="CY202" i="11"/>
  <c r="CY245" i="11"/>
  <c r="CY131" i="11"/>
  <c r="CY210" i="11"/>
  <c r="CY200" i="11"/>
  <c r="BT207" i="11"/>
  <c r="BT97" i="11"/>
  <c r="BT121" i="11"/>
  <c r="CH9" i="11"/>
  <c r="CJ9" i="11"/>
  <c r="CI9" i="11"/>
  <c r="CF9" i="11"/>
  <c r="CG9" i="11"/>
  <c r="CY95" i="11"/>
  <c r="BT185" i="11"/>
  <c r="CY151" i="11"/>
  <c r="BT178" i="11"/>
  <c r="CY15" i="11"/>
  <c r="B50" i="1"/>
  <c r="CY133" i="11"/>
  <c r="CY100" i="11"/>
  <c r="CY21" i="11"/>
  <c r="BY66" i="11"/>
  <c r="BY175" i="11"/>
  <c r="BY210" i="11"/>
  <c r="BY211" i="11"/>
  <c r="CY164" i="11"/>
  <c r="BT156" i="11"/>
  <c r="BT225" i="11"/>
  <c r="BY53" i="11"/>
  <c r="BT149" i="11"/>
  <c r="BT238" i="11"/>
  <c r="CY158" i="11"/>
  <c r="CY233" i="11"/>
  <c r="BT42" i="11"/>
  <c r="BT215" i="11"/>
  <c r="CY118" i="11"/>
  <c r="BT46" i="11"/>
  <c r="CY228" i="11"/>
  <c r="BT57" i="11"/>
  <c r="BT37" i="11"/>
  <c r="CY143" i="11"/>
  <c r="BY67" i="11"/>
  <c r="BT206" i="11"/>
  <c r="BY74" i="11"/>
  <c r="BT194" i="11"/>
  <c r="BT98" i="11"/>
  <c r="BT124" i="11"/>
  <c r="CY250" i="11"/>
  <c r="BT188" i="11"/>
  <c r="BT44" i="11"/>
  <c r="BT54" i="11"/>
  <c r="BT220" i="11"/>
  <c r="BY174" i="11"/>
  <c r="BY186" i="11"/>
  <c r="CY230" i="11"/>
  <c r="CY153" i="11"/>
  <c r="BY191" i="11"/>
  <c r="BY171" i="11"/>
  <c r="BY153" i="11"/>
  <c r="BY169" i="11"/>
  <c r="BY177" i="11"/>
  <c r="BT120" i="11"/>
  <c r="BY172" i="11"/>
  <c r="BT180" i="11"/>
  <c r="BT34" i="11"/>
  <c r="BT130" i="11"/>
  <c r="BY16" i="11"/>
  <c r="CY109" i="11"/>
  <c r="CY231" i="11"/>
  <c r="CY181" i="11"/>
  <c r="BT95" i="11"/>
  <c r="CY132" i="11"/>
  <c r="CY205" i="11"/>
  <c r="CY96" i="11"/>
  <c r="CY22" i="11"/>
  <c r="BT137" i="11"/>
  <c r="CY184" i="11"/>
  <c r="BY13" i="11"/>
  <c r="BY25" i="11"/>
  <c r="BY144" i="11"/>
  <c r="BY173" i="11"/>
  <c r="BY43" i="11"/>
  <c r="BY38" i="11"/>
  <c r="BY18" i="11"/>
  <c r="BY59" i="11"/>
  <c r="BY184" i="11"/>
  <c r="BY192" i="11"/>
  <c r="CY61" i="11"/>
  <c r="CY160" i="11"/>
  <c r="CY70" i="11"/>
  <c r="CY87" i="11"/>
  <c r="BY165" i="11"/>
  <c r="CY229" i="11"/>
  <c r="BT227" i="11"/>
  <c r="CY99" i="11"/>
  <c r="CY243" i="11"/>
  <c r="BT210" i="11"/>
  <c r="CY172" i="11"/>
  <c r="BT166" i="11"/>
  <c r="CY146" i="11"/>
  <c r="CY223" i="11"/>
  <c r="BY39" i="11"/>
  <c r="BY15" i="11"/>
  <c r="BY23" i="11"/>
  <c r="CF14" i="11"/>
  <c r="CI14" i="11"/>
  <c r="CH14" i="11"/>
  <c r="CG14" i="11"/>
  <c r="CJ14" i="11"/>
  <c r="BT153" i="11"/>
  <c r="BY37" i="11"/>
  <c r="CY191" i="11"/>
  <c r="CY63" i="11"/>
  <c r="CY147" i="11"/>
  <c r="BY146" i="11"/>
  <c r="CY145" i="11"/>
  <c r="BT100" i="11"/>
  <c r="BT114" i="11"/>
  <c r="CY74" i="11"/>
  <c r="CY173" i="11"/>
  <c r="BT55" i="11"/>
  <c r="CY88" i="11"/>
  <c r="BT52" i="11"/>
  <c r="BT147" i="11"/>
  <c r="BT99" i="11"/>
  <c r="CY36" i="11"/>
  <c r="CY55" i="11"/>
  <c r="CY156" i="11"/>
  <c r="BT103" i="11"/>
  <c r="BY22" i="11"/>
  <c r="CI17" i="11"/>
  <c r="CH17" i="11"/>
  <c r="CJ17" i="11"/>
  <c r="CF17" i="11"/>
  <c r="CG17" i="11"/>
  <c r="BY190" i="11"/>
  <c r="BY42" i="11"/>
  <c r="CY239" i="11"/>
  <c r="CY72" i="11"/>
  <c r="CY12" i="11"/>
  <c r="BY195" i="11"/>
  <c r="BY154" i="11"/>
  <c r="BY208" i="11"/>
  <c r="BY156" i="11"/>
  <c r="BY143" i="11"/>
  <c r="CY119" i="11"/>
  <c r="CY39" i="11"/>
  <c r="CY116" i="11"/>
  <c r="CY31" i="11"/>
  <c r="BT102" i="11"/>
  <c r="BT218" i="11"/>
  <c r="BT140" i="11"/>
  <c r="BT31" i="11"/>
  <c r="BT224" i="11"/>
  <c r="CY178" i="11"/>
  <c r="BY14" i="11"/>
  <c r="BT217" i="11"/>
  <c r="BY166" i="11"/>
  <c r="BT163" i="11"/>
  <c r="BT160" i="11"/>
  <c r="CY81" i="11"/>
  <c r="CY163" i="11"/>
  <c r="CY35" i="11"/>
  <c r="CY234" i="11"/>
  <c r="CY51" i="11"/>
  <c r="CY171" i="11"/>
  <c r="BT157" i="11"/>
  <c r="BT30" i="11"/>
  <c r="BT106" i="11"/>
  <c r="BY24" i="11"/>
  <c r="BT136" i="11"/>
  <c r="BT65" i="11"/>
  <c r="BT91" i="11"/>
  <c r="BT144" i="11"/>
  <c r="BY155" i="11"/>
  <c r="BT249" i="11"/>
  <c r="BT221" i="11"/>
  <c r="BT213" i="11"/>
  <c r="CY19" i="11"/>
  <c r="BY212" i="11"/>
  <c r="BT123" i="11"/>
  <c r="BT59" i="11"/>
  <c r="BY40" i="11"/>
  <c r="CY207" i="11"/>
  <c r="CY215" i="11"/>
  <c r="CY38" i="11"/>
  <c r="CY76" i="11"/>
  <c r="BT164" i="11"/>
  <c r="CY33" i="11"/>
  <c r="BT122" i="11"/>
  <c r="CY127" i="11"/>
  <c r="CY179" i="11"/>
  <c r="CY135" i="11"/>
  <c r="CY56" i="11"/>
  <c r="CY25" i="11"/>
  <c r="CY212" i="11"/>
  <c r="BT112" i="11"/>
  <c r="BT173" i="11"/>
  <c r="BT27" i="11"/>
  <c r="BY19" i="11"/>
  <c r="CY176" i="11"/>
  <c r="CY217" i="11"/>
  <c r="BY232" i="11"/>
  <c r="CY102" i="11"/>
  <c r="BT230" i="11"/>
  <c r="BT235" i="11"/>
  <c r="CY30" i="11"/>
  <c r="CY18" i="11"/>
  <c r="CY186" i="11"/>
  <c r="CY240" i="11"/>
  <c r="BT58" i="11"/>
  <c r="BT203" i="11"/>
  <c r="CY123" i="11"/>
  <c r="CY235" i="11"/>
  <c r="CY232" i="11"/>
  <c r="BT129" i="11"/>
  <c r="BT184" i="11"/>
  <c r="CY136" i="11"/>
  <c r="BT202" i="11"/>
  <c r="CY219" i="11"/>
  <c r="BT243" i="11"/>
  <c r="BT119" i="11"/>
  <c r="CY213" i="11"/>
  <c r="CY208" i="11"/>
  <c r="BT141" i="11"/>
  <c r="CY58" i="11"/>
  <c r="BT50" i="11"/>
  <c r="CY140" i="11"/>
  <c r="CY16" i="11"/>
  <c r="BT190" i="11"/>
  <c r="CY50" i="11"/>
  <c r="CY77" i="11"/>
  <c r="BT89" i="11"/>
  <c r="CY14" i="11"/>
  <c r="BT182" i="11"/>
  <c r="CY199" i="11"/>
  <c r="CY218" i="11"/>
  <c r="CY34" i="11"/>
  <c r="BY21" i="11"/>
  <c r="CY169" i="11"/>
  <c r="BT177" i="11"/>
  <c r="CY57" i="11"/>
  <c r="CY67" i="11"/>
  <c r="CY86" i="11"/>
  <c r="BT162" i="11"/>
  <c r="CY236" i="11"/>
  <c r="CY226" i="11"/>
  <c r="CY220" i="11"/>
  <c r="BT36" i="11"/>
  <c r="BT214" i="11"/>
  <c r="CY224" i="11"/>
  <c r="CY43" i="11"/>
  <c r="BT158" i="11"/>
  <c r="BY20" i="11"/>
  <c r="BT165" i="11"/>
  <c r="CY167" i="11"/>
  <c r="BT247" i="11"/>
  <c r="CY110" i="11"/>
  <c r="BT189" i="11"/>
  <c r="BT38" i="11"/>
  <c r="CY249" i="11"/>
  <c r="BT231" i="11"/>
  <c r="BT232" i="11"/>
  <c r="BT135" i="11"/>
  <c r="BT45" i="11"/>
  <c r="CY71" i="11"/>
  <c r="CY28" i="11"/>
  <c r="CY120" i="11"/>
  <c r="CY73" i="11"/>
  <c r="BT53" i="11"/>
  <c r="BT134" i="11"/>
  <c r="BT48" i="11"/>
  <c r="BT159" i="11"/>
  <c r="CY175" i="11"/>
  <c r="BT237" i="11"/>
  <c r="CY91" i="11"/>
  <c r="BT151" i="11"/>
  <c r="BT236" i="11"/>
  <c r="BT66" i="11"/>
  <c r="BT168" i="11"/>
  <c r="BT239" i="11"/>
  <c r="BT62" i="11"/>
  <c r="BT142" i="11"/>
  <c r="BT67" i="11"/>
  <c r="CY113" i="11"/>
  <c r="CY162" i="11"/>
  <c r="BT172" i="11"/>
  <c r="CY221" i="11"/>
  <c r="CY83" i="11"/>
  <c r="CY80" i="11"/>
  <c r="BY231" i="11"/>
  <c r="CY23" i="11"/>
  <c r="BY209" i="11"/>
  <c r="CY211" i="11"/>
  <c r="CY24" i="11"/>
  <c r="CY185" i="11"/>
  <c r="CY157" i="11"/>
  <c r="CY247" i="11"/>
  <c r="BT154" i="11"/>
  <c r="BT196" i="11"/>
  <c r="CY93" i="11"/>
  <c r="CY85" i="11"/>
  <c r="BT116" i="11"/>
  <c r="BT115" i="11"/>
  <c r="BT219" i="11"/>
  <c r="BT64" i="11"/>
  <c r="CY59" i="11"/>
  <c r="BT93" i="11"/>
  <c r="BT209" i="11"/>
  <c r="BT167" i="11"/>
  <c r="BT242" i="11"/>
  <c r="BT111" i="11"/>
  <c r="CY32" i="11"/>
  <c r="CY104" i="11"/>
  <c r="CY194" i="11"/>
  <c r="BT192" i="11"/>
  <c r="BT191" i="11"/>
  <c r="CY246" i="11"/>
  <c r="CY97" i="11"/>
  <c r="BT138" i="11"/>
  <c r="BT105" i="11"/>
  <c r="BT133" i="11"/>
  <c r="CY138" i="11"/>
  <c r="BT61" i="11"/>
  <c r="CY129" i="11"/>
  <c r="BT199" i="11"/>
  <c r="BT171" i="11"/>
  <c r="CY47" i="11"/>
  <c r="CY64" i="11"/>
  <c r="BT226" i="11"/>
  <c r="BT179" i="11"/>
  <c r="CY155" i="11"/>
  <c r="BT241" i="11"/>
  <c r="BT68" i="11"/>
  <c r="CY134" i="11"/>
  <c r="CY216" i="11"/>
  <c r="BT170" i="11"/>
  <c r="BT41" i="11"/>
  <c r="CY90" i="11"/>
  <c r="CY189" i="11"/>
  <c r="BT216" i="11"/>
  <c r="BT117" i="11"/>
  <c r="BT29" i="11"/>
  <c r="CY187" i="11"/>
  <c r="CF16" i="11"/>
  <c r="CG16" i="11"/>
  <c r="CI16" i="11"/>
  <c r="CJ16" i="11"/>
  <c r="CH16" i="11"/>
  <c r="BT208" i="11"/>
  <c r="CY196" i="11"/>
  <c r="CY242" i="11"/>
  <c r="BT39" i="11"/>
  <c r="CY89" i="11"/>
  <c r="BT155" i="11"/>
  <c r="CY75" i="11"/>
  <c r="CY170" i="11"/>
  <c r="CY150" i="11"/>
  <c r="BT113" i="11"/>
  <c r="BT234" i="11"/>
  <c r="CY112" i="11"/>
  <c r="CY177" i="11"/>
  <c r="BT246" i="11"/>
  <c r="BT211" i="11"/>
  <c r="BT132" i="11"/>
  <c r="CY8" i="11"/>
  <c r="CY53" i="11"/>
  <c r="BT94" i="11"/>
  <c r="BT109" i="11"/>
  <c r="CF19" i="11"/>
  <c r="CH19" i="11"/>
  <c r="CG19" i="11"/>
  <c r="CJ19" i="11"/>
  <c r="CI19" i="11"/>
  <c r="CY192" i="11"/>
  <c r="BT193" i="11"/>
  <c r="BT250" i="11"/>
  <c r="BT174" i="11"/>
  <c r="CY193" i="11"/>
  <c r="CG10" i="11"/>
  <c r="CI10" i="11"/>
  <c r="CF10" i="11"/>
  <c r="CJ10" i="11"/>
  <c r="CH10" i="11"/>
  <c r="BT108" i="11"/>
  <c r="CY29" i="11"/>
  <c r="CY101" i="11"/>
  <c r="BT40" i="11"/>
  <c r="CY182" i="11"/>
  <c r="CY52" i="11"/>
  <c r="BT146" i="11"/>
  <c r="CY190" i="11"/>
  <c r="CY141" i="11"/>
  <c r="CY17" i="11"/>
  <c r="CY128" i="11"/>
  <c r="BT47" i="11"/>
  <c r="BT139" i="11"/>
  <c r="BT60" i="11"/>
  <c r="BT195" i="11"/>
  <c r="CY111" i="11"/>
  <c r="BT63" i="11"/>
  <c r="BT248" i="11"/>
  <c r="CY41" i="11"/>
  <c r="BT169" i="11"/>
  <c r="CY166" i="11"/>
  <c r="CY206" i="11"/>
  <c r="CY154" i="11"/>
  <c r="BT186" i="11"/>
  <c r="CY20" i="11"/>
  <c r="CY248" i="11"/>
  <c r="BT143" i="11"/>
  <c r="BT92" i="11"/>
  <c r="CY148" i="11"/>
  <c r="BT131" i="11"/>
  <c r="CY125" i="11"/>
  <c r="CY174" i="11"/>
  <c r="CY65" i="11"/>
  <c r="BT223" i="11"/>
  <c r="BT43" i="11"/>
  <c r="CY9" i="11"/>
  <c r="CY209" i="11"/>
  <c r="BT161" i="11"/>
  <c r="BT128" i="11"/>
  <c r="CY225" i="11"/>
  <c r="BT110" i="11"/>
  <c r="BT118" i="11"/>
  <c r="CY94" i="11"/>
  <c r="BT148" i="11"/>
  <c r="CY203" i="11"/>
  <c r="BT125" i="11"/>
  <c r="BT96" i="11"/>
  <c r="CY124" i="11"/>
  <c r="CY11" i="11"/>
  <c r="CY152" i="11"/>
  <c r="BT33" i="11"/>
  <c r="BT245" i="11"/>
  <c r="CY183" i="11"/>
  <c r="BT187" i="11"/>
  <c r="CY114" i="11"/>
  <c r="CY62" i="11"/>
  <c r="CY66" i="11"/>
  <c r="BT104" i="11"/>
  <c r="CY46" i="11"/>
  <c r="BT228" i="11"/>
  <c r="CY168" i="11"/>
  <c r="BT126" i="11"/>
  <c r="BT200" i="11"/>
  <c r="CY204" i="11"/>
  <c r="BT176" i="11"/>
  <c r="CY149" i="11"/>
  <c r="CY10" i="11"/>
  <c r="BT201" i="11"/>
  <c r="BT56" i="11"/>
  <c r="BT49" i="11"/>
  <c r="BT150" i="11"/>
  <c r="CY92" i="11"/>
  <c r="CY106" i="11"/>
  <c r="BT175" i="11"/>
  <c r="CY122" i="11"/>
  <c r="CY227" i="11"/>
  <c r="BT240" i="11"/>
  <c r="CY159" i="11"/>
  <c r="CY48" i="11"/>
  <c r="CY139" i="11"/>
  <c r="CY98" i="11"/>
  <c r="BT229" i="11"/>
  <c r="CY13" i="11"/>
  <c r="BT183" i="11"/>
  <c r="BT35" i="11"/>
  <c r="CY165" i="11"/>
  <c r="BT212" i="11"/>
  <c r="CY40" i="11"/>
  <c r="CJ11" i="11"/>
  <c r="CF11" i="11"/>
  <c r="CG11" i="11"/>
  <c r="CH11" i="11"/>
  <c r="CI11" i="11"/>
  <c r="CY237" i="11"/>
  <c r="CY60" i="11"/>
  <c r="BT107" i="11"/>
  <c r="BT197" i="11"/>
  <c r="BT32" i="11"/>
  <c r="CY54" i="11"/>
  <c r="CY68" i="11"/>
  <c r="CY142" i="11"/>
  <c r="BC251" i="11"/>
  <c r="BJ98" i="11"/>
  <c r="CW71" i="11"/>
  <c r="CO16" i="11"/>
  <c r="CS31" i="11"/>
  <c r="BB251" i="11"/>
  <c r="BJ247" i="11"/>
  <c r="BJ243" i="11"/>
  <c r="BE251" i="11"/>
  <c r="CW72" i="11"/>
  <c r="CW73" i="11"/>
  <c r="CS32" i="11"/>
  <c r="CO17" i="11"/>
  <c r="CO18" i="11"/>
  <c r="CS33" i="11"/>
  <c r="BA69" i="11"/>
  <c r="CO23" i="11"/>
  <c r="CW78" i="11"/>
  <c r="CS38" i="11"/>
  <c r="CO15" i="11"/>
  <c r="CW70" i="11"/>
  <c r="CS30" i="11"/>
  <c r="BD251" i="11"/>
  <c r="BJ76" i="11"/>
  <c r="BC69" i="11"/>
  <c r="BD69" i="11"/>
  <c r="BJ62" i="11"/>
  <c r="BA251" i="11"/>
  <c r="BB69" i="11"/>
  <c r="BJ229" i="11"/>
  <c r="CW68" i="11"/>
  <c r="CW67" i="11"/>
  <c r="CO13" i="11"/>
  <c r="CS28" i="11"/>
  <c r="CO12" i="11"/>
  <c r="CS27" i="11"/>
  <c r="BE69" i="11"/>
  <c r="CS36" i="11"/>
  <c r="CW76" i="11"/>
  <c r="CO21" i="11"/>
  <c r="CW75" i="11"/>
  <c r="CO20" i="11"/>
  <c r="CS35" i="11"/>
  <c r="CW77" i="11"/>
  <c r="CS37" i="11"/>
  <c r="CO22" i="11"/>
  <c r="BJ61" i="11"/>
  <c r="CS34" i="11"/>
  <c r="CO19" i="11"/>
  <c r="CW74" i="11"/>
  <c r="BJ244" i="11"/>
  <c r="BJ168" i="11"/>
  <c r="CO14" i="11"/>
  <c r="CW69" i="11"/>
  <c r="CS29" i="11"/>
  <c r="BN251" i="11"/>
  <c r="BJ251" i="11"/>
  <c r="BR251" i="11"/>
  <c r="BR121" i="11"/>
  <c r="BR87" i="11"/>
  <c r="BR118" i="11"/>
  <c r="BR109" i="11"/>
  <c r="BR112" i="11"/>
  <c r="BN82" i="11"/>
  <c r="BR97" i="11"/>
  <c r="BR70" i="11"/>
  <c r="BR125" i="11"/>
  <c r="BR88" i="11"/>
  <c r="BR94" i="11"/>
  <c r="BN78" i="11"/>
  <c r="BJ69" i="11"/>
  <c r="BR93" i="11"/>
  <c r="BR127" i="11"/>
  <c r="BR124" i="11"/>
  <c r="BN83" i="11"/>
  <c r="BN75" i="11"/>
  <c r="BR76" i="11"/>
  <c r="BR128" i="11"/>
  <c r="BJ71" i="11"/>
  <c r="BR86" i="11"/>
  <c r="BN80" i="11"/>
  <c r="BR72" i="11"/>
  <c r="BR82" i="11"/>
  <c r="BR126" i="11"/>
  <c r="BR84" i="11"/>
  <c r="BR78" i="11"/>
  <c r="BR85" i="11"/>
  <c r="BN81" i="11"/>
  <c r="BR71" i="11"/>
  <c r="BR77" i="11"/>
  <c r="BR108" i="11"/>
  <c r="BR92" i="11"/>
  <c r="BN72" i="11"/>
  <c r="BR117" i="11"/>
  <c r="BN76" i="11"/>
  <c r="BR96" i="11"/>
  <c r="BR123" i="11"/>
  <c r="BR73" i="11"/>
  <c r="BN85" i="11"/>
  <c r="BR99" i="11"/>
  <c r="BR80" i="11"/>
  <c r="BR79" i="11"/>
  <c r="BR106" i="11"/>
  <c r="BR111" i="11"/>
  <c r="BR104" i="11"/>
  <c r="BR103" i="11"/>
  <c r="BR89" i="11"/>
  <c r="BJ72" i="11"/>
  <c r="BR105" i="11"/>
  <c r="BR91" i="11"/>
  <c r="BR114" i="11"/>
  <c r="BR101" i="11"/>
  <c r="BR107" i="11"/>
  <c r="BR90" i="11"/>
  <c r="BJ73" i="11"/>
  <c r="BR119" i="11"/>
  <c r="BR102" i="11"/>
  <c r="BR75" i="11"/>
  <c r="BR115" i="11"/>
  <c r="BR81" i="11"/>
  <c r="BR100" i="11"/>
  <c r="BR110" i="11"/>
  <c r="BR122" i="11"/>
  <c r="BR116" i="11"/>
  <c r="BR95" i="11"/>
  <c r="BN86" i="11"/>
  <c r="BN87" i="11"/>
  <c r="BN84" i="11"/>
  <c r="BN71" i="11"/>
  <c r="BN74" i="11"/>
  <c r="BR98" i="11"/>
  <c r="BR74" i="11"/>
  <c r="BR69" i="11"/>
  <c r="BR113" i="11"/>
  <c r="BJ70" i="11"/>
  <c r="BN73" i="11"/>
  <c r="BN79" i="11"/>
  <c r="BN77" i="11"/>
  <c r="BR83" i="11"/>
  <c r="BN88" i="11"/>
  <c r="BN69" i="11"/>
  <c r="BN70" i="11"/>
  <c r="BR120" i="11"/>
  <c r="CA120" i="11" l="1"/>
  <c r="BY70" i="11"/>
  <c r="CA122" i="11"/>
  <c r="CA110" i="11"/>
  <c r="CA115" i="11"/>
  <c r="CA119" i="11"/>
  <c r="BY73" i="11"/>
  <c r="BY72" i="11"/>
  <c r="CA111" i="11"/>
  <c r="BY71" i="11"/>
  <c r="CA124" i="11"/>
  <c r="BY69" i="11"/>
  <c r="CA125" i="11"/>
  <c r="CA118" i="11"/>
  <c r="BY251" i="11"/>
  <c r="BY168" i="11"/>
  <c r="BY244" i="11"/>
  <c r="BY61" i="11"/>
  <c r="BY229" i="11"/>
  <c r="CY69" i="11"/>
  <c r="BB5" i="11"/>
  <c r="D50" i="1"/>
  <c r="BY62" i="11"/>
  <c r="BT88" i="11"/>
  <c r="BT86" i="11"/>
  <c r="BT81" i="11"/>
  <c r="BT84" i="11"/>
  <c r="BT80" i="11"/>
  <c r="BT82" i="11"/>
  <c r="BT78" i="11"/>
  <c r="BT73" i="11"/>
  <c r="BT83" i="11"/>
  <c r="BT72" i="11"/>
  <c r="BT71" i="11"/>
  <c r="BT85" i="11"/>
  <c r="BT70" i="11"/>
  <c r="BT77" i="11"/>
  <c r="BT76" i="11"/>
  <c r="BT87" i="11"/>
  <c r="BT75" i="11"/>
  <c r="BT79" i="11"/>
  <c r="BT74" i="11"/>
  <c r="BT69" i="11"/>
  <c r="BC5" i="11"/>
  <c r="BY76" i="11"/>
  <c r="J50" i="1"/>
  <c r="L50" i="1" s="1"/>
  <c r="N50" i="1" s="1"/>
  <c r="BT251" i="11"/>
  <c r="P50" i="1"/>
  <c r="BY243" i="11"/>
  <c r="BY247" i="11"/>
  <c r="CY251" i="11"/>
  <c r="F50" i="1"/>
  <c r="BY98" i="11"/>
  <c r="H50" i="1"/>
  <c r="BU221" i="11"/>
  <c r="BW221" i="11" s="1"/>
  <c r="CA221" i="11" s="1"/>
  <c r="BU51" i="11"/>
  <c r="BW51" i="11" s="1"/>
  <c r="CA51" i="11" s="1"/>
  <c r="BU231" i="11"/>
  <c r="BV231" i="11" s="1"/>
  <c r="BZ231" i="11" s="1"/>
  <c r="BU206" i="11"/>
  <c r="BV206" i="11" s="1"/>
  <c r="BZ206" i="11" s="1"/>
  <c r="BU137" i="11"/>
  <c r="BU150" i="11"/>
  <c r="BV150" i="11" s="1"/>
  <c r="BZ150" i="11" s="1"/>
  <c r="BU165" i="11"/>
  <c r="BW165" i="11" s="1"/>
  <c r="CA165" i="11" s="1"/>
  <c r="BU209" i="11"/>
  <c r="BV209" i="11" s="1"/>
  <c r="BZ209" i="11" s="1"/>
  <c r="BU113" i="11"/>
  <c r="BV113" i="11" s="1"/>
  <c r="BZ113" i="11" s="1"/>
  <c r="BU121" i="11"/>
  <c r="BV121" i="11" s="1"/>
  <c r="BZ121" i="11" s="1"/>
  <c r="BU234" i="11"/>
  <c r="BV234" i="11" s="1"/>
  <c r="BZ234" i="11" s="1"/>
  <c r="BU197" i="11"/>
  <c r="BV197" i="11" s="1"/>
  <c r="BZ197" i="11" s="1"/>
  <c r="BU164" i="11"/>
  <c r="BW164" i="11" s="1"/>
  <c r="CA164" i="11" s="1"/>
  <c r="BU153" i="11"/>
  <c r="BV153" i="11" s="1"/>
  <c r="BZ153" i="11" s="1"/>
  <c r="BU193" i="11"/>
  <c r="BV193" i="11" s="1"/>
  <c r="BZ193" i="11" s="1"/>
  <c r="BU130" i="11"/>
  <c r="BV130" i="11" s="1"/>
  <c r="BZ130" i="11" s="1"/>
  <c r="BU203" i="11"/>
  <c r="BV203" i="11" s="1"/>
  <c r="BZ203" i="11" s="1"/>
  <c r="BU155" i="11"/>
  <c r="BV155" i="11" s="1"/>
  <c r="BZ155" i="11" s="1"/>
  <c r="BU179" i="11"/>
  <c r="BV179" i="11" s="1"/>
  <c r="BZ179" i="11" s="1"/>
  <c r="BU225" i="11"/>
  <c r="BW225" i="11" s="1"/>
  <c r="CA225" i="11" s="1"/>
  <c r="BU61" i="11"/>
  <c r="BU47" i="11"/>
  <c r="BV47" i="11" s="1"/>
  <c r="BZ47" i="11" s="1"/>
  <c r="BU196" i="11"/>
  <c r="BW196" i="11" s="1"/>
  <c r="CA196" i="11" s="1"/>
  <c r="BU120" i="11"/>
  <c r="BW120" i="11" s="1"/>
  <c r="BW61" i="11"/>
  <c r="CA61" i="11" s="1"/>
  <c r="BV61" i="11"/>
  <c r="BZ61" i="11" s="1"/>
  <c r="BU126" i="11"/>
  <c r="BW126" i="11" s="1"/>
  <c r="CA126" i="11" s="1"/>
  <c r="BU111" i="11"/>
  <c r="BW111" i="11" s="1"/>
  <c r="BU215" i="11"/>
  <c r="BW215" i="11" s="1"/>
  <c r="CA215" i="11" s="1"/>
  <c r="BU181" i="11"/>
  <c r="BV181" i="11" s="1"/>
  <c r="BZ181" i="11" s="1"/>
  <c r="BU148" i="11"/>
  <c r="BV148" i="11" s="1"/>
  <c r="BZ148" i="11" s="1"/>
  <c r="BU249" i="11"/>
  <c r="BW249" i="11" s="1"/>
  <c r="CA249" i="11" s="1"/>
  <c r="BU182" i="11"/>
  <c r="BW182" i="11" s="1"/>
  <c r="CA182" i="11" s="1"/>
  <c r="BU149" i="11"/>
  <c r="BV149" i="11" s="1"/>
  <c r="BZ149" i="11" s="1"/>
  <c r="BU204" i="11"/>
  <c r="BV204" i="11" s="1"/>
  <c r="BZ204" i="11" s="1"/>
  <c r="BU109" i="11"/>
  <c r="BW109" i="11" s="1"/>
  <c r="CA109" i="11" s="1"/>
  <c r="BU241" i="11"/>
  <c r="BW241" i="11" s="1"/>
  <c r="CA241" i="11" s="1"/>
  <c r="BU110" i="11"/>
  <c r="BW110" i="11" s="1"/>
  <c r="CG5" i="11"/>
  <c r="BU219" i="11"/>
  <c r="BW219" i="11" s="1"/>
  <c r="CA219" i="11" s="1"/>
  <c r="BU52" i="11"/>
  <c r="BV52" i="11" s="1"/>
  <c r="BZ52" i="11" s="1"/>
  <c r="BU147" i="11"/>
  <c r="BW147" i="11" s="1"/>
  <c r="CA147" i="11" s="1"/>
  <c r="BU162" i="11"/>
  <c r="BW162" i="11" s="1"/>
  <c r="CA162" i="11" s="1"/>
  <c r="BU214" i="11"/>
  <c r="BV214" i="11" s="1"/>
  <c r="BZ214" i="11" s="1"/>
  <c r="BU59" i="11"/>
  <c r="BV59" i="11" s="1"/>
  <c r="BZ59" i="11" s="1"/>
  <c r="BU174" i="11"/>
  <c r="BV174" i="11" s="1"/>
  <c r="BZ174" i="11" s="1"/>
  <c r="BU152" i="11"/>
  <c r="BW152" i="11" s="1"/>
  <c r="CA152" i="11" s="1"/>
  <c r="BU186" i="11"/>
  <c r="BW186" i="11" s="1"/>
  <c r="CA186" i="11" s="1"/>
  <c r="BU173" i="11"/>
  <c r="BV173" i="11" s="1"/>
  <c r="BZ173" i="11" s="1"/>
  <c r="BU170" i="11"/>
  <c r="BV170" i="11" s="1"/>
  <c r="BZ170" i="11" s="1"/>
  <c r="BU184" i="11"/>
  <c r="BW184" i="11" s="1"/>
  <c r="CA184" i="11" s="1"/>
  <c r="BU69" i="11"/>
  <c r="BV69" i="11" s="1"/>
  <c r="BZ69" i="11" s="1"/>
  <c r="BU142" i="11"/>
  <c r="BV142" i="11" s="1"/>
  <c r="BZ142" i="11" s="1"/>
  <c r="BU125" i="11"/>
  <c r="BW125" i="11" s="1"/>
  <c r="BU118" i="11"/>
  <c r="BW118" i="11" s="1"/>
  <c r="BU53" i="11"/>
  <c r="BW53" i="11" s="1"/>
  <c r="CA53" i="11" s="1"/>
  <c r="BU200" i="11"/>
  <c r="BW200" i="11" s="1"/>
  <c r="CA200" i="11" s="1"/>
  <c r="BU146" i="11"/>
  <c r="BW146" i="11" s="1"/>
  <c r="CA146" i="11" s="1"/>
  <c r="BU213" i="11"/>
  <c r="BW213" i="11" s="1"/>
  <c r="CA213" i="11" s="1"/>
  <c r="BU195" i="11"/>
  <c r="BW195" i="11" s="1"/>
  <c r="CA195" i="11" s="1"/>
  <c r="BU194" i="11"/>
  <c r="BV194" i="11" s="1"/>
  <c r="BZ194" i="11" s="1"/>
  <c r="BU180" i="11"/>
  <c r="BU207" i="11"/>
  <c r="BW207" i="11" s="1"/>
  <c r="CA207" i="11" s="1"/>
  <c r="BW193" i="11"/>
  <c r="CA193" i="11" s="1"/>
  <c r="BU212" i="11"/>
  <c r="BV212" i="11" s="1"/>
  <c r="BZ212" i="11" s="1"/>
  <c r="CZ19" i="11"/>
  <c r="CZ20" i="11" s="1"/>
  <c r="CZ21" i="11" s="1"/>
  <c r="CZ22" i="11" s="1"/>
  <c r="CZ23" i="11" s="1"/>
  <c r="CZ24" i="11" s="1"/>
  <c r="CZ25" i="11" s="1"/>
  <c r="CZ26" i="11" s="1"/>
  <c r="CZ27" i="11" s="1"/>
  <c r="CZ28" i="11" s="1"/>
  <c r="CZ29" i="11" s="1"/>
  <c r="CZ30" i="11" s="1"/>
  <c r="CZ31" i="11" s="1"/>
  <c r="CZ32" i="11" s="1"/>
  <c r="CZ33" i="11" s="1"/>
  <c r="DA33" i="11"/>
  <c r="DA34" i="11" s="1"/>
  <c r="DA35" i="11" s="1"/>
  <c r="DA36" i="11" s="1"/>
  <c r="DA37" i="11" s="1"/>
  <c r="DA38" i="11" s="1"/>
  <c r="DA39" i="11" s="1"/>
  <c r="DA40" i="11" s="1"/>
  <c r="DA41" i="11" s="1"/>
  <c r="DA42" i="11" s="1"/>
  <c r="DA43" i="11" s="1"/>
  <c r="DA44" i="11" s="1"/>
  <c r="DA45" i="11" s="1"/>
  <c r="DA46" i="11" s="1"/>
  <c r="DA47" i="11" s="1"/>
  <c r="DA48" i="11" s="1"/>
  <c r="DA49" i="11" s="1"/>
  <c r="DA50" i="11" s="1"/>
  <c r="DA51" i="11" s="1"/>
  <c r="DA52" i="11" s="1"/>
  <c r="DA53" i="11" s="1"/>
  <c r="DA54" i="11" s="1"/>
  <c r="DA55" i="11" s="1"/>
  <c r="DA56" i="11" s="1"/>
  <c r="DA57" i="11" s="1"/>
  <c r="DA58" i="11" s="1"/>
  <c r="DA59" i="11" s="1"/>
  <c r="DA60" i="11" s="1"/>
  <c r="DA61" i="11" s="1"/>
  <c r="DA62" i="11" s="1"/>
  <c r="DA63" i="11" s="1"/>
  <c r="DA64" i="11" s="1"/>
  <c r="DA65" i="11" s="1"/>
  <c r="DA66" i="11" s="1"/>
  <c r="DA67" i="11" s="1"/>
  <c r="DA68" i="11" s="1"/>
  <c r="DA69" i="11" s="1"/>
  <c r="DA70" i="11" s="1"/>
  <c r="DA71" i="11" s="1"/>
  <c r="DA72" i="11" s="1"/>
  <c r="DA73" i="11" s="1"/>
  <c r="DA74" i="11" s="1"/>
  <c r="DA75" i="11" s="1"/>
  <c r="DA76" i="11" s="1"/>
  <c r="DA77" i="11" s="1"/>
  <c r="DA78" i="11" s="1"/>
  <c r="DA79" i="11" s="1"/>
  <c r="DA80" i="11" s="1"/>
  <c r="DA81" i="11" s="1"/>
  <c r="DA82" i="11" s="1"/>
  <c r="DA83" i="11" s="1"/>
  <c r="DA84" i="11" s="1"/>
  <c r="DA85" i="11" s="1"/>
  <c r="DA86" i="11" s="1"/>
  <c r="DA87" i="11" s="1"/>
  <c r="DA88" i="11" s="1"/>
  <c r="DA89" i="11" s="1"/>
  <c r="DA90" i="11" s="1"/>
  <c r="DA91" i="11" s="1"/>
  <c r="DA92" i="11" s="1"/>
  <c r="DA93" i="11" s="1"/>
  <c r="DA94" i="11" s="1"/>
  <c r="DA95" i="11" s="1"/>
  <c r="DA96" i="11" s="1"/>
  <c r="DA97" i="11" s="1"/>
  <c r="DA98" i="11" s="1"/>
  <c r="DA99" i="11" s="1"/>
  <c r="DA100" i="11" s="1"/>
  <c r="DA101" i="11" s="1"/>
  <c r="DA102" i="11" s="1"/>
  <c r="DA103" i="11" s="1"/>
  <c r="DA104" i="11" s="1"/>
  <c r="DA105" i="11" s="1"/>
  <c r="DA106" i="11" s="1"/>
  <c r="DA107" i="11" s="1"/>
  <c r="DA108" i="11" s="1"/>
  <c r="DA109" i="11" s="1"/>
  <c r="DA110" i="11" s="1"/>
  <c r="DA111" i="11" s="1"/>
  <c r="DA112" i="11" s="1"/>
  <c r="DA113" i="11" s="1"/>
  <c r="DA114" i="11" s="1"/>
  <c r="DA115" i="11" s="1"/>
  <c r="DA116" i="11" s="1"/>
  <c r="DA117" i="11" s="1"/>
  <c r="DA118" i="11" s="1"/>
  <c r="DA119" i="11" s="1"/>
  <c r="DA120" i="11" s="1"/>
  <c r="DA121" i="11" s="1"/>
  <c r="DA122" i="11" s="1"/>
  <c r="DA123" i="11" s="1"/>
  <c r="DA124" i="11" s="1"/>
  <c r="DA125" i="11" s="1"/>
  <c r="DA126" i="11" s="1"/>
  <c r="DA127" i="11" s="1"/>
  <c r="DA128" i="11" s="1"/>
  <c r="DA129" i="11" s="1"/>
  <c r="DA130" i="11" s="1"/>
  <c r="DA131" i="11" s="1"/>
  <c r="DA132" i="11" s="1"/>
  <c r="DA133" i="11" s="1"/>
  <c r="DA134" i="11" s="1"/>
  <c r="DA135" i="11" s="1"/>
  <c r="DA136" i="11" s="1"/>
  <c r="DA137" i="11" s="1"/>
  <c r="DA138" i="11" s="1"/>
  <c r="DA139" i="11" s="1"/>
  <c r="DA140" i="11" s="1"/>
  <c r="DA141" i="11" s="1"/>
  <c r="DA142" i="11" s="1"/>
  <c r="DA143" i="11" s="1"/>
  <c r="DA144" i="11" s="1"/>
  <c r="DA145" i="11" s="1"/>
  <c r="DA146" i="11" s="1"/>
  <c r="DA147" i="11" s="1"/>
  <c r="DA148" i="11" s="1"/>
  <c r="DA149" i="11" s="1"/>
  <c r="DA150" i="11" s="1"/>
  <c r="DA151" i="11" s="1"/>
  <c r="DA152" i="11" s="1"/>
  <c r="DA153" i="11" s="1"/>
  <c r="DA154" i="11" s="1"/>
  <c r="DA155" i="11" s="1"/>
  <c r="DA156" i="11" s="1"/>
  <c r="DA157" i="11" s="1"/>
  <c r="DA158" i="11" s="1"/>
  <c r="DA159" i="11" s="1"/>
  <c r="DA160" i="11" s="1"/>
  <c r="DA161" i="11" s="1"/>
  <c r="DA162" i="11" s="1"/>
  <c r="DA163" i="11" s="1"/>
  <c r="DA164" i="11" s="1"/>
  <c r="DA165" i="11" s="1"/>
  <c r="DA166" i="11" s="1"/>
  <c r="DA167" i="11" s="1"/>
  <c r="DA168" i="11" s="1"/>
  <c r="DA169" i="11" s="1"/>
  <c r="DA170" i="11" s="1"/>
  <c r="DA171" i="11" s="1"/>
  <c r="DA172" i="11" s="1"/>
  <c r="DA173" i="11" s="1"/>
  <c r="DA174" i="11" s="1"/>
  <c r="DA175" i="11" s="1"/>
  <c r="DA176" i="11" s="1"/>
  <c r="DA177" i="11" s="1"/>
  <c r="DA178" i="11" s="1"/>
  <c r="DA179" i="11" s="1"/>
  <c r="DA180" i="11" s="1"/>
  <c r="DA181" i="11" s="1"/>
  <c r="DA182" i="11" s="1"/>
  <c r="DA183" i="11" s="1"/>
  <c r="DA184" i="11" s="1"/>
  <c r="DA185" i="11" s="1"/>
  <c r="DA186" i="11" s="1"/>
  <c r="DA187" i="11" s="1"/>
  <c r="DA188" i="11" s="1"/>
  <c r="DA189" i="11" s="1"/>
  <c r="DA190" i="11" s="1"/>
  <c r="DA191" i="11" s="1"/>
  <c r="DA192" i="11" s="1"/>
  <c r="DA193" i="11" s="1"/>
  <c r="DA194" i="11" s="1"/>
  <c r="DA195" i="11" s="1"/>
  <c r="DA196" i="11" s="1"/>
  <c r="DA197" i="11" s="1"/>
  <c r="DA198" i="11" s="1"/>
  <c r="DA199" i="11" s="1"/>
  <c r="DA200" i="11" s="1"/>
  <c r="DA201" i="11" s="1"/>
  <c r="DA202" i="11" s="1"/>
  <c r="DA203" i="11" s="1"/>
  <c r="DA204" i="11" s="1"/>
  <c r="DA205" i="11" s="1"/>
  <c r="DA206" i="11" s="1"/>
  <c r="DA207" i="11" s="1"/>
  <c r="DA208" i="11" s="1"/>
  <c r="DA209" i="11" s="1"/>
  <c r="DA210" i="11" s="1"/>
  <c r="DA211" i="11" s="1"/>
  <c r="DA212" i="11" s="1"/>
  <c r="DA213" i="11" s="1"/>
  <c r="DA214" i="11" s="1"/>
  <c r="DA215" i="11" s="1"/>
  <c r="DA216" i="11" s="1"/>
  <c r="DA217" i="11" s="1"/>
  <c r="DA218" i="11" s="1"/>
  <c r="DA219" i="11" s="1"/>
  <c r="DA220" i="11" s="1"/>
  <c r="DA221" i="11" s="1"/>
  <c r="DA222" i="11" s="1"/>
  <c r="DA223" i="11" s="1"/>
  <c r="DA224" i="11" s="1"/>
  <c r="DA225" i="11" s="1"/>
  <c r="DA226" i="11" s="1"/>
  <c r="DA227" i="11" s="1"/>
  <c r="DA228" i="11" s="1"/>
  <c r="DA229" i="11" s="1"/>
  <c r="DA230" i="11" s="1"/>
  <c r="DA231" i="11" s="1"/>
  <c r="DA232" i="11" s="1"/>
  <c r="DA233" i="11" s="1"/>
  <c r="DA234" i="11" s="1"/>
  <c r="DA235" i="11" s="1"/>
  <c r="DA236" i="11" s="1"/>
  <c r="DA237" i="11" s="1"/>
  <c r="DA238" i="11" s="1"/>
  <c r="DA239" i="11" s="1"/>
  <c r="DA240" i="11" s="1"/>
  <c r="DA241" i="11" s="1"/>
  <c r="DA242" i="11" s="1"/>
  <c r="DA243" i="11" s="1"/>
  <c r="DA244" i="11" s="1"/>
  <c r="DA245" i="11" s="1"/>
  <c r="DA246" i="11" s="1"/>
  <c r="DA247" i="11" s="1"/>
  <c r="DA248" i="11" s="1"/>
  <c r="DA249" i="11" s="1"/>
  <c r="DA250" i="11" s="1"/>
  <c r="DA251" i="11" s="1"/>
  <c r="DA252" i="11" s="1"/>
  <c r="DA253" i="11" s="1"/>
  <c r="DA254" i="11" s="1"/>
  <c r="DA255" i="11" s="1"/>
  <c r="DA256" i="11" s="1"/>
  <c r="DA257" i="11" s="1"/>
  <c r="DA258" i="11" s="1"/>
  <c r="DA259" i="11" s="1"/>
  <c r="DA260" i="11" s="1"/>
  <c r="DA261" i="11" s="1"/>
  <c r="DA262" i="11" s="1"/>
  <c r="DA263" i="11" s="1"/>
  <c r="DA264" i="11" s="1"/>
  <c r="DA265" i="11" s="1"/>
  <c r="BU48" i="11"/>
  <c r="BV48" i="11" s="1"/>
  <c r="BZ48" i="11" s="1"/>
  <c r="BU124" i="11"/>
  <c r="BW124" i="11" s="1"/>
  <c r="BU228" i="11"/>
  <c r="BW228" i="11" s="1"/>
  <c r="CA228" i="11" s="1"/>
  <c r="BU190" i="11"/>
  <c r="BV190" i="11" s="1"/>
  <c r="BZ190" i="11" s="1"/>
  <c r="BU191" i="11"/>
  <c r="BV191" i="11" s="1"/>
  <c r="BZ191" i="11" s="1"/>
  <c r="BU49" i="11"/>
  <c r="BW49" i="11" s="1"/>
  <c r="CA49" i="11" s="1"/>
  <c r="BU166" i="11"/>
  <c r="BW166" i="11" s="1"/>
  <c r="CA166" i="11" s="1"/>
  <c r="BU156" i="11"/>
  <c r="BV156" i="11" s="1"/>
  <c r="BZ156" i="11" s="1"/>
  <c r="BV137" i="11"/>
  <c r="BZ137" i="11" s="1"/>
  <c r="BW137" i="11"/>
  <c r="CA137" i="11" s="1"/>
  <c r="BU199" i="11"/>
  <c r="BV199" i="11" s="1"/>
  <c r="BZ199" i="11" s="1"/>
  <c r="BW180" i="11"/>
  <c r="CA180" i="11" s="1"/>
  <c r="BV180" i="11"/>
  <c r="BZ180" i="11" s="1"/>
  <c r="BU239" i="11"/>
  <c r="BW239" i="11" s="1"/>
  <c r="CA239" i="11" s="1"/>
  <c r="BU224" i="11"/>
  <c r="BV224" i="11" s="1"/>
  <c r="BZ224" i="11" s="1"/>
  <c r="BV51" i="11"/>
  <c r="BZ51" i="11" s="1"/>
  <c r="BU187" i="11"/>
  <c r="BW187" i="11" s="1"/>
  <c r="CA187" i="11" s="1"/>
  <c r="BU119" i="11"/>
  <c r="BW119" i="11" s="1"/>
  <c r="BU129" i="11"/>
  <c r="BW129" i="11" s="1"/>
  <c r="CA129" i="11" s="1"/>
  <c r="BV110" i="11"/>
  <c r="BZ110" i="11" s="1"/>
  <c r="BU143" i="11"/>
  <c r="BV143" i="11" s="1"/>
  <c r="BZ143" i="11" s="1"/>
  <c r="BU145" i="11"/>
  <c r="BW145" i="11" s="1"/>
  <c r="CA145" i="11" s="1"/>
  <c r="BU54" i="11"/>
  <c r="BW54" i="11" s="1"/>
  <c r="CA54" i="11" s="1"/>
  <c r="BU158" i="11"/>
  <c r="BW158" i="11" s="1"/>
  <c r="CA158" i="11" s="1"/>
  <c r="BU151" i="11"/>
  <c r="BW151" i="11" s="1"/>
  <c r="CA151" i="11" s="1"/>
  <c r="BU58" i="11"/>
  <c r="BW58" i="11" s="1"/>
  <c r="CA58" i="11" s="1"/>
  <c r="BU136" i="11"/>
  <c r="BV136" i="11" s="1"/>
  <c r="BZ136" i="11" s="1"/>
  <c r="BU198" i="11"/>
  <c r="BV198" i="11" s="1"/>
  <c r="BZ198" i="11" s="1"/>
  <c r="BU157" i="11"/>
  <c r="BW157" i="11" s="1"/>
  <c r="CA157" i="11" s="1"/>
  <c r="BU64" i="11"/>
  <c r="BW64" i="11" s="1"/>
  <c r="CA64" i="11" s="1"/>
  <c r="BU177" i="11"/>
  <c r="BW177" i="11" s="1"/>
  <c r="CA177" i="11" s="1"/>
  <c r="BU160" i="11"/>
  <c r="BW160" i="11" s="1"/>
  <c r="CA160" i="11" s="1"/>
  <c r="BU176" i="11"/>
  <c r="BW176" i="11" s="1"/>
  <c r="CA176" i="11" s="1"/>
  <c r="BU236" i="11"/>
  <c r="BV236" i="11" s="1"/>
  <c r="BZ236" i="11" s="1"/>
  <c r="BW52" i="11"/>
  <c r="CA52" i="11" s="1"/>
  <c r="BU185" i="11"/>
  <c r="BV185" i="11" s="1"/>
  <c r="BZ185" i="11" s="1"/>
  <c r="BU56" i="11"/>
  <c r="BV56" i="11" s="1"/>
  <c r="BZ56" i="11" s="1"/>
  <c r="BU168" i="11"/>
  <c r="BV168" i="11" s="1"/>
  <c r="BZ168" i="11" s="1"/>
  <c r="BU123" i="11"/>
  <c r="BV123" i="11" s="1"/>
  <c r="BZ123" i="11" s="1"/>
  <c r="BU128" i="11"/>
  <c r="BW128" i="11" s="1"/>
  <c r="CA128" i="11" s="1"/>
  <c r="BV109" i="11"/>
  <c r="BZ109" i="11" s="1"/>
  <c r="BU237" i="11"/>
  <c r="BV237" i="11" s="1"/>
  <c r="BZ237" i="11" s="1"/>
  <c r="BU216" i="11"/>
  <c r="BW216" i="11" s="1"/>
  <c r="CA216" i="11" s="1"/>
  <c r="BW197" i="11"/>
  <c r="CA197" i="11" s="1"/>
  <c r="BU202" i="11"/>
  <c r="BW202" i="11" s="1"/>
  <c r="CA202" i="11" s="1"/>
  <c r="BU247" i="11"/>
  <c r="BV247" i="11" s="1"/>
  <c r="BZ247" i="11" s="1"/>
  <c r="BV186" i="11"/>
  <c r="BZ186" i="11" s="1"/>
  <c r="BU205" i="11"/>
  <c r="BW205" i="11" s="1"/>
  <c r="CA205" i="11" s="1"/>
  <c r="BU66" i="11"/>
  <c r="BV66" i="11" s="1"/>
  <c r="BZ66" i="11" s="1"/>
  <c r="BU127" i="11"/>
  <c r="BV127" i="11" s="1"/>
  <c r="BZ127" i="11" s="1"/>
  <c r="BU230" i="11"/>
  <c r="BW230" i="11" s="1"/>
  <c r="CA230" i="11" s="1"/>
  <c r="BU235" i="11"/>
  <c r="BW235" i="11" s="1"/>
  <c r="CA235" i="11" s="1"/>
  <c r="BU245" i="11"/>
  <c r="BV245" i="11" s="1"/>
  <c r="BZ245" i="11" s="1"/>
  <c r="BU112" i="11"/>
  <c r="BV112" i="11" s="1"/>
  <c r="BZ112" i="11" s="1"/>
  <c r="BU154" i="11"/>
  <c r="BV154" i="11" s="1"/>
  <c r="BZ154" i="11" s="1"/>
  <c r="BU141" i="11"/>
  <c r="BW141" i="11" s="1"/>
  <c r="CA141" i="11" s="1"/>
  <c r="BU232" i="11"/>
  <c r="BW232" i="11" s="1"/>
  <c r="CA232" i="11" s="1"/>
  <c r="BU172" i="11"/>
  <c r="BW172" i="11" s="1"/>
  <c r="CA172" i="11" s="1"/>
  <c r="BW153" i="11"/>
  <c r="CA153" i="11" s="1"/>
  <c r="BU139" i="11"/>
  <c r="BV139" i="11" s="1"/>
  <c r="BZ139" i="11" s="1"/>
  <c r="BV120" i="11"/>
  <c r="BZ120" i="11" s="1"/>
  <c r="BU63" i="11"/>
  <c r="BV63" i="11" s="1"/>
  <c r="BZ63" i="11" s="1"/>
  <c r="BU223" i="11"/>
  <c r="BW223" i="11" s="1"/>
  <c r="CA223" i="11" s="1"/>
  <c r="BV207" i="11"/>
  <c r="BZ207" i="11" s="1"/>
  <c r="BU226" i="11"/>
  <c r="BW226" i="11" s="1"/>
  <c r="CA226" i="11" s="1"/>
  <c r="BU169" i="11"/>
  <c r="BW169" i="11" s="1"/>
  <c r="CA169" i="11" s="1"/>
  <c r="BU115" i="11"/>
  <c r="BW115" i="11" s="1"/>
  <c r="BU62" i="11"/>
  <c r="BV62" i="11" s="1"/>
  <c r="BZ62" i="11" s="1"/>
  <c r="BU201" i="11"/>
  <c r="BV201" i="11" s="1"/>
  <c r="BZ201" i="11" s="1"/>
  <c r="BV182" i="11"/>
  <c r="BZ182" i="11" s="1"/>
  <c r="BU222" i="11"/>
  <c r="BV222" i="11" s="1"/>
  <c r="BZ222" i="11" s="1"/>
  <c r="BU240" i="11"/>
  <c r="BW240" i="11" s="1"/>
  <c r="CA240" i="11" s="1"/>
  <c r="BV221" i="11"/>
  <c r="BZ221" i="11" s="1"/>
  <c r="BU229" i="11"/>
  <c r="BV229" i="11" s="1"/>
  <c r="BZ229" i="11" s="1"/>
  <c r="BU244" i="11"/>
  <c r="BW244" i="11" s="1"/>
  <c r="CA244" i="11" s="1"/>
  <c r="BV225" i="11"/>
  <c r="BZ225" i="11" s="1"/>
  <c r="BW198" i="11"/>
  <c r="CA198" i="11" s="1"/>
  <c r="BU217" i="11"/>
  <c r="BV217" i="11" s="1"/>
  <c r="BZ217" i="11" s="1"/>
  <c r="BU171" i="11"/>
  <c r="BW171" i="11" s="1"/>
  <c r="CA171" i="11" s="1"/>
  <c r="BV152" i="11"/>
  <c r="BZ152" i="11" s="1"/>
  <c r="BW113" i="11"/>
  <c r="CA113" i="11" s="1"/>
  <c r="BU208" i="11"/>
  <c r="BV208" i="11" s="1"/>
  <c r="BZ208" i="11" s="1"/>
  <c r="BU131" i="11"/>
  <c r="BW131" i="11" s="1"/>
  <c r="CA131" i="11" s="1"/>
  <c r="BU248" i="11"/>
  <c r="BW248" i="11" s="1"/>
  <c r="CA248" i="11" s="1"/>
  <c r="BU68" i="11"/>
  <c r="BV68" i="11" s="1"/>
  <c r="BZ68" i="11" s="1"/>
  <c r="BU144" i="11"/>
  <c r="BV144" i="11" s="1"/>
  <c r="BZ144" i="11" s="1"/>
  <c r="BU242" i="11"/>
  <c r="BW242" i="11" s="1"/>
  <c r="CA242" i="11" s="1"/>
  <c r="BU210" i="11"/>
  <c r="BW210" i="11" s="1"/>
  <c r="CA210" i="11" s="1"/>
  <c r="BW191" i="11"/>
  <c r="CA191" i="11" s="1"/>
  <c r="BV64" i="11"/>
  <c r="BZ64" i="11" s="1"/>
  <c r="BU161" i="11"/>
  <c r="BW161" i="11" s="1"/>
  <c r="CA161" i="11" s="1"/>
  <c r="BW142" i="11"/>
  <c r="CA142" i="11" s="1"/>
  <c r="BW231" i="11"/>
  <c r="CA231" i="11" s="1"/>
  <c r="BU250" i="11"/>
  <c r="BW250" i="11" s="1"/>
  <c r="CA250" i="11" s="1"/>
  <c r="BU233" i="11"/>
  <c r="BV233" i="11" s="1"/>
  <c r="BZ233" i="11" s="1"/>
  <c r="BU138" i="11"/>
  <c r="BV138" i="11" s="1"/>
  <c r="BZ138" i="11" s="1"/>
  <c r="BV58" i="11"/>
  <c r="BZ58" i="11" s="1"/>
  <c r="BU183" i="11"/>
  <c r="BV183" i="11" s="1"/>
  <c r="BZ183" i="11" s="1"/>
  <c r="BU243" i="11"/>
  <c r="BW243" i="11" s="1"/>
  <c r="CA243" i="11" s="1"/>
  <c r="BU175" i="11"/>
  <c r="BW175" i="11" s="1"/>
  <c r="CA175" i="11" s="1"/>
  <c r="BW156" i="11"/>
  <c r="CA156" i="11" s="1"/>
  <c r="CH5" i="11"/>
  <c r="BU135" i="11"/>
  <c r="BV135" i="11" s="1"/>
  <c r="BZ135" i="11" s="1"/>
  <c r="BU60" i="11"/>
  <c r="BV60" i="11" s="1"/>
  <c r="BZ60" i="11" s="1"/>
  <c r="BU211" i="11"/>
  <c r="BW211" i="11" s="1"/>
  <c r="CA211" i="11" s="1"/>
  <c r="BU238" i="11"/>
  <c r="BV238" i="11" s="1"/>
  <c r="BZ238" i="11" s="1"/>
  <c r="BW62" i="11"/>
  <c r="CA62" i="11" s="1"/>
  <c r="BU178" i="11"/>
  <c r="BV178" i="11" s="1"/>
  <c r="BZ178" i="11" s="1"/>
  <c r="BU55" i="11"/>
  <c r="BW55" i="11" s="1"/>
  <c r="CA55" i="11" s="1"/>
  <c r="BU108" i="11"/>
  <c r="BV108" i="11" s="1"/>
  <c r="BZ108" i="11" s="1"/>
  <c r="BU46" i="11"/>
  <c r="BW46" i="11" s="1"/>
  <c r="CA46" i="11" s="1"/>
  <c r="BU50" i="11"/>
  <c r="BV50" i="11" s="1"/>
  <c r="BZ50" i="11" s="1"/>
  <c r="BU122" i="11"/>
  <c r="BW122" i="11" s="1"/>
  <c r="BU114" i="11"/>
  <c r="BW114" i="11" s="1"/>
  <c r="CA114" i="11" s="1"/>
  <c r="BU65" i="11"/>
  <c r="BW65" i="11" s="1"/>
  <c r="CA65" i="11" s="1"/>
  <c r="BU132" i="11"/>
  <c r="BW132" i="11" s="1"/>
  <c r="CA132" i="11" s="1"/>
  <c r="BU140" i="11"/>
  <c r="BV140" i="11" s="1"/>
  <c r="BZ140" i="11" s="1"/>
  <c r="BW233" i="11"/>
  <c r="CA233" i="11" s="1"/>
  <c r="BW208" i="11"/>
  <c r="CA208" i="11" s="1"/>
  <c r="BU227" i="11"/>
  <c r="BV227" i="11" s="1"/>
  <c r="BZ227" i="11" s="1"/>
  <c r="BV171" i="11"/>
  <c r="BZ171" i="11" s="1"/>
  <c r="BU220" i="11"/>
  <c r="BV220" i="11" s="1"/>
  <c r="BZ220" i="11" s="1"/>
  <c r="BU167" i="11"/>
  <c r="BW167" i="11" s="1"/>
  <c r="CA167" i="11" s="1"/>
  <c r="BW148" i="11"/>
  <c r="CA148" i="11" s="1"/>
  <c r="BU188" i="11"/>
  <c r="BV188" i="11" s="1"/>
  <c r="BZ188" i="11" s="1"/>
  <c r="BW234" i="11"/>
  <c r="CA234" i="11" s="1"/>
  <c r="BW170" i="11"/>
  <c r="CA170" i="11" s="1"/>
  <c r="BU189" i="11"/>
  <c r="BW189" i="11" s="1"/>
  <c r="CA189" i="11" s="1"/>
  <c r="BU218" i="11"/>
  <c r="BW218" i="11" s="1"/>
  <c r="CA218" i="11" s="1"/>
  <c r="BW199" i="11"/>
  <c r="CA199" i="11" s="1"/>
  <c r="BU134" i="11"/>
  <c r="BV134" i="11" s="1"/>
  <c r="BZ134" i="11" s="1"/>
  <c r="BU67" i="11"/>
  <c r="BV67" i="11" s="1"/>
  <c r="BZ67" i="11" s="1"/>
  <c r="BU57" i="11"/>
  <c r="BW57" i="11" s="1"/>
  <c r="CA57" i="11" s="1"/>
  <c r="BW173" i="11"/>
  <c r="CA173" i="11" s="1"/>
  <c r="BU192" i="11"/>
  <c r="BW192" i="11" s="1"/>
  <c r="CA192" i="11" s="1"/>
  <c r="BW144" i="11"/>
  <c r="CA144" i="11" s="1"/>
  <c r="BU163" i="11"/>
  <c r="BV163" i="11" s="1"/>
  <c r="BZ163" i="11" s="1"/>
  <c r="BU159" i="11"/>
  <c r="BW159" i="11" s="1"/>
  <c r="CA159" i="11" s="1"/>
  <c r="BU133" i="11"/>
  <c r="BW133" i="11" s="1"/>
  <c r="CA133" i="11" s="1"/>
  <c r="BU246" i="11"/>
  <c r="BW246" i="11" s="1"/>
  <c r="CA246" i="11" s="1"/>
  <c r="BU117" i="11"/>
  <c r="BW117" i="11" s="1"/>
  <c r="CA117" i="11" s="1"/>
  <c r="BU116" i="11"/>
  <c r="BW116" i="11" s="1"/>
  <c r="CA116" i="11" s="1"/>
  <c r="BW140" i="11" l="1"/>
  <c r="CA140" i="11" s="1"/>
  <c r="BW121" i="11"/>
  <c r="CA121" i="11" s="1"/>
  <c r="BW214" i="11"/>
  <c r="CA214" i="11" s="1"/>
  <c r="BW149" i="11"/>
  <c r="CA149" i="11" s="1"/>
  <c r="BW179" i="11"/>
  <c r="CA179" i="11" s="1"/>
  <c r="BV169" i="11"/>
  <c r="BZ169" i="11" s="1"/>
  <c r="BW112" i="11"/>
  <c r="CA112" i="11" s="1"/>
  <c r="BW155" i="11"/>
  <c r="CA155" i="11" s="1"/>
  <c r="BW181" i="11"/>
  <c r="CA181" i="11" s="1"/>
  <c r="BV239" i="11"/>
  <c r="BZ239" i="11" s="1"/>
  <c r="BV249" i="11"/>
  <c r="BZ249" i="11" s="1"/>
  <c r="BV141" i="11"/>
  <c r="BZ141" i="11" s="1"/>
  <c r="BV126" i="11"/>
  <c r="BZ126" i="11" s="1"/>
  <c r="BV195" i="11"/>
  <c r="BZ195" i="11" s="1"/>
  <c r="BV189" i="11"/>
  <c r="BZ189" i="11" s="1"/>
  <c r="BU86" i="11"/>
  <c r="BW86" i="11" s="1"/>
  <c r="CA86" i="11" s="1"/>
  <c r="BV125" i="11"/>
  <c r="BZ125" i="11" s="1"/>
  <c r="BV213" i="11"/>
  <c r="BZ213" i="11" s="1"/>
  <c r="BW168" i="11"/>
  <c r="CA168" i="11" s="1"/>
  <c r="BV147" i="11"/>
  <c r="BZ147" i="11" s="1"/>
  <c r="BW60" i="11"/>
  <c r="CA60" i="11" s="1"/>
  <c r="BV145" i="11"/>
  <c r="BZ145" i="11" s="1"/>
  <c r="BV187" i="11"/>
  <c r="BZ187" i="11" s="1"/>
  <c r="BV124" i="11"/>
  <c r="BZ124" i="11" s="1"/>
  <c r="BV54" i="11"/>
  <c r="BZ54" i="11" s="1"/>
  <c r="BV161" i="11"/>
  <c r="BZ161" i="11" s="1"/>
  <c r="BW212" i="11"/>
  <c r="CA212" i="11" s="1"/>
  <c r="BW48" i="11"/>
  <c r="CA48" i="11" s="1"/>
  <c r="BW201" i="11"/>
  <c r="CA201" i="11" s="1"/>
  <c r="BV49" i="11"/>
  <c r="BZ49" i="11" s="1"/>
  <c r="BW183" i="11"/>
  <c r="CA183" i="11" s="1"/>
  <c r="BV159" i="11"/>
  <c r="BZ159" i="11" s="1"/>
  <c r="BV116" i="11"/>
  <c r="BZ116" i="11" s="1"/>
  <c r="BW150" i="11"/>
  <c r="CA150" i="11" s="1"/>
  <c r="BV165" i="11"/>
  <c r="BZ165" i="11" s="1"/>
  <c r="BW206" i="11"/>
  <c r="CA206" i="11" s="1"/>
  <c r="BW229" i="11"/>
  <c r="CA229" i="11" s="1"/>
  <c r="BV162" i="11"/>
  <c r="BZ162" i="11" s="1"/>
  <c r="BW245" i="11"/>
  <c r="CA245" i="11" s="1"/>
  <c r="BV53" i="11"/>
  <c r="BZ53" i="11" s="1"/>
  <c r="BW130" i="11"/>
  <c r="CA130" i="11" s="1"/>
  <c r="BU77" i="11"/>
  <c r="BV77" i="11" s="1"/>
  <c r="BZ77" i="11" s="1"/>
  <c r="BW209" i="11"/>
  <c r="CA209" i="11" s="1"/>
  <c r="BV250" i="11"/>
  <c r="BZ250" i="11" s="1"/>
  <c r="BV200" i="11"/>
  <c r="BZ200" i="11" s="1"/>
  <c r="BV184" i="11"/>
  <c r="BZ184" i="11" s="1"/>
  <c r="BU251" i="11"/>
  <c r="BV251" i="11" s="1"/>
  <c r="BZ251" i="11" s="1"/>
  <c r="BW251" i="11"/>
  <c r="CA251" i="11" s="1"/>
  <c r="BU104" i="11"/>
  <c r="BV240" i="11"/>
  <c r="BZ240" i="11" s="1"/>
  <c r="BW203" i="11"/>
  <c r="CA203" i="11" s="1"/>
  <c r="BV122" i="11"/>
  <c r="BZ122" i="11" s="1"/>
  <c r="BV211" i="11"/>
  <c r="BZ211" i="11" s="1"/>
  <c r="BV166" i="11"/>
  <c r="BZ166" i="11" s="1"/>
  <c r="BV132" i="11"/>
  <c r="BZ132" i="11" s="1"/>
  <c r="BV151" i="11"/>
  <c r="BZ151" i="11" s="1"/>
  <c r="BW236" i="11"/>
  <c r="CA236" i="11" s="1"/>
  <c r="BW247" i="11"/>
  <c r="CA247" i="11" s="1"/>
  <c r="BW178" i="11"/>
  <c r="CA178" i="11" s="1"/>
  <c r="BU72" i="11"/>
  <c r="BW72" i="11" s="1"/>
  <c r="CA72" i="11" s="1"/>
  <c r="BU90" i="11"/>
  <c r="BV219" i="11"/>
  <c r="BZ219" i="11" s="1"/>
  <c r="BV119" i="11"/>
  <c r="BZ119" i="11" s="1"/>
  <c r="BW108" i="11"/>
  <c r="CA108" i="11" s="1"/>
  <c r="BV218" i="11"/>
  <c r="BZ218" i="11" s="1"/>
  <c r="BV158" i="11"/>
  <c r="BZ158" i="11" s="1"/>
  <c r="BW139" i="11"/>
  <c r="CA139" i="11" s="1"/>
  <c r="BV175" i="11"/>
  <c r="BZ175" i="11" s="1"/>
  <c r="BW163" i="11"/>
  <c r="CA163" i="11" s="1"/>
  <c r="BV196" i="11"/>
  <c r="BZ196" i="11" s="1"/>
  <c r="BU85" i="11"/>
  <c r="BW85" i="11" s="1"/>
  <c r="CA85" i="11" s="1"/>
  <c r="BU91" i="11"/>
  <c r="BW224" i="11"/>
  <c r="CA224" i="11" s="1"/>
  <c r="BV223" i="11"/>
  <c r="BZ223" i="11" s="1"/>
  <c r="BV57" i="11"/>
  <c r="BZ57" i="11" s="1"/>
  <c r="BW135" i="11"/>
  <c r="CA135" i="11" s="1"/>
  <c r="BU70" i="11"/>
  <c r="BV70" i="11" s="1"/>
  <c r="BZ70" i="11" s="1"/>
  <c r="BW154" i="11"/>
  <c r="CA154" i="11" s="1"/>
  <c r="BW66" i="11"/>
  <c r="CA66" i="11" s="1"/>
  <c r="BV215" i="11"/>
  <c r="BZ215" i="11" s="1"/>
  <c r="BV202" i="11"/>
  <c r="BZ202" i="11" s="1"/>
  <c r="BU102" i="11"/>
  <c r="BW47" i="11"/>
  <c r="CA47" i="11" s="1"/>
  <c r="BW237" i="11"/>
  <c r="CA237" i="11" s="1"/>
  <c r="BV176" i="11"/>
  <c r="BZ176" i="11" s="1"/>
  <c r="BW143" i="11"/>
  <c r="CA143" i="11" s="1"/>
  <c r="BW222" i="11"/>
  <c r="CA222" i="11" s="1"/>
  <c r="BU78" i="11"/>
  <c r="BW78" i="11" s="1"/>
  <c r="CA78" i="11" s="1"/>
  <c r="BV242" i="11"/>
  <c r="BZ242" i="11" s="1"/>
  <c r="BV146" i="11"/>
  <c r="BZ146" i="11" s="1"/>
  <c r="BU73" i="11"/>
  <c r="BW73" i="11" s="1"/>
  <c r="CA73" i="11" s="1"/>
  <c r="BW69" i="11"/>
  <c r="CA69" i="11" s="1"/>
  <c r="BU88" i="11"/>
  <c r="BW88" i="11" s="1"/>
  <c r="CA88" i="11" s="1"/>
  <c r="BU92" i="11"/>
  <c r="BW59" i="11"/>
  <c r="CA59" i="11" s="1"/>
  <c r="BU80" i="11"/>
  <c r="BW80" i="11" s="1"/>
  <c r="CA80" i="11" s="1"/>
  <c r="BV111" i="11"/>
  <c r="BZ111" i="11" s="1"/>
  <c r="BV248" i="11"/>
  <c r="BZ248" i="11" s="1"/>
  <c r="BU93" i="11"/>
  <c r="BU97" i="11"/>
  <c r="BU81" i="11"/>
  <c r="BV81" i="11" s="1"/>
  <c r="BZ81" i="11" s="1"/>
  <c r="BV243" i="11"/>
  <c r="BZ243" i="11" s="1"/>
  <c r="BV192" i="11"/>
  <c r="BZ192" i="11" s="1"/>
  <c r="BW188" i="11"/>
  <c r="CA188" i="11" s="1"/>
  <c r="BW67" i="11"/>
  <c r="CA67" i="11" s="1"/>
  <c r="BW217" i="11"/>
  <c r="CA217" i="11" s="1"/>
  <c r="BW138" i="11"/>
  <c r="CA138" i="11" s="1"/>
  <c r="BV205" i="11"/>
  <c r="BZ205" i="11" s="1"/>
  <c r="CZ34" i="11"/>
  <c r="DB33" i="11"/>
  <c r="BV167" i="11"/>
  <c r="BZ167" i="11" s="1"/>
  <c r="BV230" i="11"/>
  <c r="BZ230" i="11" s="1"/>
  <c r="BU87" i="11"/>
  <c r="BV87" i="11" s="1"/>
  <c r="BZ87" i="11" s="1"/>
  <c r="BU82" i="11"/>
  <c r="BV82" i="11" s="1"/>
  <c r="BZ82" i="11" s="1"/>
  <c r="BV160" i="11"/>
  <c r="BZ160" i="11" s="1"/>
  <c r="BW174" i="11"/>
  <c r="CA174" i="11" s="1"/>
  <c r="BV131" i="11"/>
  <c r="BZ131" i="11" s="1"/>
  <c r="BU98" i="11"/>
  <c r="BU101" i="11"/>
  <c r="BU71" i="11"/>
  <c r="BV71" i="11" s="1"/>
  <c r="BZ71" i="11" s="1"/>
  <c r="BW227" i="11"/>
  <c r="CA227" i="11" s="1"/>
  <c r="BV46" i="11"/>
  <c r="BZ46" i="11" s="1"/>
  <c r="BV164" i="11"/>
  <c r="BZ164" i="11" s="1"/>
  <c r="BV210" i="11"/>
  <c r="BZ210" i="11" s="1"/>
  <c r="BW204" i="11"/>
  <c r="CA204" i="11" s="1"/>
  <c r="BW238" i="11"/>
  <c r="CA238" i="11" s="1"/>
  <c r="BW194" i="11"/>
  <c r="CA194" i="11" s="1"/>
  <c r="BW123" i="11"/>
  <c r="CA123" i="11" s="1"/>
  <c r="BV133" i="11"/>
  <c r="BZ133" i="11" s="1"/>
  <c r="BV128" i="11"/>
  <c r="BZ128" i="11" s="1"/>
  <c r="BW68" i="11"/>
  <c r="CA68" i="11" s="1"/>
  <c r="BW63" i="11"/>
  <c r="CA63" i="11" s="1"/>
  <c r="BW136" i="11"/>
  <c r="CA136" i="11" s="1"/>
  <c r="BU94" i="11"/>
  <c r="BU99" i="11"/>
  <c r="BU89" i="11"/>
  <c r="BW70" i="11"/>
  <c r="CA70" i="11" s="1"/>
  <c r="BV232" i="11"/>
  <c r="BZ232" i="11" s="1"/>
  <c r="BV114" i="11"/>
  <c r="BZ114" i="11" s="1"/>
  <c r="BU75" i="11"/>
  <c r="BV75" i="11" s="1"/>
  <c r="BZ75" i="11" s="1"/>
  <c r="BV246" i="11"/>
  <c r="BZ246" i="11" s="1"/>
  <c r="BV226" i="11"/>
  <c r="BZ226" i="11" s="1"/>
  <c r="BV228" i="11"/>
  <c r="BZ228" i="11" s="1"/>
  <c r="BV157" i="11"/>
  <c r="BZ157" i="11" s="1"/>
  <c r="BW127" i="11"/>
  <c r="CA127" i="11" s="1"/>
  <c r="BV129" i="11"/>
  <c r="BZ129" i="11" s="1"/>
  <c r="BU84" i="11"/>
  <c r="BW84" i="11" s="1"/>
  <c r="CA84" i="11" s="1"/>
  <c r="BU106" i="11"/>
  <c r="BU103" i="11"/>
  <c r="BU107" i="11"/>
  <c r="BU76" i="11"/>
  <c r="BV76" i="11" s="1"/>
  <c r="BZ76" i="11" s="1"/>
  <c r="BV115" i="11"/>
  <c r="BZ115" i="11" s="1"/>
  <c r="BW56" i="11"/>
  <c r="CA56" i="11" s="1"/>
  <c r="BV55" i="11"/>
  <c r="BZ55" i="11" s="1"/>
  <c r="BW220" i="11"/>
  <c r="CA220" i="11" s="1"/>
  <c r="BV172" i="11"/>
  <c r="BZ172" i="11" s="1"/>
  <c r="BV241" i="11"/>
  <c r="BZ241" i="11" s="1"/>
  <c r="BW185" i="11"/>
  <c r="CA185" i="11" s="1"/>
  <c r="BV235" i="11"/>
  <c r="BZ235" i="11" s="1"/>
  <c r="BW134" i="11"/>
  <c r="CA134" i="11" s="1"/>
  <c r="BV65" i="11"/>
  <c r="BZ65" i="11" s="1"/>
  <c r="BV118" i="11"/>
  <c r="BZ118" i="11" s="1"/>
  <c r="BU95" i="11"/>
  <c r="BU100" i="11"/>
  <c r="BU83" i="11"/>
  <c r="BV83" i="11" s="1"/>
  <c r="BZ83" i="11" s="1"/>
  <c r="BU74" i="11"/>
  <c r="BV74" i="11" s="1"/>
  <c r="BZ74" i="11" s="1"/>
  <c r="BV216" i="11"/>
  <c r="BZ216" i="11" s="1"/>
  <c r="BV117" i="11"/>
  <c r="BZ117" i="11" s="1"/>
  <c r="BV244" i="11"/>
  <c r="BZ244" i="11" s="1"/>
  <c r="BU79" i="11"/>
  <c r="BV79" i="11" s="1"/>
  <c r="BZ79" i="11" s="1"/>
  <c r="BW50" i="11"/>
  <c r="CA50" i="11" s="1"/>
  <c r="BV177" i="11"/>
  <c r="BZ177" i="11" s="1"/>
  <c r="BW190" i="11"/>
  <c r="CA190" i="11" s="1"/>
  <c r="BU96" i="11"/>
  <c r="BU105" i="11"/>
  <c r="BV86" i="11"/>
  <c r="BZ86" i="11" s="1"/>
  <c r="BW77" i="11" l="1"/>
  <c r="CA77" i="11" s="1"/>
  <c r="BW76" i="11"/>
  <c r="CA76" i="11" s="1"/>
  <c r="BV80" i="11"/>
  <c r="BZ80" i="11" s="1"/>
  <c r="BW75" i="11"/>
  <c r="CA75" i="11" s="1"/>
  <c r="BV78" i="11"/>
  <c r="BZ78" i="11" s="1"/>
  <c r="BW83" i="11"/>
  <c r="CA83" i="11" s="1"/>
  <c r="BV72" i="11"/>
  <c r="BZ72" i="11" s="1"/>
  <c r="BW71" i="11"/>
  <c r="CA71" i="11" s="1"/>
  <c r="BV85" i="11"/>
  <c r="BZ85" i="11" s="1"/>
  <c r="BW90" i="11"/>
  <c r="CA90" i="11" s="1"/>
  <c r="BV90" i="11"/>
  <c r="BZ90" i="11" s="1"/>
  <c r="BW94" i="11"/>
  <c r="CA94" i="11" s="1"/>
  <c r="BV94" i="11"/>
  <c r="BZ94" i="11" s="1"/>
  <c r="BW97" i="11"/>
  <c r="CA97" i="11" s="1"/>
  <c r="BV97" i="11"/>
  <c r="BZ97" i="11" s="1"/>
  <c r="BW104" i="11"/>
  <c r="CA104" i="11" s="1"/>
  <c r="BV104" i="11"/>
  <c r="BZ104" i="11" s="1"/>
  <c r="BW74" i="11"/>
  <c r="CA74" i="11" s="1"/>
  <c r="BV84" i="11"/>
  <c r="BZ84" i="11" s="1"/>
  <c r="BW82" i="11"/>
  <c r="CA82" i="11" s="1"/>
  <c r="CZ35" i="11"/>
  <c r="DB34" i="11"/>
  <c r="BV93" i="11"/>
  <c r="BZ93" i="11" s="1"/>
  <c r="BW93" i="11"/>
  <c r="CA93" i="11" s="1"/>
  <c r="BV102" i="11"/>
  <c r="BZ102" i="11" s="1"/>
  <c r="BW102" i="11"/>
  <c r="CA102" i="11" s="1"/>
  <c r="BW107" i="11"/>
  <c r="CA107" i="11" s="1"/>
  <c r="BV107" i="11"/>
  <c r="BZ107" i="11" s="1"/>
  <c r="BV101" i="11"/>
  <c r="BZ101" i="11" s="1"/>
  <c r="BW101" i="11"/>
  <c r="CA101" i="11" s="1"/>
  <c r="BV92" i="11"/>
  <c r="BZ92" i="11" s="1"/>
  <c r="BW92" i="11"/>
  <c r="CA92" i="11" s="1"/>
  <c r="BW103" i="11"/>
  <c r="CA103" i="11" s="1"/>
  <c r="BV103" i="11"/>
  <c r="BZ103" i="11" s="1"/>
  <c r="BW87" i="11"/>
  <c r="CA87" i="11" s="1"/>
  <c r="BW79" i="11"/>
  <c r="CA79" i="11" s="1"/>
  <c r="BV95" i="11"/>
  <c r="BZ95" i="11" s="1"/>
  <c r="BW95" i="11"/>
  <c r="CA95" i="11" s="1"/>
  <c r="BV106" i="11"/>
  <c r="BZ106" i="11" s="1"/>
  <c r="BW106" i="11"/>
  <c r="CA106" i="11" s="1"/>
  <c r="BV98" i="11"/>
  <c r="BZ98" i="11" s="1"/>
  <c r="BW98" i="11"/>
  <c r="CA98" i="11" s="1"/>
  <c r="BV89" i="11"/>
  <c r="BZ89" i="11" s="1"/>
  <c r="BW89" i="11"/>
  <c r="CA89" i="11" s="1"/>
  <c r="BW100" i="11"/>
  <c r="CA100" i="11" s="1"/>
  <c r="BV100" i="11"/>
  <c r="BZ100" i="11" s="1"/>
  <c r="BV73" i="11"/>
  <c r="BZ73" i="11" s="1"/>
  <c r="BW96" i="11"/>
  <c r="CA96" i="11" s="1"/>
  <c r="BV96" i="11"/>
  <c r="BZ96" i="11" s="1"/>
  <c r="BV88" i="11"/>
  <c r="BZ88" i="11" s="1"/>
  <c r="BW105" i="11"/>
  <c r="CA105" i="11" s="1"/>
  <c r="BV105" i="11"/>
  <c r="BZ105" i="11" s="1"/>
  <c r="BW81" i="11"/>
  <c r="CA81" i="11" s="1"/>
  <c r="BV99" i="11"/>
  <c r="BZ99" i="11" s="1"/>
  <c r="BW99" i="11"/>
  <c r="CA99" i="11" s="1"/>
  <c r="BW91" i="11"/>
  <c r="CA91" i="11" s="1"/>
  <c r="BV91" i="11"/>
  <c r="BZ91" i="11" s="1"/>
  <c r="DB35" i="11" l="1"/>
  <c r="CZ36" i="11"/>
  <c r="CZ37" i="11" l="1"/>
  <c r="DB36" i="11"/>
  <c r="CZ38" i="11" l="1"/>
  <c r="DB37" i="11"/>
  <c r="DB38" i="11" l="1"/>
  <c r="CZ39" i="11"/>
  <c r="CZ40" i="11" l="1"/>
  <c r="DB39" i="11"/>
  <c r="DB40" i="11" l="1"/>
  <c r="CZ41" i="11"/>
  <c r="DB41" i="11" l="1"/>
  <c r="DC41" i="11" s="1"/>
  <c r="DD41" i="11" s="1"/>
  <c r="CZ42" i="11"/>
  <c r="CZ43" i="11" l="1"/>
  <c r="DB42" i="11"/>
  <c r="DC42" i="11" l="1"/>
  <c r="DD42" i="11" s="1"/>
  <c r="CZ44" i="11"/>
  <c r="DB43" i="11"/>
  <c r="DC43" i="11" l="1"/>
  <c r="DD43" i="11" s="1"/>
  <c r="DB44" i="11"/>
  <c r="CZ45" i="11"/>
  <c r="DB45" i="11" l="1"/>
  <c r="CZ46" i="11"/>
  <c r="DC44" i="11"/>
  <c r="DD44" i="11" s="1"/>
  <c r="CZ47" i="11" l="1"/>
  <c r="DB46" i="11"/>
  <c r="DC45" i="11"/>
  <c r="DD45" i="11" s="1"/>
  <c r="CZ48" i="11" l="1"/>
  <c r="DB47" i="11"/>
  <c r="DC46" i="11"/>
  <c r="DD46" i="11" s="1"/>
  <c r="CZ49" i="11" l="1"/>
  <c r="DB48" i="11"/>
  <c r="DC47" i="11"/>
  <c r="DD47" i="11" s="1"/>
  <c r="CZ50" i="11" l="1"/>
  <c r="DB49" i="11"/>
  <c r="DC48" i="11"/>
  <c r="DD48" i="11" s="1"/>
  <c r="DC49" i="11" l="1"/>
  <c r="DD49" i="11" s="1"/>
  <c r="CZ51" i="11"/>
  <c r="DB50" i="11"/>
  <c r="DC50" i="11" l="1"/>
  <c r="DD50" i="11" s="1"/>
  <c r="DB51" i="11"/>
  <c r="DC51" i="11" s="1"/>
  <c r="DD51" i="11" s="1"/>
  <c r="CZ52" i="11"/>
  <c r="DB52" i="11" l="1"/>
  <c r="CZ53" i="11"/>
  <c r="DC52" i="11"/>
  <c r="DD52" i="11" s="1"/>
  <c r="CZ54" i="11" l="1"/>
  <c r="DB53" i="11"/>
  <c r="DC53" i="11" l="1"/>
  <c r="DD53" i="11" s="1"/>
  <c r="DB54" i="11"/>
  <c r="CZ55" i="11"/>
  <c r="DB55" i="11" l="1"/>
  <c r="CZ56" i="11"/>
  <c r="DC54" i="11"/>
  <c r="DD54" i="11" s="1"/>
  <c r="CZ57" i="11" l="1"/>
  <c r="DB56" i="11"/>
  <c r="DC55" i="11"/>
  <c r="DD55" i="11" s="1"/>
  <c r="DC56" i="11" l="1"/>
  <c r="DD56" i="11" s="1"/>
  <c r="CZ58" i="11"/>
  <c r="DB57" i="11"/>
  <c r="CZ59" i="11" l="1"/>
  <c r="DB58" i="11"/>
  <c r="DC57" i="11"/>
  <c r="DD57" i="11" s="1"/>
  <c r="DC58" i="11"/>
  <c r="DD58" i="11" s="1"/>
  <c r="DB59" i="11" l="1"/>
  <c r="CZ60" i="11"/>
  <c r="DB60" i="11" l="1"/>
  <c r="CZ61" i="11"/>
  <c r="DC59" i="11"/>
  <c r="DD59" i="11" s="1"/>
  <c r="DC60" i="11" l="1"/>
  <c r="DD60" i="11" s="1"/>
  <c r="CZ62" i="11"/>
  <c r="DB61" i="11"/>
  <c r="DC61" i="11" l="1"/>
  <c r="DD61" i="11" s="1"/>
  <c r="DB62" i="11"/>
  <c r="CZ63" i="11"/>
  <c r="DC62" i="11" l="1"/>
  <c r="DD62" i="11" s="1"/>
  <c r="DB63" i="11"/>
  <c r="CZ64" i="11"/>
  <c r="DB64" i="11" l="1"/>
  <c r="CZ65" i="11"/>
  <c r="DC63" i="11"/>
  <c r="DD63" i="11" s="1"/>
  <c r="DC64" i="11" l="1"/>
  <c r="DD64" i="11" s="1"/>
  <c r="CZ66" i="11"/>
  <c r="DB65" i="11"/>
  <c r="DB66" i="11" l="1"/>
  <c r="CZ67" i="11"/>
  <c r="DC65" i="11"/>
  <c r="DD65" i="11" s="1"/>
  <c r="CZ68" i="11" l="1"/>
  <c r="DB67" i="11"/>
  <c r="DC66" i="11"/>
  <c r="DD66" i="11" s="1"/>
  <c r="DC67" i="11" l="1"/>
  <c r="DD67" i="11" s="1"/>
  <c r="DB68" i="11"/>
  <c r="CZ69" i="11"/>
  <c r="DB69" i="11" l="1"/>
  <c r="CZ70" i="11"/>
  <c r="DC68" i="11"/>
  <c r="DD68" i="11" s="1"/>
  <c r="DC69" i="11" l="1"/>
  <c r="DD69" i="11" s="1"/>
  <c r="DB70" i="11"/>
  <c r="CZ71" i="11"/>
  <c r="CZ72" i="11" l="1"/>
  <c r="DB71" i="11"/>
  <c r="DC70" i="11"/>
  <c r="DD70" i="11" s="1"/>
  <c r="DC71" i="11" l="1"/>
  <c r="DD71" i="11" s="1"/>
  <c r="DB72" i="11"/>
  <c r="CZ73" i="11"/>
  <c r="DC72" i="11" l="1"/>
  <c r="DD72" i="11" s="1"/>
  <c r="DB73" i="11"/>
  <c r="CZ74" i="11"/>
  <c r="CZ75" i="11" l="1"/>
  <c r="DB74" i="11"/>
  <c r="DC74" i="11"/>
  <c r="DD74" i="11" s="1"/>
  <c r="DC73" i="11"/>
  <c r="DD73" i="11" s="1"/>
  <c r="DB75" i="11" l="1"/>
  <c r="CZ76" i="11"/>
  <c r="CZ77" i="11" l="1"/>
  <c r="DB76" i="11"/>
  <c r="DC75" i="11"/>
  <c r="DD75" i="11" s="1"/>
  <c r="DC76" i="11"/>
  <c r="DD76" i="11" s="1"/>
  <c r="DB77" i="11" l="1"/>
  <c r="CZ78" i="11"/>
  <c r="DB78" i="11" l="1"/>
  <c r="CZ79" i="11"/>
  <c r="DC77" i="11"/>
  <c r="DD77" i="11" s="1"/>
  <c r="DC78" i="11"/>
  <c r="DD78" i="11" s="1"/>
  <c r="DB79" i="11" l="1"/>
  <c r="CZ80" i="11"/>
  <c r="DB80" i="11" l="1"/>
  <c r="CZ81" i="11"/>
  <c r="DC79" i="11"/>
  <c r="DD79" i="11" s="1"/>
  <c r="DC80" i="11"/>
  <c r="DD80" i="11" s="1"/>
  <c r="DB81" i="11" l="1"/>
  <c r="CZ82" i="11"/>
  <c r="CZ83" i="11" l="1"/>
  <c r="DB82" i="11"/>
  <c r="DC81" i="11"/>
  <c r="DD81" i="11" s="1"/>
  <c r="DC82" i="11"/>
  <c r="DD82" i="11" s="1"/>
  <c r="DB83" i="11" l="1"/>
  <c r="CZ84" i="11"/>
  <c r="DB84" i="11" l="1"/>
  <c r="CZ85" i="11"/>
  <c r="DC83" i="11"/>
  <c r="DD83" i="11" s="1"/>
  <c r="DC84" i="11"/>
  <c r="DD84" i="11" s="1"/>
  <c r="CZ86" i="11" l="1"/>
  <c r="DB85" i="11"/>
  <c r="DC85" i="11" l="1"/>
  <c r="DD85" i="11" s="1"/>
  <c r="CZ87" i="11"/>
  <c r="DB86" i="11"/>
  <c r="DC86" i="11" l="1"/>
  <c r="DD86" i="11" s="1"/>
  <c r="CZ88" i="11"/>
  <c r="DB87" i="11"/>
  <c r="DC87" i="11"/>
  <c r="DD87" i="11" s="1"/>
  <c r="DB88" i="11" l="1"/>
  <c r="CZ89" i="11"/>
  <c r="CZ90" i="11" l="1"/>
  <c r="DB89" i="11"/>
  <c r="DC88" i="11"/>
  <c r="DD88" i="11" s="1"/>
  <c r="DC89" i="11"/>
  <c r="DD89" i="11" s="1"/>
  <c r="CZ91" i="11" l="1"/>
  <c r="DB90" i="11"/>
  <c r="DC90" i="11" l="1"/>
  <c r="DD90" i="11" s="1"/>
  <c r="CZ92" i="11"/>
  <c r="DB91" i="11"/>
  <c r="DC91" i="11" s="1"/>
  <c r="DD91" i="11" s="1"/>
  <c r="DB92" i="11" l="1"/>
  <c r="CZ93" i="11"/>
  <c r="DB93" i="11" l="1"/>
  <c r="CZ94" i="11"/>
  <c r="DC92" i="11"/>
  <c r="DD92" i="11" s="1"/>
  <c r="DB94" i="11" l="1"/>
  <c r="CZ95" i="11"/>
  <c r="DC93" i="11"/>
  <c r="DD93" i="11" s="1"/>
  <c r="DC94" i="11"/>
  <c r="DD94" i="11" s="1"/>
  <c r="CZ96" i="11" l="1"/>
  <c r="DB95" i="11"/>
  <c r="DC95" i="11" l="1"/>
  <c r="DD95" i="11" s="1"/>
  <c r="DB96" i="11"/>
  <c r="CZ97" i="11"/>
  <c r="DB97" i="11" l="1"/>
  <c r="CZ98" i="11"/>
  <c r="DC96" i="11"/>
  <c r="DD96" i="11" s="1"/>
  <c r="DC97" i="11"/>
  <c r="DD97" i="11" s="1"/>
  <c r="CZ99" i="11" l="1"/>
  <c r="DB98" i="11"/>
  <c r="DC98" i="11" l="1"/>
  <c r="DD98" i="11" s="1"/>
  <c r="DB99" i="11"/>
  <c r="CZ100" i="11"/>
  <c r="DB100" i="11" l="1"/>
  <c r="CZ101" i="11"/>
  <c r="DC99" i="11"/>
  <c r="DD99" i="11" s="1"/>
  <c r="CZ102" i="11" l="1"/>
  <c r="DB101" i="11"/>
  <c r="DC100" i="11"/>
  <c r="DD100" i="11" s="1"/>
  <c r="DC101" i="11" l="1"/>
  <c r="DD101" i="11" s="1"/>
  <c r="DB102" i="11"/>
  <c r="CZ103" i="11"/>
  <c r="CZ104" i="11" l="1"/>
  <c r="DB103" i="11"/>
  <c r="DC102" i="11"/>
  <c r="DD102" i="11" s="1"/>
  <c r="CZ105" i="11" l="1"/>
  <c r="DB104" i="11"/>
  <c r="DC103" i="11"/>
  <c r="DD103" i="11" s="1"/>
  <c r="DC104" i="11" l="1"/>
  <c r="DD104" i="11" s="1"/>
  <c r="DB105" i="11"/>
  <c r="CZ106" i="11"/>
  <c r="CZ107" i="11" l="1"/>
  <c r="DB106" i="11"/>
  <c r="DC105" i="11"/>
  <c r="DD105" i="11" s="1"/>
  <c r="DC106" i="11" l="1"/>
  <c r="DD106" i="11" s="1"/>
  <c r="CZ108" i="11"/>
  <c r="DB107" i="11"/>
  <c r="CZ109" i="11" l="1"/>
  <c r="DB108" i="11"/>
  <c r="DC107" i="11"/>
  <c r="DD107" i="11" s="1"/>
  <c r="DC108" i="11"/>
  <c r="DD108" i="11" s="1"/>
  <c r="DB109" i="11" l="1"/>
  <c r="CZ110" i="11"/>
  <c r="CZ111" i="11" l="1"/>
  <c r="DB110" i="11"/>
  <c r="DC110" i="11"/>
  <c r="DD110" i="11" s="1"/>
  <c r="DC109" i="11"/>
  <c r="DD109" i="11" s="1"/>
  <c r="CZ112" i="11" l="1"/>
  <c r="DB111" i="11"/>
  <c r="CZ113" i="11" l="1"/>
  <c r="DB112" i="11"/>
  <c r="DC111" i="11"/>
  <c r="DD111" i="11" s="1"/>
  <c r="DC112" i="11"/>
  <c r="DD112" i="11" s="1"/>
  <c r="CZ114" i="11" l="1"/>
  <c r="DB113" i="11"/>
  <c r="DC113" i="11" l="1"/>
  <c r="DD113" i="11" s="1"/>
  <c r="DB114" i="11"/>
  <c r="CZ115" i="11"/>
  <c r="DB115" i="11" l="1"/>
  <c r="CZ116" i="11"/>
  <c r="DC114" i="11"/>
  <c r="DD114" i="11" s="1"/>
  <c r="CZ117" i="11" l="1"/>
  <c r="DB116" i="11"/>
  <c r="DC115" i="11"/>
  <c r="DD115" i="11" s="1"/>
  <c r="DC116" i="11" l="1"/>
  <c r="DD116" i="11" s="1"/>
  <c r="DB117" i="11"/>
  <c r="CZ118" i="11"/>
  <c r="DC117" i="11" l="1"/>
  <c r="DD117" i="11" s="1"/>
  <c r="DB118" i="11"/>
  <c r="CZ119" i="11"/>
  <c r="CZ120" i="11" l="1"/>
  <c r="DB119" i="11"/>
  <c r="DC118" i="11"/>
  <c r="DD118" i="11" s="1"/>
  <c r="DC119" i="11" l="1"/>
  <c r="DD119" i="11" s="1"/>
  <c r="DB120" i="11"/>
  <c r="CZ121" i="11"/>
  <c r="DB121" i="11" l="1"/>
  <c r="CZ122" i="11"/>
  <c r="DC120" i="11"/>
  <c r="DD120" i="11" s="1"/>
  <c r="CZ123" i="11" l="1"/>
  <c r="DB122" i="11"/>
  <c r="DC121" i="11"/>
  <c r="DD121" i="11" s="1"/>
  <c r="DC122" i="11" l="1"/>
  <c r="DD122" i="11" s="1"/>
  <c r="CZ124" i="11"/>
  <c r="DB123" i="11"/>
  <c r="DC123" i="11" l="1"/>
  <c r="DD123" i="11" s="1"/>
  <c r="CZ125" i="11"/>
  <c r="DB124" i="11"/>
  <c r="CZ126" i="11" l="1"/>
  <c r="DB125" i="11"/>
  <c r="DC124" i="11"/>
  <c r="DD124" i="11" s="1"/>
  <c r="DC125" i="11" l="1"/>
  <c r="DD125" i="11" s="1"/>
  <c r="DB126" i="11"/>
  <c r="CZ127" i="11"/>
  <c r="DB127" i="11" l="1"/>
  <c r="CZ128" i="11"/>
  <c r="DC126" i="11"/>
  <c r="DD126" i="11" s="1"/>
  <c r="DC127" i="11" l="1"/>
  <c r="DD127" i="11" s="1"/>
  <c r="CZ129" i="11"/>
  <c r="DB128" i="11"/>
  <c r="DC128" i="11" l="1"/>
  <c r="DD128" i="11" s="1"/>
  <c r="CZ130" i="11"/>
  <c r="DB129" i="11"/>
  <c r="DB130" i="11" l="1"/>
  <c r="CZ131" i="11"/>
  <c r="DC129" i="11"/>
  <c r="DD129" i="11" s="1"/>
  <c r="CZ132" i="11" l="1"/>
  <c r="DB131" i="11"/>
  <c r="DC130" i="11"/>
  <c r="DD130" i="11" s="1"/>
  <c r="DC131" i="11" l="1"/>
  <c r="DD131" i="11" s="1"/>
  <c r="DB132" i="11"/>
  <c r="CZ133" i="11"/>
  <c r="DB133" i="11" l="1"/>
  <c r="CZ134" i="11"/>
  <c r="DC132" i="11"/>
  <c r="DD132" i="11" s="1"/>
  <c r="DC133" i="11" l="1"/>
  <c r="DD133" i="11" s="1"/>
  <c r="DB134" i="11"/>
  <c r="CZ135" i="11"/>
  <c r="CZ136" i="11" l="1"/>
  <c r="DB135" i="11"/>
  <c r="DC134" i="11"/>
  <c r="DD134" i="11" s="1"/>
  <c r="DC135" i="11" l="1"/>
  <c r="DD135" i="11" s="1"/>
  <c r="CZ137" i="11"/>
  <c r="DB136" i="11"/>
  <c r="DC136" i="11" l="1"/>
  <c r="DD136" i="11" s="1"/>
  <c r="DB137" i="11"/>
  <c r="DC137" i="11" s="1"/>
  <c r="DD137" i="11" s="1"/>
  <c r="CZ138" i="11"/>
  <c r="CZ139" i="11" l="1"/>
  <c r="DB138" i="11"/>
  <c r="DC138" i="11" l="1"/>
  <c r="DD138" i="11" s="1"/>
  <c r="CZ140" i="11"/>
  <c r="DB139" i="11"/>
  <c r="DC139" i="11" l="1"/>
  <c r="DD139" i="11" s="1"/>
  <c r="DB140" i="11"/>
  <c r="CZ141" i="11"/>
  <c r="DC140" i="11" l="1"/>
  <c r="DD140" i="11" s="1"/>
  <c r="CZ142" i="11"/>
  <c r="DB141" i="11"/>
  <c r="DC141" i="11" l="1"/>
  <c r="DD141" i="11" s="1"/>
  <c r="CZ143" i="11"/>
  <c r="DB142" i="11"/>
  <c r="CZ144" i="11" l="1"/>
  <c r="DB143" i="11"/>
  <c r="DC142" i="11"/>
  <c r="DD142" i="11" s="1"/>
  <c r="DC143" i="11" l="1"/>
  <c r="DD143" i="11" s="1"/>
  <c r="CZ145" i="11"/>
  <c r="DB144" i="11"/>
  <c r="DC144" i="11" l="1"/>
  <c r="DD144" i="11" s="1"/>
  <c r="CZ146" i="11"/>
  <c r="DB145" i="11"/>
  <c r="DC145" i="11" l="1"/>
  <c r="DD145" i="11" s="1"/>
  <c r="CZ147" i="11"/>
  <c r="DB146" i="11"/>
  <c r="DC146" i="11" l="1"/>
  <c r="DD146" i="11" s="1"/>
  <c r="CZ148" i="11"/>
  <c r="DB147" i="11"/>
  <c r="DC147" i="11" l="1"/>
  <c r="DD147" i="11" s="1"/>
  <c r="DB148" i="11"/>
  <c r="CZ149" i="11"/>
  <c r="DB149" i="11" l="1"/>
  <c r="CZ150" i="11"/>
  <c r="DC148" i="11"/>
  <c r="DD148" i="11" s="1"/>
  <c r="DC149" i="11" l="1"/>
  <c r="DD149" i="11" s="1"/>
  <c r="CZ151" i="11"/>
  <c r="DB150" i="11"/>
  <c r="DC150" i="11" l="1"/>
  <c r="DD150" i="11" s="1"/>
  <c r="CZ152" i="11"/>
  <c r="DB151" i="11"/>
  <c r="DC151" i="11" l="1"/>
  <c r="DD151" i="11" s="1"/>
  <c r="DB152" i="11"/>
  <c r="CZ153" i="11"/>
  <c r="DB153" i="11" l="1"/>
  <c r="CZ154" i="11"/>
  <c r="DC152" i="11"/>
  <c r="DD152" i="11" s="1"/>
  <c r="DB154" i="11" l="1"/>
  <c r="CZ155" i="11"/>
  <c r="DC153" i="11"/>
  <c r="DD153" i="11" s="1"/>
  <c r="CZ156" i="11" l="1"/>
  <c r="DB155" i="11"/>
  <c r="DC154" i="11"/>
  <c r="DD154" i="11" s="1"/>
  <c r="DC155" i="11" l="1"/>
  <c r="DD155" i="11" s="1"/>
  <c r="CZ157" i="11"/>
  <c r="DB156" i="11"/>
  <c r="CZ158" i="11" l="1"/>
  <c r="DB157" i="11"/>
  <c r="DC157" i="11"/>
  <c r="DD157" i="11" s="1"/>
  <c r="DC156" i="11"/>
  <c r="DD156" i="11" s="1"/>
  <c r="CZ159" i="11" l="1"/>
  <c r="DB158" i="11"/>
  <c r="DC158" i="11" l="1"/>
  <c r="DD158" i="11" s="1"/>
  <c r="CZ160" i="11"/>
  <c r="DB159" i="11"/>
  <c r="DB160" i="11" l="1"/>
  <c r="CZ161" i="11"/>
  <c r="DC159" i="11"/>
  <c r="DD159" i="11" s="1"/>
  <c r="DB161" i="11" l="1"/>
  <c r="CZ162" i="11"/>
  <c r="DC160" i="11"/>
  <c r="DD160" i="11" s="1"/>
  <c r="CZ163" i="11" l="1"/>
  <c r="DB162" i="11"/>
  <c r="DC161" i="11"/>
  <c r="DD161" i="11" s="1"/>
  <c r="DC162" i="11" l="1"/>
  <c r="DD162" i="11" s="1"/>
  <c r="DB163" i="11"/>
  <c r="CZ164" i="11"/>
  <c r="DC163" i="11" l="1"/>
  <c r="DD163" i="11" s="1"/>
  <c r="CZ165" i="11"/>
  <c r="DB164" i="11"/>
  <c r="DB165" i="11" l="1"/>
  <c r="CZ166" i="11"/>
  <c r="DC164" i="11"/>
  <c r="DD164" i="11" s="1"/>
  <c r="DB166" i="11" l="1"/>
  <c r="CZ167" i="11"/>
  <c r="DC165" i="11"/>
  <c r="DD165" i="11" s="1"/>
  <c r="CZ168" i="11" l="1"/>
  <c r="DB167" i="11"/>
  <c r="DC166" i="11"/>
  <c r="DD166" i="11" s="1"/>
  <c r="DC167" i="11" l="1"/>
  <c r="DD167" i="11" s="1"/>
  <c r="CZ169" i="11"/>
  <c r="DB168" i="11"/>
  <c r="DB169" i="11" l="1"/>
  <c r="CZ170" i="11"/>
  <c r="DC168" i="11"/>
  <c r="DD168" i="11" s="1"/>
  <c r="DC169" i="11"/>
  <c r="DD169" i="11" s="1"/>
  <c r="DB170" i="11" l="1"/>
  <c r="CZ171" i="11"/>
  <c r="CZ172" i="11" l="1"/>
  <c r="DB171" i="11"/>
  <c r="DC171" i="11"/>
  <c r="DD171" i="11" s="1"/>
  <c r="DC170" i="11"/>
  <c r="DD170" i="11" s="1"/>
  <c r="DB172" i="11" l="1"/>
  <c r="CZ173" i="11"/>
  <c r="CZ174" i="11" l="1"/>
  <c r="DB173" i="11"/>
  <c r="DC173" i="11"/>
  <c r="DD173" i="11" s="1"/>
  <c r="DC172" i="11"/>
  <c r="DD172" i="11" s="1"/>
  <c r="DB174" i="11" l="1"/>
  <c r="CZ175" i="11"/>
  <c r="DC174" i="11" l="1"/>
  <c r="DD174" i="11" s="1"/>
  <c r="DB175" i="11"/>
  <c r="CZ176" i="11"/>
  <c r="CZ177" i="11" l="1"/>
  <c r="DB176" i="11"/>
  <c r="DC175" i="11"/>
  <c r="DD175" i="11" s="1"/>
  <c r="DC176" i="11"/>
  <c r="DD176" i="11" s="1"/>
  <c r="CZ178" i="11" l="1"/>
  <c r="DB177" i="11"/>
  <c r="DC177" i="11" l="1"/>
  <c r="DD177" i="11" s="1"/>
  <c r="CZ179" i="11"/>
  <c r="DB178" i="11"/>
  <c r="DC178" i="11" s="1"/>
  <c r="DD178" i="11" s="1"/>
  <c r="DB179" i="11" l="1"/>
  <c r="CZ180" i="11"/>
  <c r="CZ181" i="11" l="1"/>
  <c r="DB180" i="11"/>
  <c r="DC179" i="11"/>
  <c r="DD179" i="11" s="1"/>
  <c r="DC180" i="11" l="1"/>
  <c r="DD180" i="11" s="1"/>
  <c r="DB181" i="11"/>
  <c r="CZ182" i="11"/>
  <c r="CZ183" i="11" l="1"/>
  <c r="DB182" i="11"/>
  <c r="DC181" i="11"/>
  <c r="DD181" i="11" s="1"/>
  <c r="DC182" i="11" l="1"/>
  <c r="DD182" i="11" s="1"/>
  <c r="CZ184" i="11"/>
  <c r="DB183" i="11"/>
  <c r="DC183" i="11" l="1"/>
  <c r="DD183" i="11" s="1"/>
  <c r="CZ185" i="11"/>
  <c r="DB184" i="11"/>
  <c r="DC184" i="11" l="1"/>
  <c r="DD184" i="11" s="1"/>
  <c r="CZ186" i="11"/>
  <c r="DB185" i="11"/>
  <c r="DC185" i="11" l="1"/>
  <c r="DD185" i="11" s="1"/>
  <c r="DB186" i="11"/>
  <c r="CZ187" i="11"/>
  <c r="DC186" i="11" l="1"/>
  <c r="DD186" i="11" s="1"/>
  <c r="CZ188" i="11"/>
  <c r="DB187" i="11"/>
  <c r="CZ189" i="11" l="1"/>
  <c r="DB188" i="11"/>
  <c r="DC187" i="11"/>
  <c r="DD187" i="11" s="1"/>
  <c r="DC188" i="11" l="1"/>
  <c r="DD188" i="11" s="1"/>
  <c r="DB189" i="11"/>
  <c r="CZ190" i="11"/>
  <c r="DB190" i="11" l="1"/>
  <c r="CZ191" i="11"/>
  <c r="DC189" i="11"/>
  <c r="DD189" i="11" s="1"/>
  <c r="CZ192" i="11" l="1"/>
  <c r="DB191" i="11"/>
  <c r="DC190" i="11"/>
  <c r="DD190" i="11" s="1"/>
  <c r="DC191" i="11" l="1"/>
  <c r="DD191" i="11" s="1"/>
  <c r="CZ193" i="11"/>
  <c r="DB192" i="11"/>
  <c r="DB193" i="11" l="1"/>
  <c r="CZ194" i="11"/>
  <c r="DC192" i="11"/>
  <c r="DD192" i="11" s="1"/>
  <c r="CZ195" i="11" l="1"/>
  <c r="DB194" i="11"/>
  <c r="DC193" i="11"/>
  <c r="DD193" i="11" s="1"/>
  <c r="CZ196" i="11" l="1"/>
  <c r="DB195" i="11"/>
  <c r="DC194" i="11"/>
  <c r="DD194" i="11" s="1"/>
  <c r="DC195" i="11"/>
  <c r="DD195" i="11" s="1"/>
  <c r="CZ197" i="11" l="1"/>
  <c r="DB196" i="11"/>
  <c r="DC196" i="11" l="1"/>
  <c r="DD196" i="11" s="1"/>
  <c r="CZ198" i="11"/>
  <c r="DB197" i="11"/>
  <c r="DC197" i="11" l="1"/>
  <c r="DD197" i="11" s="1"/>
  <c r="DB198" i="11"/>
  <c r="CZ199" i="11"/>
  <c r="DB199" i="11" l="1"/>
  <c r="CZ200" i="11"/>
  <c r="DC198" i="11"/>
  <c r="DD198" i="11" s="1"/>
  <c r="DC199" i="11" l="1"/>
  <c r="DD199" i="11" s="1"/>
  <c r="DB200" i="11"/>
  <c r="CZ201" i="11"/>
  <c r="CZ202" i="11" l="1"/>
  <c r="DB201" i="11"/>
  <c r="DC200" i="11"/>
  <c r="DD200" i="11" s="1"/>
  <c r="DC201" i="11" l="1"/>
  <c r="DD201" i="11" s="1"/>
  <c r="DB202" i="11"/>
  <c r="CZ203" i="11"/>
  <c r="CZ204" i="11" l="1"/>
  <c r="DB203" i="11"/>
  <c r="DC202" i="11"/>
  <c r="DD202" i="11" s="1"/>
  <c r="CZ205" i="11" l="1"/>
  <c r="DB204" i="11"/>
  <c r="DC203" i="11"/>
  <c r="DD203" i="11" s="1"/>
  <c r="DC204" i="11" l="1"/>
  <c r="DD204" i="11" s="1"/>
  <c r="DB205" i="11"/>
  <c r="CZ206" i="11"/>
  <c r="DC205" i="11" l="1"/>
  <c r="DD205" i="11" s="1"/>
  <c r="DB206" i="11"/>
  <c r="CZ207" i="11"/>
  <c r="DC206" i="11"/>
  <c r="DD206" i="11" s="1"/>
  <c r="DB207" i="11" l="1"/>
  <c r="CZ208" i="11"/>
  <c r="DB208" i="11" l="1"/>
  <c r="CZ209" i="11"/>
  <c r="DC207" i="11"/>
  <c r="DD207" i="11" s="1"/>
  <c r="DC208" i="11"/>
  <c r="DD208" i="11" s="1"/>
  <c r="DB209" i="11" l="1"/>
  <c r="CZ210" i="11"/>
  <c r="CZ211" i="11" l="1"/>
  <c r="DB210" i="11"/>
  <c r="DC209" i="11"/>
  <c r="DD209" i="11" s="1"/>
  <c r="DC210" i="11"/>
  <c r="DD210" i="11" s="1"/>
  <c r="DB211" i="11" l="1"/>
  <c r="CZ212" i="11"/>
  <c r="CZ213" i="11" l="1"/>
  <c r="DB212" i="11"/>
  <c r="DC211" i="11"/>
  <c r="DD211" i="11" s="1"/>
  <c r="DB213" i="11" l="1"/>
  <c r="CZ214" i="11"/>
  <c r="DC212" i="11"/>
  <c r="DD212" i="11" s="1"/>
  <c r="DB214" i="11" l="1"/>
  <c r="CZ215" i="11"/>
  <c r="DC213" i="11"/>
  <c r="DD213" i="11" s="1"/>
  <c r="DB215" i="11" l="1"/>
  <c r="CZ216" i="11"/>
  <c r="DC214" i="11"/>
  <c r="DD214" i="11" s="1"/>
  <c r="DC215" i="11"/>
  <c r="DD215" i="11" s="1"/>
  <c r="CZ217" i="11" l="1"/>
  <c r="DB216" i="11"/>
  <c r="DC216" i="11" l="1"/>
  <c r="DD216" i="11" s="1"/>
  <c r="DB217" i="11"/>
  <c r="CZ218" i="11"/>
  <c r="DB218" i="11" l="1"/>
  <c r="CZ219" i="11"/>
  <c r="DC218" i="11"/>
  <c r="DD218" i="11" s="1"/>
  <c r="DC217" i="11"/>
  <c r="DD217" i="11" s="1"/>
  <c r="CZ220" i="11" l="1"/>
  <c r="DB219" i="11"/>
  <c r="DC219" i="11" l="1"/>
  <c r="DD219" i="11" s="1"/>
  <c r="DB220" i="11"/>
  <c r="CZ221" i="11"/>
  <c r="DC220" i="11" l="1"/>
  <c r="DD220" i="11" s="1"/>
  <c r="DB221" i="11"/>
  <c r="CZ222" i="11"/>
  <c r="DC221" i="11"/>
  <c r="DD221" i="11" s="1"/>
  <c r="DB222" i="11" l="1"/>
  <c r="CZ223" i="11"/>
  <c r="DB223" i="11" l="1"/>
  <c r="CZ224" i="11"/>
  <c r="DC223" i="11"/>
  <c r="DD223" i="11" s="1"/>
  <c r="DC222" i="11"/>
  <c r="DD222" i="11" s="1"/>
  <c r="DB224" i="11" l="1"/>
  <c r="CZ225" i="11"/>
  <c r="DB225" i="11" l="1"/>
  <c r="CZ226" i="11"/>
  <c r="DC225" i="11"/>
  <c r="DD225" i="11" s="1"/>
  <c r="DC224" i="11"/>
  <c r="DD224" i="11" s="1"/>
  <c r="CZ227" i="11" l="1"/>
  <c r="DB226" i="11"/>
  <c r="DC226" i="11" l="1"/>
  <c r="DD226" i="11" s="1"/>
  <c r="CZ228" i="11"/>
  <c r="DB227" i="11"/>
  <c r="DC227" i="11" l="1"/>
  <c r="DD227" i="11" s="1"/>
  <c r="CZ229" i="11"/>
  <c r="DB228" i="11"/>
  <c r="DC228" i="11" l="1"/>
  <c r="DD228" i="11" s="1"/>
  <c r="DB229" i="11"/>
  <c r="CZ230" i="11"/>
  <c r="DC229" i="11" l="1"/>
  <c r="DD229" i="11" s="1"/>
  <c r="DB230" i="11"/>
  <c r="DC230" i="11" s="1"/>
  <c r="DD230" i="11" s="1"/>
  <c r="CZ231" i="11"/>
  <c r="DB231" i="11" l="1"/>
  <c r="CZ232" i="11"/>
  <c r="DC231" i="11"/>
  <c r="DD231" i="11" s="1"/>
  <c r="CZ233" i="11" l="1"/>
  <c r="DB232" i="11"/>
  <c r="DC232" i="11" l="1"/>
  <c r="DD232" i="11" s="1"/>
  <c r="CZ234" i="11"/>
  <c r="DB233" i="11"/>
  <c r="CZ235" i="11" l="1"/>
  <c r="DB234" i="11"/>
  <c r="DC233" i="11"/>
  <c r="DD233" i="11" s="1"/>
  <c r="DC234" i="11" l="1"/>
  <c r="DD234" i="11" s="1"/>
  <c r="DB235" i="11"/>
  <c r="CZ236" i="11"/>
  <c r="CZ237" i="11" l="1"/>
  <c r="DB236" i="11"/>
  <c r="DC235" i="11"/>
  <c r="DD235" i="11" s="1"/>
  <c r="DC236" i="11" l="1"/>
  <c r="DD236" i="11" s="1"/>
  <c r="DB237" i="11"/>
  <c r="CZ238" i="11"/>
  <c r="DC237" i="11" l="1"/>
  <c r="DD237" i="11" s="1"/>
  <c r="CZ239" i="11"/>
  <c r="DB238" i="11"/>
  <c r="CZ240" i="11" l="1"/>
  <c r="DB239" i="11"/>
  <c r="DC238" i="11"/>
  <c r="DD238" i="11" s="1"/>
  <c r="DC239" i="11" l="1"/>
  <c r="DD239" i="11" s="1"/>
  <c r="DB240" i="11"/>
  <c r="CZ241" i="11"/>
  <c r="DB241" i="11" l="1"/>
  <c r="CZ242" i="11"/>
  <c r="DC240" i="11"/>
  <c r="DD240" i="11" s="1"/>
  <c r="DB242" i="11" l="1"/>
  <c r="CZ243" i="11"/>
  <c r="DC241" i="11"/>
  <c r="DD241" i="11" s="1"/>
  <c r="DB243" i="11" l="1"/>
  <c r="CZ244" i="11"/>
  <c r="DC243" i="11"/>
  <c r="DD243" i="11" s="1"/>
  <c r="DC242" i="11"/>
  <c r="DD242" i="11" s="1"/>
  <c r="CZ245" i="11" l="1"/>
  <c r="DB244" i="11"/>
  <c r="DC244" i="11" l="1"/>
  <c r="DD244" i="11" s="1"/>
  <c r="CZ246" i="11"/>
  <c r="DB245" i="11"/>
  <c r="CZ247" i="11" l="1"/>
  <c r="DB246" i="11"/>
  <c r="DC245" i="11"/>
  <c r="DD245" i="11" s="1"/>
  <c r="DB247" i="11" l="1"/>
  <c r="CZ248" i="11"/>
  <c r="DC246" i="11"/>
  <c r="DD246" i="11" s="1"/>
  <c r="DB248" i="11" l="1"/>
  <c r="CZ249" i="11"/>
  <c r="DC247" i="11"/>
  <c r="DD247" i="11" s="1"/>
  <c r="DC248" i="11"/>
  <c r="DD248" i="11" s="1"/>
  <c r="DB249" i="11" l="1"/>
  <c r="CZ250" i="11"/>
  <c r="CZ251" i="11" l="1"/>
  <c r="DB250" i="11"/>
  <c r="DC249" i="11"/>
  <c r="DD249" i="11" s="1"/>
  <c r="DC250" i="11" l="1"/>
  <c r="DD250" i="11" s="1"/>
  <c r="CZ252" i="11"/>
  <c r="DB251" i="11"/>
  <c r="DC251" i="11" l="1"/>
  <c r="DD251" i="11" s="1"/>
  <c r="DB252" i="11"/>
  <c r="CZ253" i="11"/>
  <c r="DB253" i="11" l="1"/>
  <c r="CZ254" i="11"/>
  <c r="DC252" i="11"/>
  <c r="DD252" i="11" s="1"/>
  <c r="DC253" i="11" l="1"/>
  <c r="DD253" i="11" s="1"/>
  <c r="CZ255" i="11"/>
  <c r="DB254" i="11"/>
  <c r="DC254" i="11" l="1"/>
  <c r="DD254" i="11" s="1"/>
  <c r="DB255" i="11"/>
  <c r="CZ256" i="11"/>
  <c r="CZ257" i="11" l="1"/>
  <c r="DB256" i="11"/>
  <c r="DC255" i="11"/>
  <c r="DD255" i="11" s="1"/>
  <c r="DC256" i="11" l="1"/>
  <c r="DD256" i="11" s="1"/>
  <c r="DB257" i="11"/>
  <c r="CZ258" i="11"/>
  <c r="DB258" i="11" l="1"/>
  <c r="CZ259" i="11"/>
  <c r="DC257" i="11"/>
  <c r="DD257" i="11" s="1"/>
  <c r="DB259" i="11" l="1"/>
  <c r="CZ260" i="11"/>
  <c r="DC258" i="11"/>
  <c r="DD258" i="11" s="1"/>
  <c r="DB260" i="11" l="1"/>
  <c r="CZ261" i="11"/>
  <c r="DC259" i="11"/>
  <c r="DD259" i="11" s="1"/>
  <c r="CZ262" i="11" l="1"/>
  <c r="DB261" i="11"/>
  <c r="DC260" i="11"/>
  <c r="DD260" i="11" s="1"/>
  <c r="DC261" i="11" l="1"/>
  <c r="DD261" i="11" s="1"/>
  <c r="CZ263" i="11"/>
  <c r="DB262" i="11"/>
  <c r="DB263" i="11" l="1"/>
  <c r="DC263" i="11" s="1"/>
  <c r="DD263" i="11" s="1"/>
  <c r="CZ264" i="11"/>
  <c r="DC262" i="11"/>
  <c r="DD262" i="11" s="1"/>
  <c r="CZ265" i="11" l="1"/>
  <c r="DB265" i="11" s="1"/>
  <c r="DB264" i="11"/>
  <c r="DC264" i="11" l="1"/>
  <c r="DD264" i="11" s="1"/>
  <c r="DC265" i="11"/>
  <c r="DD265" i="11" s="1"/>
</calcChain>
</file>

<file path=xl/sharedStrings.xml><?xml version="1.0" encoding="utf-8"?>
<sst xmlns="http://schemas.openxmlformats.org/spreadsheetml/2006/main" count="11755" uniqueCount="3906">
  <si>
    <t>股票代號</t>
    <phoneticPr fontId="3" type="noConversion"/>
  </si>
  <si>
    <t>http://fubon-ebrokerdj.fbs.com.tw/</t>
  </si>
  <si>
    <t>http://justdata.moneydj.com/</t>
  </si>
  <si>
    <t>http://jdata.yuanta.com.tw/</t>
  </si>
  <si>
    <t>http://moneydj.emega.com.tw/</t>
  </si>
  <si>
    <t>http://djfubonholdingfund.fbs.com.tw/</t>
  </si>
  <si>
    <t>http://kgieworld.moneydj.com/</t>
  </si>
  <si>
    <t>http://newjust.masterlink.com.tw/</t>
  </si>
  <si>
    <t>券商網址</t>
    <phoneticPr fontId="3" type="noConversion"/>
  </si>
  <si>
    <t>組合字串</t>
    <phoneticPr fontId="3" type="noConversion"/>
  </si>
  <si>
    <t>真實網址</t>
    <phoneticPr fontId="3" type="noConversion"/>
  </si>
  <si>
    <t>2021.1Q</t>
  </si>
  <si>
    <t>2020.4Q</t>
  </si>
  <si>
    <t>2020.3Q</t>
  </si>
  <si>
    <t>2020.2Q</t>
  </si>
  <si>
    <t>2020.1Q</t>
  </si>
  <si>
    <t>2019.4Q</t>
  </si>
  <si>
    <t>2019.3Q</t>
  </si>
  <si>
    <t>2019.2Q</t>
  </si>
  <si>
    <t>N/A</t>
  </si>
  <si>
    <t>獲利能力指標_x000D_
單位：%</t>
  </si>
  <si>
    <t>期別</t>
  </si>
  <si>
    <t>種類</t>
  </si>
  <si>
    <t>合併</t>
  </si>
  <si>
    <t>ROA(C)稅前息前折舊前</t>
  </si>
  <si>
    <t>ROA(A)稅後息前</t>
  </si>
  <si>
    <t>ROA(B)稅後息前折舊前</t>
  </si>
  <si>
    <t>ROE(A)─稅後</t>
  </si>
  <si>
    <t>ROE(B)─常續利益</t>
  </si>
  <si>
    <t>營業毛利率</t>
  </si>
  <si>
    <t>已實現銷貨毛利率</t>
  </si>
  <si>
    <t>營業利益率</t>
  </si>
  <si>
    <t>稅前淨利率</t>
  </si>
  <si>
    <t>稅後淨利率</t>
  </si>
  <si>
    <t>業外收支/營收</t>
  </si>
  <si>
    <t>常續利益率--稅後</t>
  </si>
  <si>
    <t>每股比率指標_x000D_
單位：% / 元</t>
  </si>
  <si>
    <t>每股淨值(F)(TSE公告數)</t>
  </si>
  <si>
    <t>常續性EPS</t>
  </si>
  <si>
    <t>每股現金流量</t>
  </si>
  <si>
    <t>每股營業額(元)</t>
  </si>
  <si>
    <t>每股營業利益(元)</t>
  </si>
  <si>
    <t>每股稅前淨利(元)</t>
  </si>
  <si>
    <t>每股綜合損益</t>
  </si>
  <si>
    <t>每股盈餘</t>
  </si>
  <si>
    <t>成長率指標_x000D_
單位：%</t>
  </si>
  <si>
    <t>營收成長率</t>
  </si>
  <si>
    <t>營業毛利成長率</t>
  </si>
  <si>
    <t>已實現銷貨毛利成長率</t>
  </si>
  <si>
    <t>營業利益成長率</t>
  </si>
  <si>
    <t>稅前淨利成長率</t>
  </si>
  <si>
    <t>稅後淨利成長率</t>
  </si>
  <si>
    <t>經常淨利成長率</t>
  </si>
  <si>
    <t>常續淨利成長率</t>
  </si>
  <si>
    <t>總資產成長率</t>
  </si>
  <si>
    <t>淨值成長率</t>
  </si>
  <si>
    <t>總資產報酬成長率</t>
  </si>
  <si>
    <t>營收變動率</t>
  </si>
  <si>
    <t>營業利益變動率</t>
  </si>
  <si>
    <t>淨利變動率(單季)</t>
  </si>
  <si>
    <t>稅前盈餘變動率</t>
  </si>
  <si>
    <t>折舊性FA成長率</t>
  </si>
  <si>
    <t>經營能力指標_x000D_
單位：% / 次 / 天</t>
  </si>
  <si>
    <t>存貨及應收帳款/淨值</t>
  </si>
  <si>
    <t>總資產週轉次數</t>
  </si>
  <si>
    <t>應收帳款週轉次</t>
  </si>
  <si>
    <t>平均收帳天數</t>
  </si>
  <si>
    <t>存貨週轉率(次)</t>
  </si>
  <si>
    <t>平均售貨天數</t>
  </si>
  <si>
    <t>固定資產週轉次數</t>
  </si>
  <si>
    <t>淨值週轉率(次)</t>
  </si>
  <si>
    <t>應付帳款付現天數</t>
  </si>
  <si>
    <t>淨營業週期(日)</t>
  </si>
  <si>
    <t>償債能力指標_x000D_
單位：%</t>
  </si>
  <si>
    <t>現金流量允當%</t>
  </si>
  <si>
    <t>現金再投資%</t>
  </si>
  <si>
    <t>流動比率</t>
  </si>
  <si>
    <t>速動比率</t>
  </si>
  <si>
    <t>總負債/總淨值</t>
  </si>
  <si>
    <t>負債比率％</t>
  </si>
  <si>
    <t>淨值/資產</t>
  </si>
  <si>
    <t>長期資金適合率(A)</t>
  </si>
  <si>
    <t>借款依存度</t>
  </si>
  <si>
    <t>或有負債/淨值</t>
  </si>
  <si>
    <t>利息保障倍數</t>
  </si>
  <si>
    <t>成本費用率指標_x000D_
單位：% / 人</t>
  </si>
  <si>
    <t>員工人數</t>
  </si>
  <si>
    <t>營業費用率</t>
  </si>
  <si>
    <t>用人費用率</t>
  </si>
  <si>
    <t>研究發展費用率</t>
  </si>
  <si>
    <t>呆帳費用率</t>
  </si>
  <si>
    <t>現金流量比率</t>
  </si>
  <si>
    <t>有息負債利率</t>
  </si>
  <si>
    <t>稅率(A)</t>
  </si>
  <si>
    <t>稅率(B)%</t>
  </si>
  <si>
    <t>其他_x000D_
單位：千元</t>
  </si>
  <si>
    <t>每人營收</t>
  </si>
  <si>
    <t>每人營業利益</t>
  </si>
  <si>
    <t>每人配備率</t>
  </si>
  <si>
    <t>　 稅前淨利－CFO</t>
  </si>
  <si>
    <t>　 折舊－CFO</t>
  </si>
  <si>
    <t>　 攤提－CFO</t>
  </si>
  <si>
    <t>　 預期信用減損損失（利益）－CFO</t>
  </si>
  <si>
    <t>　 透過損益按公允價值衡量金融資產及負債之淨損失（利益）－</t>
  </si>
  <si>
    <t>　 除列按攤銷後成本衡量金融資產淨損失（利益）－CFO</t>
  </si>
  <si>
    <t>　 金融資產重分類淨損失（利益）－CFO</t>
  </si>
  <si>
    <t>　 存貨跌價損失增加（減少）－CFO</t>
  </si>
  <si>
    <t>　 利息支出－CFO</t>
  </si>
  <si>
    <t>　 存貨盤（盈）虧及報廢－CFO</t>
  </si>
  <si>
    <t>　 利息收入－CFO</t>
  </si>
  <si>
    <t>　 股利收入－CFO</t>
  </si>
  <si>
    <t>　 股份基礎給付酬勞成本－CFO</t>
  </si>
  <si>
    <t>　 採用權益法認列之關聯企業及合資利益份額－CFO</t>
  </si>
  <si>
    <t>　 採用權益法認列之關聯企業及合資損失份額－CFO</t>
  </si>
  <si>
    <t>　 處分不動產、廠房及設備收益－CFO</t>
  </si>
  <si>
    <t>　 處分不動產、廠房及設備損失－CFO</t>
  </si>
  <si>
    <t>　 處分投資性不動產損失（利益）－CFO</t>
  </si>
  <si>
    <t>　 處分無形資產損失（利益）－CFO</t>
  </si>
  <si>
    <t>　 處分投資損失－CFO</t>
  </si>
  <si>
    <t>　 處分投資利益－CFO</t>
  </si>
  <si>
    <t>　 金融商品減損損失－CFO</t>
  </si>
  <si>
    <t>　 金融商品減損迴轉利益－CFO</t>
  </si>
  <si>
    <t>　 資產減損損失－CFO</t>
  </si>
  <si>
    <t>　 資產減損迴轉利益－CFO</t>
  </si>
  <si>
    <t>　 買回公司債損失（利益）－CFO</t>
  </si>
  <si>
    <t>　 提列各項準備－CFO</t>
  </si>
  <si>
    <t>　 回轉各項準備－CFO</t>
  </si>
  <si>
    <t>　 透過損益按公允價值衡量之金融資產（增加）減少－CFO</t>
  </si>
  <si>
    <t>　 避險之金融資產（增加）減少－CFO</t>
  </si>
  <si>
    <t>　 合約資產（增加）減少－CFO</t>
  </si>
  <si>
    <t>　 應收帳款（增加）減少－CFO</t>
  </si>
  <si>
    <t>　 其他應收帳款（增加）減少－CFO</t>
  </si>
  <si>
    <t>　 存貨（增加）減少－CFO</t>
  </si>
  <si>
    <t>　 預付款（增加）減少－CFO</t>
  </si>
  <si>
    <t>　 生物性資產（增加）減少－CFO</t>
  </si>
  <si>
    <t>　 其他金融資產（增加）減少－CFO</t>
  </si>
  <si>
    <t>　 透過損益按公允價值衡量金融負債增加（減少）－CFO</t>
  </si>
  <si>
    <t>　 避險之金融負債增加（減少）－CFO</t>
  </si>
  <si>
    <t>　 合約負債增加（減少）－CFO</t>
  </si>
  <si>
    <t>　 應付帳款增加（減少）－CFO</t>
  </si>
  <si>
    <t>　 其他應付款增加（減少）－CFO</t>
  </si>
  <si>
    <t>　 其他金融負債增加（減少）－CFO</t>
  </si>
  <si>
    <t>　 負債準備增加（減少）CFO－CFO</t>
  </si>
  <si>
    <t>　 提列員工退休金準備－CFO</t>
  </si>
  <si>
    <t>　 支付員工退休金－CFO</t>
  </si>
  <si>
    <t>　 利息收現－CFO</t>
  </si>
  <si>
    <t>　 收取股利－CFO</t>
  </si>
  <si>
    <t>　 支付利息－CFO</t>
  </si>
  <si>
    <t>　 支付股利－CFO</t>
  </si>
  <si>
    <t>　 退還（支付）所得稅－CFO</t>
  </si>
  <si>
    <t>　 調整項（出貨）－CFO</t>
  </si>
  <si>
    <t>來自營運之現金流量</t>
  </si>
  <si>
    <t>　 應收款項增加（減少）－CFI</t>
  </si>
  <si>
    <t>　 新增投資－CFI</t>
  </si>
  <si>
    <t>　 出售投資－CFI</t>
  </si>
  <si>
    <t>　 購置不動產廠房設備（含預付）－CFI</t>
  </si>
  <si>
    <t>　 處分不動產廠房設備（含預付）－CFI</t>
  </si>
  <si>
    <t>　 投資性不動產出售（購買）－CFI</t>
  </si>
  <si>
    <t>　 無形資產（增加）減少－CFI</t>
  </si>
  <si>
    <t>　 其他金融資產（增加）減少－CFI</t>
  </si>
  <si>
    <t>　 購併他公司支付現金淨額－CFI</t>
  </si>
  <si>
    <t>　 取得購併公司現金－CFI</t>
  </si>
  <si>
    <t>　 處分子公司現金流出－CFF</t>
  </si>
  <si>
    <t>　 收到利息－CFI</t>
  </si>
  <si>
    <t>　 收到股利－CFI</t>
  </si>
  <si>
    <t>　 退還（支付）所得稅－CFI</t>
  </si>
  <si>
    <t>　 調整項（出貨）－CFI</t>
  </si>
  <si>
    <t>投資活動之現金流量</t>
  </si>
  <si>
    <t>　 短期借款增加（減少）－CFF</t>
  </si>
  <si>
    <t>　 應付短期票券增加（減少）－CFF</t>
  </si>
  <si>
    <t>　 發行公司債－CFF</t>
  </si>
  <si>
    <t>　 償還公司債－CFF</t>
  </si>
  <si>
    <t>　 舉借長期借款－CFF</t>
  </si>
  <si>
    <t>　 償還長期借款－CFF</t>
  </si>
  <si>
    <t>　 發行特別股負債－CFF</t>
  </si>
  <si>
    <t>　 償還長特別股負債－CFF</t>
  </si>
  <si>
    <t>　 庫藏股票減少（增加）－CFF</t>
  </si>
  <si>
    <t>　 現金增（減）資－CFF</t>
  </si>
  <si>
    <t>　 行使員工認股權－CFF</t>
  </si>
  <si>
    <t>　 支付現金股利－CFF</t>
  </si>
  <si>
    <t>　 透過損益按公允價值衡量之金融負債增加（減少）－CFF</t>
  </si>
  <si>
    <t>　 按攤銷後成本衡量之金融負債增加（減少）－CFF</t>
  </si>
  <si>
    <t>　 其他金融負債增加（減少）－CFF</t>
  </si>
  <si>
    <t>　 非控制權益增加（減少）－CFF</t>
  </si>
  <si>
    <t>　 取得子公司股權－CFF</t>
  </si>
  <si>
    <t>　 處分子公司股權－CFF</t>
  </si>
  <si>
    <t>　 支付利息－CFF</t>
  </si>
  <si>
    <t>　 退還（支付）所得稅－CFF</t>
  </si>
  <si>
    <t>　 調整項（出貨）－CFF</t>
  </si>
  <si>
    <t>籌資活動之現金流量</t>
  </si>
  <si>
    <t>匯率影響數</t>
  </si>
  <si>
    <t>本期產生現金流量</t>
  </si>
  <si>
    <t>期初現金及約當現金</t>
  </si>
  <si>
    <t>期末現金及約當現金</t>
  </si>
  <si>
    <t>股　　利　　政　　策</t>
  </si>
  <si>
    <t>殖 利 率 統 計</t>
  </si>
  <si>
    <t>盈餘分配率統計</t>
  </si>
  <si>
    <t>股利_x000D_
發放_x000D_
年度</t>
  </si>
  <si>
    <t>股東股利 (元/股)</t>
  </si>
  <si>
    <t>股利總計</t>
  </si>
  <si>
    <t>填息_x000D_
花費_x000D_
日數</t>
  </si>
  <si>
    <t>填權_x000D_
花費_x000D_
日數</t>
  </si>
  <si>
    <t>現金股利</t>
  </si>
  <si>
    <t>股票股利</t>
  </si>
  <si>
    <t>股利_x000D_
合計</t>
  </si>
  <si>
    <t>現金_x000D_
(億)</t>
  </si>
  <si>
    <t>股票_x000D_
(千張)</t>
  </si>
  <si>
    <t>股價_x000D_
年度</t>
  </si>
  <si>
    <t>股價統計(元)</t>
  </si>
  <si>
    <t>年均殖利率(%)</t>
  </si>
  <si>
    <t>股利_x000D_
所屬_x000D_
期間</t>
  </si>
  <si>
    <t>EPS_x000D_
(元)</t>
  </si>
  <si>
    <t>盈餘分配率(%)</t>
  </si>
  <si>
    <t>盈餘</t>
  </si>
  <si>
    <t>公積</t>
  </si>
  <si>
    <t>合計</t>
  </si>
  <si>
    <t>最高</t>
  </si>
  <si>
    <t>最低</t>
  </si>
  <si>
    <t>年均</t>
  </si>
  <si>
    <t>現金</t>
  </si>
  <si>
    <t>股票</t>
  </si>
  <si>
    <t>配息</t>
  </si>
  <si>
    <t>配股</t>
  </si>
  <si>
    <t>-</t>
  </si>
  <si>
    <t>累計</t>
  </si>
  <si>
    <t xml:space="preserve"> </t>
  </si>
  <si>
    <t>資料日期</t>
  </si>
  <si>
    <t>集保_x000D_
總張數</t>
  </si>
  <si>
    <t>總股東_x000D_
人數</t>
  </si>
  <si>
    <t>平均_x000D_
張數/人</t>
  </si>
  <si>
    <t>&gt;400張_x000D_
大股東_x000D_
持有張數</t>
  </si>
  <si>
    <t>&gt;400張_x000D_
大股東_x000D_
持有百分比</t>
  </si>
  <si>
    <t>&gt;400張_x000D_
大股東_x000D_
人數</t>
  </si>
  <si>
    <t>400_x000D_
~600張_x000D_
人數</t>
  </si>
  <si>
    <t>600_x000D_
~800張_x000D_
人數</t>
  </si>
  <si>
    <t>800_x000D_
~1000張_x000D_
人數</t>
  </si>
  <si>
    <t>&gt;1000張_x000D_
人數</t>
  </si>
  <si>
    <t>&gt;1000張_x000D_
大股東_x000D_
持有百分比</t>
  </si>
  <si>
    <t>收盤價</t>
  </si>
  <si>
    <t>* 顏色識別: 紅色-成長, 綠色-下降, 黑色-持平</t>
  </si>
  <si>
    <t>頁面編號</t>
  </si>
  <si>
    <t>國際證券編碼</t>
  </si>
  <si>
    <t>有價證券代號</t>
  </si>
  <si>
    <t>有價證券名稱</t>
  </si>
  <si>
    <t>市場別</t>
  </si>
  <si>
    <t>有價證券別</t>
  </si>
  <si>
    <t>產業別</t>
  </si>
  <si>
    <t>公開發行/上市(櫃)/發行日</t>
  </si>
  <si>
    <t>CFICode</t>
  </si>
  <si>
    <t>備註</t>
  </si>
  <si>
    <t>TW0001101004</t>
  </si>
  <si>
    <t>台泥</t>
  </si>
  <si>
    <t xml:space="preserve">上市 </t>
  </si>
  <si>
    <t>水泥工業</t>
  </si>
  <si>
    <t>ESVUFR</t>
  </si>
  <si>
    <t>TW0001102002</t>
  </si>
  <si>
    <t>亞泥</t>
  </si>
  <si>
    <t>TW0001103000</t>
  </si>
  <si>
    <t>嘉泥</t>
  </si>
  <si>
    <t>TW0001104008</t>
  </si>
  <si>
    <t>環泥</t>
  </si>
  <si>
    <t>TW0001108009</t>
  </si>
  <si>
    <t>幸福</t>
  </si>
  <si>
    <t>TW0001109007</t>
  </si>
  <si>
    <t>信大</t>
  </si>
  <si>
    <t>TW0001110005</t>
  </si>
  <si>
    <t>東泥</t>
  </si>
  <si>
    <t>TW0001201002</t>
  </si>
  <si>
    <t>味全</t>
  </si>
  <si>
    <t>食品工業</t>
  </si>
  <si>
    <t>TW0001203008</t>
  </si>
  <si>
    <t>味王</t>
  </si>
  <si>
    <t>TW0001210003</t>
  </si>
  <si>
    <t>大成</t>
  </si>
  <si>
    <t>TW0001213007</t>
  </si>
  <si>
    <t>大飲</t>
  </si>
  <si>
    <t>TW0001215002</t>
  </si>
  <si>
    <t>卜蜂</t>
  </si>
  <si>
    <t>TW0001216000</t>
  </si>
  <si>
    <t>統一</t>
  </si>
  <si>
    <t>TW0001217008</t>
  </si>
  <si>
    <t>愛之味</t>
  </si>
  <si>
    <t>TW0001218006</t>
  </si>
  <si>
    <t>泰山</t>
  </si>
  <si>
    <t>TW0001219004</t>
  </si>
  <si>
    <t>福壽</t>
  </si>
  <si>
    <t>TW0001220002</t>
  </si>
  <si>
    <t>台榮</t>
  </si>
  <si>
    <t>TW0001225001</t>
  </si>
  <si>
    <t>福懋油</t>
  </si>
  <si>
    <t>TW0001227007</t>
  </si>
  <si>
    <t>佳格</t>
  </si>
  <si>
    <t>TW0001229003</t>
  </si>
  <si>
    <t>聯華</t>
  </si>
  <si>
    <t>TW0001231009</t>
  </si>
  <si>
    <t>聯華食</t>
  </si>
  <si>
    <t>TW0001232007</t>
  </si>
  <si>
    <t>大統益</t>
  </si>
  <si>
    <t>TW0001233005</t>
  </si>
  <si>
    <t>天仁</t>
  </si>
  <si>
    <t>TW0001234003</t>
  </si>
  <si>
    <t>黑松</t>
  </si>
  <si>
    <t>TW0001235000</t>
  </si>
  <si>
    <t>興泰</t>
  </si>
  <si>
    <t>TW0001236008</t>
  </si>
  <si>
    <t>宏亞</t>
  </si>
  <si>
    <t>KYG858681003</t>
  </si>
  <si>
    <t>鮮活果汁-KY</t>
  </si>
  <si>
    <t>TW0001301000</t>
  </si>
  <si>
    <t>台塑</t>
  </si>
  <si>
    <t>塑膠工業</t>
  </si>
  <si>
    <t>TW0001303006</t>
  </si>
  <si>
    <t>南亞</t>
  </si>
  <si>
    <t>TW0001304004</t>
  </si>
  <si>
    <t>台聚</t>
  </si>
  <si>
    <t>TW0001305001</t>
  </si>
  <si>
    <t>華夏</t>
  </si>
  <si>
    <t>TW0001307007</t>
  </si>
  <si>
    <t>三芳</t>
  </si>
  <si>
    <t>TW0001308005</t>
  </si>
  <si>
    <t>亞聚</t>
  </si>
  <si>
    <t>TW0001309003</t>
  </si>
  <si>
    <t>台達化</t>
  </si>
  <si>
    <t>TW0001310001</t>
  </si>
  <si>
    <t>台苯</t>
  </si>
  <si>
    <t>TW0001312007</t>
  </si>
  <si>
    <t>國喬</t>
  </si>
  <si>
    <t>TW0001313005</t>
  </si>
  <si>
    <t>聯成</t>
  </si>
  <si>
    <t>TW0001314003</t>
  </si>
  <si>
    <t>中石化</t>
  </si>
  <si>
    <t>TW0001315000</t>
  </si>
  <si>
    <t>達新</t>
  </si>
  <si>
    <t>TW0001316008</t>
  </si>
  <si>
    <t>上曜</t>
  </si>
  <si>
    <t>建材營造業</t>
  </si>
  <si>
    <t>TW0001319002</t>
  </si>
  <si>
    <t>東陽</t>
  </si>
  <si>
    <t>汽車工業</t>
  </si>
  <si>
    <t>TW0001321008</t>
  </si>
  <si>
    <t>大洋</t>
  </si>
  <si>
    <t>TW0001323004</t>
  </si>
  <si>
    <t>永裕</t>
  </si>
  <si>
    <t>TW0001324002</t>
  </si>
  <si>
    <t>地球</t>
  </si>
  <si>
    <t>TW0001325009</t>
  </si>
  <si>
    <t>恆大</t>
  </si>
  <si>
    <t>TW0001326007</t>
  </si>
  <si>
    <t>台化</t>
  </si>
  <si>
    <t>KYG0539R1039</t>
  </si>
  <si>
    <t>再生-KY</t>
  </si>
  <si>
    <t>KYG451001070</t>
  </si>
  <si>
    <t>廣華-KY</t>
  </si>
  <si>
    <t>TW0001339000</t>
  </si>
  <si>
    <t>昭輝</t>
  </si>
  <si>
    <t>KYG935971054</t>
  </si>
  <si>
    <t>勝悅-KY</t>
  </si>
  <si>
    <t>KYG3730M1050</t>
  </si>
  <si>
    <t>富林-KY</t>
  </si>
  <si>
    <t>TW0001342004</t>
  </si>
  <si>
    <t>八貫</t>
  </si>
  <si>
    <t>其他業</t>
  </si>
  <si>
    <t>TW0001402006</t>
  </si>
  <si>
    <t>遠東新</t>
  </si>
  <si>
    <t>紡織纖維</t>
  </si>
  <si>
    <t>TW0001409001</t>
  </si>
  <si>
    <t>新纖</t>
  </si>
  <si>
    <t>TW0001410009</t>
  </si>
  <si>
    <t>南染</t>
  </si>
  <si>
    <t>TW0001413003</t>
  </si>
  <si>
    <t>宏洲</t>
  </si>
  <si>
    <t>TW0001414001</t>
  </si>
  <si>
    <t>東和</t>
  </si>
  <si>
    <t>TW0001416006</t>
  </si>
  <si>
    <t>廣豐</t>
  </si>
  <si>
    <t>TW0001417004</t>
  </si>
  <si>
    <t>嘉裕</t>
  </si>
  <si>
    <t>TW0001418002</t>
  </si>
  <si>
    <t>東華</t>
  </si>
  <si>
    <t>TW0001419000</t>
  </si>
  <si>
    <t>新紡</t>
  </si>
  <si>
    <t>TW0001423002</t>
  </si>
  <si>
    <t>利華</t>
  </si>
  <si>
    <t>TW0001432003</t>
  </si>
  <si>
    <t>大魯閣</t>
  </si>
  <si>
    <t>貿易百貨業</t>
  </si>
  <si>
    <t>TW0001434009</t>
  </si>
  <si>
    <t>福懋</t>
  </si>
  <si>
    <t>TW0001435006</t>
  </si>
  <si>
    <t>中福</t>
  </si>
  <si>
    <t>TW0001436004</t>
  </si>
  <si>
    <t>華友聯</t>
  </si>
  <si>
    <t>TW0001437002</t>
  </si>
  <si>
    <t>勤益控</t>
  </si>
  <si>
    <t>TW0001438000</t>
  </si>
  <si>
    <t>三地開發</t>
  </si>
  <si>
    <t>TW0001439008</t>
  </si>
  <si>
    <t>中和</t>
  </si>
  <si>
    <t>TW0001440006</t>
  </si>
  <si>
    <t>南紡</t>
  </si>
  <si>
    <t>TW0001441004</t>
  </si>
  <si>
    <t>大東</t>
  </si>
  <si>
    <t>TW0001442002</t>
  </si>
  <si>
    <t>名軒</t>
  </si>
  <si>
    <t>TW0001443000</t>
  </si>
  <si>
    <t>立益</t>
  </si>
  <si>
    <t>TW0001444008</t>
  </si>
  <si>
    <t>力麗</t>
  </si>
  <si>
    <t>TW0001445005</t>
  </si>
  <si>
    <t>大宇</t>
  </si>
  <si>
    <t>TW0001446003</t>
  </si>
  <si>
    <t>宏和</t>
  </si>
  <si>
    <t>TW0001447001</t>
  </si>
  <si>
    <t>力鵬</t>
  </si>
  <si>
    <t>TW0001449007</t>
  </si>
  <si>
    <t>佳和</t>
  </si>
  <si>
    <t>TW0001451003</t>
  </si>
  <si>
    <t>年興</t>
  </si>
  <si>
    <t>TW0001452001</t>
  </si>
  <si>
    <t>宏益</t>
  </si>
  <si>
    <t>TW0001453009</t>
  </si>
  <si>
    <t>大將</t>
  </si>
  <si>
    <t>TW0001454007</t>
  </si>
  <si>
    <t>台富</t>
  </si>
  <si>
    <t>TW0001455004</t>
  </si>
  <si>
    <t>集盛</t>
  </si>
  <si>
    <t>TW0001456002</t>
  </si>
  <si>
    <t>怡華</t>
  </si>
  <si>
    <t>TW0001457000</t>
  </si>
  <si>
    <t>宜進</t>
  </si>
  <si>
    <t>TW0001459006</t>
  </si>
  <si>
    <t>聯發</t>
  </si>
  <si>
    <t>TW0001460004</t>
  </si>
  <si>
    <t>宏遠</t>
  </si>
  <si>
    <t>TW0001463008</t>
  </si>
  <si>
    <t>強盛</t>
  </si>
  <si>
    <t>TW0001464006</t>
  </si>
  <si>
    <t>得力</t>
  </si>
  <si>
    <t>TW0001465003</t>
  </si>
  <si>
    <t>偉全</t>
  </si>
  <si>
    <t>TW0001466001</t>
  </si>
  <si>
    <t>聚隆</t>
  </si>
  <si>
    <t>TW0001467009</t>
  </si>
  <si>
    <t>南緯</t>
  </si>
  <si>
    <t>TW0001468007</t>
  </si>
  <si>
    <t>昶和</t>
  </si>
  <si>
    <t>TW0001470003</t>
  </si>
  <si>
    <t>大統新創</t>
  </si>
  <si>
    <t>TW0001471001</t>
  </si>
  <si>
    <t>首利</t>
  </si>
  <si>
    <t>電子零組件業</t>
  </si>
  <si>
    <t>TW0001472009</t>
  </si>
  <si>
    <t>三洋紡</t>
  </si>
  <si>
    <t>TW0001473007</t>
  </si>
  <si>
    <t>台南</t>
  </si>
  <si>
    <t>TW0001474005</t>
  </si>
  <si>
    <t>弘裕</t>
  </si>
  <si>
    <t>TW0001475002</t>
  </si>
  <si>
    <t>業旺</t>
  </si>
  <si>
    <t>TW0001476000</t>
  </si>
  <si>
    <t>儒鴻</t>
  </si>
  <si>
    <t>TW0001477008</t>
  </si>
  <si>
    <t>聚陽</t>
  </si>
  <si>
    <t>TW0001503001</t>
  </si>
  <si>
    <t>士電</t>
  </si>
  <si>
    <t>電機機械</t>
  </si>
  <si>
    <t>TW0001504009</t>
  </si>
  <si>
    <t>東元</t>
  </si>
  <si>
    <t>TW0001506004</t>
  </si>
  <si>
    <t>正道</t>
  </si>
  <si>
    <t>TW0001507002</t>
  </si>
  <si>
    <t>永大</t>
  </si>
  <si>
    <t>TW0001512002</t>
  </si>
  <si>
    <t>瑞利</t>
  </si>
  <si>
    <t>TW0001513000</t>
  </si>
  <si>
    <t>中興電</t>
  </si>
  <si>
    <t>TW0001514008</t>
  </si>
  <si>
    <t>亞力</t>
  </si>
  <si>
    <t>TW0001515005</t>
  </si>
  <si>
    <t>力山</t>
  </si>
  <si>
    <t>TW0001516003</t>
  </si>
  <si>
    <t>川飛</t>
  </si>
  <si>
    <t>TW0001517001</t>
  </si>
  <si>
    <t>利奇</t>
  </si>
  <si>
    <t>TW0001519007</t>
  </si>
  <si>
    <t>華城</t>
  </si>
  <si>
    <t>TW0001521003</t>
  </si>
  <si>
    <t>大億</t>
  </si>
  <si>
    <t>TW0001522001</t>
  </si>
  <si>
    <t>堤維西</t>
  </si>
  <si>
    <t>TW0001524007</t>
  </si>
  <si>
    <t>耿鼎</t>
  </si>
  <si>
    <t>TW0001525004</t>
  </si>
  <si>
    <t>江申</t>
  </si>
  <si>
    <t>TW0001526002</t>
  </si>
  <si>
    <t>日馳</t>
  </si>
  <si>
    <t>TW0001527000</t>
  </si>
  <si>
    <t>鑽全</t>
  </si>
  <si>
    <t>TW0001528008</t>
  </si>
  <si>
    <t>恩德</t>
  </si>
  <si>
    <t>TW0001529006</t>
  </si>
  <si>
    <t>樂士</t>
  </si>
  <si>
    <t>TW0001530004</t>
  </si>
  <si>
    <t>亞崴</t>
  </si>
  <si>
    <t>TW0001531002</t>
  </si>
  <si>
    <t>高林股</t>
  </si>
  <si>
    <t>TW0001532000</t>
  </si>
  <si>
    <t>勤美</t>
  </si>
  <si>
    <t>TW0001533008</t>
  </si>
  <si>
    <t>車王電</t>
  </si>
  <si>
    <t>TW0001535003</t>
  </si>
  <si>
    <t>中宇</t>
  </si>
  <si>
    <t>TW0001536001</t>
  </si>
  <si>
    <t>和大</t>
  </si>
  <si>
    <t>TW0001537009</t>
  </si>
  <si>
    <t>廣隆</t>
  </si>
  <si>
    <t>TW0001538007</t>
  </si>
  <si>
    <t>正峰</t>
  </si>
  <si>
    <t>TW0001539005</t>
  </si>
  <si>
    <t>巨庭</t>
  </si>
  <si>
    <t>TW0001540003</t>
  </si>
  <si>
    <t>喬福</t>
  </si>
  <si>
    <t>TW0001541001</t>
  </si>
  <si>
    <t>錩泰</t>
  </si>
  <si>
    <t>TW0001558005</t>
  </si>
  <si>
    <t>伸興</t>
  </si>
  <si>
    <t>TW0001560001</t>
  </si>
  <si>
    <t>中砂</t>
  </si>
  <si>
    <t>TW0001568004</t>
  </si>
  <si>
    <t>倉佑</t>
  </si>
  <si>
    <t>TW0001582005</t>
  </si>
  <si>
    <t>信錦</t>
  </si>
  <si>
    <t>TW0001583003</t>
  </si>
  <si>
    <t>程泰</t>
  </si>
  <si>
    <t>TW0001587004</t>
  </si>
  <si>
    <t>吉茂</t>
  </si>
  <si>
    <t>KYG984291065</t>
  </si>
  <si>
    <t>永冠-KY</t>
  </si>
  <si>
    <t>KYG014081064</t>
  </si>
  <si>
    <t>亞德客-KY</t>
  </si>
  <si>
    <t>KYG316231045</t>
  </si>
  <si>
    <t>英瑞-KY</t>
  </si>
  <si>
    <t>TW0001597003</t>
  </si>
  <si>
    <t>直得</t>
  </si>
  <si>
    <t>TW0001598001</t>
  </si>
  <si>
    <t>岱宇</t>
  </si>
  <si>
    <t>生技醫療業</t>
  </si>
  <si>
    <t>TW0001603009</t>
  </si>
  <si>
    <t>華電</t>
  </si>
  <si>
    <t>電器電纜</t>
  </si>
  <si>
    <t>TW0001604007</t>
  </si>
  <si>
    <t>聲寶</t>
  </si>
  <si>
    <t>TW0001605004</t>
  </si>
  <si>
    <t>華新</t>
  </si>
  <si>
    <t>TW0001608008</t>
  </si>
  <si>
    <t>華榮</t>
  </si>
  <si>
    <t>TW0001609006</t>
  </si>
  <si>
    <t>大亞</t>
  </si>
  <si>
    <t>TW0001611002</t>
  </si>
  <si>
    <t>中電</t>
  </si>
  <si>
    <t>TW0001612000</t>
  </si>
  <si>
    <t>宏泰</t>
  </si>
  <si>
    <t>TW0001614006</t>
  </si>
  <si>
    <t>三洋電</t>
  </si>
  <si>
    <t>TW0001615003</t>
  </si>
  <si>
    <t>大山</t>
  </si>
  <si>
    <t>TW0001616001</t>
  </si>
  <si>
    <t>億泰</t>
  </si>
  <si>
    <t>TW0001617009</t>
  </si>
  <si>
    <t>榮星</t>
  </si>
  <si>
    <t>TW0001618007</t>
  </si>
  <si>
    <t>合機</t>
  </si>
  <si>
    <t>KYG0135T1076</t>
  </si>
  <si>
    <t>艾美特-KY</t>
  </si>
  <si>
    <t>TW0001701001</t>
  </si>
  <si>
    <t>中化</t>
  </si>
  <si>
    <t>TW0001702009</t>
  </si>
  <si>
    <t>南僑</t>
  </si>
  <si>
    <t>TW0001707008</t>
  </si>
  <si>
    <t>葡萄王</t>
  </si>
  <si>
    <t>TW0001708006</t>
  </si>
  <si>
    <t>東鹼</t>
  </si>
  <si>
    <t>化學工業</t>
  </si>
  <si>
    <t>TW0001709004</t>
  </si>
  <si>
    <t>和益</t>
  </si>
  <si>
    <t>TW0001710002</t>
  </si>
  <si>
    <t>東聯</t>
  </si>
  <si>
    <t>TW0001711000</t>
  </si>
  <si>
    <t>永光</t>
  </si>
  <si>
    <t>TW0001712008</t>
  </si>
  <si>
    <t>興農</t>
  </si>
  <si>
    <t>TW0001713006</t>
  </si>
  <si>
    <t>國化</t>
  </si>
  <si>
    <t>TW0001714004</t>
  </si>
  <si>
    <t>和桐</t>
  </si>
  <si>
    <t>TW0001717007</t>
  </si>
  <si>
    <t>長興</t>
  </si>
  <si>
    <t>TW0001718005</t>
  </si>
  <si>
    <t>中纖</t>
  </si>
  <si>
    <t>TW0001720001</t>
  </si>
  <si>
    <t>生達</t>
  </si>
  <si>
    <t>TW0001721009</t>
  </si>
  <si>
    <t>三晃</t>
  </si>
  <si>
    <t>TW0001722007</t>
  </si>
  <si>
    <t>台肥</t>
  </si>
  <si>
    <t>TW0001723005</t>
  </si>
  <si>
    <t>中碳</t>
  </si>
  <si>
    <t>TW0001724003</t>
  </si>
  <si>
    <t>台硝</t>
  </si>
  <si>
    <t>TW0001725000</t>
  </si>
  <si>
    <t>元禎</t>
  </si>
  <si>
    <t>TW0001726008</t>
  </si>
  <si>
    <t>永記</t>
  </si>
  <si>
    <t>TW0001727006</t>
  </si>
  <si>
    <t>中華化</t>
  </si>
  <si>
    <t>TW0001730000</t>
  </si>
  <si>
    <t>花仙子</t>
  </si>
  <si>
    <t>TW0001731008</t>
  </si>
  <si>
    <t>美吾華</t>
  </si>
  <si>
    <t>TW0001732006</t>
  </si>
  <si>
    <t>毛寶</t>
  </si>
  <si>
    <t>TW0001733004</t>
  </si>
  <si>
    <t>五鼎</t>
  </si>
  <si>
    <t>TW0001734002</t>
  </si>
  <si>
    <t>杏輝</t>
  </si>
  <si>
    <t>TW0001735009</t>
  </si>
  <si>
    <t>日勝化</t>
  </si>
  <si>
    <t>TW0001736007</t>
  </si>
  <si>
    <t>喬山</t>
  </si>
  <si>
    <t>TW0001737005</t>
  </si>
  <si>
    <t>臺鹽</t>
  </si>
  <si>
    <t>TW0001760007</t>
  </si>
  <si>
    <t>寶齡富錦</t>
  </si>
  <si>
    <t>TW0001762003</t>
  </si>
  <si>
    <t>中化生</t>
  </si>
  <si>
    <t>TW0001773000</t>
  </si>
  <si>
    <t>勝一</t>
  </si>
  <si>
    <t>TW0001776003</t>
  </si>
  <si>
    <t>展宇</t>
  </si>
  <si>
    <t>TW0001783009</t>
  </si>
  <si>
    <t>和康生</t>
  </si>
  <si>
    <t>TW0001786002</t>
  </si>
  <si>
    <t>科妍</t>
  </si>
  <si>
    <t>TW0001789006</t>
  </si>
  <si>
    <t>神隆</t>
  </si>
  <si>
    <t>TW0001795003</t>
  </si>
  <si>
    <t>美時</t>
  </si>
  <si>
    <t>TW0001802007</t>
  </si>
  <si>
    <t>台玻</t>
  </si>
  <si>
    <t>玻璃陶瓷</t>
  </si>
  <si>
    <t>TW0001805000</t>
  </si>
  <si>
    <t>寶徠</t>
  </si>
  <si>
    <t>TW0001806008</t>
  </si>
  <si>
    <t>冠軍</t>
  </si>
  <si>
    <t>TW0001808004</t>
  </si>
  <si>
    <t>潤隆</t>
  </si>
  <si>
    <t>TW0001809002</t>
  </si>
  <si>
    <t>中釉</t>
  </si>
  <si>
    <t>TW0001810000</t>
  </si>
  <si>
    <t>和成</t>
  </si>
  <si>
    <t>TW0001817005</t>
  </si>
  <si>
    <t>凱撒衛</t>
  </si>
  <si>
    <t>TW0001903003</t>
  </si>
  <si>
    <t>士紙</t>
  </si>
  <si>
    <t>造紙工業</t>
  </si>
  <si>
    <t>TW0001904001</t>
  </si>
  <si>
    <t>正隆</t>
  </si>
  <si>
    <t>TW0001905008</t>
  </si>
  <si>
    <t>華紙</t>
  </si>
  <si>
    <t>TW0001906006</t>
  </si>
  <si>
    <t>寶隆</t>
  </si>
  <si>
    <t>TW0001907004</t>
  </si>
  <si>
    <t>永豐餘</t>
  </si>
  <si>
    <t>TW0001909000</t>
  </si>
  <si>
    <t>榮成</t>
  </si>
  <si>
    <t>TW0002002003</t>
  </si>
  <si>
    <t>中鋼</t>
  </si>
  <si>
    <t>鋼鐵工業</t>
  </si>
  <si>
    <t>TW0002006004</t>
  </si>
  <si>
    <t>東和鋼鐵</t>
  </si>
  <si>
    <t>TW0002007002</t>
  </si>
  <si>
    <t>燁興</t>
  </si>
  <si>
    <t>TW0002008000</t>
  </si>
  <si>
    <t>高興昌</t>
  </si>
  <si>
    <t>TW0002009008</t>
  </si>
  <si>
    <t>第一銅</t>
  </si>
  <si>
    <t>TW0002010006</t>
  </si>
  <si>
    <t>春源</t>
  </si>
  <si>
    <t>TW0002012002</t>
  </si>
  <si>
    <t>春雨</t>
  </si>
  <si>
    <t>TW0002013000</t>
  </si>
  <si>
    <t>中鋼構</t>
  </si>
  <si>
    <t>TW0002014008</t>
  </si>
  <si>
    <t>中鴻</t>
  </si>
  <si>
    <t>TW0002015005</t>
  </si>
  <si>
    <t>豐興</t>
  </si>
  <si>
    <t>TW0002017001</t>
  </si>
  <si>
    <t>官田鋼</t>
  </si>
  <si>
    <t>TW0002020005</t>
  </si>
  <si>
    <t>美亞</t>
  </si>
  <si>
    <t>TW0002022001</t>
  </si>
  <si>
    <t>聚亨</t>
  </si>
  <si>
    <t>TW0002023009</t>
  </si>
  <si>
    <t>燁輝</t>
  </si>
  <si>
    <t>TW0002024007</t>
  </si>
  <si>
    <t>志聯</t>
  </si>
  <si>
    <t>TW0002025004</t>
  </si>
  <si>
    <t>千興</t>
  </si>
  <si>
    <t>TW0002027000</t>
  </si>
  <si>
    <t>大成鋼</t>
  </si>
  <si>
    <t>TW0002028008</t>
  </si>
  <si>
    <t>威致</t>
  </si>
  <si>
    <t>TW0002029006</t>
  </si>
  <si>
    <t>盛餘</t>
  </si>
  <si>
    <t>TW0002030004</t>
  </si>
  <si>
    <t>彰源</t>
  </si>
  <si>
    <t>TW0002031002</t>
  </si>
  <si>
    <t>新光鋼</t>
  </si>
  <si>
    <t>TW0002032000</t>
  </si>
  <si>
    <t>新鋼</t>
  </si>
  <si>
    <t>TW0002033008</t>
  </si>
  <si>
    <t>佳大</t>
  </si>
  <si>
    <t>TW0002034006</t>
  </si>
  <si>
    <t>允強</t>
  </si>
  <si>
    <t>TW0002038007</t>
  </si>
  <si>
    <t>海光</t>
  </si>
  <si>
    <t>TW0002049004</t>
  </si>
  <si>
    <t>上銀</t>
  </si>
  <si>
    <t>TW0002059003</t>
  </si>
  <si>
    <t>川湖</t>
  </si>
  <si>
    <t>TW0002062007</t>
  </si>
  <si>
    <t>橋椿</t>
  </si>
  <si>
    <t>TW0002069002</t>
  </si>
  <si>
    <t>運錩</t>
  </si>
  <si>
    <t>TW0002101003</t>
  </si>
  <si>
    <t>南港</t>
  </si>
  <si>
    <t>橡膠工業</t>
  </si>
  <si>
    <t>TW0002102001</t>
  </si>
  <si>
    <t>泰豐</t>
  </si>
  <si>
    <t>TW0002103009</t>
  </si>
  <si>
    <t>台橡</t>
  </si>
  <si>
    <t>TW0002104007</t>
  </si>
  <si>
    <t>國際中橡</t>
  </si>
  <si>
    <t>TW0002105004</t>
  </si>
  <si>
    <t>正新</t>
  </si>
  <si>
    <t>TW0002106002</t>
  </si>
  <si>
    <t>建大</t>
  </si>
  <si>
    <t>TW0002107000</t>
  </si>
  <si>
    <t>厚生</t>
  </si>
  <si>
    <t>TW0002108008</t>
  </si>
  <si>
    <t>南帝</t>
  </si>
  <si>
    <t>TW0002109006</t>
  </si>
  <si>
    <t>華豐</t>
  </si>
  <si>
    <t>TW0002114006</t>
  </si>
  <si>
    <t>鑫永銓</t>
  </si>
  <si>
    <t>KYG5700L1086</t>
  </si>
  <si>
    <t>六暉-KY</t>
  </si>
  <si>
    <t>TW0002201001</t>
  </si>
  <si>
    <t>裕隆</t>
  </si>
  <si>
    <t>TW0002204005</t>
  </si>
  <si>
    <t>中華</t>
  </si>
  <si>
    <t>TW0002206000</t>
  </si>
  <si>
    <t>三陽工業</t>
  </si>
  <si>
    <t>TW0002207008</t>
  </si>
  <si>
    <t>和泰車</t>
  </si>
  <si>
    <t>TW0002208006</t>
  </si>
  <si>
    <t>台船</t>
  </si>
  <si>
    <t>航運業</t>
  </si>
  <si>
    <t>TW0002211000</t>
  </si>
  <si>
    <t>長榮鋼</t>
  </si>
  <si>
    <t>TW0002227006</t>
  </si>
  <si>
    <t>裕日車</t>
  </si>
  <si>
    <t>TW0002228004</t>
  </si>
  <si>
    <t>劍麟</t>
  </si>
  <si>
    <t>TW0002231008</t>
  </si>
  <si>
    <t>為升</t>
  </si>
  <si>
    <t>TW0002233004</t>
  </si>
  <si>
    <t>宇隆</t>
  </si>
  <si>
    <t>KYG693691092</t>
  </si>
  <si>
    <t>百達-KY</t>
  </si>
  <si>
    <t>KYG1991F1081</t>
  </si>
  <si>
    <t>英利-KY</t>
  </si>
  <si>
    <t>TW0002241007</t>
  </si>
  <si>
    <t>艾姆勒</t>
  </si>
  <si>
    <t>KYG460651014</t>
  </si>
  <si>
    <t>宏旭-KY</t>
  </si>
  <si>
    <t>TW0002247004</t>
  </si>
  <si>
    <t>汎德永業</t>
  </si>
  <si>
    <t>KYG4R56R1099</t>
  </si>
  <si>
    <t>IKKA-KY</t>
  </si>
  <si>
    <t>TW0002301009</t>
  </si>
  <si>
    <t>光寶科</t>
  </si>
  <si>
    <t>電腦及週邊設備業</t>
  </si>
  <si>
    <t>TW0002302007</t>
  </si>
  <si>
    <t>麗正</t>
  </si>
  <si>
    <t>半導體業</t>
  </si>
  <si>
    <t>TW0002303005</t>
  </si>
  <si>
    <t>聯電</t>
  </si>
  <si>
    <t>TW0002305000</t>
  </si>
  <si>
    <t>全友</t>
  </si>
  <si>
    <t>TW0002308004</t>
  </si>
  <si>
    <t>台達電</t>
  </si>
  <si>
    <t>TW0002312006</t>
  </si>
  <si>
    <t>金寶</t>
  </si>
  <si>
    <t>其他電子業</t>
  </si>
  <si>
    <t>TW0002313004</t>
  </si>
  <si>
    <t>華通</t>
  </si>
  <si>
    <t>TW0002314002</t>
  </si>
  <si>
    <t>台揚</t>
  </si>
  <si>
    <t>通信網路業</t>
  </si>
  <si>
    <t>TW0002316007</t>
  </si>
  <si>
    <t>楠梓電</t>
  </si>
  <si>
    <t>TW0002317005</t>
  </si>
  <si>
    <t>鴻海</t>
  </si>
  <si>
    <t>TW0002321007</t>
  </si>
  <si>
    <t>東訊</t>
  </si>
  <si>
    <t>TW0002323003</t>
  </si>
  <si>
    <t>中環</t>
  </si>
  <si>
    <t>光電業</t>
  </si>
  <si>
    <t>TW0002324001</t>
  </si>
  <si>
    <t>仁寶</t>
  </si>
  <si>
    <t>TW0002327004</t>
  </si>
  <si>
    <t>國巨</t>
  </si>
  <si>
    <t>TW0002328002</t>
  </si>
  <si>
    <t>廣宇</t>
  </si>
  <si>
    <t>TW0002329000</t>
  </si>
  <si>
    <t>華泰</t>
  </si>
  <si>
    <t>TW0002330008</t>
  </si>
  <si>
    <t>台積電</t>
  </si>
  <si>
    <t>TW0002331006</t>
  </si>
  <si>
    <t>精英</t>
  </si>
  <si>
    <t>TW0002332004</t>
  </si>
  <si>
    <t>友訊</t>
  </si>
  <si>
    <t>TW0002337003</t>
  </si>
  <si>
    <t>旺宏</t>
  </si>
  <si>
    <t>TW0002338001</t>
  </si>
  <si>
    <t>光罩</t>
  </si>
  <si>
    <t>TW0002340007</t>
  </si>
  <si>
    <t>光磊</t>
  </si>
  <si>
    <t>TW0002342003</t>
  </si>
  <si>
    <t>茂矽</t>
  </si>
  <si>
    <t>TW0002344009</t>
  </si>
  <si>
    <t>華邦電</t>
  </si>
  <si>
    <t>TW0002345006</t>
  </si>
  <si>
    <t>智邦</t>
  </si>
  <si>
    <t>TW0002347002</t>
  </si>
  <si>
    <t>聯強</t>
  </si>
  <si>
    <t>電子通路業</t>
  </si>
  <si>
    <t>TW0002348000</t>
  </si>
  <si>
    <t>海悅</t>
  </si>
  <si>
    <t>TW0002349008</t>
  </si>
  <si>
    <t>錸德</t>
  </si>
  <si>
    <t>TW0002351004</t>
  </si>
  <si>
    <t>順德</t>
  </si>
  <si>
    <t>TW0002352002</t>
  </si>
  <si>
    <t>佳世達</t>
  </si>
  <si>
    <t>TW0002353000</t>
  </si>
  <si>
    <t>宏碁</t>
  </si>
  <si>
    <t>TW0002354008</t>
  </si>
  <si>
    <t>鴻準</t>
  </si>
  <si>
    <t>TW0002355005</t>
  </si>
  <si>
    <t>敬鵬</t>
  </si>
  <si>
    <t>TW0002356003</t>
  </si>
  <si>
    <t>英業達</t>
  </si>
  <si>
    <t>TW0002357001</t>
  </si>
  <si>
    <t>華碩</t>
  </si>
  <si>
    <t>TW0002358009</t>
  </si>
  <si>
    <t>廷鑫</t>
  </si>
  <si>
    <t>TW0002359007</t>
  </si>
  <si>
    <t>所羅門</t>
  </si>
  <si>
    <t>TW0002360005</t>
  </si>
  <si>
    <t>致茂</t>
  </si>
  <si>
    <t>TW0002362001</t>
  </si>
  <si>
    <t>藍天</t>
  </si>
  <si>
    <t>TW0002363009</t>
  </si>
  <si>
    <t>矽統</t>
  </si>
  <si>
    <t>TW0002364007</t>
  </si>
  <si>
    <t>倫飛</t>
  </si>
  <si>
    <t>TW0002365004</t>
  </si>
  <si>
    <t>昆盈</t>
  </si>
  <si>
    <t>TW0002367000</t>
  </si>
  <si>
    <t>燿華</t>
  </si>
  <si>
    <t>TW0002368008</t>
  </si>
  <si>
    <t>金像電</t>
  </si>
  <si>
    <t>TW0002369006</t>
  </si>
  <si>
    <t>菱生</t>
  </si>
  <si>
    <t>TW0002371002</t>
  </si>
  <si>
    <t>大同</t>
  </si>
  <si>
    <t>TW0002373008</t>
  </si>
  <si>
    <t>震旦行</t>
  </si>
  <si>
    <t>TW0002374006</t>
  </si>
  <si>
    <t>佳能</t>
  </si>
  <si>
    <t>TW0002375003</t>
  </si>
  <si>
    <t>凱美</t>
  </si>
  <si>
    <t>TW0002376001</t>
  </si>
  <si>
    <t>技嘉</t>
  </si>
  <si>
    <t>TW0002377009</t>
  </si>
  <si>
    <t>微星</t>
  </si>
  <si>
    <t>TW0002379005</t>
  </si>
  <si>
    <t>瑞昱</t>
  </si>
  <si>
    <t>TW0002380003</t>
  </si>
  <si>
    <t>虹光</t>
  </si>
  <si>
    <t>TW0002382009</t>
  </si>
  <si>
    <t>廣達</t>
  </si>
  <si>
    <t>TW0002383007</t>
  </si>
  <si>
    <t>台光電</t>
  </si>
  <si>
    <t>TW0002385002</t>
  </si>
  <si>
    <t>群光</t>
  </si>
  <si>
    <t>TW0002387008</t>
  </si>
  <si>
    <t>精元</t>
  </si>
  <si>
    <t>TW0002388006</t>
  </si>
  <si>
    <t>威盛</t>
  </si>
  <si>
    <t>TW0002390002</t>
  </si>
  <si>
    <t>云辰</t>
  </si>
  <si>
    <t>TW0002392008</t>
  </si>
  <si>
    <t>正崴</t>
  </si>
  <si>
    <t>TW0002393006</t>
  </si>
  <si>
    <t>億光</t>
  </si>
  <si>
    <t>TW0002395001</t>
  </si>
  <si>
    <t>研華</t>
  </si>
  <si>
    <t>TW0002397007</t>
  </si>
  <si>
    <t>友通</t>
  </si>
  <si>
    <t>TW0002399003</t>
  </si>
  <si>
    <t>映泰</t>
  </si>
  <si>
    <t>TW0002401007</t>
  </si>
  <si>
    <t>凌陽</t>
  </si>
  <si>
    <t>TW0002402005</t>
  </si>
  <si>
    <t>毅嘉</t>
  </si>
  <si>
    <t>TW0002404001</t>
  </si>
  <si>
    <t>漢唐</t>
  </si>
  <si>
    <t>TW0002405008</t>
  </si>
  <si>
    <t>浩鑫</t>
  </si>
  <si>
    <t>TW0002406006</t>
  </si>
  <si>
    <t>國碩</t>
  </si>
  <si>
    <t>TW0002408002</t>
  </si>
  <si>
    <t>南亞科</t>
  </si>
  <si>
    <t>TW0002409000</t>
  </si>
  <si>
    <t>友達</t>
  </si>
  <si>
    <t>TW0002412004</t>
  </si>
  <si>
    <t>中華電</t>
  </si>
  <si>
    <t>TW0002413002</t>
  </si>
  <si>
    <t>環科</t>
  </si>
  <si>
    <t>TW0002414000</t>
  </si>
  <si>
    <t>精技</t>
  </si>
  <si>
    <t>TW0002415007</t>
  </si>
  <si>
    <t>錩新</t>
  </si>
  <si>
    <t>TW0002417003</t>
  </si>
  <si>
    <t>圓剛</t>
  </si>
  <si>
    <t>TW0002419009</t>
  </si>
  <si>
    <t>仲琦</t>
  </si>
  <si>
    <t>TW0002420007</t>
  </si>
  <si>
    <t>新巨</t>
  </si>
  <si>
    <t>TW0002421005</t>
  </si>
  <si>
    <t>建準</t>
  </si>
  <si>
    <t>TW0002423001</t>
  </si>
  <si>
    <t>固緯</t>
  </si>
  <si>
    <t>TW0002424009</t>
  </si>
  <si>
    <t>隴華</t>
  </si>
  <si>
    <t>TW0002425006</t>
  </si>
  <si>
    <t>承啟</t>
  </si>
  <si>
    <t>TW0002426004</t>
  </si>
  <si>
    <t>鼎元</t>
  </si>
  <si>
    <t>TW0002427002</t>
  </si>
  <si>
    <t>三商電</t>
  </si>
  <si>
    <t>資訊服務業</t>
  </si>
  <si>
    <t>TW0002428000</t>
  </si>
  <si>
    <t>興勤</t>
  </si>
  <si>
    <t>TW0002429008</t>
  </si>
  <si>
    <t>銘旺科</t>
  </si>
  <si>
    <t>TW0002430006</t>
  </si>
  <si>
    <t>燦坤</t>
  </si>
  <si>
    <t>TW0002431004</t>
  </si>
  <si>
    <t>聯昌</t>
  </si>
  <si>
    <t>TW0002433000</t>
  </si>
  <si>
    <t>互盛電</t>
  </si>
  <si>
    <t>TW0002434008</t>
  </si>
  <si>
    <t>統懋</t>
  </si>
  <si>
    <t>TW0002436003</t>
  </si>
  <si>
    <t>偉詮電</t>
  </si>
  <si>
    <t>TW0002438009</t>
  </si>
  <si>
    <t>翔耀</t>
  </si>
  <si>
    <t>TW0002439007</t>
  </si>
  <si>
    <t>美律</t>
  </si>
  <si>
    <t>TW0002440005</t>
  </si>
  <si>
    <t>太空梭</t>
  </si>
  <si>
    <t>TW0002441003</t>
  </si>
  <si>
    <t>超豐</t>
  </si>
  <si>
    <t>TW0002442001</t>
  </si>
  <si>
    <t>新美齊</t>
  </si>
  <si>
    <t>TW0002443009</t>
  </si>
  <si>
    <t>億麗</t>
  </si>
  <si>
    <t>TW0002444007</t>
  </si>
  <si>
    <t>兆勁</t>
  </si>
  <si>
    <t>TW0002449006</t>
  </si>
  <si>
    <t>京元電子</t>
  </si>
  <si>
    <t>TW0002450004</t>
  </si>
  <si>
    <t>神腦</t>
  </si>
  <si>
    <t>TW0002451002</t>
  </si>
  <si>
    <t>創見</t>
  </si>
  <si>
    <t>TW0002453008</t>
  </si>
  <si>
    <t>凌群</t>
  </si>
  <si>
    <t>TW0002454006</t>
  </si>
  <si>
    <t>聯發科</t>
  </si>
  <si>
    <t>TW0002455003</t>
  </si>
  <si>
    <t>全新</t>
  </si>
  <si>
    <t>TW0002456001</t>
  </si>
  <si>
    <t>奇力新</t>
  </si>
  <si>
    <t>TW0002457009</t>
  </si>
  <si>
    <t>飛宏</t>
  </si>
  <si>
    <t>TW0002458007</t>
  </si>
  <si>
    <t>義隆</t>
  </si>
  <si>
    <t>TW0002459005</t>
  </si>
  <si>
    <t>敦吉</t>
  </si>
  <si>
    <t>TW0002460003</t>
  </si>
  <si>
    <t>建通</t>
  </si>
  <si>
    <t>TW0002461001</t>
  </si>
  <si>
    <t>光群雷</t>
  </si>
  <si>
    <t>TW0002462009</t>
  </si>
  <si>
    <t>良得電</t>
  </si>
  <si>
    <t>TW0002464005</t>
  </si>
  <si>
    <t>盟立</t>
  </si>
  <si>
    <t>TW0002465002</t>
  </si>
  <si>
    <t>麗臺</t>
  </si>
  <si>
    <t>TW0002466000</t>
  </si>
  <si>
    <t>冠西電</t>
  </si>
  <si>
    <t>TW0002467008</t>
  </si>
  <si>
    <t>志聖</t>
  </si>
  <si>
    <t>TW0002468006</t>
  </si>
  <si>
    <t>華經</t>
  </si>
  <si>
    <t>TW0002471000</t>
  </si>
  <si>
    <t>資通</t>
  </si>
  <si>
    <t>TW0002472008</t>
  </si>
  <si>
    <t>立隆電</t>
  </si>
  <si>
    <t>TW0002474004</t>
  </si>
  <si>
    <t>可成</t>
  </si>
  <si>
    <t>TW0002476009</t>
  </si>
  <si>
    <t>鉅祥</t>
  </si>
  <si>
    <t>TW0002477007</t>
  </si>
  <si>
    <t>美隆電</t>
  </si>
  <si>
    <t>TW0002478005</t>
  </si>
  <si>
    <t>大毅</t>
  </si>
  <si>
    <t>TW0002480001</t>
  </si>
  <si>
    <t>敦陽科</t>
  </si>
  <si>
    <t>TW0002481009</t>
  </si>
  <si>
    <t>強茂</t>
  </si>
  <si>
    <t>TW0002482007</t>
  </si>
  <si>
    <t>連宇</t>
  </si>
  <si>
    <t>TW0002483005</t>
  </si>
  <si>
    <t>百容</t>
  </si>
  <si>
    <t>TW0002484003</t>
  </si>
  <si>
    <t>希華</t>
  </si>
  <si>
    <t>TW0002485000</t>
  </si>
  <si>
    <t>兆赫</t>
  </si>
  <si>
    <t>TW0002486008</t>
  </si>
  <si>
    <t>一詮</t>
  </si>
  <si>
    <t>TW0002488004</t>
  </si>
  <si>
    <t>漢平</t>
  </si>
  <si>
    <t>TW0002489002</t>
  </si>
  <si>
    <t>瑞軒</t>
  </si>
  <si>
    <t>TW0002491008</t>
  </si>
  <si>
    <t>吉祥全</t>
  </si>
  <si>
    <t>TW0002492006</t>
  </si>
  <si>
    <t>華新科</t>
  </si>
  <si>
    <t>TW0002493004</t>
  </si>
  <si>
    <t>揚博</t>
  </si>
  <si>
    <t>TW0002495009</t>
  </si>
  <si>
    <t>普安</t>
  </si>
  <si>
    <t>TW0002496007</t>
  </si>
  <si>
    <t>卓越</t>
  </si>
  <si>
    <t>TW0002497005</t>
  </si>
  <si>
    <t>怡利電</t>
  </si>
  <si>
    <t>TW0002498003</t>
  </si>
  <si>
    <t>宏達電</t>
  </si>
  <si>
    <t>TW0002501004</t>
  </si>
  <si>
    <t>國建</t>
  </si>
  <si>
    <t>TW0002504008</t>
  </si>
  <si>
    <t>國產</t>
  </si>
  <si>
    <t>TW0002505005</t>
  </si>
  <si>
    <t>國揚</t>
  </si>
  <si>
    <t>TW0002506003</t>
  </si>
  <si>
    <t>太設</t>
  </si>
  <si>
    <t>TW0002509007</t>
  </si>
  <si>
    <t>全坤建</t>
  </si>
  <si>
    <t>TW0002511003</t>
  </si>
  <si>
    <t>太子</t>
  </si>
  <si>
    <t>TW0002514007</t>
  </si>
  <si>
    <t>龍邦</t>
  </si>
  <si>
    <t>TW0002515004</t>
  </si>
  <si>
    <t>中工</t>
  </si>
  <si>
    <t>TW0002516002</t>
  </si>
  <si>
    <t>新建</t>
  </si>
  <si>
    <t>TW0002520004</t>
  </si>
  <si>
    <t>冠德</t>
  </si>
  <si>
    <t>TW0002524006</t>
  </si>
  <si>
    <t>京城</t>
  </si>
  <si>
    <t>TW0002527009</t>
  </si>
  <si>
    <t>宏璟</t>
  </si>
  <si>
    <t>TW0002528007</t>
  </si>
  <si>
    <t>皇普</t>
  </si>
  <si>
    <t>TW0002530003</t>
  </si>
  <si>
    <t>華建</t>
  </si>
  <si>
    <t>TW0002534005</t>
  </si>
  <si>
    <t>宏盛</t>
  </si>
  <si>
    <t>TW0002535002</t>
  </si>
  <si>
    <t>達欣工</t>
  </si>
  <si>
    <t>TW0002536000</t>
  </si>
  <si>
    <t>宏普</t>
  </si>
  <si>
    <t>TW0002537008</t>
  </si>
  <si>
    <t>聯上發</t>
  </si>
  <si>
    <t>TW0002538006</t>
  </si>
  <si>
    <t>基泰</t>
  </si>
  <si>
    <t>TW0002539004</t>
  </si>
  <si>
    <t>櫻花建</t>
  </si>
  <si>
    <t>TW0002540002</t>
  </si>
  <si>
    <t>愛山林</t>
  </si>
  <si>
    <t>TW0002542008</t>
  </si>
  <si>
    <t>興富發</t>
  </si>
  <si>
    <t>TW0002543006</t>
  </si>
  <si>
    <t>皇昌</t>
  </si>
  <si>
    <t>TW0002545001</t>
  </si>
  <si>
    <t>皇翔</t>
  </si>
  <si>
    <t>TW0002546009</t>
  </si>
  <si>
    <t>根基</t>
  </si>
  <si>
    <t>TW0002547007</t>
  </si>
  <si>
    <t>日勝生</t>
  </si>
  <si>
    <t>TW0002548005</t>
  </si>
  <si>
    <t>華固</t>
  </si>
  <si>
    <t>TW0002597002</t>
  </si>
  <si>
    <t>潤弘</t>
  </si>
  <si>
    <t>TW0002601002</t>
  </si>
  <si>
    <t>益航</t>
  </si>
  <si>
    <t>TW0002603008</t>
  </si>
  <si>
    <t>長榮</t>
  </si>
  <si>
    <t>TW0002605003</t>
  </si>
  <si>
    <t>新興</t>
  </si>
  <si>
    <t>TW0002606001</t>
  </si>
  <si>
    <t>裕民</t>
  </si>
  <si>
    <t>TW0002607009</t>
  </si>
  <si>
    <t>榮運</t>
  </si>
  <si>
    <t>TW0002608007</t>
  </si>
  <si>
    <t>嘉里大榮</t>
  </si>
  <si>
    <t>TW0002609005</t>
  </si>
  <si>
    <t>陽明</t>
  </si>
  <si>
    <t>TW0002610003</t>
  </si>
  <si>
    <t>華航</t>
  </si>
  <si>
    <t>TW0002611001</t>
  </si>
  <si>
    <t>志信</t>
  </si>
  <si>
    <t>TW0002612009</t>
  </si>
  <si>
    <t>中航</t>
  </si>
  <si>
    <t>TW0002613007</t>
  </si>
  <si>
    <t>中櫃</t>
  </si>
  <si>
    <t>TW0002614005</t>
  </si>
  <si>
    <t>東森</t>
  </si>
  <si>
    <t>TW0002615002</t>
  </si>
  <si>
    <t>萬海</t>
  </si>
  <si>
    <t>TW0002616000</t>
  </si>
  <si>
    <t>山隆</t>
  </si>
  <si>
    <t>油電燃氣業</t>
  </si>
  <si>
    <t>TW0002617008</t>
  </si>
  <si>
    <t>台航</t>
  </si>
  <si>
    <t>TW0002618006</t>
  </si>
  <si>
    <t>長榮航</t>
  </si>
  <si>
    <t>TW0002630001</t>
  </si>
  <si>
    <t>亞航</t>
  </si>
  <si>
    <t>TW0002633005</t>
  </si>
  <si>
    <t>台灣高鐵</t>
  </si>
  <si>
    <t>TW0002634003</t>
  </si>
  <si>
    <t>漢翔</t>
  </si>
  <si>
    <t>TW0002636008</t>
  </si>
  <si>
    <t>台驊投控</t>
  </si>
  <si>
    <t>KYG9721M1033</t>
  </si>
  <si>
    <t>慧洋-KY</t>
  </si>
  <si>
    <t>TW0002642006</t>
  </si>
  <si>
    <t>宅配通</t>
  </si>
  <si>
    <t>TW0002701000</t>
  </si>
  <si>
    <t>萬企</t>
  </si>
  <si>
    <t>觀光事業</t>
  </si>
  <si>
    <t>TW0002702008</t>
  </si>
  <si>
    <t>華園</t>
  </si>
  <si>
    <t>TW0002704004</t>
  </si>
  <si>
    <t>國賓</t>
  </si>
  <si>
    <t>TW0002705001</t>
  </si>
  <si>
    <t>六福</t>
  </si>
  <si>
    <t>TW0002706009</t>
  </si>
  <si>
    <t>第一店</t>
  </si>
  <si>
    <t>TW0002707007</t>
  </si>
  <si>
    <t>晶華</t>
  </si>
  <si>
    <t>TW0002712007</t>
  </si>
  <si>
    <t>遠雄來</t>
  </si>
  <si>
    <t>TW0002722006</t>
  </si>
  <si>
    <t>夏都</t>
  </si>
  <si>
    <t>KYG4002A1004</t>
  </si>
  <si>
    <t>美食-KY</t>
  </si>
  <si>
    <t>TW0002727005</t>
  </si>
  <si>
    <t>王品</t>
  </si>
  <si>
    <t>TW0002731007</t>
  </si>
  <si>
    <t>雄獅</t>
  </si>
  <si>
    <t>TW0002739000</t>
  </si>
  <si>
    <t>寒舍</t>
  </si>
  <si>
    <t>TW0002748001</t>
  </si>
  <si>
    <t>雲品</t>
  </si>
  <si>
    <t>TW0002801008</t>
  </si>
  <si>
    <t>彰銀</t>
  </si>
  <si>
    <t>金融保險業</t>
  </si>
  <si>
    <t>TW0002809001</t>
  </si>
  <si>
    <t>京城銀</t>
  </si>
  <si>
    <t>TW0002812005</t>
  </si>
  <si>
    <t>台中銀</t>
  </si>
  <si>
    <t>TW0002816006</t>
  </si>
  <si>
    <t>旺旺保</t>
  </si>
  <si>
    <t>TW0002820008</t>
  </si>
  <si>
    <t>華票</t>
  </si>
  <si>
    <t>TW0002823002</t>
  </si>
  <si>
    <t>中壽</t>
  </si>
  <si>
    <t>TW0002832003</t>
  </si>
  <si>
    <t>台產</t>
  </si>
  <si>
    <t>TW0002834009</t>
  </si>
  <si>
    <t>臺企銀</t>
  </si>
  <si>
    <t>TW0002836004</t>
  </si>
  <si>
    <t>高雄銀</t>
  </si>
  <si>
    <t>TW0002838000</t>
  </si>
  <si>
    <t>聯邦銀</t>
  </si>
  <si>
    <t>TW0002841004</t>
  </si>
  <si>
    <t>台開</t>
  </si>
  <si>
    <t>TW0002845005</t>
  </si>
  <si>
    <t>遠東銀</t>
  </si>
  <si>
    <t>TW0002849007</t>
  </si>
  <si>
    <t>安泰銀</t>
  </si>
  <si>
    <t>TW0002850005</t>
  </si>
  <si>
    <t>新產</t>
  </si>
  <si>
    <t>TW0002851003</t>
  </si>
  <si>
    <t>中再保</t>
  </si>
  <si>
    <t>TW0002852001</t>
  </si>
  <si>
    <t>第一保</t>
  </si>
  <si>
    <t>TW0002855004</t>
  </si>
  <si>
    <t>統一證</t>
  </si>
  <si>
    <t>TW0002867009</t>
  </si>
  <si>
    <t>三商壽</t>
  </si>
  <si>
    <t>TW0002880002</t>
  </si>
  <si>
    <t>華南金</t>
  </si>
  <si>
    <t>TW0002881000</t>
  </si>
  <si>
    <t>富邦金</t>
  </si>
  <si>
    <t>TW0002882008</t>
  </si>
  <si>
    <t>國泰金</t>
  </si>
  <si>
    <t>TW0002883006</t>
  </si>
  <si>
    <t>開發金</t>
  </si>
  <si>
    <t>TW0002884004</t>
  </si>
  <si>
    <t>玉山金</t>
  </si>
  <si>
    <t>TW0002885001</t>
  </si>
  <si>
    <t>元大金</t>
  </si>
  <si>
    <t>TW0002886009</t>
  </si>
  <si>
    <t>兆豐金</t>
  </si>
  <si>
    <t>TW0002887007</t>
  </si>
  <si>
    <t>台新金</t>
  </si>
  <si>
    <t>TW0002888005</t>
  </si>
  <si>
    <t>新光金</t>
  </si>
  <si>
    <t>TW0002889003</t>
  </si>
  <si>
    <t>國票金</t>
  </si>
  <si>
    <t>TW0002890001</t>
  </si>
  <si>
    <t>永豐金</t>
  </si>
  <si>
    <t>TW0002891009</t>
  </si>
  <si>
    <t>中信金</t>
  </si>
  <si>
    <t>TW0002892007</t>
  </si>
  <si>
    <t>第一金</t>
  </si>
  <si>
    <t>TW0002897006</t>
  </si>
  <si>
    <t>王道銀行</t>
  </si>
  <si>
    <t>TW0002901006</t>
  </si>
  <si>
    <t>欣欣</t>
  </si>
  <si>
    <t>TW0002903002</t>
  </si>
  <si>
    <t>遠百</t>
  </si>
  <si>
    <t>TW0002904000</t>
  </si>
  <si>
    <t>匯僑</t>
  </si>
  <si>
    <t>TW0002905007</t>
  </si>
  <si>
    <t>三商</t>
  </si>
  <si>
    <t>TW0002906005</t>
  </si>
  <si>
    <t>高林</t>
  </si>
  <si>
    <t>TW0002908001</t>
  </si>
  <si>
    <t>特力</t>
  </si>
  <si>
    <t>TW0002910007</t>
  </si>
  <si>
    <t>統領</t>
  </si>
  <si>
    <t>TW0002911005</t>
  </si>
  <si>
    <t>麗嬰房</t>
  </si>
  <si>
    <t>TW0002912003</t>
  </si>
  <si>
    <t>統一超</t>
  </si>
  <si>
    <t>TW0002913001</t>
  </si>
  <si>
    <t>農林</t>
  </si>
  <si>
    <t>TW0002915006</t>
  </si>
  <si>
    <t>潤泰全</t>
  </si>
  <si>
    <t>KYG8190L1095</t>
  </si>
  <si>
    <t>鼎固-KY</t>
  </si>
  <si>
    <t>KYG8922A1085</t>
  </si>
  <si>
    <t>淘帝-KY</t>
  </si>
  <si>
    <t>KYG224031024</t>
  </si>
  <si>
    <t>客思達-KY</t>
  </si>
  <si>
    <t>KYG108031074</t>
  </si>
  <si>
    <t>凱羿-KY</t>
  </si>
  <si>
    <t>TW0003002002</t>
  </si>
  <si>
    <t>歐格</t>
  </si>
  <si>
    <t>TW0003003000</t>
  </si>
  <si>
    <t>健和興</t>
  </si>
  <si>
    <t>TW0003004008</t>
  </si>
  <si>
    <t>豐達科</t>
  </si>
  <si>
    <t>TW0003005005</t>
  </si>
  <si>
    <t>神基</t>
  </si>
  <si>
    <t>TW0003006003</t>
  </si>
  <si>
    <t>晶豪科</t>
  </si>
  <si>
    <t>TW0003008009</t>
  </si>
  <si>
    <t>大立光</t>
  </si>
  <si>
    <t>TW0003010005</t>
  </si>
  <si>
    <t>華立</t>
  </si>
  <si>
    <t>TW0003011003</t>
  </si>
  <si>
    <t>今皓</t>
  </si>
  <si>
    <t>TW0003013009</t>
  </si>
  <si>
    <t>晟銘電</t>
  </si>
  <si>
    <t>TW0003014007</t>
  </si>
  <si>
    <t>聯陽</t>
  </si>
  <si>
    <t>TW0003015004</t>
  </si>
  <si>
    <t>全漢</t>
  </si>
  <si>
    <t>TW0003016002</t>
  </si>
  <si>
    <t>嘉晶</t>
  </si>
  <si>
    <t>TW0003017000</t>
  </si>
  <si>
    <t>奇鋐</t>
  </si>
  <si>
    <t>TW0003018008</t>
  </si>
  <si>
    <t>同開</t>
  </si>
  <si>
    <t>TW0003019006</t>
  </si>
  <si>
    <t>亞光</t>
  </si>
  <si>
    <t>TW0003021002</t>
  </si>
  <si>
    <t>鴻名</t>
  </si>
  <si>
    <t>TW0003022000</t>
  </si>
  <si>
    <t>威強電</t>
  </si>
  <si>
    <t>TW0003023008</t>
  </si>
  <si>
    <t>信邦</t>
  </si>
  <si>
    <t>TW0003024006</t>
  </si>
  <si>
    <t>憶聲</t>
  </si>
  <si>
    <t>TW0003025003</t>
  </si>
  <si>
    <t>星通</t>
  </si>
  <si>
    <t>TW0003026001</t>
  </si>
  <si>
    <t>禾伸堂</t>
  </si>
  <si>
    <t>TW0003027009</t>
  </si>
  <si>
    <t>盛達</t>
  </si>
  <si>
    <t>TW0003028007</t>
  </si>
  <si>
    <t>增你強</t>
  </si>
  <si>
    <t>TW0003029005</t>
  </si>
  <si>
    <t>零壹</t>
  </si>
  <si>
    <t>TW0003030003</t>
  </si>
  <si>
    <t>德律</t>
  </si>
  <si>
    <t>TW0003031001</t>
  </si>
  <si>
    <t>佰鴻</t>
  </si>
  <si>
    <t>TW0003032009</t>
  </si>
  <si>
    <t>偉訓</t>
  </si>
  <si>
    <t>TW0003033007</t>
  </si>
  <si>
    <t>威健</t>
  </si>
  <si>
    <t>TW0003034005</t>
  </si>
  <si>
    <t>聯詠</t>
  </si>
  <si>
    <t>TW0003035002</t>
  </si>
  <si>
    <t>智原</t>
  </si>
  <si>
    <t>TW0003036000</t>
  </si>
  <si>
    <t>文曄</t>
  </si>
  <si>
    <t>TW0003037008</t>
  </si>
  <si>
    <t>欣興</t>
  </si>
  <si>
    <t>TW0003038006</t>
  </si>
  <si>
    <t>全台</t>
  </si>
  <si>
    <t>TW0003040002</t>
  </si>
  <si>
    <t>遠見</t>
  </si>
  <si>
    <t>TW0003041000</t>
  </si>
  <si>
    <t>揚智</t>
  </si>
  <si>
    <t>TW0003042008</t>
  </si>
  <si>
    <t>晶技</t>
  </si>
  <si>
    <t>TW0003043006</t>
  </si>
  <si>
    <t>科風</t>
  </si>
  <si>
    <t>TW0003044004</t>
  </si>
  <si>
    <t>健鼎</t>
  </si>
  <si>
    <t>TW0003045001</t>
  </si>
  <si>
    <t>台灣大</t>
  </si>
  <si>
    <t>TW0003046009</t>
  </si>
  <si>
    <t>建碁</t>
  </si>
  <si>
    <t>TW0003047007</t>
  </si>
  <si>
    <t>訊舟</t>
  </si>
  <si>
    <t>TW0003048005</t>
  </si>
  <si>
    <t>益登</t>
  </si>
  <si>
    <t>TW0003049003</t>
  </si>
  <si>
    <t>和鑫</t>
  </si>
  <si>
    <t>TW0003050001</t>
  </si>
  <si>
    <t>鈺德</t>
  </si>
  <si>
    <t>TW0003051009</t>
  </si>
  <si>
    <t>力特</t>
  </si>
  <si>
    <t>TW0003052007</t>
  </si>
  <si>
    <t>夆典</t>
  </si>
  <si>
    <t>TW0003054003</t>
  </si>
  <si>
    <t>立萬利</t>
  </si>
  <si>
    <t>TW0003055000</t>
  </si>
  <si>
    <t>蔚華科</t>
  </si>
  <si>
    <t>TW0003056008</t>
  </si>
  <si>
    <t>總太</t>
  </si>
  <si>
    <t>TW0003057006</t>
  </si>
  <si>
    <t>喬鼎</t>
  </si>
  <si>
    <t>TW0003058004</t>
  </si>
  <si>
    <t>立德</t>
  </si>
  <si>
    <t>TW0003059002</t>
  </si>
  <si>
    <t>華晶科</t>
  </si>
  <si>
    <t>TW0003060000</t>
  </si>
  <si>
    <t>銘異</t>
  </si>
  <si>
    <t>TW0003062006</t>
  </si>
  <si>
    <t>建漢</t>
  </si>
  <si>
    <t>TW0003090007</t>
  </si>
  <si>
    <t>日電貿</t>
  </si>
  <si>
    <t>TW0003092003</t>
  </si>
  <si>
    <t>鴻碩</t>
  </si>
  <si>
    <t>TW0003094009</t>
  </si>
  <si>
    <t>聯傑</t>
  </si>
  <si>
    <t>TW0003130001</t>
  </si>
  <si>
    <t>一零四</t>
  </si>
  <si>
    <t>TW0003138004</t>
  </si>
  <si>
    <t>耀登</t>
  </si>
  <si>
    <t>TW0003149001</t>
  </si>
  <si>
    <t>正達</t>
  </si>
  <si>
    <t>TW0003164000</t>
  </si>
  <si>
    <t>景岳</t>
  </si>
  <si>
    <t>TW0003167003</t>
  </si>
  <si>
    <t>大量</t>
  </si>
  <si>
    <t>TW0003189007</t>
  </si>
  <si>
    <t>景碩</t>
  </si>
  <si>
    <t>TW0003209003</t>
  </si>
  <si>
    <t>全科</t>
  </si>
  <si>
    <t>TW0003229001</t>
  </si>
  <si>
    <t>晟鈦</t>
  </si>
  <si>
    <t>TW0003231007</t>
  </si>
  <si>
    <t>緯創</t>
  </si>
  <si>
    <t>TW0003257002</t>
  </si>
  <si>
    <t>虹冠電</t>
  </si>
  <si>
    <t>TW0003266003</t>
  </si>
  <si>
    <t>昇陽</t>
  </si>
  <si>
    <t>TW0003296000</t>
  </si>
  <si>
    <t>勝德</t>
  </si>
  <si>
    <t>TW0003305009</t>
  </si>
  <si>
    <t>昇貿</t>
  </si>
  <si>
    <t>TW0003308003</t>
  </si>
  <si>
    <t>聯德</t>
  </si>
  <si>
    <t>TW0003311007</t>
  </si>
  <si>
    <t>閎暉</t>
  </si>
  <si>
    <t>TW0003312005</t>
  </si>
  <si>
    <t>弘憶股</t>
  </si>
  <si>
    <t>TW0003321006</t>
  </si>
  <si>
    <t>同泰</t>
  </si>
  <si>
    <t>TW0003338000</t>
  </si>
  <si>
    <t>泰碩</t>
  </si>
  <si>
    <t>TW0003346003</t>
  </si>
  <si>
    <t>麗清</t>
  </si>
  <si>
    <t>TW0003356002</t>
  </si>
  <si>
    <t>奇偶</t>
  </si>
  <si>
    <t>TW0003376000</t>
  </si>
  <si>
    <t>新日興</t>
  </si>
  <si>
    <t>TW0003380002</t>
  </si>
  <si>
    <t>明泰</t>
  </si>
  <si>
    <t>TW0003383006</t>
  </si>
  <si>
    <t>新世紀</t>
  </si>
  <si>
    <t>TW0003406005</t>
  </si>
  <si>
    <t>玉晶光</t>
  </si>
  <si>
    <t>TW0003413001</t>
  </si>
  <si>
    <t>京鼎</t>
  </si>
  <si>
    <t>TW0003416004</t>
  </si>
  <si>
    <t>融程電</t>
  </si>
  <si>
    <t>TW0003419008</t>
  </si>
  <si>
    <t>譁裕</t>
  </si>
  <si>
    <t>TW0003432001</t>
  </si>
  <si>
    <t>台端</t>
  </si>
  <si>
    <t>TW0003437000</t>
  </si>
  <si>
    <t>榮創</t>
  </si>
  <si>
    <t>TW0003443008</t>
  </si>
  <si>
    <t>創意</t>
  </si>
  <si>
    <t>TW0003450003</t>
  </si>
  <si>
    <t>聯鈞</t>
  </si>
  <si>
    <t>TW0003454005</t>
  </si>
  <si>
    <t>晶睿</t>
  </si>
  <si>
    <t>TW0003481008</t>
  </si>
  <si>
    <t>群創</t>
  </si>
  <si>
    <t>TW0003494001</t>
  </si>
  <si>
    <t>誠研</t>
  </si>
  <si>
    <t>TW0003501003</t>
  </si>
  <si>
    <t>維熹</t>
  </si>
  <si>
    <t>TW0003504007</t>
  </si>
  <si>
    <t>揚明光</t>
  </si>
  <si>
    <t>TW0003515003</t>
  </si>
  <si>
    <t>華擎</t>
  </si>
  <si>
    <t>TW0003518007</t>
  </si>
  <si>
    <t>柏騰</t>
  </si>
  <si>
    <t>TW0003528006</t>
  </si>
  <si>
    <t>安馳</t>
  </si>
  <si>
    <t>TW0003530002</t>
  </si>
  <si>
    <t>晶相光</t>
  </si>
  <si>
    <t>TW0003532008</t>
  </si>
  <si>
    <t>台勝科</t>
  </si>
  <si>
    <t>TW0003533006</t>
  </si>
  <si>
    <t>嘉澤</t>
  </si>
  <si>
    <t>TW0003535001</t>
  </si>
  <si>
    <t>晶彩科</t>
  </si>
  <si>
    <t>TW0003536009</t>
  </si>
  <si>
    <t>誠創</t>
  </si>
  <si>
    <t>TW0003543005</t>
  </si>
  <si>
    <t>州巧</t>
  </si>
  <si>
    <t>TW0003545000</t>
  </si>
  <si>
    <t>敦泰</t>
  </si>
  <si>
    <t>TW0003550000</t>
  </si>
  <si>
    <t>聯穎</t>
  </si>
  <si>
    <t>TW0003557005</t>
  </si>
  <si>
    <t>嘉威</t>
  </si>
  <si>
    <t>TW0003563003</t>
  </si>
  <si>
    <t>牧德</t>
  </si>
  <si>
    <t>TW0003576005</t>
  </si>
  <si>
    <t>聯合再生</t>
  </si>
  <si>
    <t>TW0003583001</t>
  </si>
  <si>
    <t>辛耘</t>
  </si>
  <si>
    <t>TW0003588000</t>
  </si>
  <si>
    <t>通嘉</t>
  </si>
  <si>
    <t>TW0003591004</t>
  </si>
  <si>
    <t>艾笛森</t>
  </si>
  <si>
    <t>TW0003593000</t>
  </si>
  <si>
    <t>力銘</t>
  </si>
  <si>
    <t>TW0003596003</t>
  </si>
  <si>
    <t>智易</t>
  </si>
  <si>
    <t>TW0003605002</t>
  </si>
  <si>
    <t>宏致</t>
  </si>
  <si>
    <t>TW0003607008</t>
  </si>
  <si>
    <t>谷崧</t>
  </si>
  <si>
    <t>TW0003617007</t>
  </si>
  <si>
    <t>碩天</t>
  </si>
  <si>
    <t>TW0003622007</t>
  </si>
  <si>
    <t>洋華</t>
  </si>
  <si>
    <t>TW0003645008</t>
  </si>
  <si>
    <t>達邁</t>
  </si>
  <si>
    <t>TW0003653002</t>
  </si>
  <si>
    <t>健策</t>
  </si>
  <si>
    <t>KYG022421088</t>
  </si>
  <si>
    <t>世芯-KY</t>
  </si>
  <si>
    <t>KYG114741062</t>
  </si>
  <si>
    <t>貿聯-KY</t>
  </si>
  <si>
    <t>TW0003669008</t>
  </si>
  <si>
    <t>圓展</t>
  </si>
  <si>
    <t>KYG898431096</t>
  </si>
  <si>
    <t>TPK-KY</t>
  </si>
  <si>
    <t>ESVTFR</t>
  </si>
  <si>
    <t>TW0003679007</t>
  </si>
  <si>
    <t>新至陞</t>
  </si>
  <si>
    <t>TW0003682001</t>
  </si>
  <si>
    <t>亞太電</t>
  </si>
  <si>
    <t>TW0003686002</t>
  </si>
  <si>
    <t>達能</t>
  </si>
  <si>
    <t>TW0003694006</t>
  </si>
  <si>
    <t>海華</t>
  </si>
  <si>
    <t>TW0003701009</t>
  </si>
  <si>
    <t>大眾控</t>
  </si>
  <si>
    <t>TW0003702007</t>
  </si>
  <si>
    <t>大聯大</t>
  </si>
  <si>
    <t>TW0003703005</t>
  </si>
  <si>
    <t>欣陸</t>
  </si>
  <si>
    <t>TW0003704003</t>
  </si>
  <si>
    <t>合勤控</t>
  </si>
  <si>
    <t>TW0003705000</t>
  </si>
  <si>
    <t>永信</t>
  </si>
  <si>
    <t>TW0003706008</t>
  </si>
  <si>
    <t>神達</t>
  </si>
  <si>
    <t>TW0003708004</t>
  </si>
  <si>
    <t>上緯投控</t>
  </si>
  <si>
    <t>TW0003711008</t>
  </si>
  <si>
    <t>日月光投控</t>
  </si>
  <si>
    <t>TW0003712006</t>
  </si>
  <si>
    <t>永崴投控</t>
  </si>
  <si>
    <t>TW0003714002</t>
  </si>
  <si>
    <t>富采</t>
  </si>
  <si>
    <t>TW0004104005</t>
  </si>
  <si>
    <t>佳醫</t>
  </si>
  <si>
    <t>TW0004106000</t>
  </si>
  <si>
    <t>雃博</t>
  </si>
  <si>
    <t>TW0004108006</t>
  </si>
  <si>
    <t>懷特</t>
  </si>
  <si>
    <t>TW0004119003</t>
  </si>
  <si>
    <t>旭富</t>
  </si>
  <si>
    <t>TW0004133004</t>
  </si>
  <si>
    <t>亞諾法</t>
  </si>
  <si>
    <t>KYG211641017</t>
  </si>
  <si>
    <t>麗豐-KY</t>
  </si>
  <si>
    <t>KYG7644E1098</t>
  </si>
  <si>
    <t>龍燈-KY</t>
  </si>
  <si>
    <t>TW0004142005</t>
  </si>
  <si>
    <t>國光生</t>
  </si>
  <si>
    <t>KYG0232P1072</t>
  </si>
  <si>
    <t>全宇生技-KY</t>
  </si>
  <si>
    <t>TW0004155007</t>
  </si>
  <si>
    <t>訊映</t>
  </si>
  <si>
    <t>TW0004164009</t>
  </si>
  <si>
    <t>承業醫</t>
  </si>
  <si>
    <t>KYG518761039</t>
  </si>
  <si>
    <t>佐登-KY</t>
  </si>
  <si>
    <t>TW0004306006</t>
  </si>
  <si>
    <t>炎洲</t>
  </si>
  <si>
    <t>TW0004414008</t>
  </si>
  <si>
    <t>如興</t>
  </si>
  <si>
    <t>TW0004426002</t>
  </si>
  <si>
    <t>利勤</t>
  </si>
  <si>
    <t>TW0004438007</t>
  </si>
  <si>
    <t>廣越</t>
  </si>
  <si>
    <t>KYG9114F1037</t>
  </si>
  <si>
    <t>冠星-KY</t>
  </si>
  <si>
    <t>TW0004526009</t>
  </si>
  <si>
    <t>東台</t>
  </si>
  <si>
    <t>TW0004532007</t>
  </si>
  <si>
    <t>瑞智</t>
  </si>
  <si>
    <t>TW0004536008</t>
  </si>
  <si>
    <t>拓凱</t>
  </si>
  <si>
    <t>TW0004540000</t>
  </si>
  <si>
    <t>全球傳動</t>
  </si>
  <si>
    <t>TW0004545009</t>
  </si>
  <si>
    <t>銘鈺</t>
  </si>
  <si>
    <t>TW0004551007</t>
  </si>
  <si>
    <t>智伸科</t>
  </si>
  <si>
    <t>KYG5479W1033</t>
  </si>
  <si>
    <t>力達-KY</t>
  </si>
  <si>
    <t>TW0004555008</t>
  </si>
  <si>
    <t>氣立</t>
  </si>
  <si>
    <t>KYG988461011</t>
  </si>
  <si>
    <t>永新-KY</t>
  </si>
  <si>
    <t>KYG853531039</t>
  </si>
  <si>
    <t>強信-KY</t>
  </si>
  <si>
    <t>TW0004562004</t>
  </si>
  <si>
    <t>穎漢</t>
  </si>
  <si>
    <t>TW0004564000</t>
  </si>
  <si>
    <t>元翎</t>
  </si>
  <si>
    <t>TW0004566005</t>
  </si>
  <si>
    <t>時碩工業</t>
  </si>
  <si>
    <t>KYG5258M1024</t>
  </si>
  <si>
    <t>鈞興-KY</t>
  </si>
  <si>
    <t>TW0004572003</t>
  </si>
  <si>
    <t>駐龍</t>
  </si>
  <si>
    <t>TW0004576004</t>
  </si>
  <si>
    <t>大銀微系統</t>
  </si>
  <si>
    <t>KYG977291007</t>
  </si>
  <si>
    <t>光隆精密-KY</t>
  </si>
  <si>
    <t>TW0004720008</t>
  </si>
  <si>
    <t>德淵</t>
  </si>
  <si>
    <t>TW0004722004</t>
  </si>
  <si>
    <t>國精化</t>
  </si>
  <si>
    <t>TW0004737002</t>
  </si>
  <si>
    <t>華廣</t>
  </si>
  <si>
    <t>TW0004739008</t>
  </si>
  <si>
    <t>康普</t>
  </si>
  <si>
    <t>TW0004746003</t>
  </si>
  <si>
    <t>台耀</t>
  </si>
  <si>
    <t>TW0004755004</t>
  </si>
  <si>
    <t>三福化</t>
  </si>
  <si>
    <t>KYG5138S1057</t>
  </si>
  <si>
    <t>材料-KY</t>
  </si>
  <si>
    <t>TW0004764006</t>
  </si>
  <si>
    <t>雙鍵</t>
  </si>
  <si>
    <t>TW0004766001</t>
  </si>
  <si>
    <t>南寶</t>
  </si>
  <si>
    <t>KYG7473R1065</t>
  </si>
  <si>
    <t>日成-KY</t>
  </si>
  <si>
    <t>TW0004904008</t>
  </si>
  <si>
    <t>遠傳</t>
  </si>
  <si>
    <t>TW0004906003</t>
  </si>
  <si>
    <t>正文</t>
  </si>
  <si>
    <t>KYG545091079</t>
  </si>
  <si>
    <t>聯德控股-KY</t>
  </si>
  <si>
    <t>TW0004915004</t>
  </si>
  <si>
    <t>致伸</t>
  </si>
  <si>
    <t>TW0004916002</t>
  </si>
  <si>
    <t>事欣科</t>
  </si>
  <si>
    <t>TW0004919006</t>
  </si>
  <si>
    <t>新唐</t>
  </si>
  <si>
    <t>KYG0407M1033</t>
  </si>
  <si>
    <t>泰鼎-KY</t>
  </si>
  <si>
    <t>TW0004930003</t>
  </si>
  <si>
    <t>燦星網</t>
  </si>
  <si>
    <t>TW0004934005</t>
  </si>
  <si>
    <t>太極</t>
  </si>
  <si>
    <t>KYG3931M1024</t>
  </si>
  <si>
    <t>茂林-KY</t>
  </si>
  <si>
    <t>TW0004938006</t>
  </si>
  <si>
    <t>和碩</t>
  </si>
  <si>
    <t>TW0004942008</t>
  </si>
  <si>
    <t>嘉彰</t>
  </si>
  <si>
    <t>KYG2346M1033</t>
  </si>
  <si>
    <t>康控-KY</t>
  </si>
  <si>
    <t>TW0004952007</t>
  </si>
  <si>
    <t>凌通</t>
  </si>
  <si>
    <t>TW0004956008</t>
  </si>
  <si>
    <t>光鋐</t>
  </si>
  <si>
    <t>KYG989221000</t>
  </si>
  <si>
    <t>臻鼎-KY</t>
  </si>
  <si>
    <t>TW0004960000</t>
  </si>
  <si>
    <t>誠美材</t>
  </si>
  <si>
    <t>TW0004961008</t>
  </si>
  <si>
    <t>天鈺</t>
  </si>
  <si>
    <t>TW0004967005</t>
  </si>
  <si>
    <t>十銓</t>
  </si>
  <si>
    <t>TW0004968003</t>
  </si>
  <si>
    <t>立積</t>
  </si>
  <si>
    <t>TW0004976006</t>
  </si>
  <si>
    <t>佳凌</t>
  </si>
  <si>
    <t>KYG6956N1034</t>
  </si>
  <si>
    <t>眾達-KY</t>
  </si>
  <si>
    <t>TW0004989009</t>
  </si>
  <si>
    <t>榮科</t>
  </si>
  <si>
    <t>TW0004994009</t>
  </si>
  <si>
    <t>傳奇</t>
  </si>
  <si>
    <t>TW0004999008</t>
  </si>
  <si>
    <t>鑫禾</t>
  </si>
  <si>
    <t>TW0005007009</t>
  </si>
  <si>
    <t>三星</t>
  </si>
  <si>
    <t>TW0005203004</t>
  </si>
  <si>
    <t>訊連</t>
  </si>
  <si>
    <t>KYG530791022</t>
  </si>
  <si>
    <t>科嘉-KY</t>
  </si>
  <si>
    <t>KYG291021031</t>
  </si>
  <si>
    <t>東科-KY</t>
  </si>
  <si>
    <t>TW0005234009</t>
  </si>
  <si>
    <t>達興材料</t>
  </si>
  <si>
    <t>KYG312361051</t>
  </si>
  <si>
    <t>乙盛-KY</t>
  </si>
  <si>
    <t>TW0005258008</t>
  </si>
  <si>
    <t>虹堡</t>
  </si>
  <si>
    <t>TW0005269005</t>
  </si>
  <si>
    <t>祥碩</t>
  </si>
  <si>
    <t>TW0005283006</t>
  </si>
  <si>
    <t>禾聯碩</t>
  </si>
  <si>
    <t>KYG521131006</t>
  </si>
  <si>
    <t>jpp-KY</t>
  </si>
  <si>
    <t>TW0005285001</t>
  </si>
  <si>
    <t>界霖</t>
  </si>
  <si>
    <t>KYG314551014</t>
  </si>
  <si>
    <t>豐祥-KY</t>
  </si>
  <si>
    <t>TW0005388003</t>
  </si>
  <si>
    <t>中磊</t>
  </si>
  <si>
    <t>TW0005434005</t>
  </si>
  <si>
    <t>崇越</t>
  </si>
  <si>
    <t>TW0005469001</t>
  </si>
  <si>
    <t>瀚宇博</t>
  </si>
  <si>
    <t>TW0005471007</t>
  </si>
  <si>
    <t>松翰</t>
  </si>
  <si>
    <t>TW0005484000</t>
  </si>
  <si>
    <t>慧友</t>
  </si>
  <si>
    <t>TW0005515001</t>
  </si>
  <si>
    <t>建國</t>
  </si>
  <si>
    <t>TW0005519003</t>
  </si>
  <si>
    <t>隆大</t>
  </si>
  <si>
    <t>TW0005521009</t>
  </si>
  <si>
    <t>工信</t>
  </si>
  <si>
    <t>TW0005522007</t>
  </si>
  <si>
    <t>遠雄</t>
  </si>
  <si>
    <t>TW0005525000</t>
  </si>
  <si>
    <t>順天</t>
  </si>
  <si>
    <t>TW0005531008</t>
  </si>
  <si>
    <t>鄉林</t>
  </si>
  <si>
    <t>TW0005533004</t>
  </si>
  <si>
    <t>皇鼎</t>
  </si>
  <si>
    <t>TW0005534002</t>
  </si>
  <si>
    <t>長虹</t>
  </si>
  <si>
    <t>KYG8919A1031</t>
  </si>
  <si>
    <t>東明-KY</t>
  </si>
  <si>
    <t>KYG566541093</t>
  </si>
  <si>
    <t>永固-KY</t>
  </si>
  <si>
    <t>TW0005607006</t>
  </si>
  <si>
    <t>遠雄港</t>
  </si>
  <si>
    <t>TW0005608004</t>
  </si>
  <si>
    <t>四維航</t>
  </si>
  <si>
    <t>TW0005706006</t>
  </si>
  <si>
    <t>鳳凰</t>
  </si>
  <si>
    <t>KYG202881093</t>
  </si>
  <si>
    <t>中租-KY</t>
  </si>
  <si>
    <t>TW0005876007</t>
  </si>
  <si>
    <t>上海商銀</t>
  </si>
  <si>
    <t>TW0005880009</t>
  </si>
  <si>
    <t>合庫金</t>
  </si>
  <si>
    <t>KYG8661M1078</t>
  </si>
  <si>
    <t>台南-KY</t>
  </si>
  <si>
    <t>KYG4064G1029</t>
  </si>
  <si>
    <t>大洋-KY</t>
  </si>
  <si>
    <t>TW0006005002</t>
  </si>
  <si>
    <t>群益證</t>
  </si>
  <si>
    <t>TW0006024003</t>
  </si>
  <si>
    <t>群益期</t>
  </si>
  <si>
    <t>TW0006108004</t>
  </si>
  <si>
    <t>競國</t>
  </si>
  <si>
    <t>TW0006112006</t>
  </si>
  <si>
    <t>聚碩</t>
  </si>
  <si>
    <t>TW0006115009</t>
  </si>
  <si>
    <t>鎰勝</t>
  </si>
  <si>
    <t>TW0006116007</t>
  </si>
  <si>
    <t>彩晶</t>
  </si>
  <si>
    <t>TW0006117005</t>
  </si>
  <si>
    <t>迎廣</t>
  </si>
  <si>
    <t>TW0006120009</t>
  </si>
  <si>
    <t>達運</t>
  </si>
  <si>
    <t>TW0006128002</t>
  </si>
  <si>
    <t>上福</t>
  </si>
  <si>
    <t>TW0006133002</t>
  </si>
  <si>
    <t>金橋</t>
  </si>
  <si>
    <t>TW0006136005</t>
  </si>
  <si>
    <t>富爾特</t>
  </si>
  <si>
    <t>TW0006139009</t>
  </si>
  <si>
    <t>亞翔</t>
  </si>
  <si>
    <t>TW0006141005</t>
  </si>
  <si>
    <t>柏承</t>
  </si>
  <si>
    <t>TW0006142003</t>
  </si>
  <si>
    <t>友勁</t>
  </si>
  <si>
    <t>TW0006152002</t>
  </si>
  <si>
    <t>百一</t>
  </si>
  <si>
    <t>TW0006153000</t>
  </si>
  <si>
    <t>嘉聯益</t>
  </si>
  <si>
    <t>TW0006155005</t>
  </si>
  <si>
    <t>鈞寶</t>
  </si>
  <si>
    <t>TW0006164007</t>
  </si>
  <si>
    <t>華興</t>
  </si>
  <si>
    <t>TW0006165004</t>
  </si>
  <si>
    <t>浪凡</t>
  </si>
  <si>
    <t>TW0006166002</t>
  </si>
  <si>
    <t>凌華</t>
  </si>
  <si>
    <t>TW0006168008</t>
  </si>
  <si>
    <t>宏齊</t>
  </si>
  <si>
    <t>TW0006172000</t>
  </si>
  <si>
    <t>互億</t>
  </si>
  <si>
    <t>TW0006176001</t>
  </si>
  <si>
    <t>瑞儀</t>
  </si>
  <si>
    <t>TW0006177009</t>
  </si>
  <si>
    <t>達麗</t>
  </si>
  <si>
    <t>TW0006183007</t>
  </si>
  <si>
    <t>關貿</t>
  </si>
  <si>
    <t>TW0006184005</t>
  </si>
  <si>
    <t>大豐電</t>
  </si>
  <si>
    <t>TW0006189004</t>
  </si>
  <si>
    <t>豐藝</t>
  </si>
  <si>
    <t>TW0006191000</t>
  </si>
  <si>
    <t>精成科</t>
  </si>
  <si>
    <t>TW0006192008</t>
  </si>
  <si>
    <t>巨路</t>
  </si>
  <si>
    <t>TW0006196009</t>
  </si>
  <si>
    <t>帆宣</t>
  </si>
  <si>
    <t>TW0006197007</t>
  </si>
  <si>
    <t>佳必琪</t>
  </si>
  <si>
    <t>TW0006201007</t>
  </si>
  <si>
    <t>亞弘電</t>
  </si>
  <si>
    <t>TW0006202005</t>
  </si>
  <si>
    <t>盛群</t>
  </si>
  <si>
    <t>TW0006205008</t>
  </si>
  <si>
    <t>詮欣</t>
  </si>
  <si>
    <t>TW0006206006</t>
  </si>
  <si>
    <t>飛捷</t>
  </si>
  <si>
    <t>TW0006209000</t>
  </si>
  <si>
    <t>今國光</t>
  </si>
  <si>
    <t>TW0006213002</t>
  </si>
  <si>
    <t>聯茂</t>
  </si>
  <si>
    <t>TW0006214000</t>
  </si>
  <si>
    <t>精誠</t>
  </si>
  <si>
    <t>TW0006215007</t>
  </si>
  <si>
    <t>和椿</t>
  </si>
  <si>
    <t>TW0006216005</t>
  </si>
  <si>
    <t>居易</t>
  </si>
  <si>
    <t>TW0006224009</t>
  </si>
  <si>
    <t>聚鼎</t>
  </si>
  <si>
    <t>TW0006225006</t>
  </si>
  <si>
    <t>天瀚</t>
  </si>
  <si>
    <t>TW0006226004</t>
  </si>
  <si>
    <t>光鼎</t>
  </si>
  <si>
    <t>TW0006230006</t>
  </si>
  <si>
    <t>尼得科超眾</t>
  </si>
  <si>
    <t>TW0006235005</t>
  </si>
  <si>
    <t>華孚</t>
  </si>
  <si>
    <t>TW0006239007</t>
  </si>
  <si>
    <t>力成</t>
  </si>
  <si>
    <t>TW0006243009</t>
  </si>
  <si>
    <t>迅杰</t>
  </si>
  <si>
    <t>TW0006251002</t>
  </si>
  <si>
    <t>定穎</t>
  </si>
  <si>
    <t>TW0006257009</t>
  </si>
  <si>
    <t>矽格</t>
  </si>
  <si>
    <t>TW0006269004</t>
  </si>
  <si>
    <t>台郡</t>
  </si>
  <si>
    <t>TW0006271000</t>
  </si>
  <si>
    <t>同欣電</t>
  </si>
  <si>
    <t>TW0006277007</t>
  </si>
  <si>
    <t>宏正</t>
  </si>
  <si>
    <t>TW0006278005</t>
  </si>
  <si>
    <t>台表科</t>
  </si>
  <si>
    <t>TW0006281009</t>
  </si>
  <si>
    <t>全國電</t>
  </si>
  <si>
    <t>TW0006282007</t>
  </si>
  <si>
    <t>康舒</t>
  </si>
  <si>
    <t>TW0006283005</t>
  </si>
  <si>
    <t>淳安</t>
  </si>
  <si>
    <t>TW0006285000</t>
  </si>
  <si>
    <t>啟碁</t>
  </si>
  <si>
    <t>TW0006288004</t>
  </si>
  <si>
    <t>聯嘉</t>
  </si>
  <si>
    <t>TW0006289002</t>
  </si>
  <si>
    <t>華上</t>
  </si>
  <si>
    <t>TW0006405004</t>
  </si>
  <si>
    <t>悅城</t>
  </si>
  <si>
    <t>TW0006409006</t>
  </si>
  <si>
    <t>旭隼</t>
  </si>
  <si>
    <t>TW0006412000</t>
  </si>
  <si>
    <t>群電</t>
  </si>
  <si>
    <t>TW0006414006</t>
  </si>
  <si>
    <t>樺漢</t>
  </si>
  <si>
    <t>KYG8190F1028</t>
  </si>
  <si>
    <t>矽力-KY</t>
  </si>
  <si>
    <t>TW0006416001</t>
  </si>
  <si>
    <t>瑞祺電通</t>
  </si>
  <si>
    <t>TW0006426000</t>
  </si>
  <si>
    <t>統新</t>
  </si>
  <si>
    <t>KYG532651075</t>
  </si>
  <si>
    <t>光麗-KY</t>
  </si>
  <si>
    <t>TW0006438005</t>
  </si>
  <si>
    <t>迅得</t>
  </si>
  <si>
    <t>TW0006442007</t>
  </si>
  <si>
    <t>光聖</t>
  </si>
  <si>
    <t>TW0006443005</t>
  </si>
  <si>
    <t>元晶</t>
  </si>
  <si>
    <t>TW0006449002</t>
  </si>
  <si>
    <t>鈺邦</t>
  </si>
  <si>
    <t>KYG811801045</t>
  </si>
  <si>
    <t>訊芯-KY</t>
  </si>
  <si>
    <t>KYG3808R1011</t>
  </si>
  <si>
    <t>GIS-KY</t>
  </si>
  <si>
    <t>TW0006464001</t>
  </si>
  <si>
    <t>台數科</t>
  </si>
  <si>
    <t>TW0006477003</t>
  </si>
  <si>
    <t>安集</t>
  </si>
  <si>
    <t>TW0006491004</t>
  </si>
  <si>
    <t>晶碩</t>
  </si>
  <si>
    <t>TW0006504004</t>
  </si>
  <si>
    <t>南六</t>
  </si>
  <si>
    <t>TW0006505001</t>
  </si>
  <si>
    <t>台塑化</t>
  </si>
  <si>
    <t>TW0006515000</t>
  </si>
  <si>
    <t>穎崴</t>
  </si>
  <si>
    <t>KYG3790U1040</t>
  </si>
  <si>
    <t>捷敏-KY</t>
  </si>
  <si>
    <t>TW0006531007</t>
  </si>
  <si>
    <t>愛普</t>
  </si>
  <si>
    <t>TW0006533003</t>
  </si>
  <si>
    <t>晶心科</t>
  </si>
  <si>
    <t>KYG8676P1037</t>
  </si>
  <si>
    <t>泰福-KY</t>
  </si>
  <si>
    <t>TW0006552003</t>
  </si>
  <si>
    <t>易華電</t>
  </si>
  <si>
    <t>TW0006558000</t>
  </si>
  <si>
    <t>興能高</t>
  </si>
  <si>
    <t>KYG4712A1013</t>
  </si>
  <si>
    <t>虹揚-KY</t>
  </si>
  <si>
    <t>TW0006579006</t>
  </si>
  <si>
    <t>研揚</t>
  </si>
  <si>
    <t>TW0006581002</t>
  </si>
  <si>
    <t>鋼聯</t>
  </si>
  <si>
    <t>TW0006582000</t>
  </si>
  <si>
    <t>申豐</t>
  </si>
  <si>
    <t>KYG8587R1074</t>
  </si>
  <si>
    <t>動力-KY</t>
  </si>
  <si>
    <t>TW0006592009</t>
  </si>
  <si>
    <t>和潤企業</t>
  </si>
  <si>
    <t>KYG0488D1051</t>
  </si>
  <si>
    <t>ABC-KY</t>
  </si>
  <si>
    <t>TW0006605009</t>
  </si>
  <si>
    <t>帝寶</t>
  </si>
  <si>
    <t>TW0006625007</t>
  </si>
  <si>
    <t>必應</t>
  </si>
  <si>
    <t>KYG416551045</t>
  </si>
  <si>
    <t>基士德-KY</t>
  </si>
  <si>
    <t>TW0006655004</t>
  </si>
  <si>
    <t>科定</t>
  </si>
  <si>
    <t>KYG569831020</t>
  </si>
  <si>
    <t>羅麗芬-KY</t>
  </si>
  <si>
    <t>TW0006668007</t>
  </si>
  <si>
    <t>中揚光</t>
  </si>
  <si>
    <t>TW0006669005</t>
  </si>
  <si>
    <t>緯穎</t>
  </si>
  <si>
    <t>TW0006670003</t>
  </si>
  <si>
    <t>復盛應用</t>
  </si>
  <si>
    <t>KYG7806W1033</t>
  </si>
  <si>
    <t>三能-KY</t>
  </si>
  <si>
    <t>KYG9353A1040</t>
  </si>
  <si>
    <t>騰輝電子-KY</t>
  </si>
  <si>
    <t>TW0006674005</t>
  </si>
  <si>
    <t>鋐寶科技</t>
  </si>
  <si>
    <t>TW0006698004</t>
  </si>
  <si>
    <t>旭暉應材</t>
  </si>
  <si>
    <t>TW0006706005</t>
  </si>
  <si>
    <t>惠特</t>
  </si>
  <si>
    <t>TW0006715006</t>
  </si>
  <si>
    <t>嘉基</t>
  </si>
  <si>
    <t>TW0006743008</t>
  </si>
  <si>
    <t>安普新</t>
  </si>
  <si>
    <t>TW0006754005</t>
  </si>
  <si>
    <t>匯僑設計</t>
  </si>
  <si>
    <t>TW0006756000</t>
  </si>
  <si>
    <t>威鋒電子</t>
  </si>
  <si>
    <t>KYG8368S1003</t>
  </si>
  <si>
    <t>志強-KY</t>
  </si>
  <si>
    <t>TW0006776008</t>
  </si>
  <si>
    <t>展碁國際</t>
  </si>
  <si>
    <t>KYG0097V1086</t>
  </si>
  <si>
    <t>AES-KY</t>
  </si>
  <si>
    <t>TW0008011008</t>
  </si>
  <si>
    <t>台通</t>
  </si>
  <si>
    <t>TW0008016007</t>
  </si>
  <si>
    <t>矽創</t>
  </si>
  <si>
    <t>TW0008021007</t>
  </si>
  <si>
    <t>尖點</t>
  </si>
  <si>
    <t>TW0008028002</t>
  </si>
  <si>
    <t>昇陽半導體</t>
  </si>
  <si>
    <t>TW0008033002</t>
  </si>
  <si>
    <t>雷虎</t>
  </si>
  <si>
    <t>TW0008039009</t>
  </si>
  <si>
    <t>台虹</t>
  </si>
  <si>
    <t>TW0008046004</t>
  </si>
  <si>
    <t>南電</t>
  </si>
  <si>
    <t>TW0008070004</t>
  </si>
  <si>
    <t>長華*</t>
  </si>
  <si>
    <t>TW0008072000</t>
  </si>
  <si>
    <t>陞泰</t>
  </si>
  <si>
    <t>TW0008081001</t>
  </si>
  <si>
    <t>致新</t>
  </si>
  <si>
    <t>TW0008101007</t>
  </si>
  <si>
    <t>華冠</t>
  </si>
  <si>
    <t>TW0008103003</t>
  </si>
  <si>
    <t>瀚荃</t>
  </si>
  <si>
    <t>TW0008104001</t>
  </si>
  <si>
    <t>錸寶</t>
  </si>
  <si>
    <t>TW0008105008</t>
  </si>
  <si>
    <t>凌巨</t>
  </si>
  <si>
    <t>TW0008110008</t>
  </si>
  <si>
    <t>華東</t>
  </si>
  <si>
    <t>TW0008112004</t>
  </si>
  <si>
    <t>至上</t>
  </si>
  <si>
    <t>TW0008114000</t>
  </si>
  <si>
    <t>振樺電</t>
  </si>
  <si>
    <t>TW0008131004</t>
  </si>
  <si>
    <t>福懋科</t>
  </si>
  <si>
    <t>TW0008150004</t>
  </si>
  <si>
    <t>南茂</t>
  </si>
  <si>
    <t>TW0008163007</t>
  </si>
  <si>
    <t>達方</t>
  </si>
  <si>
    <t>TW0008201005</t>
  </si>
  <si>
    <t>無敵</t>
  </si>
  <si>
    <t>TW0008210006</t>
  </si>
  <si>
    <t>勤誠</t>
  </si>
  <si>
    <t>TW0008213000</t>
  </si>
  <si>
    <t>志超</t>
  </si>
  <si>
    <t>TW0008215005</t>
  </si>
  <si>
    <t>明基材</t>
  </si>
  <si>
    <t>TW0008222001</t>
  </si>
  <si>
    <t>寶一</t>
  </si>
  <si>
    <t>TW0008249004</t>
  </si>
  <si>
    <t>菱光</t>
  </si>
  <si>
    <t>TW0008261009</t>
  </si>
  <si>
    <t>富鼎</t>
  </si>
  <si>
    <t>TW0008271008</t>
  </si>
  <si>
    <t>宇瞻</t>
  </si>
  <si>
    <t>TW0008341009</t>
  </si>
  <si>
    <t>日友</t>
  </si>
  <si>
    <t>TW0008367004</t>
  </si>
  <si>
    <t>建新國際</t>
  </si>
  <si>
    <t>TW0008374000</t>
  </si>
  <si>
    <t>羅昇</t>
  </si>
  <si>
    <t>KYG684631016</t>
  </si>
  <si>
    <t>百和興業-KY</t>
  </si>
  <si>
    <t>KYG525911072</t>
  </si>
  <si>
    <t>福貞-KY</t>
  </si>
  <si>
    <t>TW0008422007</t>
  </si>
  <si>
    <t>可寧衛</t>
  </si>
  <si>
    <t>KYG525341072</t>
  </si>
  <si>
    <t>基勝-KY</t>
  </si>
  <si>
    <t>KYG513871015</t>
  </si>
  <si>
    <t>金麗-KY</t>
  </si>
  <si>
    <t>KYG981151015</t>
  </si>
  <si>
    <t>威宏-KY</t>
  </si>
  <si>
    <t>TW0008443003</t>
  </si>
  <si>
    <t>阿瘦</t>
  </si>
  <si>
    <t>TW0008454000</t>
  </si>
  <si>
    <t>富邦媒</t>
  </si>
  <si>
    <t>TW0008462003</t>
  </si>
  <si>
    <t>柏文</t>
  </si>
  <si>
    <t>TW0008463001</t>
  </si>
  <si>
    <t>潤泰材</t>
  </si>
  <si>
    <t>TW0008464009</t>
  </si>
  <si>
    <t>億豐</t>
  </si>
  <si>
    <t>KYG332481087</t>
  </si>
  <si>
    <t>美吉吉-KY</t>
  </si>
  <si>
    <t>KYG144971044</t>
  </si>
  <si>
    <t>波力-KY</t>
  </si>
  <si>
    <t>TW0008473000</t>
  </si>
  <si>
    <t>山林水</t>
  </si>
  <si>
    <t>TW0008478009</t>
  </si>
  <si>
    <t>東哥遊艇</t>
  </si>
  <si>
    <t>KYG8661F1028</t>
  </si>
  <si>
    <t>泰昇-KY</t>
  </si>
  <si>
    <t>TW0008481003</t>
  </si>
  <si>
    <t>政伸</t>
  </si>
  <si>
    <t>KYG806341015</t>
  </si>
  <si>
    <t>商億-KY</t>
  </si>
  <si>
    <t>KYG5140K1085</t>
  </si>
  <si>
    <t>吉源-KY</t>
  </si>
  <si>
    <t>KYG8923R1002</t>
  </si>
  <si>
    <t>鼎炫-KY</t>
  </si>
  <si>
    <t>TW0008926007</t>
  </si>
  <si>
    <t>台汽電</t>
  </si>
  <si>
    <t>TW0008940008</t>
  </si>
  <si>
    <t>新天地</t>
  </si>
  <si>
    <t>TW0008996000</t>
  </si>
  <si>
    <t>高力</t>
  </si>
  <si>
    <t>KYG368891068</t>
  </si>
  <si>
    <t>鈺齊-KY</t>
  </si>
  <si>
    <t>TW0009902007</t>
  </si>
  <si>
    <t>台火</t>
  </si>
  <si>
    <t>TW0009904003</t>
  </si>
  <si>
    <t>寶成</t>
  </si>
  <si>
    <t>TW0009905000</t>
  </si>
  <si>
    <t>大華</t>
  </si>
  <si>
    <t>TW0009906008</t>
  </si>
  <si>
    <t>欣巴巴</t>
  </si>
  <si>
    <t>TW0009907006</t>
  </si>
  <si>
    <t>統一實</t>
  </si>
  <si>
    <t>TW0009908004</t>
  </si>
  <si>
    <t>大台北</t>
  </si>
  <si>
    <t>TW0009910000</t>
  </si>
  <si>
    <t>豐泰</t>
  </si>
  <si>
    <t>TW0009911008</t>
  </si>
  <si>
    <t>櫻花</t>
  </si>
  <si>
    <t>TW0009912006</t>
  </si>
  <si>
    <t>偉聯</t>
  </si>
  <si>
    <t>TW0009914002</t>
  </si>
  <si>
    <t>美利達</t>
  </si>
  <si>
    <t>TW0009917005</t>
  </si>
  <si>
    <t>中保科</t>
  </si>
  <si>
    <t>TW0009918003</t>
  </si>
  <si>
    <t>欣天然</t>
  </si>
  <si>
    <t>TW0009919001</t>
  </si>
  <si>
    <t>康那香</t>
  </si>
  <si>
    <t>TW0009921007</t>
  </si>
  <si>
    <t>巨大</t>
  </si>
  <si>
    <t>TW0009924001</t>
  </si>
  <si>
    <t>福興</t>
  </si>
  <si>
    <t>TW0009925008</t>
  </si>
  <si>
    <t>新保</t>
  </si>
  <si>
    <t>TW0009926006</t>
  </si>
  <si>
    <t>新海</t>
  </si>
  <si>
    <t>TW0009927004</t>
  </si>
  <si>
    <t>泰銘</t>
  </si>
  <si>
    <t>TW0009928002</t>
  </si>
  <si>
    <t>中視</t>
  </si>
  <si>
    <t>TW0009929000</t>
  </si>
  <si>
    <t>秋雨</t>
  </si>
  <si>
    <t>TW0009930008</t>
  </si>
  <si>
    <t>中聯資源</t>
  </si>
  <si>
    <t>TW0009931006</t>
  </si>
  <si>
    <t>欣高</t>
  </si>
  <si>
    <t>TW0009933002</t>
  </si>
  <si>
    <t>中鼎</t>
  </si>
  <si>
    <t>TW0009934000</t>
  </si>
  <si>
    <t>成霖</t>
  </si>
  <si>
    <t>TW0009935007</t>
  </si>
  <si>
    <t>慶豐富</t>
  </si>
  <si>
    <t>TW0009937003</t>
  </si>
  <si>
    <t>全國</t>
  </si>
  <si>
    <t>TW0009938001</t>
  </si>
  <si>
    <t>百和</t>
  </si>
  <si>
    <t>TW0009939009</t>
  </si>
  <si>
    <t>宏全</t>
  </si>
  <si>
    <t>TW0009940007</t>
  </si>
  <si>
    <t>信義</t>
  </si>
  <si>
    <t>TW0009941005</t>
  </si>
  <si>
    <t>裕融</t>
  </si>
  <si>
    <t>TW0009942003</t>
  </si>
  <si>
    <t>茂順</t>
  </si>
  <si>
    <t>TW0009943001</t>
  </si>
  <si>
    <t>好樂迪</t>
  </si>
  <si>
    <t>TW0009944009</t>
  </si>
  <si>
    <t>新麗</t>
  </si>
  <si>
    <t>TW0009945006</t>
  </si>
  <si>
    <t>潤泰新</t>
  </si>
  <si>
    <t>TW0009946004</t>
  </si>
  <si>
    <t>三發地產</t>
  </si>
  <si>
    <t>TW0009955005</t>
  </si>
  <si>
    <t>佳龍</t>
  </si>
  <si>
    <t>TW0009958009</t>
  </si>
  <si>
    <t>世紀鋼</t>
  </si>
  <si>
    <t>TW0001240000</t>
  </si>
  <si>
    <t>茂生農經</t>
  </si>
  <si>
    <t xml:space="preserve">上櫃 </t>
  </si>
  <si>
    <t>農業科技業</t>
  </si>
  <si>
    <t>KYG522401010</t>
  </si>
  <si>
    <t>其祥-KY</t>
  </si>
  <si>
    <t>TW0001259000</t>
  </si>
  <si>
    <t>安心</t>
  </si>
  <si>
    <t>TW0001264000</t>
  </si>
  <si>
    <t>德麥</t>
  </si>
  <si>
    <t>TW0001268001</t>
  </si>
  <si>
    <t>漢來美食</t>
  </si>
  <si>
    <t>TW0001336006</t>
  </si>
  <si>
    <t>台翰</t>
  </si>
  <si>
    <t>TW0001565000</t>
  </si>
  <si>
    <t>精華</t>
  </si>
  <si>
    <t>TW0001569002</t>
  </si>
  <si>
    <t>濱川</t>
  </si>
  <si>
    <t>TW0001570000</t>
  </si>
  <si>
    <t>力肯</t>
  </si>
  <si>
    <t>TW0001580009</t>
  </si>
  <si>
    <t>新麥</t>
  </si>
  <si>
    <t>TW0001584001</t>
  </si>
  <si>
    <t>精剛</t>
  </si>
  <si>
    <t>TW0001586006</t>
  </si>
  <si>
    <t>和勤</t>
  </si>
  <si>
    <t>KYG4782L1023</t>
  </si>
  <si>
    <t>駿吉-KY</t>
  </si>
  <si>
    <t>TW0001593002</t>
  </si>
  <si>
    <t>祺驊</t>
  </si>
  <si>
    <t>TW0001595007</t>
  </si>
  <si>
    <t>川寶</t>
  </si>
  <si>
    <t>TW0001599009</t>
  </si>
  <si>
    <t>宏佳騰</t>
  </si>
  <si>
    <t>TW0001742005</t>
  </si>
  <si>
    <t>台蠟</t>
  </si>
  <si>
    <t>TW0001752004</t>
  </si>
  <si>
    <t>南光</t>
  </si>
  <si>
    <t>TW0001777001</t>
  </si>
  <si>
    <t>生泰</t>
  </si>
  <si>
    <t>TW0001781003</t>
  </si>
  <si>
    <t>合世</t>
  </si>
  <si>
    <t>TW0001784007</t>
  </si>
  <si>
    <t>訊聯</t>
  </si>
  <si>
    <t>TW0001785004</t>
  </si>
  <si>
    <t>光洋科</t>
  </si>
  <si>
    <t>TW0001788008</t>
  </si>
  <si>
    <t>杏昌</t>
  </si>
  <si>
    <t>TW0001796001</t>
  </si>
  <si>
    <t>金穎生技</t>
  </si>
  <si>
    <t>TW0001799005</t>
  </si>
  <si>
    <t>易威</t>
  </si>
  <si>
    <t>TW0001813004</t>
  </si>
  <si>
    <t>寶利徠</t>
  </si>
  <si>
    <t>TW0001815009</t>
  </si>
  <si>
    <t>富喬</t>
  </si>
  <si>
    <t>TW0002035003</t>
  </si>
  <si>
    <t>唐榮</t>
  </si>
  <si>
    <t>TW0002061009</t>
  </si>
  <si>
    <t>風青</t>
  </si>
  <si>
    <t>TW0002063005</t>
  </si>
  <si>
    <t>世鎧</t>
  </si>
  <si>
    <t>TW0002064003</t>
  </si>
  <si>
    <t>晉椿</t>
  </si>
  <si>
    <t>TW0002065000</t>
  </si>
  <si>
    <t>世豐</t>
  </si>
  <si>
    <t>TW0002066008</t>
  </si>
  <si>
    <t>世德</t>
  </si>
  <si>
    <t>TW0002067006</t>
  </si>
  <si>
    <t>嘉鋼</t>
  </si>
  <si>
    <t>TW0002070000</t>
  </si>
  <si>
    <t>精湛</t>
  </si>
  <si>
    <t>TW0002221009</t>
  </si>
  <si>
    <t>大甲</t>
  </si>
  <si>
    <t>TW0002230000</t>
  </si>
  <si>
    <t>泰茂</t>
  </si>
  <si>
    <t>TW0002235009</t>
  </si>
  <si>
    <t>謚源</t>
  </si>
  <si>
    <t>TW0002596004</t>
  </si>
  <si>
    <t>綠意</t>
  </si>
  <si>
    <t>TW0002640000</t>
  </si>
  <si>
    <t>大車隊</t>
  </si>
  <si>
    <t>TW0002641008</t>
  </si>
  <si>
    <t>正德</t>
  </si>
  <si>
    <t>TW0002643004</t>
  </si>
  <si>
    <t>捷迅</t>
  </si>
  <si>
    <t>TW0002718004</t>
  </si>
  <si>
    <t>晶悅</t>
  </si>
  <si>
    <t>TW0002719002</t>
  </si>
  <si>
    <t>燦星旅</t>
  </si>
  <si>
    <t>KYG3704Y1017</t>
  </si>
  <si>
    <t>富驛-KY</t>
  </si>
  <si>
    <t>KYG988361021</t>
  </si>
  <si>
    <t>雅茗-KY</t>
  </si>
  <si>
    <t>TW0002729001</t>
  </si>
  <si>
    <t>瓦城</t>
  </si>
  <si>
    <t>TW0002732005</t>
  </si>
  <si>
    <t>六角</t>
  </si>
  <si>
    <t>TW0002734001</t>
  </si>
  <si>
    <t>易飛網</t>
  </si>
  <si>
    <t>TW0002736006</t>
  </si>
  <si>
    <t>高野</t>
  </si>
  <si>
    <t>TW0002740008</t>
  </si>
  <si>
    <t>天蔥</t>
  </si>
  <si>
    <t>TW0002743002</t>
  </si>
  <si>
    <t>山富</t>
  </si>
  <si>
    <t>TW0002745007</t>
  </si>
  <si>
    <t>五福</t>
  </si>
  <si>
    <t>TW0002752003</t>
  </si>
  <si>
    <t>豆府</t>
  </si>
  <si>
    <t>TW0002754009</t>
  </si>
  <si>
    <t>亞洲藏壽司</t>
  </si>
  <si>
    <t>TW0002755006</t>
  </si>
  <si>
    <t>揚秦</t>
  </si>
  <si>
    <t>TW0002916004</t>
  </si>
  <si>
    <t>滿心</t>
  </si>
  <si>
    <t>KYG198691092</t>
  </si>
  <si>
    <t>東凌-KY</t>
  </si>
  <si>
    <t>TW0002926003</t>
  </si>
  <si>
    <t>誠品生活</t>
  </si>
  <si>
    <t>文化創意業</t>
  </si>
  <si>
    <t>KYG7448A1058</t>
  </si>
  <si>
    <t>紅馬-KY</t>
  </si>
  <si>
    <t>TW0002937000</t>
  </si>
  <si>
    <t>集雅社</t>
  </si>
  <si>
    <t>TW0003064002</t>
  </si>
  <si>
    <t>泰偉</t>
  </si>
  <si>
    <t>TW0003066007</t>
  </si>
  <si>
    <t>李洲</t>
  </si>
  <si>
    <t>TW0003067005</t>
  </si>
  <si>
    <t>全域</t>
  </si>
  <si>
    <t>TW0003071007</t>
  </si>
  <si>
    <t>協禧</t>
  </si>
  <si>
    <t>TW0003073003</t>
  </si>
  <si>
    <t>天方能源</t>
  </si>
  <si>
    <t>TW0003078002</t>
  </si>
  <si>
    <t>僑威</t>
  </si>
  <si>
    <t>TW0003081006</t>
  </si>
  <si>
    <t>聯亞</t>
  </si>
  <si>
    <t>TW0003083002</t>
  </si>
  <si>
    <t>網龍</t>
  </si>
  <si>
    <t>TW0003085007</t>
  </si>
  <si>
    <t>新零售</t>
  </si>
  <si>
    <t>電子商務</t>
  </si>
  <si>
    <t>TW0003086005</t>
  </si>
  <si>
    <t>華義</t>
  </si>
  <si>
    <t>TW0003088001</t>
  </si>
  <si>
    <t>艾訊</t>
  </si>
  <si>
    <t>TW0003089009</t>
  </si>
  <si>
    <t>元炬</t>
  </si>
  <si>
    <t>TW0003093001</t>
  </si>
  <si>
    <t>港建</t>
  </si>
  <si>
    <t>TW0003095006</t>
  </si>
  <si>
    <t>及成</t>
  </si>
  <si>
    <t>TW0003105003</t>
  </si>
  <si>
    <t>穩懋</t>
  </si>
  <si>
    <t>TW0003114005</t>
  </si>
  <si>
    <t>好德</t>
  </si>
  <si>
    <t>TW0003115002</t>
  </si>
  <si>
    <t>寶島極</t>
  </si>
  <si>
    <t>TW0003118006</t>
  </si>
  <si>
    <t>進階</t>
  </si>
  <si>
    <t>TW0003122008</t>
  </si>
  <si>
    <t>笙泉</t>
  </si>
  <si>
    <t>TW0003128005</t>
  </si>
  <si>
    <t>昇銳</t>
  </si>
  <si>
    <t>TW0003131009</t>
  </si>
  <si>
    <t>弘塑</t>
  </si>
  <si>
    <t>TW0003141008</t>
  </si>
  <si>
    <t>晶宏</t>
  </si>
  <si>
    <t>TW0003144002</t>
  </si>
  <si>
    <t>新揚科</t>
  </si>
  <si>
    <t>TW0003147005</t>
  </si>
  <si>
    <t>大綜</t>
  </si>
  <si>
    <t>TW0003152005</t>
  </si>
  <si>
    <t>璟德</t>
  </si>
  <si>
    <t>TW0003162004</t>
  </si>
  <si>
    <t>精確</t>
  </si>
  <si>
    <t>TW0003163002</t>
  </si>
  <si>
    <t>波若威</t>
  </si>
  <si>
    <t>TW0003169009</t>
  </si>
  <si>
    <t>亞信</t>
  </si>
  <si>
    <t>TW0003171005</t>
  </si>
  <si>
    <t>新洲</t>
  </si>
  <si>
    <t>TW0003176004</t>
  </si>
  <si>
    <t>基亞</t>
  </si>
  <si>
    <t>TW0003178000</t>
  </si>
  <si>
    <t>公準</t>
  </si>
  <si>
    <t>TW0003188009</t>
  </si>
  <si>
    <t>鑫龍騰</t>
  </si>
  <si>
    <t>TW0003191003</t>
  </si>
  <si>
    <t>和進</t>
  </si>
  <si>
    <t>TW0003202008</t>
  </si>
  <si>
    <t>樺晟</t>
  </si>
  <si>
    <t>TW0003205001</t>
  </si>
  <si>
    <t>佰研</t>
  </si>
  <si>
    <t>TW0003206009</t>
  </si>
  <si>
    <t>志豐</t>
  </si>
  <si>
    <t>TW0003207007</t>
  </si>
  <si>
    <t>耀勝</t>
  </si>
  <si>
    <t>TW0003211009</t>
  </si>
  <si>
    <t>順達</t>
  </si>
  <si>
    <t>TW0003213005</t>
  </si>
  <si>
    <t>茂訊</t>
  </si>
  <si>
    <t>TW0003217006</t>
  </si>
  <si>
    <t>優群</t>
  </si>
  <si>
    <t>TW0003218004</t>
  </si>
  <si>
    <t>大學光</t>
  </si>
  <si>
    <t>TW0003219002</t>
  </si>
  <si>
    <t>倚強科</t>
  </si>
  <si>
    <t>TW0003221008</t>
  </si>
  <si>
    <t>台嘉碩</t>
  </si>
  <si>
    <t>TW0003224002</t>
  </si>
  <si>
    <t>三顧</t>
  </si>
  <si>
    <t>TW0003226007</t>
  </si>
  <si>
    <t>至寶電</t>
  </si>
  <si>
    <t>TW0003227005</t>
  </si>
  <si>
    <t>原相</t>
  </si>
  <si>
    <t>TW0003228003</t>
  </si>
  <si>
    <t>金麗科</t>
  </si>
  <si>
    <t>TW0003230009</t>
  </si>
  <si>
    <t>錦明</t>
  </si>
  <si>
    <t>TW0003232005</t>
  </si>
  <si>
    <t>昱捷</t>
  </si>
  <si>
    <t>TW0003234001</t>
  </si>
  <si>
    <t>光環</t>
  </si>
  <si>
    <t>TW0003236006</t>
  </si>
  <si>
    <t>千如</t>
  </si>
  <si>
    <t>TW0003252003</t>
  </si>
  <si>
    <t>海灣</t>
  </si>
  <si>
    <t>TW0003259008</t>
  </si>
  <si>
    <t>鑫創</t>
  </si>
  <si>
    <t>TW0003260006</t>
  </si>
  <si>
    <t>威剛</t>
  </si>
  <si>
    <t>TW0003264008</t>
  </si>
  <si>
    <t>欣銓</t>
  </si>
  <si>
    <t>TW0003265005</t>
  </si>
  <si>
    <t>台星科</t>
  </si>
  <si>
    <t>TW0003268009</t>
  </si>
  <si>
    <t>海德威</t>
  </si>
  <si>
    <t>TW0003272001</t>
  </si>
  <si>
    <t>東碩</t>
  </si>
  <si>
    <t>TW0003276002</t>
  </si>
  <si>
    <t>宇環</t>
  </si>
  <si>
    <t>TW0003284006</t>
  </si>
  <si>
    <t>太普高</t>
  </si>
  <si>
    <t>TW0003285003</t>
  </si>
  <si>
    <t>微端</t>
  </si>
  <si>
    <t>TW0003287009</t>
  </si>
  <si>
    <t>廣寰科</t>
  </si>
  <si>
    <t>TW0003288007</t>
  </si>
  <si>
    <t>點晶</t>
  </si>
  <si>
    <t>TW0003289005</t>
  </si>
  <si>
    <t>宜特</t>
  </si>
  <si>
    <t>TW0003290003</t>
  </si>
  <si>
    <t>東浦</t>
  </si>
  <si>
    <t>TW0003293007</t>
  </si>
  <si>
    <t>鈊象</t>
  </si>
  <si>
    <t>TW0003294005</t>
  </si>
  <si>
    <t>英濟</t>
  </si>
  <si>
    <t>TW0003297008</t>
  </si>
  <si>
    <t>杭特</t>
  </si>
  <si>
    <t>TW0003303004</t>
  </si>
  <si>
    <t>岱稜</t>
  </si>
  <si>
    <t>TW0003306007</t>
  </si>
  <si>
    <t>鼎天</t>
  </si>
  <si>
    <t>TW0003310009</t>
  </si>
  <si>
    <t>佳穎</t>
  </si>
  <si>
    <t>TW0003313003</t>
  </si>
  <si>
    <t>斐成</t>
  </si>
  <si>
    <t>TW0003317004</t>
  </si>
  <si>
    <t>尼克森</t>
  </si>
  <si>
    <t>TW0003322004</t>
  </si>
  <si>
    <t>建舜電</t>
  </si>
  <si>
    <t>TW0003323002</t>
  </si>
  <si>
    <t>加百裕</t>
  </si>
  <si>
    <t>TW0003324000</t>
  </si>
  <si>
    <t>雙鴻</t>
  </si>
  <si>
    <t>TW0003325007</t>
  </si>
  <si>
    <t>旭品</t>
  </si>
  <si>
    <t>TW0003332003</t>
  </si>
  <si>
    <t>幸康</t>
  </si>
  <si>
    <t>TW0003339008</t>
  </si>
  <si>
    <t>泰谷</t>
  </si>
  <si>
    <t>TW0003354007</t>
  </si>
  <si>
    <t>律勝</t>
  </si>
  <si>
    <t>TW0003357000</t>
  </si>
  <si>
    <t>臺慶科</t>
  </si>
  <si>
    <t>TW0003360004</t>
  </si>
  <si>
    <t>尚立</t>
  </si>
  <si>
    <t>TW0003362000</t>
  </si>
  <si>
    <t>先進光</t>
  </si>
  <si>
    <t>TW0003363008</t>
  </si>
  <si>
    <t>上詮</t>
  </si>
  <si>
    <t>TW0003372009</t>
  </si>
  <si>
    <t>典範</t>
  </si>
  <si>
    <t>TW0003373007</t>
  </si>
  <si>
    <t>熱映</t>
  </si>
  <si>
    <t>TW0003374005</t>
  </si>
  <si>
    <t>精材</t>
  </si>
  <si>
    <t>TW0003379004</t>
  </si>
  <si>
    <t>彬台</t>
  </si>
  <si>
    <t>TW0003388005</t>
  </si>
  <si>
    <t>崇越電</t>
  </si>
  <si>
    <t>TW0003390001</t>
  </si>
  <si>
    <t>旭軟</t>
  </si>
  <si>
    <t>TW0003402004</t>
  </si>
  <si>
    <t>漢科</t>
  </si>
  <si>
    <t>TW0003426003</t>
  </si>
  <si>
    <t>台興</t>
  </si>
  <si>
    <t>TW0003434007</t>
  </si>
  <si>
    <t>哲固</t>
  </si>
  <si>
    <t>TW0003438008</t>
  </si>
  <si>
    <t>類比科</t>
  </si>
  <si>
    <t>TW0003441002</t>
  </si>
  <si>
    <t>聯一光</t>
  </si>
  <si>
    <t>TW0003444006</t>
  </si>
  <si>
    <t>利機</t>
  </si>
  <si>
    <t>TW0003455002</t>
  </si>
  <si>
    <t>由田</t>
  </si>
  <si>
    <t>TW0003465001</t>
  </si>
  <si>
    <t>進泰電子</t>
  </si>
  <si>
    <t>TW0003466009</t>
  </si>
  <si>
    <t>致振</t>
  </si>
  <si>
    <t>TW0003479002</t>
  </si>
  <si>
    <t>安勤</t>
  </si>
  <si>
    <t>TW0003483004</t>
  </si>
  <si>
    <t>力致</t>
  </si>
  <si>
    <t>TW0003484002</t>
  </si>
  <si>
    <t>崧騰</t>
  </si>
  <si>
    <t>TW0003489001</t>
  </si>
  <si>
    <t>森寶</t>
  </si>
  <si>
    <t>TW0003490009</t>
  </si>
  <si>
    <t>單井</t>
  </si>
  <si>
    <t>TW0003491007</t>
  </si>
  <si>
    <t>昇達科</t>
  </si>
  <si>
    <t>TW0003492005</t>
  </si>
  <si>
    <t>長盛</t>
  </si>
  <si>
    <t>TW0003498002</t>
  </si>
  <si>
    <t>陽程</t>
  </si>
  <si>
    <t>TW0003499000</t>
  </si>
  <si>
    <t>環天科</t>
  </si>
  <si>
    <t>TW0003508008</t>
  </si>
  <si>
    <t>位速</t>
  </si>
  <si>
    <t>TW0003511002</t>
  </si>
  <si>
    <t>矽瑪</t>
  </si>
  <si>
    <t>TW0003512000</t>
  </si>
  <si>
    <t>皇龍</t>
  </si>
  <si>
    <t>TW0003516001</t>
  </si>
  <si>
    <t>亞帝歐</t>
  </si>
  <si>
    <t>TW0003520003</t>
  </si>
  <si>
    <t>華盈</t>
  </si>
  <si>
    <t>TW0003521001</t>
  </si>
  <si>
    <t>鴻翊</t>
  </si>
  <si>
    <t>TW0003522009</t>
  </si>
  <si>
    <t>御頂</t>
  </si>
  <si>
    <t>TW0003523007</t>
  </si>
  <si>
    <t>迎輝</t>
  </si>
  <si>
    <t>TW0003526000</t>
  </si>
  <si>
    <t>凡甲</t>
  </si>
  <si>
    <t>TW0003527008</t>
  </si>
  <si>
    <t>聚積</t>
  </si>
  <si>
    <t>TW0003529004</t>
  </si>
  <si>
    <t>力旺</t>
  </si>
  <si>
    <t>TW0003531000</t>
  </si>
  <si>
    <t>先益</t>
  </si>
  <si>
    <t>TW0003537007</t>
  </si>
  <si>
    <t>堡達</t>
  </si>
  <si>
    <t>TW0003540001</t>
  </si>
  <si>
    <t>曜越</t>
  </si>
  <si>
    <t>TW0003541009</t>
  </si>
  <si>
    <t>西柏</t>
  </si>
  <si>
    <t>TW0003546008</t>
  </si>
  <si>
    <t>宇峻</t>
  </si>
  <si>
    <t>TW0003548004</t>
  </si>
  <si>
    <t>兆利</t>
  </si>
  <si>
    <t>TW0003551008</t>
  </si>
  <si>
    <t>世禾</t>
  </si>
  <si>
    <t>TW0003552006</t>
  </si>
  <si>
    <t>同致</t>
  </si>
  <si>
    <t>TW0003555009</t>
  </si>
  <si>
    <t>重鵬</t>
  </si>
  <si>
    <t>TW0003556007</t>
  </si>
  <si>
    <t>禾瑞亞</t>
  </si>
  <si>
    <t>TW0003558003</t>
  </si>
  <si>
    <t>神準</t>
  </si>
  <si>
    <t>TW0003564001</t>
  </si>
  <si>
    <t>其陽</t>
  </si>
  <si>
    <t>TW0003567004</t>
  </si>
  <si>
    <t>逸昌</t>
  </si>
  <si>
    <t>TW0003570008</t>
  </si>
  <si>
    <t>大塚</t>
  </si>
  <si>
    <t>TW0003577003</t>
  </si>
  <si>
    <t>泓格</t>
  </si>
  <si>
    <t>TW0003580007</t>
  </si>
  <si>
    <t>友威科</t>
  </si>
  <si>
    <t>TW0003581005</t>
  </si>
  <si>
    <t>博磊</t>
  </si>
  <si>
    <t>TW0003587002</t>
  </si>
  <si>
    <t>閎康</t>
  </si>
  <si>
    <t>TW0003594008</t>
  </si>
  <si>
    <t>磐儀</t>
  </si>
  <si>
    <t>TW0003597001</t>
  </si>
  <si>
    <t>映興</t>
  </si>
  <si>
    <t>TW0003609004</t>
  </si>
  <si>
    <t>東林</t>
  </si>
  <si>
    <t>TW0003611000</t>
  </si>
  <si>
    <t>鼎翰</t>
  </si>
  <si>
    <t>TW0003615001</t>
  </si>
  <si>
    <t>安可</t>
  </si>
  <si>
    <t>TW0003623005</t>
  </si>
  <si>
    <t>富晶通</t>
  </si>
  <si>
    <t>TW0003624003</t>
  </si>
  <si>
    <t>光頡</t>
  </si>
  <si>
    <t>TW0003625000</t>
  </si>
  <si>
    <t>西勝</t>
  </si>
  <si>
    <t>TW0003628004</t>
  </si>
  <si>
    <t>盈正</t>
  </si>
  <si>
    <t>TW0003629002</t>
  </si>
  <si>
    <t>地心引力</t>
  </si>
  <si>
    <t>TW0003630000</t>
  </si>
  <si>
    <t>新鉅科</t>
  </si>
  <si>
    <t>TW0003631008</t>
  </si>
  <si>
    <t>晟楠</t>
  </si>
  <si>
    <t>TW0003632006</t>
  </si>
  <si>
    <t>研勤</t>
  </si>
  <si>
    <t>TW0003642005</t>
  </si>
  <si>
    <t>駿熠電</t>
  </si>
  <si>
    <t>TW0003646006</t>
  </si>
  <si>
    <t>艾恩特</t>
  </si>
  <si>
    <t>TW0003652004</t>
  </si>
  <si>
    <t>精聯</t>
  </si>
  <si>
    <t>TW0003663001</t>
  </si>
  <si>
    <t>鑫科</t>
  </si>
  <si>
    <t>KYG0550W1069</t>
  </si>
  <si>
    <t>安瑞-KY</t>
  </si>
  <si>
    <t>TW0003666004</t>
  </si>
  <si>
    <t>光耀</t>
  </si>
  <si>
    <t>TW0003672002</t>
  </si>
  <si>
    <t>康聯訊</t>
  </si>
  <si>
    <t>TW0003675005</t>
  </si>
  <si>
    <t>德微</t>
  </si>
  <si>
    <t>TW0003680005</t>
  </si>
  <si>
    <t>家登</t>
  </si>
  <si>
    <t>TW0003684007</t>
  </si>
  <si>
    <t>榮昌</t>
  </si>
  <si>
    <t>TW0003685004</t>
  </si>
  <si>
    <t>元創精密</t>
  </si>
  <si>
    <t>TW0003687000</t>
  </si>
  <si>
    <t>歐買尬</t>
  </si>
  <si>
    <t>TW0003689006</t>
  </si>
  <si>
    <t>湧德</t>
  </si>
  <si>
    <t>TW0003691002</t>
  </si>
  <si>
    <t>碩禾</t>
  </si>
  <si>
    <t>TW0003693008</t>
  </si>
  <si>
    <t>營邦</t>
  </si>
  <si>
    <t>TW0003707006</t>
  </si>
  <si>
    <t>漢磊</t>
  </si>
  <si>
    <t>TW0003709002</t>
  </si>
  <si>
    <t>鑫聯大投控</t>
  </si>
  <si>
    <t>TW0003710000</t>
  </si>
  <si>
    <t>連展投控</t>
  </si>
  <si>
    <t>TW0003713004</t>
  </si>
  <si>
    <t>新晶投控</t>
  </si>
  <si>
    <t>TW0004102009</t>
  </si>
  <si>
    <t>永日</t>
  </si>
  <si>
    <t>TW0004105002</t>
  </si>
  <si>
    <t>東洋</t>
  </si>
  <si>
    <t>TW0004107008</t>
  </si>
  <si>
    <t>邦特</t>
  </si>
  <si>
    <t>TW0004109004</t>
  </si>
  <si>
    <t>加捷生醫</t>
  </si>
  <si>
    <t>TW0004111000</t>
  </si>
  <si>
    <t>濟生</t>
  </si>
  <si>
    <t>TW0004113006</t>
  </si>
  <si>
    <t>聯上</t>
  </si>
  <si>
    <t>TW0004114004</t>
  </si>
  <si>
    <t>健喬</t>
  </si>
  <si>
    <t>TW0004116009</t>
  </si>
  <si>
    <t>明基醫</t>
  </si>
  <si>
    <t>TW0004120001</t>
  </si>
  <si>
    <t>友華</t>
  </si>
  <si>
    <t>TW0004121009</t>
  </si>
  <si>
    <t>優盛</t>
  </si>
  <si>
    <t>TW0004123005</t>
  </si>
  <si>
    <t>晟德</t>
  </si>
  <si>
    <t>TW0004126008</t>
  </si>
  <si>
    <t>太醫</t>
  </si>
  <si>
    <t>TW0004127006</t>
  </si>
  <si>
    <t>天良</t>
  </si>
  <si>
    <t>TW0004128004</t>
  </si>
  <si>
    <t>中天</t>
  </si>
  <si>
    <t>TW0004129002</t>
  </si>
  <si>
    <t>聯合</t>
  </si>
  <si>
    <t>TW0004130000</t>
  </si>
  <si>
    <t>健亞</t>
  </si>
  <si>
    <t>TW0004131008</t>
  </si>
  <si>
    <t>晶宇</t>
  </si>
  <si>
    <t>TW0004138003</t>
  </si>
  <si>
    <t>曜亞</t>
  </si>
  <si>
    <t>KYG5831M1087</t>
  </si>
  <si>
    <t>馬光-KY</t>
  </si>
  <si>
    <t>TW0004147004</t>
  </si>
  <si>
    <t>中裕</t>
  </si>
  <si>
    <t>TW0004152004</t>
  </si>
  <si>
    <t>台微體</t>
  </si>
  <si>
    <t>TW0004153002</t>
  </si>
  <si>
    <t>鈺緯</t>
  </si>
  <si>
    <t>KYG527551082</t>
  </si>
  <si>
    <t>康樂-KY</t>
  </si>
  <si>
    <t>KYG866171005</t>
  </si>
  <si>
    <t>太景*-KY</t>
  </si>
  <si>
    <t>TW0004160007</t>
  </si>
  <si>
    <t>創源</t>
  </si>
  <si>
    <t>TW0004161005</t>
  </si>
  <si>
    <t>聿新科</t>
  </si>
  <si>
    <t>TW0004162003</t>
  </si>
  <si>
    <t>智擎</t>
  </si>
  <si>
    <t>TW0004163001</t>
  </si>
  <si>
    <t>鐿鈦</t>
  </si>
  <si>
    <t>TW0004167002</t>
  </si>
  <si>
    <t>松瑞藥</t>
  </si>
  <si>
    <t>TW0004168000</t>
  </si>
  <si>
    <t>醣聯</t>
  </si>
  <si>
    <t>TW0004171004</t>
  </si>
  <si>
    <t>瑞基</t>
  </si>
  <si>
    <t>TW0004173000</t>
  </si>
  <si>
    <t>久裕</t>
  </si>
  <si>
    <t>TW0004174008</t>
  </si>
  <si>
    <t>浩鼎</t>
  </si>
  <si>
    <t>TW0004175005</t>
  </si>
  <si>
    <t>杏一</t>
  </si>
  <si>
    <t>TW0004183009</t>
  </si>
  <si>
    <t>福永生技</t>
  </si>
  <si>
    <t>TW0004188008</t>
  </si>
  <si>
    <t>安克</t>
  </si>
  <si>
    <t>TW0004192000</t>
  </si>
  <si>
    <t>杏國</t>
  </si>
  <si>
    <t>TW0004198007</t>
  </si>
  <si>
    <t>欣大健康</t>
  </si>
  <si>
    <t>TW0004205000</t>
  </si>
  <si>
    <t>中華食</t>
  </si>
  <si>
    <t>TW0004207006</t>
  </si>
  <si>
    <t>環泰</t>
  </si>
  <si>
    <t>TW0004303003</t>
  </si>
  <si>
    <t>信立</t>
  </si>
  <si>
    <t>TW0004304001</t>
  </si>
  <si>
    <t>勝昱</t>
  </si>
  <si>
    <t>TW0004305008</t>
  </si>
  <si>
    <t>世坤</t>
  </si>
  <si>
    <t>TW0004401005</t>
  </si>
  <si>
    <t>東隆興</t>
  </si>
  <si>
    <t>TW0004402003</t>
  </si>
  <si>
    <t>福大</t>
  </si>
  <si>
    <t>TW0004406004</t>
  </si>
  <si>
    <t>新昕纖</t>
  </si>
  <si>
    <t>TW0004413000</t>
  </si>
  <si>
    <t>飛寶企業</t>
  </si>
  <si>
    <t>TW0004416003</t>
  </si>
  <si>
    <t>三圓</t>
  </si>
  <si>
    <t>TW0004417001</t>
  </si>
  <si>
    <t>金洲</t>
  </si>
  <si>
    <t>TW0004419007</t>
  </si>
  <si>
    <t>元勝</t>
  </si>
  <si>
    <t>TW0004420005</t>
  </si>
  <si>
    <t>光明</t>
  </si>
  <si>
    <t>TW0004429006</t>
  </si>
  <si>
    <t>聚紡</t>
  </si>
  <si>
    <t>TW0004430004</t>
  </si>
  <si>
    <t>耀億</t>
  </si>
  <si>
    <t>TW0004432000</t>
  </si>
  <si>
    <t>銘旺實</t>
  </si>
  <si>
    <t>TW0004433008</t>
  </si>
  <si>
    <t>興采</t>
  </si>
  <si>
    <t>TW0004502000</t>
  </si>
  <si>
    <t>健信</t>
  </si>
  <si>
    <t>TW0004503008</t>
  </si>
  <si>
    <t>金雨</t>
  </si>
  <si>
    <t>TW0004506001</t>
  </si>
  <si>
    <t>崇友</t>
  </si>
  <si>
    <t>TW0004510003</t>
  </si>
  <si>
    <t>高鋒</t>
  </si>
  <si>
    <t>TW0004513007</t>
  </si>
  <si>
    <t>福裕</t>
  </si>
  <si>
    <t>TW0004523006</t>
  </si>
  <si>
    <t>永彰</t>
  </si>
  <si>
    <t>TW0004527007</t>
  </si>
  <si>
    <t>方土霖</t>
  </si>
  <si>
    <t>TW0004528005</t>
  </si>
  <si>
    <t>江興鍛</t>
  </si>
  <si>
    <t>TW0004529003</t>
  </si>
  <si>
    <t>淳紳</t>
  </si>
  <si>
    <t>TW0004530001</t>
  </si>
  <si>
    <t>宏易</t>
  </si>
  <si>
    <t>TW0004533005</t>
  </si>
  <si>
    <t>協易機</t>
  </si>
  <si>
    <t>TW0004534003</t>
  </si>
  <si>
    <t>慶騰</t>
  </si>
  <si>
    <t>TW0004535000</t>
  </si>
  <si>
    <t>至興</t>
  </si>
  <si>
    <t>TW0004538004</t>
  </si>
  <si>
    <t>大詠城</t>
  </si>
  <si>
    <t>TW0004541008</t>
  </si>
  <si>
    <t>晟田</t>
  </si>
  <si>
    <t>TW0004542006</t>
  </si>
  <si>
    <t>科嶠</t>
  </si>
  <si>
    <t>TW0004543004</t>
  </si>
  <si>
    <t>萬在</t>
  </si>
  <si>
    <t>TW0004549001</t>
  </si>
  <si>
    <t>桓達</t>
  </si>
  <si>
    <t>TW0004550009</t>
  </si>
  <si>
    <t>長佳</t>
  </si>
  <si>
    <t>TW0004554001</t>
  </si>
  <si>
    <t>橙的</t>
  </si>
  <si>
    <t>TW0004556006</t>
  </si>
  <si>
    <t>旭然</t>
  </si>
  <si>
    <t>TW0004561006</t>
  </si>
  <si>
    <t>健椿</t>
  </si>
  <si>
    <t>TW0004563002</t>
  </si>
  <si>
    <t>百德</t>
  </si>
  <si>
    <t>TW0004568001</t>
  </si>
  <si>
    <t>科際精密</t>
  </si>
  <si>
    <t>TW0004580006</t>
  </si>
  <si>
    <t>捷流閥業</t>
  </si>
  <si>
    <t>TW0004609003</t>
  </si>
  <si>
    <t>唐鋒</t>
  </si>
  <si>
    <t>TW0004702006</t>
  </si>
  <si>
    <t>中美實</t>
  </si>
  <si>
    <t>TW0004706007</t>
  </si>
  <si>
    <t>大恭</t>
  </si>
  <si>
    <t>TW0004707005</t>
  </si>
  <si>
    <t>磐亞</t>
  </si>
  <si>
    <t>TW0004711007</t>
  </si>
  <si>
    <t>永純</t>
  </si>
  <si>
    <t>TW0004712005</t>
  </si>
  <si>
    <t>南璋</t>
  </si>
  <si>
    <t>TW0004714001</t>
  </si>
  <si>
    <t>永捷</t>
  </si>
  <si>
    <t>TW0004716006</t>
  </si>
  <si>
    <t>大立</t>
  </si>
  <si>
    <t>TW0004721006</t>
  </si>
  <si>
    <t>美琪瑪</t>
  </si>
  <si>
    <t>TW0004726005</t>
  </si>
  <si>
    <t>永昕</t>
  </si>
  <si>
    <t>TW0004728001</t>
  </si>
  <si>
    <t>雙美</t>
  </si>
  <si>
    <t>TW0004729009</t>
  </si>
  <si>
    <t>熒茂</t>
  </si>
  <si>
    <t>TW0004735006</t>
  </si>
  <si>
    <t>豪展</t>
  </si>
  <si>
    <t>TW0004736004</t>
  </si>
  <si>
    <t>泰博</t>
  </si>
  <si>
    <t>TW0004741004</t>
  </si>
  <si>
    <t>泓瀚</t>
  </si>
  <si>
    <t>TW0004743000</t>
  </si>
  <si>
    <t>合一</t>
  </si>
  <si>
    <t>TW0004744008</t>
  </si>
  <si>
    <t>皇將</t>
  </si>
  <si>
    <t>KYG248111042</t>
  </si>
  <si>
    <t>合富-KY</t>
  </si>
  <si>
    <t>TW0004747001</t>
  </si>
  <si>
    <t>強生</t>
  </si>
  <si>
    <t>TW0004754007</t>
  </si>
  <si>
    <t>國碳科</t>
  </si>
  <si>
    <t>TW0004760004</t>
  </si>
  <si>
    <t>勤凱</t>
  </si>
  <si>
    <t>TW0004767009</t>
  </si>
  <si>
    <t>誠泰科技</t>
  </si>
  <si>
    <t>KYG9344G1038</t>
  </si>
  <si>
    <t>VHQ-KY</t>
  </si>
  <si>
    <t>KYG2646C1024</t>
  </si>
  <si>
    <t>大略-KY</t>
  </si>
  <si>
    <t>TW0004806005</t>
  </si>
  <si>
    <t>昇華</t>
  </si>
  <si>
    <t>TW0004903000</t>
  </si>
  <si>
    <t>聯光通</t>
  </si>
  <si>
    <t>TW0004905005</t>
  </si>
  <si>
    <t>台聯電</t>
  </si>
  <si>
    <t>TW0004907001</t>
  </si>
  <si>
    <t>富宇</t>
  </si>
  <si>
    <t>TW0004908009</t>
  </si>
  <si>
    <t>前鼎</t>
  </si>
  <si>
    <t>TW0004909007</t>
  </si>
  <si>
    <t>新復興</t>
  </si>
  <si>
    <t>TW0004911003</t>
  </si>
  <si>
    <t>德英</t>
  </si>
  <si>
    <t>KYG4642A1067</t>
  </si>
  <si>
    <t>欣厚-KY</t>
  </si>
  <si>
    <t>TW0004931001</t>
  </si>
  <si>
    <t>新盛力</t>
  </si>
  <si>
    <t>TW0004933007</t>
  </si>
  <si>
    <t>友輝</t>
  </si>
  <si>
    <t>TW0004939004</t>
  </si>
  <si>
    <t>亞電</t>
  </si>
  <si>
    <t>TW0004944004</t>
  </si>
  <si>
    <t>兆遠</t>
  </si>
  <si>
    <t>TW0004945001</t>
  </si>
  <si>
    <t>陞達科技</t>
  </si>
  <si>
    <t>TW0004946009</t>
  </si>
  <si>
    <t>辣椒</t>
  </si>
  <si>
    <t>TW0004950001</t>
  </si>
  <si>
    <t>牧東</t>
  </si>
  <si>
    <t>TW0004953005</t>
  </si>
  <si>
    <t>緯軟</t>
  </si>
  <si>
    <t>KYG6892A1085</t>
  </si>
  <si>
    <t>譜瑞-KY</t>
  </si>
  <si>
    <t>KYG480071011</t>
  </si>
  <si>
    <t>IET-KY</t>
  </si>
  <si>
    <t>TW0004972005</t>
  </si>
  <si>
    <t>湯石照明</t>
  </si>
  <si>
    <t>TW0004973003</t>
  </si>
  <si>
    <t>廣穎</t>
  </si>
  <si>
    <t>TW0004974001</t>
  </si>
  <si>
    <t>亞泰</t>
  </si>
  <si>
    <t>TW0004979000</t>
  </si>
  <si>
    <t>華星光</t>
  </si>
  <si>
    <t>TW0004987003</t>
  </si>
  <si>
    <t>科誠</t>
  </si>
  <si>
    <t>KYG377541019</t>
  </si>
  <si>
    <t>環宇-KY</t>
  </si>
  <si>
    <t>TW0004995006</t>
  </si>
  <si>
    <t>晶達</t>
  </si>
  <si>
    <t>TW0005009005</t>
  </si>
  <si>
    <t>榮剛</t>
  </si>
  <si>
    <t>TW0005011001</t>
  </si>
  <si>
    <t>久陽</t>
  </si>
  <si>
    <t>TW0005013007</t>
  </si>
  <si>
    <t>強新</t>
  </si>
  <si>
    <t>TW0005014005</t>
  </si>
  <si>
    <t>建錩</t>
  </si>
  <si>
    <t>TW0005015002</t>
  </si>
  <si>
    <t>華祺</t>
  </si>
  <si>
    <t>TW0005016000</t>
  </si>
  <si>
    <t>松和</t>
  </si>
  <si>
    <t>TW0005102008</t>
  </si>
  <si>
    <t>富強</t>
  </si>
  <si>
    <t>TW0005201008</t>
  </si>
  <si>
    <t>凱衛</t>
  </si>
  <si>
    <t>TW0005202006</t>
  </si>
  <si>
    <t>力新</t>
  </si>
  <si>
    <t>TW0005205009</t>
  </si>
  <si>
    <t>中茂</t>
  </si>
  <si>
    <t>TW0005206007</t>
  </si>
  <si>
    <t>坤悅</t>
  </si>
  <si>
    <t>TW0005209001</t>
  </si>
  <si>
    <t>新鼎</t>
  </si>
  <si>
    <t>TW0005210009</t>
  </si>
  <si>
    <t>寶碩</t>
  </si>
  <si>
    <t>TW0005211007</t>
  </si>
  <si>
    <t>蒙恬</t>
  </si>
  <si>
    <t>TW0005212005</t>
  </si>
  <si>
    <t>凌網</t>
  </si>
  <si>
    <t>TW0005213003</t>
  </si>
  <si>
    <t>亞昕</t>
  </si>
  <si>
    <t>TW0005220008</t>
  </si>
  <si>
    <t>萬達光電</t>
  </si>
  <si>
    <t>KYG0458G1047</t>
  </si>
  <si>
    <t>安力-KY</t>
  </si>
  <si>
    <t>KYG0100G1064</t>
  </si>
  <si>
    <t>立凱-KY</t>
  </si>
  <si>
    <t>TW0005230007</t>
  </si>
  <si>
    <t>雷笛克光學</t>
  </si>
  <si>
    <t>TW0005245005</t>
  </si>
  <si>
    <t>智晶</t>
  </si>
  <si>
    <t>TW0005251003</t>
  </si>
  <si>
    <t>天鉞電</t>
  </si>
  <si>
    <t>TW0005263008</t>
  </si>
  <si>
    <t>智崴</t>
  </si>
  <si>
    <t>TW0005272009</t>
  </si>
  <si>
    <t>笙科</t>
  </si>
  <si>
    <t>TW0005274005</t>
  </si>
  <si>
    <t>信驊</t>
  </si>
  <si>
    <t>KYG2743W1006</t>
  </si>
  <si>
    <t>達輝-KY</t>
  </si>
  <si>
    <t>TW0005278006</t>
  </si>
  <si>
    <t>尚凡</t>
  </si>
  <si>
    <t>KYG853901059</t>
  </si>
  <si>
    <t>大峽谷-KY</t>
  </si>
  <si>
    <t>TW0005287007</t>
  </si>
  <si>
    <t>數字</t>
  </si>
  <si>
    <t>TW0005289003</t>
  </si>
  <si>
    <t>宜鼎</t>
  </si>
  <si>
    <t>TW0005291009</t>
  </si>
  <si>
    <t>邑昇</t>
  </si>
  <si>
    <t>TW0005299002</t>
  </si>
  <si>
    <t>杰力</t>
  </si>
  <si>
    <t>TW0005301006</t>
  </si>
  <si>
    <t>寶得利</t>
  </si>
  <si>
    <t>TW0005302004</t>
  </si>
  <si>
    <t>太欣</t>
  </si>
  <si>
    <t>TW0005306005</t>
  </si>
  <si>
    <t>桂盟</t>
  </si>
  <si>
    <t>TW0005309009</t>
  </si>
  <si>
    <t>系統電</t>
  </si>
  <si>
    <t>TW0005310007</t>
  </si>
  <si>
    <t>天剛</t>
  </si>
  <si>
    <t>TW0005312003</t>
  </si>
  <si>
    <t>寶島科</t>
  </si>
  <si>
    <t>TW0005314009</t>
  </si>
  <si>
    <t>世紀</t>
  </si>
  <si>
    <t>TW0005315006</t>
  </si>
  <si>
    <t>光聯</t>
  </si>
  <si>
    <t>TW0005321004</t>
  </si>
  <si>
    <t>友銓</t>
  </si>
  <si>
    <t>TW0005324008</t>
  </si>
  <si>
    <t>士開</t>
  </si>
  <si>
    <t>TW0005328009</t>
  </si>
  <si>
    <t>華容</t>
  </si>
  <si>
    <t>TW0005340004</t>
  </si>
  <si>
    <t>建榮</t>
  </si>
  <si>
    <t>TW0005344006</t>
  </si>
  <si>
    <t>立衛</t>
  </si>
  <si>
    <t>TW0005345003</t>
  </si>
  <si>
    <t>天揚</t>
  </si>
  <si>
    <t>TW0005347009</t>
  </si>
  <si>
    <t>世界</t>
  </si>
  <si>
    <t>TW0005348007</t>
  </si>
  <si>
    <t>系通</t>
  </si>
  <si>
    <t>TW0005351001</t>
  </si>
  <si>
    <t>鈺創</t>
  </si>
  <si>
    <t>TW0005353007</t>
  </si>
  <si>
    <t>台林</t>
  </si>
  <si>
    <t>TW0005355002</t>
  </si>
  <si>
    <t>佳總</t>
  </si>
  <si>
    <t>TW0005356000</t>
  </si>
  <si>
    <t>協益</t>
  </si>
  <si>
    <t>TW0005364004</t>
  </si>
  <si>
    <t>力麗店</t>
  </si>
  <si>
    <t>TW0005371009</t>
  </si>
  <si>
    <t>中光電</t>
  </si>
  <si>
    <t>TW0005381008</t>
  </si>
  <si>
    <t>合正</t>
  </si>
  <si>
    <t>TW0005383004</t>
  </si>
  <si>
    <t>金利</t>
  </si>
  <si>
    <t>TW0005386007</t>
  </si>
  <si>
    <t>青雲</t>
  </si>
  <si>
    <t>TW0005392005</t>
  </si>
  <si>
    <t>應華</t>
  </si>
  <si>
    <t>TW0005398002</t>
  </si>
  <si>
    <t>慕康生醫</t>
  </si>
  <si>
    <t>TW0005403000</t>
  </si>
  <si>
    <t>中菲</t>
  </si>
  <si>
    <t>TW0005410005</t>
  </si>
  <si>
    <t>國眾</t>
  </si>
  <si>
    <t>TW0005425003</t>
  </si>
  <si>
    <t>台半</t>
  </si>
  <si>
    <t>TW0005426001</t>
  </si>
  <si>
    <t>振發</t>
  </si>
  <si>
    <t>TW0005432009</t>
  </si>
  <si>
    <t>達威</t>
  </si>
  <si>
    <t>TW0005438006</t>
  </si>
  <si>
    <t>東友</t>
  </si>
  <si>
    <t>TW0005439004</t>
  </si>
  <si>
    <t>高技</t>
  </si>
  <si>
    <t>TW0005443006</t>
  </si>
  <si>
    <t>均豪</t>
  </si>
  <si>
    <t>TW0005450001</t>
  </si>
  <si>
    <t>南良</t>
  </si>
  <si>
    <t>TW0005452007</t>
  </si>
  <si>
    <t>佶優</t>
  </si>
  <si>
    <t>TW0005455000</t>
  </si>
  <si>
    <t>昇益</t>
  </si>
  <si>
    <t>TW0005457006</t>
  </si>
  <si>
    <t>宣德</t>
  </si>
  <si>
    <t>TW0005460000</t>
  </si>
  <si>
    <t>同協</t>
  </si>
  <si>
    <t>TW0005464002</t>
  </si>
  <si>
    <t>霖宏</t>
  </si>
  <si>
    <t>TW0005465009</t>
  </si>
  <si>
    <t>富驊</t>
  </si>
  <si>
    <t>TW0005468003</t>
  </si>
  <si>
    <t>凱鈺</t>
  </si>
  <si>
    <t>TW0005474001</t>
  </si>
  <si>
    <t>聰泰</t>
  </si>
  <si>
    <t>TW0005475008</t>
  </si>
  <si>
    <t>德宏</t>
  </si>
  <si>
    <t>TW0005478002</t>
  </si>
  <si>
    <t>智冠</t>
  </si>
  <si>
    <t>TW0005481006</t>
  </si>
  <si>
    <t>新華</t>
  </si>
  <si>
    <t>TW0005483002</t>
  </si>
  <si>
    <t>中美晶</t>
  </si>
  <si>
    <t>TW0005487003</t>
  </si>
  <si>
    <t>通泰</t>
  </si>
  <si>
    <t>TW0005488001</t>
  </si>
  <si>
    <t>松普</t>
  </si>
  <si>
    <t>TW0005489009</t>
  </si>
  <si>
    <t>彩富</t>
  </si>
  <si>
    <t>TW0005490007</t>
  </si>
  <si>
    <t>同亨</t>
  </si>
  <si>
    <t>TW0005493001</t>
  </si>
  <si>
    <t>三聯</t>
  </si>
  <si>
    <t>TW0005498000</t>
  </si>
  <si>
    <t>凱崴</t>
  </si>
  <si>
    <t>TW0005508006</t>
  </si>
  <si>
    <t>永信建</t>
  </si>
  <si>
    <t>TW0005511000</t>
  </si>
  <si>
    <t>德昌</t>
  </si>
  <si>
    <t>TW0005512008</t>
  </si>
  <si>
    <t>力麒</t>
  </si>
  <si>
    <t>TW0005514004</t>
  </si>
  <si>
    <t>三豐</t>
  </si>
  <si>
    <t>TW0005516009</t>
  </si>
  <si>
    <t>雙喜</t>
  </si>
  <si>
    <t>TW0005520001</t>
  </si>
  <si>
    <t>力泰</t>
  </si>
  <si>
    <t>TW0005523005</t>
  </si>
  <si>
    <t>豐謙</t>
  </si>
  <si>
    <t>TW0005529002</t>
  </si>
  <si>
    <t>志嘉</t>
  </si>
  <si>
    <t>TW0005530000</t>
  </si>
  <si>
    <t>龍巖</t>
  </si>
  <si>
    <t>TW0005536007</t>
  </si>
  <si>
    <t>聖暉</t>
  </si>
  <si>
    <t>KYG1676E1035</t>
  </si>
  <si>
    <t>桓鼎-KY</t>
  </si>
  <si>
    <t>TW0005601009</t>
  </si>
  <si>
    <t>台聯櫃</t>
  </si>
  <si>
    <t>TW0005603005</t>
  </si>
  <si>
    <t>陸海</t>
  </si>
  <si>
    <t>TW0005604003</t>
  </si>
  <si>
    <t>中連貨</t>
  </si>
  <si>
    <t>TW0005609002</t>
  </si>
  <si>
    <t>中菲行</t>
  </si>
  <si>
    <t>TW0005701007</t>
  </si>
  <si>
    <t>劍湖山</t>
  </si>
  <si>
    <t>TW0005703003</t>
  </si>
  <si>
    <t>亞都</t>
  </si>
  <si>
    <t>TW0005704001</t>
  </si>
  <si>
    <t>老爺知</t>
  </si>
  <si>
    <t>TW0005820005</t>
  </si>
  <si>
    <t>日盛金</t>
  </si>
  <si>
    <t>TW0005864003</t>
  </si>
  <si>
    <t>致和證</t>
  </si>
  <si>
    <t>TW0005878003</t>
  </si>
  <si>
    <t>台名</t>
  </si>
  <si>
    <t>TW0005902001</t>
  </si>
  <si>
    <t>德記</t>
  </si>
  <si>
    <t>TW0005903009</t>
  </si>
  <si>
    <t>全家</t>
  </si>
  <si>
    <t>TW0005904007</t>
  </si>
  <si>
    <t>寶雅</t>
  </si>
  <si>
    <t>TW0005905004</t>
  </si>
  <si>
    <t>南仁湖</t>
  </si>
  <si>
    <t>TW0006015001</t>
  </si>
  <si>
    <t>宏遠證</t>
  </si>
  <si>
    <t>TW0006016009</t>
  </si>
  <si>
    <t>康和證</t>
  </si>
  <si>
    <t>TW0006020001</t>
  </si>
  <si>
    <t>大展證</t>
  </si>
  <si>
    <t>TW0006021009</t>
  </si>
  <si>
    <t>大慶證</t>
  </si>
  <si>
    <t>TW0006023005</t>
  </si>
  <si>
    <t>元大期</t>
  </si>
  <si>
    <t>TW0006026008</t>
  </si>
  <si>
    <t>福邦證</t>
  </si>
  <si>
    <t>TW0006101009</t>
  </si>
  <si>
    <t>寬魚國際</t>
  </si>
  <si>
    <t>TW0006103005</t>
  </si>
  <si>
    <t>合邦</t>
  </si>
  <si>
    <t>TW0006104003</t>
  </si>
  <si>
    <t>創惟</t>
  </si>
  <si>
    <t>TW0006109002</t>
  </si>
  <si>
    <t>亞元</t>
  </si>
  <si>
    <t>TW0006111008</t>
  </si>
  <si>
    <t>大宇資</t>
  </si>
  <si>
    <t>TW0006113004</t>
  </si>
  <si>
    <t>亞矽</t>
  </si>
  <si>
    <t>TW0006114002</t>
  </si>
  <si>
    <t>久威</t>
  </si>
  <si>
    <t>TW0006118003</t>
  </si>
  <si>
    <t>建達</t>
  </si>
  <si>
    <t>TW0006121007</t>
  </si>
  <si>
    <t>新普</t>
  </si>
  <si>
    <t>TW0006122005</t>
  </si>
  <si>
    <t>擎邦</t>
  </si>
  <si>
    <t>TW0006123003</t>
  </si>
  <si>
    <t>上奇</t>
  </si>
  <si>
    <t>TW0006124001</t>
  </si>
  <si>
    <t>業強</t>
  </si>
  <si>
    <t>TW0006125008</t>
  </si>
  <si>
    <t>廣運</t>
  </si>
  <si>
    <t>TW0006126006</t>
  </si>
  <si>
    <t>信音</t>
  </si>
  <si>
    <t>TW0006127004</t>
  </si>
  <si>
    <t>九豪</t>
  </si>
  <si>
    <t>TW0006129000</t>
  </si>
  <si>
    <t>普誠</t>
  </si>
  <si>
    <t>TW0006130008</t>
  </si>
  <si>
    <t>星寶國際</t>
  </si>
  <si>
    <t>TW0006134000</t>
  </si>
  <si>
    <t>萬旭</t>
  </si>
  <si>
    <t>TW0006138001</t>
  </si>
  <si>
    <t>茂達</t>
  </si>
  <si>
    <t>TW0006140007</t>
  </si>
  <si>
    <t>訊達</t>
  </si>
  <si>
    <t>TW0006143001</t>
  </si>
  <si>
    <t>振曜</t>
  </si>
  <si>
    <t>TW0006144009</t>
  </si>
  <si>
    <t>得利影</t>
  </si>
  <si>
    <t>TW0006146004</t>
  </si>
  <si>
    <t>耕興</t>
  </si>
  <si>
    <t>TW0006147002</t>
  </si>
  <si>
    <t>頎邦</t>
  </si>
  <si>
    <t>TW0006148000</t>
  </si>
  <si>
    <t>驊宏資</t>
  </si>
  <si>
    <t>TW0006150006</t>
  </si>
  <si>
    <t>撼訊</t>
  </si>
  <si>
    <t>TW0006151004</t>
  </si>
  <si>
    <t>晉倫</t>
  </si>
  <si>
    <t>TW0006154008</t>
  </si>
  <si>
    <t>順發</t>
  </si>
  <si>
    <t>TW0006156003</t>
  </si>
  <si>
    <t>松上</t>
  </si>
  <si>
    <t>TW0006158009</t>
  </si>
  <si>
    <t>禾昌</t>
  </si>
  <si>
    <t>TW0006160005</t>
  </si>
  <si>
    <t>欣技</t>
  </si>
  <si>
    <t>TW0006161003</t>
  </si>
  <si>
    <t>捷波</t>
  </si>
  <si>
    <t>TW0006163009</t>
  </si>
  <si>
    <t>華電網</t>
  </si>
  <si>
    <t>TW0006167000</t>
  </si>
  <si>
    <t>久正</t>
  </si>
  <si>
    <t>TW0006169006</t>
  </si>
  <si>
    <t>昱泉</t>
  </si>
  <si>
    <t>TW0006170004</t>
  </si>
  <si>
    <t>統振</t>
  </si>
  <si>
    <t>TW0006171002</t>
  </si>
  <si>
    <t>亞銳士</t>
  </si>
  <si>
    <t>TW0006173008</t>
  </si>
  <si>
    <t>信昌電</t>
  </si>
  <si>
    <t>TW0006174006</t>
  </si>
  <si>
    <t>安碁</t>
  </si>
  <si>
    <t>TW0006175003</t>
  </si>
  <si>
    <t>立敦</t>
  </si>
  <si>
    <t>TW0006179005</t>
  </si>
  <si>
    <t>亞通</t>
  </si>
  <si>
    <t>TW0006180003</t>
  </si>
  <si>
    <t>橘子</t>
  </si>
  <si>
    <t>TW0006182009</t>
  </si>
  <si>
    <t>合晶</t>
  </si>
  <si>
    <t>TW0006185002</t>
  </si>
  <si>
    <t>幃翔</t>
  </si>
  <si>
    <t>TW0006186000</t>
  </si>
  <si>
    <t>新潤</t>
  </si>
  <si>
    <t>TW0006187008</t>
  </si>
  <si>
    <t>萬潤</t>
  </si>
  <si>
    <t>TW0006188006</t>
  </si>
  <si>
    <t>廣明</t>
  </si>
  <si>
    <t>TW0006190002</t>
  </si>
  <si>
    <t>萬泰科</t>
  </si>
  <si>
    <t>TW0006194004</t>
  </si>
  <si>
    <t>育富</t>
  </si>
  <si>
    <t>TW0006195001</t>
  </si>
  <si>
    <t>詩肯</t>
  </si>
  <si>
    <t>TW0006198005</t>
  </si>
  <si>
    <t>凌泰</t>
  </si>
  <si>
    <t>TW0006199003</t>
  </si>
  <si>
    <t>天品</t>
  </si>
  <si>
    <t>TW0006203003</t>
  </si>
  <si>
    <t>海韻電</t>
  </si>
  <si>
    <t>TW0006204001</t>
  </si>
  <si>
    <t>艾華</t>
  </si>
  <si>
    <t>TW0006207004</t>
  </si>
  <si>
    <t>雷科</t>
  </si>
  <si>
    <t>TW0006208002</t>
  </si>
  <si>
    <t>日揚</t>
  </si>
  <si>
    <t>TW0006210008</t>
  </si>
  <si>
    <t>慶生</t>
  </si>
  <si>
    <t>TW0006212004</t>
  </si>
  <si>
    <t>理銘</t>
  </si>
  <si>
    <t>TW0006217003</t>
  </si>
  <si>
    <t>中探針</t>
  </si>
  <si>
    <t>TW0006218001</t>
  </si>
  <si>
    <t>豪勉</t>
  </si>
  <si>
    <t>TW0006219009</t>
  </si>
  <si>
    <t>富旺</t>
  </si>
  <si>
    <t>TW0006220007</t>
  </si>
  <si>
    <t>岳豐</t>
  </si>
  <si>
    <t>TW0006221005</t>
  </si>
  <si>
    <t>晉泰</t>
  </si>
  <si>
    <t>TW0006222003</t>
  </si>
  <si>
    <t>上揚</t>
  </si>
  <si>
    <t>TW0006223001</t>
  </si>
  <si>
    <t>旺矽</t>
  </si>
  <si>
    <t>TW0006227002</t>
  </si>
  <si>
    <t>茂綸</t>
  </si>
  <si>
    <t>TW0006228000</t>
  </si>
  <si>
    <t>全譜</t>
  </si>
  <si>
    <t>TW0006229008</t>
  </si>
  <si>
    <t>研通</t>
  </si>
  <si>
    <t>TW0006231004</t>
  </si>
  <si>
    <t>系微</t>
  </si>
  <si>
    <t>TW0006233000</t>
  </si>
  <si>
    <t>旺玖</t>
  </si>
  <si>
    <t>TW0006234008</t>
  </si>
  <si>
    <t>高僑</t>
  </si>
  <si>
    <t>TW0006236003</t>
  </si>
  <si>
    <t>康呈</t>
  </si>
  <si>
    <t>TW0006237001</t>
  </si>
  <si>
    <t>驊訊</t>
  </si>
  <si>
    <t>TW0006240005</t>
  </si>
  <si>
    <t>松崗</t>
  </si>
  <si>
    <t>TW0006241003</t>
  </si>
  <si>
    <t>易通展</t>
  </si>
  <si>
    <t>TW0006242001</t>
  </si>
  <si>
    <t>立康</t>
  </si>
  <si>
    <t>TW0006244007</t>
  </si>
  <si>
    <t>茂迪</t>
  </si>
  <si>
    <t>TW0006245004</t>
  </si>
  <si>
    <t>立端</t>
  </si>
  <si>
    <t>TW0006246002</t>
  </si>
  <si>
    <t>臺龍</t>
  </si>
  <si>
    <t>TW0006247000</t>
  </si>
  <si>
    <t>淇譽電</t>
  </si>
  <si>
    <t>TW0006248008</t>
  </si>
  <si>
    <t>沛波</t>
  </si>
  <si>
    <t>TW0006259005</t>
  </si>
  <si>
    <t>百徽</t>
  </si>
  <si>
    <t>TW0006261001</t>
  </si>
  <si>
    <t>久元</t>
  </si>
  <si>
    <t>TW0006263007</t>
  </si>
  <si>
    <t>普萊德</t>
  </si>
  <si>
    <t>TW0006264005</t>
  </si>
  <si>
    <t>富裔</t>
  </si>
  <si>
    <t>TW0006265002</t>
  </si>
  <si>
    <t>方土昶</t>
  </si>
  <si>
    <t>TW0006266000</t>
  </si>
  <si>
    <t>泰詠</t>
  </si>
  <si>
    <t>TW0006270002</t>
  </si>
  <si>
    <t>倍微</t>
  </si>
  <si>
    <t>TW0006274004</t>
  </si>
  <si>
    <t>台燿</t>
  </si>
  <si>
    <t>TW0006275001</t>
  </si>
  <si>
    <t>元山</t>
  </si>
  <si>
    <t>TW0006276009</t>
  </si>
  <si>
    <t>安鈦克</t>
  </si>
  <si>
    <t>TW0006279003</t>
  </si>
  <si>
    <t>胡連</t>
  </si>
  <si>
    <t>TW0006284003</t>
  </si>
  <si>
    <t>佳邦</t>
  </si>
  <si>
    <t>TW0006287006</t>
  </si>
  <si>
    <t>元隆</t>
  </si>
  <si>
    <t>TW0006290000</t>
  </si>
  <si>
    <t>良維</t>
  </si>
  <si>
    <t>TW0006291008</t>
  </si>
  <si>
    <t>沛亨</t>
  </si>
  <si>
    <t>TW0006292006</t>
  </si>
  <si>
    <t>迅德</t>
  </si>
  <si>
    <t>TW0006294002</t>
  </si>
  <si>
    <t>智基</t>
  </si>
  <si>
    <t>KYG211281061</t>
  </si>
  <si>
    <t>通訊-KY</t>
  </si>
  <si>
    <t>TW0006411002</t>
  </si>
  <si>
    <t>晶焱</t>
  </si>
  <si>
    <t>TW0006417009</t>
  </si>
  <si>
    <t>韋僑</t>
  </si>
  <si>
    <t>TW0006418007</t>
  </si>
  <si>
    <t>詠昇</t>
  </si>
  <si>
    <t>TW0006419005</t>
  </si>
  <si>
    <t>京晨科</t>
  </si>
  <si>
    <t>TW0006425002</t>
  </si>
  <si>
    <t>易發</t>
  </si>
  <si>
    <t>TW0006432008</t>
  </si>
  <si>
    <t>今展科</t>
  </si>
  <si>
    <t>TW0006435001</t>
  </si>
  <si>
    <t>大中</t>
  </si>
  <si>
    <t>TW0006441009</t>
  </si>
  <si>
    <t>廣錠</t>
  </si>
  <si>
    <t>TW0006446008</t>
  </si>
  <si>
    <t>藥華藥</t>
  </si>
  <si>
    <t>TW0006457005</t>
  </si>
  <si>
    <t>紘康</t>
  </si>
  <si>
    <t>TW0006461007</t>
  </si>
  <si>
    <t>益得</t>
  </si>
  <si>
    <t>TW0006462005</t>
  </si>
  <si>
    <t>神盾</t>
  </si>
  <si>
    <t>TW0006465008</t>
  </si>
  <si>
    <t>威潤</t>
  </si>
  <si>
    <t>TW0006469000</t>
  </si>
  <si>
    <t>大樹</t>
  </si>
  <si>
    <t>TW0006470008</t>
  </si>
  <si>
    <t>宇智</t>
  </si>
  <si>
    <t>TW0006472004</t>
  </si>
  <si>
    <t>保瑞</t>
  </si>
  <si>
    <t>TW0006482003</t>
  </si>
  <si>
    <t>弘煜科</t>
  </si>
  <si>
    <t>TW0006485006</t>
  </si>
  <si>
    <t>點序</t>
  </si>
  <si>
    <t>TW0006486004</t>
  </si>
  <si>
    <t>互動</t>
  </si>
  <si>
    <t>TW0006488000</t>
  </si>
  <si>
    <t>環球晶</t>
  </si>
  <si>
    <t>TW0006492002</t>
  </si>
  <si>
    <t>生華科</t>
  </si>
  <si>
    <t>TW0006494008</t>
  </si>
  <si>
    <t>九齊</t>
  </si>
  <si>
    <t>TW0006496003</t>
  </si>
  <si>
    <t>科懋</t>
  </si>
  <si>
    <t>TW0006499007</t>
  </si>
  <si>
    <t>益安</t>
  </si>
  <si>
    <t>TW0006506009</t>
  </si>
  <si>
    <t>雙邦</t>
  </si>
  <si>
    <t>TW0006508005</t>
  </si>
  <si>
    <t>惠光</t>
  </si>
  <si>
    <t>TW0006509003</t>
  </si>
  <si>
    <t>聚和</t>
  </si>
  <si>
    <t>TW0006510001</t>
  </si>
  <si>
    <t>精測</t>
  </si>
  <si>
    <t>TW0006512007</t>
  </si>
  <si>
    <t>啟發電</t>
  </si>
  <si>
    <t>KYG734231080</t>
  </si>
  <si>
    <t>芮特-KY</t>
  </si>
  <si>
    <t>TW0006516008</t>
  </si>
  <si>
    <t>勤崴國際</t>
  </si>
  <si>
    <t>TW0006523004</t>
  </si>
  <si>
    <t>達爾膚</t>
  </si>
  <si>
    <t>TW0006527005</t>
  </si>
  <si>
    <t>明達醫</t>
  </si>
  <si>
    <t>TW0006530009</t>
  </si>
  <si>
    <t>創威</t>
  </si>
  <si>
    <t>TW0006532005</t>
  </si>
  <si>
    <t>瑞耘</t>
  </si>
  <si>
    <t>TW0006535008</t>
  </si>
  <si>
    <t>順藥</t>
  </si>
  <si>
    <t>TW0006538002</t>
  </si>
  <si>
    <t>倉和</t>
  </si>
  <si>
    <t>TW0006542004</t>
  </si>
  <si>
    <t>隆中</t>
  </si>
  <si>
    <t>TW0006547003</t>
  </si>
  <si>
    <t>高端疫苗</t>
  </si>
  <si>
    <t>TW0006548001</t>
  </si>
  <si>
    <t>長科*</t>
  </si>
  <si>
    <t>TW0006556004</t>
  </si>
  <si>
    <t>勝品</t>
  </si>
  <si>
    <t>TW0006560006</t>
  </si>
  <si>
    <t>欣普羅</t>
  </si>
  <si>
    <t>TW0006561004</t>
  </si>
  <si>
    <t>是方</t>
  </si>
  <si>
    <t>TW0006568009</t>
  </si>
  <si>
    <t>宏觀</t>
  </si>
  <si>
    <t>TW0006569007</t>
  </si>
  <si>
    <t>醫揚</t>
  </si>
  <si>
    <t>TW0006570005</t>
  </si>
  <si>
    <t>維田</t>
  </si>
  <si>
    <t>TW0006574007</t>
  </si>
  <si>
    <t>霈方</t>
  </si>
  <si>
    <t>TW0006576002</t>
  </si>
  <si>
    <t>逸達</t>
  </si>
  <si>
    <t>TW0006577000</t>
  </si>
  <si>
    <t>勁豐</t>
  </si>
  <si>
    <t>TW0006578008</t>
  </si>
  <si>
    <t>達邦蛋白</t>
  </si>
  <si>
    <t>TW0006588007</t>
  </si>
  <si>
    <t>東典光電</t>
  </si>
  <si>
    <t>TW0006589005</t>
  </si>
  <si>
    <t>台康生技</t>
  </si>
  <si>
    <t>TW0006590003</t>
  </si>
  <si>
    <t>普鴻</t>
  </si>
  <si>
    <t>TW0006593007</t>
  </si>
  <si>
    <t>台灣銘板</t>
  </si>
  <si>
    <t>TW0006594005</t>
  </si>
  <si>
    <t>展匯科</t>
  </si>
  <si>
    <t>TW0006596000</t>
  </si>
  <si>
    <t>寬宏藝術</t>
  </si>
  <si>
    <t>TW0006603004</t>
  </si>
  <si>
    <t>富強鑫</t>
  </si>
  <si>
    <t>TW0006609001</t>
  </si>
  <si>
    <t>瀧澤科</t>
  </si>
  <si>
    <t>TW0006612005</t>
  </si>
  <si>
    <t>奈米醫材</t>
  </si>
  <si>
    <t>TW0006613003</t>
  </si>
  <si>
    <t>朋億</t>
  </si>
  <si>
    <t>TW0006615008</t>
  </si>
  <si>
    <t>慧智</t>
  </si>
  <si>
    <t>KYG870931030</t>
  </si>
  <si>
    <t>特昇-KY</t>
  </si>
  <si>
    <t>TW0006624000</t>
  </si>
  <si>
    <t>萬年清</t>
  </si>
  <si>
    <t>KYG877791072</t>
  </si>
  <si>
    <t>泰金-KY</t>
  </si>
  <si>
    <t>TW0006640006</t>
  </si>
  <si>
    <t>均華</t>
  </si>
  <si>
    <t>TW0006642002</t>
  </si>
  <si>
    <t>富致</t>
  </si>
  <si>
    <t>TW0006643000</t>
  </si>
  <si>
    <t>M31</t>
  </si>
  <si>
    <t>TW0006649007</t>
  </si>
  <si>
    <t>台生材</t>
  </si>
  <si>
    <t>TW0006651003</t>
  </si>
  <si>
    <t>全宇昕</t>
  </si>
  <si>
    <t>TW0006654007</t>
  </si>
  <si>
    <t>天正國際</t>
  </si>
  <si>
    <t>TW0006661002</t>
  </si>
  <si>
    <t>威健生技</t>
  </si>
  <si>
    <t>TW0006662000</t>
  </si>
  <si>
    <t>樂斯科</t>
  </si>
  <si>
    <t>TW0006664006</t>
  </si>
  <si>
    <t>群翊</t>
  </si>
  <si>
    <t>TW0006667009</t>
  </si>
  <si>
    <t>信紘科</t>
  </si>
  <si>
    <t>TW0006679004</t>
  </si>
  <si>
    <t>鈺太</t>
  </si>
  <si>
    <t>TW0006680002</t>
  </si>
  <si>
    <t>鑫創電子</t>
  </si>
  <si>
    <t>TW0006683006</t>
  </si>
  <si>
    <t>雍智科技</t>
  </si>
  <si>
    <t>TW0006690001</t>
  </si>
  <si>
    <t>安碁資訊</t>
  </si>
  <si>
    <t>TW0006697006</t>
  </si>
  <si>
    <t>東捷資訊</t>
  </si>
  <si>
    <t>TW0006703002</t>
  </si>
  <si>
    <t>軒郁</t>
  </si>
  <si>
    <t>TW0006712003</t>
  </si>
  <si>
    <t>長聖</t>
  </si>
  <si>
    <t>TW0006716004</t>
  </si>
  <si>
    <t>應廣</t>
  </si>
  <si>
    <t>TW0006727001</t>
  </si>
  <si>
    <t>亞泰金屬</t>
  </si>
  <si>
    <t>TW0006728009</t>
  </si>
  <si>
    <t>上洋</t>
  </si>
  <si>
    <t>TW0006732001</t>
  </si>
  <si>
    <t>昇佳電子</t>
  </si>
  <si>
    <t>TW0006733009</t>
  </si>
  <si>
    <t>博晟生醫</t>
  </si>
  <si>
    <t>KYG6525T1022</t>
  </si>
  <si>
    <t>91APP*-KY</t>
  </si>
  <si>
    <t>TW0006747009</t>
  </si>
  <si>
    <t>亨泰光</t>
  </si>
  <si>
    <t>TW0006751001</t>
  </si>
  <si>
    <t>智聯服務</t>
  </si>
  <si>
    <t>TW0006752009</t>
  </si>
  <si>
    <t>叡揚</t>
  </si>
  <si>
    <t>TW0006762008</t>
  </si>
  <si>
    <t>達亞</t>
  </si>
  <si>
    <t>TW0006767007</t>
  </si>
  <si>
    <t>台微醫</t>
  </si>
  <si>
    <t>TW0006803000</t>
  </si>
  <si>
    <t>崑鼎</t>
  </si>
  <si>
    <t>TW0007402000</t>
  </si>
  <si>
    <t>邑錡</t>
  </si>
  <si>
    <t>TW0007556B10</t>
  </si>
  <si>
    <t>意德士</t>
  </si>
  <si>
    <t>TW0008024001</t>
  </si>
  <si>
    <t>佑華</t>
  </si>
  <si>
    <t>TW0008027004</t>
  </si>
  <si>
    <t>鈦昇</t>
  </si>
  <si>
    <t>TW0008032004</t>
  </si>
  <si>
    <t>光菱</t>
  </si>
  <si>
    <t>TW0008034000</t>
  </si>
  <si>
    <t>榮群</t>
  </si>
  <si>
    <t>TW0008038001</t>
  </si>
  <si>
    <t>長園科</t>
  </si>
  <si>
    <t>TW0008040007</t>
  </si>
  <si>
    <t>九暘</t>
  </si>
  <si>
    <t>TW0008042003</t>
  </si>
  <si>
    <t>金山電</t>
  </si>
  <si>
    <t>TW0008043001</t>
  </si>
  <si>
    <t>蜜望實</t>
  </si>
  <si>
    <t>TW0008044009</t>
  </si>
  <si>
    <t>網家</t>
  </si>
  <si>
    <t>TW0008047002</t>
  </si>
  <si>
    <t>星雲</t>
  </si>
  <si>
    <t>TW0008048000</t>
  </si>
  <si>
    <t>德勝</t>
  </si>
  <si>
    <t>TW0008049008</t>
  </si>
  <si>
    <t>晶采</t>
  </si>
  <si>
    <t>TW0008050006</t>
  </si>
  <si>
    <t>廣積</t>
  </si>
  <si>
    <t>TW0008054008</t>
  </si>
  <si>
    <t>安國</t>
  </si>
  <si>
    <t>TW0008059007</t>
  </si>
  <si>
    <t>凱碩</t>
  </si>
  <si>
    <t>TW0008064007</t>
  </si>
  <si>
    <t>東捷</t>
  </si>
  <si>
    <t>TW0008066002</t>
  </si>
  <si>
    <t>來思達</t>
  </si>
  <si>
    <t>TW0008067000</t>
  </si>
  <si>
    <t>志旭</t>
  </si>
  <si>
    <t>TW0008068008</t>
  </si>
  <si>
    <t>全達</t>
  </si>
  <si>
    <t>TW0008069006</t>
  </si>
  <si>
    <t>元太</t>
  </si>
  <si>
    <t>TW0008071002</t>
  </si>
  <si>
    <t>能率網通</t>
  </si>
  <si>
    <t>TW0008074006</t>
  </si>
  <si>
    <t>鉅橡</t>
  </si>
  <si>
    <t>TW0008076001</t>
  </si>
  <si>
    <t>伍豐</t>
  </si>
  <si>
    <t>TW0008077009</t>
  </si>
  <si>
    <t>洛碁</t>
  </si>
  <si>
    <t>TW0008080003</t>
  </si>
  <si>
    <t>永利聯合</t>
  </si>
  <si>
    <t>TW0008083007</t>
  </si>
  <si>
    <t>瑞穎</t>
  </si>
  <si>
    <t>TW0008084005</t>
  </si>
  <si>
    <t>巨虹</t>
  </si>
  <si>
    <t>TW0008085002</t>
  </si>
  <si>
    <t>福華</t>
  </si>
  <si>
    <t>TW0008086000</t>
  </si>
  <si>
    <t>宏捷科</t>
  </si>
  <si>
    <t>TW0008087008</t>
  </si>
  <si>
    <t>華鎂鑫</t>
  </si>
  <si>
    <t>TW0008088006</t>
  </si>
  <si>
    <t>品安</t>
  </si>
  <si>
    <t>TW0008089004</t>
  </si>
  <si>
    <t>康全電訊</t>
  </si>
  <si>
    <t>TW0008091000</t>
  </si>
  <si>
    <t>翔名</t>
  </si>
  <si>
    <t>TW0008092008</t>
  </si>
  <si>
    <t>建暐</t>
  </si>
  <si>
    <t>TW0008093006</t>
  </si>
  <si>
    <t>保銳</t>
  </si>
  <si>
    <t>TW0008096009</t>
  </si>
  <si>
    <t>擎亞</t>
  </si>
  <si>
    <t>TW0008097007</t>
  </si>
  <si>
    <t>常珵</t>
  </si>
  <si>
    <t>TW0008099003</t>
  </si>
  <si>
    <t>大世科</t>
  </si>
  <si>
    <t>TW0008107004</t>
  </si>
  <si>
    <t>大億金茂</t>
  </si>
  <si>
    <t>TW0008109000</t>
  </si>
  <si>
    <t>博大</t>
  </si>
  <si>
    <t>TW0008111006</t>
  </si>
  <si>
    <t>立碁</t>
  </si>
  <si>
    <t>TW0008121005</t>
  </si>
  <si>
    <t>越峰</t>
  </si>
  <si>
    <t>TW0008147000</t>
  </si>
  <si>
    <t>正淩</t>
  </si>
  <si>
    <t>TW0008155003</t>
  </si>
  <si>
    <t>博智</t>
  </si>
  <si>
    <t>TW0008171000</t>
  </si>
  <si>
    <t>天宇</t>
  </si>
  <si>
    <t>TW0008176009</t>
  </si>
  <si>
    <t>智捷</t>
  </si>
  <si>
    <t>TW0008182007</t>
  </si>
  <si>
    <t>加高</t>
  </si>
  <si>
    <t>TW0008183005</t>
  </si>
  <si>
    <t>精星</t>
  </si>
  <si>
    <t>TW0008234006</t>
  </si>
  <si>
    <t>新漢</t>
  </si>
  <si>
    <t>TW0008240003</t>
  </si>
  <si>
    <t>華宏</t>
  </si>
  <si>
    <t>TW0008255001</t>
  </si>
  <si>
    <t>朋程</t>
  </si>
  <si>
    <t>TW0008277005</t>
  </si>
  <si>
    <t>商丞</t>
  </si>
  <si>
    <t>TW0008279001</t>
  </si>
  <si>
    <t>生展</t>
  </si>
  <si>
    <t>TW0008284001</t>
  </si>
  <si>
    <t>三竹</t>
  </si>
  <si>
    <t>TW0008289000</t>
  </si>
  <si>
    <t>泰藝</t>
  </si>
  <si>
    <t>TW0008291006</t>
  </si>
  <si>
    <t>尚茂</t>
  </si>
  <si>
    <t>TW0008299009</t>
  </si>
  <si>
    <t>群聯</t>
  </si>
  <si>
    <t>TW0008342007</t>
  </si>
  <si>
    <t>益張</t>
  </si>
  <si>
    <t>TW0008349002</t>
  </si>
  <si>
    <t>恒耀</t>
  </si>
  <si>
    <t>TW0008354002</t>
  </si>
  <si>
    <t>冠好</t>
  </si>
  <si>
    <t>TW0008358003</t>
  </si>
  <si>
    <t>金居</t>
  </si>
  <si>
    <t>TW0008383001</t>
  </si>
  <si>
    <t>千附</t>
  </si>
  <si>
    <t>TW0008390006</t>
  </si>
  <si>
    <t>金益鼎</t>
  </si>
  <si>
    <t>TW0008401001</t>
  </si>
  <si>
    <t>白紗科</t>
  </si>
  <si>
    <t>TW0008403007</t>
  </si>
  <si>
    <t>盛弘</t>
  </si>
  <si>
    <t>KYG390101064</t>
  </si>
  <si>
    <t>金可-KY</t>
  </si>
  <si>
    <t>TW0008409004</t>
  </si>
  <si>
    <t>商之器</t>
  </si>
  <si>
    <t>TW0008410002</t>
  </si>
  <si>
    <t>森田</t>
  </si>
  <si>
    <t>TW0008415001</t>
  </si>
  <si>
    <t>大國鋼</t>
  </si>
  <si>
    <t>TW0008416009</t>
  </si>
  <si>
    <t>實威</t>
  </si>
  <si>
    <t>KYG520981039</t>
  </si>
  <si>
    <t>捷必勝-KY</t>
  </si>
  <si>
    <t>TW0008420001</t>
  </si>
  <si>
    <t>明揚</t>
  </si>
  <si>
    <t>TW0008421009</t>
  </si>
  <si>
    <t>旭源</t>
  </si>
  <si>
    <t>KYG715991074</t>
  </si>
  <si>
    <t>保綠-KY</t>
  </si>
  <si>
    <t>TW0008424003</t>
  </si>
  <si>
    <t>惠普</t>
  </si>
  <si>
    <t>KYG7457N1051</t>
  </si>
  <si>
    <t>紅木-KY</t>
  </si>
  <si>
    <t>TW0008431008</t>
  </si>
  <si>
    <t>匯鑽科</t>
  </si>
  <si>
    <t>TW0008432006</t>
  </si>
  <si>
    <t>東生華</t>
  </si>
  <si>
    <t>TW0008433004</t>
  </si>
  <si>
    <t>弘帆</t>
  </si>
  <si>
    <t>TW0008435009</t>
  </si>
  <si>
    <t>鉅邁</t>
  </si>
  <si>
    <t>TW0008436007</t>
  </si>
  <si>
    <t>大江</t>
  </si>
  <si>
    <t>KYG2615N1051</t>
  </si>
  <si>
    <t>大地-KY</t>
  </si>
  <si>
    <t>TW0008440009</t>
  </si>
  <si>
    <t>綠電</t>
  </si>
  <si>
    <t>KYG409691006</t>
  </si>
  <si>
    <t>綠河-KY</t>
  </si>
  <si>
    <t>TW0008446006</t>
  </si>
  <si>
    <t>華研</t>
  </si>
  <si>
    <t>TW0008450008</t>
  </si>
  <si>
    <t>霹靂</t>
  </si>
  <si>
    <t>KYG264101034</t>
  </si>
  <si>
    <t>大拓-KY</t>
  </si>
  <si>
    <t>TW0008472002</t>
  </si>
  <si>
    <t>夠麻吉</t>
  </si>
  <si>
    <t>TW0008476003</t>
  </si>
  <si>
    <t>台境</t>
  </si>
  <si>
    <t>TW0008477001</t>
  </si>
  <si>
    <t>創業家</t>
  </si>
  <si>
    <t>TW0008489006</t>
  </si>
  <si>
    <t>三貝德</t>
  </si>
  <si>
    <t>TW0008905001</t>
  </si>
  <si>
    <t>裕國</t>
  </si>
  <si>
    <t>TW0008906009</t>
  </si>
  <si>
    <t>花王</t>
  </si>
  <si>
    <t>TW0008908005</t>
  </si>
  <si>
    <t>欣雄</t>
  </si>
  <si>
    <t>TW0008916008</t>
  </si>
  <si>
    <t>光隆</t>
  </si>
  <si>
    <t>TW0008917006</t>
  </si>
  <si>
    <t>欣泰</t>
  </si>
  <si>
    <t>TW0008921008</t>
  </si>
  <si>
    <t>沈氏</t>
  </si>
  <si>
    <t>TW0008923004</t>
  </si>
  <si>
    <t>時報</t>
  </si>
  <si>
    <t>TW0008924002</t>
  </si>
  <si>
    <t>大田</t>
  </si>
  <si>
    <t>TW0008927005</t>
  </si>
  <si>
    <t>北基</t>
  </si>
  <si>
    <t>TW0008928003</t>
  </si>
  <si>
    <t>鉅明</t>
  </si>
  <si>
    <t>TW0008929001</t>
  </si>
  <si>
    <t>富堡</t>
  </si>
  <si>
    <t>TW0008930009</t>
  </si>
  <si>
    <t>青鋼</t>
  </si>
  <si>
    <t>TW0008931007</t>
  </si>
  <si>
    <t>大汽電</t>
  </si>
  <si>
    <t>TW0008932005</t>
  </si>
  <si>
    <t>宏大</t>
  </si>
  <si>
    <t>TW0008933003</t>
  </si>
  <si>
    <t>愛地雅</t>
  </si>
  <si>
    <t>TW0008935008</t>
  </si>
  <si>
    <t>邦泰</t>
  </si>
  <si>
    <t>TW0008936006</t>
  </si>
  <si>
    <t>國統</t>
  </si>
  <si>
    <t>TW0008937004</t>
  </si>
  <si>
    <t>合騏</t>
  </si>
  <si>
    <t>TW0008938002</t>
  </si>
  <si>
    <t>明安</t>
  </si>
  <si>
    <t>TW0008941006</t>
  </si>
  <si>
    <t>關中</t>
  </si>
  <si>
    <t>TW0008942004</t>
  </si>
  <si>
    <t>森鉅</t>
  </si>
  <si>
    <t>TW0009949008</t>
  </si>
  <si>
    <t>琉園</t>
  </si>
  <si>
    <t>TW0009950006</t>
  </si>
  <si>
    <t>萬國通</t>
  </si>
  <si>
    <t>TW0009951004</t>
  </si>
  <si>
    <t>皇田</t>
  </si>
  <si>
    <t>TW0009960005</t>
  </si>
  <si>
    <t>邁達康</t>
  </si>
  <si>
    <t>TW0009962001</t>
  </si>
  <si>
    <t>有益</t>
  </si>
  <si>
    <t>財務比率季表</t>
    <phoneticPr fontId="3" type="noConversion"/>
  </si>
  <si>
    <t>現金流量表</t>
    <phoneticPr fontId="3" type="noConversion"/>
  </si>
  <si>
    <t>月營收</t>
    <phoneticPr fontId="3" type="noConversion"/>
  </si>
  <si>
    <t>年/月</t>
  </si>
  <si>
    <t>營收</t>
  </si>
  <si>
    <t>月增率</t>
  </si>
  <si>
    <t>去年同期</t>
  </si>
  <si>
    <t>年增率</t>
  </si>
  <si>
    <t>累計營收</t>
  </si>
  <si>
    <t>110/06</t>
  </si>
  <si>
    <t>110/05</t>
  </si>
  <si>
    <t>110/04</t>
  </si>
  <si>
    <t>110/03</t>
  </si>
  <si>
    <t>110/02</t>
  </si>
  <si>
    <t>110/01</t>
  </si>
  <si>
    <t>109/12</t>
  </si>
  <si>
    <t>109/11</t>
  </si>
  <si>
    <t>109/10</t>
  </si>
  <si>
    <t>109/09</t>
  </si>
  <si>
    <t>109/08</t>
  </si>
  <si>
    <t>109/07</t>
  </si>
  <si>
    <t>109/06</t>
  </si>
  <si>
    <t>109/05</t>
  </si>
  <si>
    <t>109/04</t>
  </si>
  <si>
    <t>109/03</t>
  </si>
  <si>
    <t>109/02</t>
  </si>
  <si>
    <t>109/01</t>
  </si>
  <si>
    <t>108/12</t>
  </si>
  <si>
    <t>108/11</t>
  </si>
  <si>
    <t>108/10</t>
  </si>
  <si>
    <t>108/09</t>
  </si>
  <si>
    <t>108/08</t>
  </si>
  <si>
    <t>108/07</t>
  </si>
  <si>
    <t>108/06</t>
  </si>
  <si>
    <t>108/05</t>
  </si>
  <si>
    <t>108/04</t>
  </si>
  <si>
    <t>108/03</t>
  </si>
  <si>
    <t>108/02</t>
  </si>
  <si>
    <t>108/01</t>
  </si>
  <si>
    <t>107/12</t>
  </si>
  <si>
    <t>107/11</t>
  </si>
  <si>
    <t>107/10</t>
  </si>
  <si>
    <t>107/09</t>
  </si>
  <si>
    <t>107/08</t>
  </si>
  <si>
    <t>107/07</t>
  </si>
  <si>
    <t>107/06</t>
  </si>
  <si>
    <t>107/05</t>
  </si>
  <si>
    <t>107/04</t>
  </si>
  <si>
    <t>107/03</t>
  </si>
  <si>
    <t>107/02</t>
  </si>
  <si>
    <t>107/01</t>
  </si>
  <si>
    <t>106/12</t>
  </si>
  <si>
    <t>106/11</t>
  </si>
  <si>
    <t>106/10</t>
  </si>
  <si>
    <t>106/09</t>
  </si>
  <si>
    <t>106/08</t>
  </si>
  <si>
    <t>106/07</t>
  </si>
  <si>
    <t>股利政策與本益比</t>
    <phoneticPr fontId="3" type="noConversion"/>
  </si>
  <si>
    <t>年度</t>
    <phoneticPr fontId="3" type="noConversion"/>
  </si>
  <si>
    <t>現金股利</t>
    <phoneticPr fontId="3" type="noConversion"/>
  </si>
  <si>
    <t>股票股利</t>
    <phoneticPr fontId="3" type="noConversion"/>
  </si>
  <si>
    <t>年度最高價</t>
    <phoneticPr fontId="3" type="noConversion"/>
  </si>
  <si>
    <t>年度最低價</t>
    <phoneticPr fontId="3" type="noConversion"/>
  </si>
  <si>
    <t>EPS</t>
    <phoneticPr fontId="3" type="noConversion"/>
  </si>
  <si>
    <t>總股利</t>
    <phoneticPr fontId="3" type="noConversion"/>
  </si>
  <si>
    <t>最高殖利率</t>
    <phoneticPr fontId="3" type="noConversion"/>
  </si>
  <si>
    <t>最低殖利率</t>
    <phoneticPr fontId="3" type="noConversion"/>
  </si>
  <si>
    <t>最高本益比</t>
    <phoneticPr fontId="3" type="noConversion"/>
  </si>
  <si>
    <t>最低本益比</t>
    <phoneticPr fontId="3" type="noConversion"/>
  </si>
  <si>
    <t>神秘金字塔</t>
    <phoneticPr fontId="3" type="noConversion"/>
  </si>
  <si>
    <t>總人數增減(人)</t>
    <phoneticPr fontId="3" type="noConversion"/>
  </si>
  <si>
    <t>總人數增減(%)</t>
    <phoneticPr fontId="3" type="noConversion"/>
  </si>
  <si>
    <t>400張以上佔比</t>
    <phoneticPr fontId="3" type="noConversion"/>
  </si>
  <si>
    <t>400張以上比例增減</t>
    <phoneticPr fontId="3" type="noConversion"/>
  </si>
  <si>
    <t>1000張以上佔比</t>
    <phoneticPr fontId="3" type="noConversion"/>
  </si>
  <si>
    <t>1000張以上比例增減</t>
    <phoneticPr fontId="3" type="noConversion"/>
  </si>
  <si>
    <t>日K</t>
    <phoneticPr fontId="3" type="noConversion"/>
  </si>
  <si>
    <t>日期</t>
    <phoneticPr fontId="3" type="noConversion"/>
  </si>
  <si>
    <t>開</t>
    <phoneticPr fontId="3" type="noConversion"/>
  </si>
  <si>
    <t>高</t>
    <phoneticPr fontId="3" type="noConversion"/>
  </si>
  <si>
    <t>低</t>
    <phoneticPr fontId="3" type="noConversion"/>
  </si>
  <si>
    <t>收</t>
    <phoneticPr fontId="3" type="noConversion"/>
  </si>
  <si>
    <t>成交量</t>
    <phoneticPr fontId="3" type="noConversion"/>
  </si>
  <si>
    <t>均線1</t>
    <phoneticPr fontId="3" type="noConversion"/>
  </si>
  <si>
    <t>參數：</t>
    <phoneticPr fontId="3" type="noConversion"/>
  </si>
  <si>
    <t>輔助1</t>
    <phoneticPr fontId="3" type="noConversion"/>
  </si>
  <si>
    <t>均線2</t>
    <phoneticPr fontId="3" type="noConversion"/>
  </si>
  <si>
    <t>均線3</t>
    <phoneticPr fontId="3" type="noConversion"/>
  </si>
  <si>
    <t>布林通道</t>
    <phoneticPr fontId="3" type="noConversion"/>
  </si>
  <si>
    <t>20MA</t>
    <phoneticPr fontId="3" type="noConversion"/>
  </si>
  <si>
    <t>標準差</t>
    <phoneticPr fontId="3" type="noConversion"/>
  </si>
  <si>
    <t>上軌</t>
    <phoneticPr fontId="3" type="noConversion"/>
  </si>
  <si>
    <t>下軌</t>
    <phoneticPr fontId="3" type="noConversion"/>
  </si>
  <si>
    <t>倍數：</t>
    <phoneticPr fontId="3" type="noConversion"/>
  </si>
  <si>
    <t>切換區</t>
    <phoneticPr fontId="3" type="noConversion"/>
  </si>
  <si>
    <t>周K</t>
    <phoneticPr fontId="3" type="noConversion"/>
  </si>
  <si>
    <t>MACD</t>
    <phoneticPr fontId="3" type="noConversion"/>
  </si>
  <si>
    <t>DI</t>
    <phoneticPr fontId="3" type="noConversion"/>
  </si>
  <si>
    <t>EMA12</t>
    <phoneticPr fontId="3" type="noConversion"/>
  </si>
  <si>
    <t>EMA26</t>
    <phoneticPr fontId="3" type="noConversion"/>
  </si>
  <si>
    <t>DIF</t>
    <phoneticPr fontId="3" type="noConversion"/>
  </si>
  <si>
    <t>OSC</t>
    <phoneticPr fontId="3" type="noConversion"/>
  </si>
  <si>
    <t>EPS年增率</t>
    <phoneticPr fontId="3" type="noConversion"/>
  </si>
  <si>
    <t>自由現金流</t>
    <phoneticPr fontId="3" type="noConversion"/>
  </si>
  <si>
    <t>綠色</t>
    <phoneticPr fontId="3" type="noConversion"/>
  </si>
  <si>
    <t>紅色</t>
    <phoneticPr fontId="3" type="noConversion"/>
  </si>
  <si>
    <t>標準</t>
    <phoneticPr fontId="3" type="noConversion"/>
  </si>
  <si>
    <t>獲利能力</t>
    <phoneticPr fontId="3" type="noConversion"/>
  </si>
  <si>
    <t>現金流量</t>
    <phoneticPr fontId="3" type="noConversion"/>
  </si>
  <si>
    <t>股利政策</t>
    <phoneticPr fontId="3" type="noConversion"/>
  </si>
  <si>
    <t>本益比</t>
    <phoneticPr fontId="3" type="noConversion"/>
  </si>
  <si>
    <t>日線圖</t>
    <phoneticPr fontId="3" type="noConversion"/>
  </si>
  <si>
    <t>漲跌</t>
    <phoneticPr fontId="3" type="noConversion"/>
  </si>
  <si>
    <t>漲跌幅</t>
    <phoneticPr fontId="3" type="noConversion"/>
  </si>
  <si>
    <t>均線</t>
    <phoneticPr fontId="3" type="noConversion"/>
  </si>
  <si>
    <t>參數</t>
    <phoneticPr fontId="3" type="noConversion"/>
  </si>
  <si>
    <t>倍數</t>
    <phoneticPr fontId="3" type="noConversion"/>
  </si>
  <si>
    <t>周線圖</t>
    <phoneticPr fontId="3" type="noConversion"/>
  </si>
  <si>
    <t>時間</t>
    <phoneticPr fontId="3" type="noConversion"/>
  </si>
  <si>
    <t>股票名稱</t>
    <phoneticPr fontId="3" type="noConversion"/>
  </si>
  <si>
    <t>市場別</t>
    <phoneticPr fontId="3" type="noConversion"/>
  </si>
  <si>
    <t>產業別</t>
    <phoneticPr fontId="3" type="noConversion"/>
  </si>
  <si>
    <t>資料筆數</t>
    <phoneticPr fontId="3" type="noConversion"/>
  </si>
  <si>
    <t>資料數：</t>
    <phoneticPr fontId="3" type="noConversion"/>
  </si>
  <si>
    <t xml:space="preserve">台積電(2330)財務比率表 季表 累計季表 年表  </t>
  </si>
  <si>
    <t>台積電(2330)現金流量表 季表 累計季表 年表  _x000D_
單位：百萬</t>
  </si>
  <si>
    <t xml:space="preserve">台積電(2330) 月營收 季盈餘  </t>
  </si>
  <si>
    <t xml:space="preserve">&lt;!-- function go() { var idx = document.F.T.selectedIndex; idx = document.F.T.options[idx].value; if (idx == 1) { self.location = '/z/zc/zch/zch_2330.djhtm'; } else if(idx == 2) { self.location = '/z/zc/zch/zcha_2330.djhtm'; } } //--&gt; </t>
  </si>
  <si>
    <t>台積電(2330) 年度營收走勢圖</t>
  </si>
  <si>
    <t>台積電(2330)月營收明細_x000D_
單位：仟元</t>
  </si>
  <si>
    <t>21Q1_x000D_
~_x000D_
20Q3</t>
  </si>
  <si>
    <t>∟</t>
  </si>
  <si>
    <t>21Q1</t>
  </si>
  <si>
    <t>20Q4</t>
  </si>
  <si>
    <t>20Q3</t>
  </si>
  <si>
    <t>20Q2_x000D_
~_x000D_
19Q3</t>
  </si>
  <si>
    <t>20Q2</t>
  </si>
  <si>
    <t>20Q1</t>
  </si>
  <si>
    <t>19Q4</t>
  </si>
  <si>
    <t>19Q3</t>
  </si>
  <si>
    <t>19Q2_x000D_
~_x000D_
18Q1</t>
  </si>
  <si>
    <t>19Q2</t>
  </si>
  <si>
    <t>19Q1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</si>
</sst>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_);[Red]\(0.00\)"/>
    <numFmt numFmtId="178" formatCode="0.0_);[Red]\(0.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2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2" fillId="2" borderId="0" xfId="0" applyFont="1" applyFill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9" fontId="0" fillId="0" borderId="0" xfId="1" applyFont="1">
      <alignment vertical="center"/>
    </xf>
    <xf numFmtId="176" fontId="0" fillId="0" borderId="0" xfId="1" applyNumberFormat="1" applyFont="1">
      <alignment vertical="center"/>
    </xf>
    <xf numFmtId="10" fontId="0" fillId="0" borderId="0" xfId="1" applyNumberFormat="1" applyFont="1">
      <alignment vertical="center"/>
    </xf>
    <xf numFmtId="0" fontId="0" fillId="0" borderId="0" xfId="1" applyNumberFormat="1" applyFont="1">
      <alignment vertical="center"/>
    </xf>
    <xf numFmtId="0" fontId="0" fillId="0" borderId="0" xfId="0" applyNumberFormat="1">
      <alignment vertical="center"/>
    </xf>
    <xf numFmtId="9" fontId="2" fillId="2" borderId="0" xfId="0" applyNumberFormat="1" applyFont="1" applyFill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2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8" fontId="0" fillId="0" borderId="3" xfId="0" applyNumberFormat="1" applyBorder="1">
      <alignment vertical="center"/>
    </xf>
    <xf numFmtId="10" fontId="0" fillId="0" borderId="3" xfId="1" applyNumberFormat="1" applyFont="1" applyBorder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5" fillId="2" borderId="0" xfId="0" applyFont="1" applyFill="1">
      <alignment vertical="center"/>
    </xf>
    <xf numFmtId="0" fontId="5" fillId="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一般" xfId="0" builtinId="0"/>
    <cellStyle name="百分比" xfId="1" builtinId="5"/>
    <cellStyle name="超連結" xfId="2" builtinId="8"/>
  </cellStyles>
  <dxfs count="0"/>
  <tableStyles count="0" defaultTableStyle="TableStyleMedium2" defaultPivotStyle="PivotStyleLight16"/>
  <colors>
    <mruColors>
      <color rgb="FF60AC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工作底稿!$A$11</c:f>
              <c:strCache>
                <c:ptCount val="1"/>
                <c:pt idx="0">
                  <c:v>每股盈餘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工作底稿!$B$11:$I$11</c:f>
              <c:numCache>
                <c:formatCode>General</c:formatCode>
                <c:ptCount val="8"/>
                <c:pt idx="0">
                  <c:v>2.57</c:v>
                </c:pt>
                <c:pt idx="1">
                  <c:v>3.9</c:v>
                </c:pt>
                <c:pt idx="2">
                  <c:v>4.47</c:v>
                </c:pt>
                <c:pt idx="3">
                  <c:v>4.51</c:v>
                </c:pt>
                <c:pt idx="4">
                  <c:v>4.66</c:v>
                </c:pt>
                <c:pt idx="5">
                  <c:v>5.3</c:v>
                </c:pt>
                <c:pt idx="6">
                  <c:v>5.51</c:v>
                </c:pt>
                <c:pt idx="7">
                  <c:v>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66-4C6B-92C9-A5F7A0907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17824544"/>
        <c:axId val="317834528"/>
      </c:barChart>
      <c:lineChart>
        <c:grouping val="standard"/>
        <c:varyColors val="0"/>
        <c:ser>
          <c:idx val="0"/>
          <c:order val="0"/>
          <c:tx>
            <c:strRef>
              <c:f>工作底稿!$A$8</c:f>
              <c:strCache>
                <c:ptCount val="1"/>
                <c:pt idx="0">
                  <c:v>營業毛利率</c:v>
                </c:pt>
              </c:strCache>
            </c:strRef>
          </c:tx>
          <c:spPr>
            <a:ln w="28575" cap="rnd">
              <a:solidFill>
                <a:srgbClr val="60ACF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60ACFC"/>
                </a:solidFill>
              </a:ln>
              <a:effectLst/>
            </c:spPr>
          </c:marker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工作底稿!$B$8:$I$8</c:f>
              <c:numCache>
                <c:formatCode>General</c:formatCode>
                <c:ptCount val="8"/>
                <c:pt idx="0">
                  <c:v>43.02</c:v>
                </c:pt>
                <c:pt idx="1">
                  <c:v>47.58</c:v>
                </c:pt>
                <c:pt idx="2">
                  <c:v>50.2</c:v>
                </c:pt>
                <c:pt idx="3">
                  <c:v>51.77</c:v>
                </c:pt>
                <c:pt idx="4">
                  <c:v>53.01</c:v>
                </c:pt>
                <c:pt idx="5">
                  <c:v>53.44</c:v>
                </c:pt>
                <c:pt idx="6">
                  <c:v>53.99</c:v>
                </c:pt>
                <c:pt idx="7">
                  <c:v>52.36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6-4C6B-92C9-A5F7A090707F}"/>
            </c:ext>
          </c:extLst>
        </c:ser>
        <c:ser>
          <c:idx val="1"/>
          <c:order val="1"/>
          <c:tx>
            <c:strRef>
              <c:f>工作底稿!$A$9</c:f>
              <c:strCache>
                <c:ptCount val="1"/>
                <c:pt idx="0">
                  <c:v>營業利益率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工作底稿!$B$9:$I$9</c:f>
              <c:numCache>
                <c:formatCode>General</c:formatCode>
                <c:ptCount val="8"/>
                <c:pt idx="0">
                  <c:v>31.66</c:v>
                </c:pt>
                <c:pt idx="1">
                  <c:v>36.82</c:v>
                </c:pt>
                <c:pt idx="2">
                  <c:v>39.159999999999997</c:v>
                </c:pt>
                <c:pt idx="3">
                  <c:v>41.38</c:v>
                </c:pt>
                <c:pt idx="4">
                  <c:v>42.19</c:v>
                </c:pt>
                <c:pt idx="5">
                  <c:v>42.1</c:v>
                </c:pt>
                <c:pt idx="6">
                  <c:v>43.46</c:v>
                </c:pt>
                <c:pt idx="7">
                  <c:v>41.54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66-4C6B-92C9-A5F7A090707F}"/>
            </c:ext>
          </c:extLst>
        </c:ser>
        <c:ser>
          <c:idx val="2"/>
          <c:order val="2"/>
          <c:tx>
            <c:strRef>
              <c:f>工作底稿!$A$10</c:f>
              <c:strCache>
                <c:ptCount val="1"/>
                <c:pt idx="0">
                  <c:v>稅前淨利率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工作底稿!$B$7:$I$7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工作底稿!$B$10:$I$10</c:f>
              <c:numCache>
                <c:formatCode>General</c:formatCode>
                <c:ptCount val="8"/>
                <c:pt idx="0">
                  <c:v>33.42</c:v>
                </c:pt>
                <c:pt idx="1">
                  <c:v>38.33</c:v>
                </c:pt>
                <c:pt idx="2">
                  <c:v>40.590000000000003</c:v>
                </c:pt>
                <c:pt idx="3">
                  <c:v>42.55</c:v>
                </c:pt>
                <c:pt idx="4">
                  <c:v>43.9</c:v>
                </c:pt>
                <c:pt idx="5">
                  <c:v>43.52</c:v>
                </c:pt>
                <c:pt idx="6">
                  <c:v>44.56</c:v>
                </c:pt>
                <c:pt idx="7">
                  <c:v>42.79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6-4C6B-92C9-A5F7A0907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2986063"/>
        <c:axId val="1962985647"/>
      </c:lineChart>
      <c:catAx>
        <c:axId val="31782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17834528"/>
        <c:crosses val="autoZero"/>
        <c:auto val="1"/>
        <c:lblAlgn val="ctr"/>
        <c:lblOffset val="100"/>
        <c:noMultiLvlLbl val="0"/>
      </c:catAx>
      <c:valAx>
        <c:axId val="31783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17824544"/>
        <c:crosses val="autoZero"/>
        <c:crossBetween val="between"/>
      </c:valAx>
      <c:valAx>
        <c:axId val="196298564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62986063"/>
        <c:crosses val="max"/>
        <c:crossBetween val="between"/>
      </c:valAx>
      <c:catAx>
        <c:axId val="19629860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6298564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去年EPS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工作底稿!$F$7:$I$7</c:f>
              <c:strCache>
                <c:ptCount val="4"/>
                <c:pt idx="0">
                  <c:v>2020.2Q</c:v>
                </c:pt>
                <c:pt idx="1">
                  <c:v>2020.3Q</c:v>
                </c:pt>
                <c:pt idx="2">
                  <c:v>2020.4Q</c:v>
                </c:pt>
                <c:pt idx="3">
                  <c:v>2021.1Q</c:v>
                </c:pt>
              </c:strCache>
            </c:strRef>
          </c:cat>
          <c:val>
            <c:numRef>
              <c:f>工作底稿!$B$11:$E$11</c:f>
              <c:numCache>
                <c:formatCode>General</c:formatCode>
                <c:ptCount val="4"/>
                <c:pt idx="0">
                  <c:v>2.57</c:v>
                </c:pt>
                <c:pt idx="1">
                  <c:v>3.9</c:v>
                </c:pt>
                <c:pt idx="2">
                  <c:v>4.47</c:v>
                </c:pt>
                <c:pt idx="3">
                  <c:v>4.51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AC-47AA-B08A-76DFD4CE7B88}"/>
            </c:ext>
          </c:extLst>
        </c:ser>
        <c:ser>
          <c:idx val="1"/>
          <c:order val="1"/>
          <c:tx>
            <c:v>今年EPS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工作底稿!$F$7:$I$7</c:f>
              <c:strCache>
                <c:ptCount val="4"/>
                <c:pt idx="0">
                  <c:v>2020.2Q</c:v>
                </c:pt>
                <c:pt idx="1">
                  <c:v>2020.3Q</c:v>
                </c:pt>
                <c:pt idx="2">
                  <c:v>2020.4Q</c:v>
                </c:pt>
                <c:pt idx="3">
                  <c:v>2021.1Q</c:v>
                </c:pt>
              </c:strCache>
            </c:strRef>
          </c:cat>
          <c:val>
            <c:numRef>
              <c:f>工作底稿!$F$11:$I$11</c:f>
              <c:numCache>
                <c:formatCode>General</c:formatCode>
                <c:ptCount val="4"/>
                <c:pt idx="0">
                  <c:v>4.66</c:v>
                </c:pt>
                <c:pt idx="1">
                  <c:v>5.3</c:v>
                </c:pt>
                <c:pt idx="2">
                  <c:v>5.51</c:v>
                </c:pt>
                <c:pt idx="3">
                  <c:v>5.39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AC-47AA-B08A-76DFD4CE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861472"/>
        <c:axId val="232881440"/>
      </c:barChart>
      <c:lineChart>
        <c:grouping val="standard"/>
        <c:varyColors val="0"/>
        <c:ser>
          <c:idx val="2"/>
          <c:order val="2"/>
          <c:tx>
            <c:v>年增率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工作底稿!$F$7:$I$7</c:f>
              <c:strCache>
                <c:ptCount val="4"/>
                <c:pt idx="0">
                  <c:v>2020.2Q</c:v>
                </c:pt>
                <c:pt idx="1">
                  <c:v>2020.3Q</c:v>
                </c:pt>
                <c:pt idx="2">
                  <c:v>2020.4Q</c:v>
                </c:pt>
                <c:pt idx="3">
                  <c:v>2021.1Q</c:v>
                </c:pt>
              </c:strCache>
            </c:strRef>
          </c:cat>
          <c:val>
            <c:numRef>
              <c:f>工作底稿!$F$12:$I$12</c:f>
              <c:numCache>
                <c:formatCode>0.00%</c:formatCode>
                <c:ptCount val="4"/>
                <c:pt idx="0">
                  <c:v>0.81322957198443602</c:v>
                </c:pt>
                <c:pt idx="1">
                  <c:v>0.35897435897435898</c:v>
                </c:pt>
                <c:pt idx="2">
                  <c:v>0.23266219239373603</c:v>
                </c:pt>
                <c:pt idx="3">
                  <c:v>0.19512195121951217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AC-47AA-B08A-76DFD4CE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73536"/>
        <c:axId val="232865216"/>
      </c:lineChart>
      <c:catAx>
        <c:axId val="2328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81440"/>
        <c:crosses val="autoZero"/>
        <c:auto val="1"/>
        <c:lblAlgn val="ctr"/>
        <c:lblOffset val="100"/>
        <c:noMultiLvlLbl val="0"/>
      </c:catAx>
      <c:valAx>
        <c:axId val="23288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1472"/>
        <c:crosses val="autoZero"/>
        <c:crossBetween val="between"/>
      </c:valAx>
      <c:valAx>
        <c:axId val="232865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73536"/>
        <c:crosses val="max"/>
        <c:crossBetween val="between"/>
      </c:valAx>
      <c:catAx>
        <c:axId val="23287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286521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營運現金流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工作底稿!$M$7:$T$7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工作底稿!$M$8:$T$8</c:f>
              <c:numCache>
                <c:formatCode>General</c:formatCode>
                <c:ptCount val="8"/>
                <c:pt idx="0">
                  <c:v>117761</c:v>
                </c:pt>
                <c:pt idx="1">
                  <c:v>141753</c:v>
                </c:pt>
                <c:pt idx="2">
                  <c:v>202954</c:v>
                </c:pt>
                <c:pt idx="3">
                  <c:v>203029</c:v>
                </c:pt>
                <c:pt idx="4">
                  <c:v>170335</c:v>
                </c:pt>
                <c:pt idx="5">
                  <c:v>190171</c:v>
                </c:pt>
                <c:pt idx="6">
                  <c:v>259131</c:v>
                </c:pt>
                <c:pt idx="7">
                  <c:v>227816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B-4475-A408-6E59B28A2170}"/>
            </c:ext>
          </c:extLst>
        </c:ser>
        <c:ser>
          <c:idx val="1"/>
          <c:order val="1"/>
          <c:tx>
            <c:v>投資現金流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工作底稿!$M$7:$T$7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工作底稿!$M$9:$T$9</c:f>
              <c:numCache>
                <c:formatCode>General</c:formatCode>
                <c:ptCount val="8"/>
                <c:pt idx="0">
                  <c:v>-114718</c:v>
                </c:pt>
                <c:pt idx="1">
                  <c:v>-108290</c:v>
                </c:pt>
                <c:pt idx="2">
                  <c:v>-171605</c:v>
                </c:pt>
                <c:pt idx="3">
                  <c:v>-188993</c:v>
                </c:pt>
                <c:pt idx="4">
                  <c:v>-129750</c:v>
                </c:pt>
                <c:pt idx="5">
                  <c:v>-96080</c:v>
                </c:pt>
                <c:pt idx="6">
                  <c:v>-90959</c:v>
                </c:pt>
                <c:pt idx="7">
                  <c:v>-244251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7B-4475-A408-6E59B28A2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888928"/>
        <c:axId val="232885184"/>
      </c:barChart>
      <c:lineChart>
        <c:grouping val="standard"/>
        <c:varyColors val="0"/>
        <c:ser>
          <c:idx val="2"/>
          <c:order val="2"/>
          <c:tx>
            <c:v>自由先金流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工作底稿!$M$7:$T$7</c:f>
              <c:strCache>
                <c:ptCount val="8"/>
                <c:pt idx="0">
                  <c:v>2019.2Q</c:v>
                </c:pt>
                <c:pt idx="1">
                  <c:v>2019.3Q</c:v>
                </c:pt>
                <c:pt idx="2">
                  <c:v>2019.4Q</c:v>
                </c:pt>
                <c:pt idx="3">
                  <c:v>2020.1Q</c:v>
                </c:pt>
                <c:pt idx="4">
                  <c:v>2020.2Q</c:v>
                </c:pt>
                <c:pt idx="5">
                  <c:v>2020.3Q</c:v>
                </c:pt>
                <c:pt idx="6">
                  <c:v>2020.4Q</c:v>
                </c:pt>
                <c:pt idx="7">
                  <c:v>2021.1Q</c:v>
                </c:pt>
              </c:strCache>
            </c:strRef>
          </c:cat>
          <c:val>
            <c:numRef>
              <c:f>工作底稿!$M$10:$T$10</c:f>
              <c:numCache>
                <c:formatCode>General</c:formatCode>
                <c:ptCount val="8"/>
                <c:pt idx="0">
                  <c:v>3043</c:v>
                </c:pt>
                <c:pt idx="1">
                  <c:v>33463</c:v>
                </c:pt>
                <c:pt idx="2">
                  <c:v>31349</c:v>
                </c:pt>
                <c:pt idx="3">
                  <c:v>14036</c:v>
                </c:pt>
                <c:pt idx="4">
                  <c:v>40585</c:v>
                </c:pt>
                <c:pt idx="5">
                  <c:v>94091</c:v>
                </c:pt>
                <c:pt idx="6">
                  <c:v>168172</c:v>
                </c:pt>
                <c:pt idx="7">
                  <c:v>-16435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B-4475-A408-6E59B28A2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88928"/>
        <c:axId val="232885184"/>
      </c:lineChart>
      <c:catAx>
        <c:axId val="23288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85184"/>
        <c:crosses val="autoZero"/>
        <c:auto val="1"/>
        <c:lblAlgn val="ctr"/>
        <c:lblOffset val="100"/>
        <c:noMultiLvlLbl val="0"/>
      </c:catAx>
      <c:valAx>
        <c:axId val="23288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8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工作底稿!$AE$7</c:f>
              <c:strCache>
                <c:ptCount val="1"/>
                <c:pt idx="0">
                  <c:v>現金股利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工作底稿!$AE$8:$AE$12</c:f>
              <c:numCache>
                <c:formatCode>General</c:formatCode>
                <c:ptCount val="5"/>
                <c:pt idx="0">
                  <c:v>2.5</c:v>
                </c:pt>
                <c:pt idx="1">
                  <c:v>10</c:v>
                </c:pt>
                <c:pt idx="2">
                  <c:v>2.5</c:v>
                </c:pt>
                <c:pt idx="3">
                  <c:v>2.5</c:v>
                </c:pt>
                <c:pt idx="4">
                  <c:v>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3-48E5-A4F3-F6DD432E3C9A}"/>
            </c:ext>
          </c:extLst>
        </c:ser>
        <c:ser>
          <c:idx val="1"/>
          <c:order val="1"/>
          <c:tx>
            <c:strRef>
              <c:f>工作底稿!$AF$7</c:f>
              <c:strCache>
                <c:ptCount val="1"/>
                <c:pt idx="0">
                  <c:v>股票股利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工作底稿!$AF$8:$AF$12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3-48E5-A4F3-F6DD432E3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44076624"/>
        <c:axId val="344071632"/>
      </c:barChart>
      <c:lineChart>
        <c:grouping val="standard"/>
        <c:varyColors val="0"/>
        <c:ser>
          <c:idx val="2"/>
          <c:order val="2"/>
          <c:tx>
            <c:strRef>
              <c:f>工作底稿!$AL$7</c:f>
              <c:strCache>
                <c:ptCount val="1"/>
                <c:pt idx="0">
                  <c:v>最低殖利率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工作底稿!$AL$8:$AL$12</c:f>
              <c:numCache>
                <c:formatCode>0.00%</c:formatCode>
                <c:ptCount val="5"/>
                <c:pt idx="0">
                  <c:v>0</c:v>
                </c:pt>
                <c:pt idx="1">
                  <c:v>1.8867924528301886E-2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3-48E5-A4F3-F6DD432E3C9A}"/>
            </c:ext>
          </c:extLst>
        </c:ser>
        <c:ser>
          <c:idx val="3"/>
          <c:order val="3"/>
          <c:tx>
            <c:strRef>
              <c:f>工作底稿!$AK$7</c:f>
              <c:strCache>
                <c:ptCount val="1"/>
                <c:pt idx="0">
                  <c:v>最高殖利率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工作底稿!$AK$8:$AK$12</c:f>
              <c:numCache>
                <c:formatCode>0.00%</c:formatCode>
                <c:ptCount val="5"/>
                <c:pt idx="0">
                  <c:v>0</c:v>
                </c:pt>
                <c:pt idx="1">
                  <c:v>4.2462845010615709E-2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3-48E5-A4F3-F6DD432E3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35440"/>
        <c:axId val="344053744"/>
      </c:lineChart>
      <c:catAx>
        <c:axId val="34407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1632"/>
        <c:crosses val="autoZero"/>
        <c:auto val="1"/>
        <c:lblAlgn val="ctr"/>
        <c:lblOffset val="100"/>
        <c:noMultiLvlLbl val="0"/>
      </c:catAx>
      <c:valAx>
        <c:axId val="34407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6624"/>
        <c:crosses val="autoZero"/>
        <c:crossBetween val="between"/>
      </c:valAx>
      <c:valAx>
        <c:axId val="34405374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35440"/>
        <c:crosses val="max"/>
        <c:crossBetween val="between"/>
      </c:valAx>
      <c:catAx>
        <c:axId val="344035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405374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工作底稿!$AI$7</c:f>
              <c:strCache>
                <c:ptCount val="1"/>
                <c:pt idx="0">
                  <c:v>EPS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工作底稿!$AI$8:$AI$12</c:f>
              <c:numCache>
                <c:formatCode>General</c:formatCode>
                <c:ptCount val="5"/>
                <c:pt idx="0">
                  <c:v>17.55</c:v>
                </c:pt>
                <c:pt idx="1">
                  <c:v>5.3</c:v>
                </c:pt>
                <c:pt idx="2">
                  <c:v>5.51</c:v>
                </c:pt>
                <c:pt idx="3">
                  <c:v>5.39</c:v>
                </c:pt>
                <c:pt idx="4">
                  <c:v>16.190000000000001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B5-8DD5-11A7837C7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079536"/>
        <c:axId val="344079952"/>
      </c:barChart>
      <c:lineChart>
        <c:grouping val="standard"/>
        <c:varyColors val="0"/>
        <c:ser>
          <c:idx val="1"/>
          <c:order val="1"/>
          <c:tx>
            <c:strRef>
              <c:f>工作底稿!$AM$7</c:f>
              <c:strCache>
                <c:ptCount val="1"/>
                <c:pt idx="0">
                  <c:v>最高本益比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工作底稿!$AM$8:$AM$12</c:f>
              <c:numCache>
                <c:formatCode>0.00</c:formatCode>
                <c:ptCount val="5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B9-48B5-8DD5-11A7837C7C6F}"/>
            </c:ext>
          </c:extLst>
        </c:ser>
        <c:ser>
          <c:idx val="2"/>
          <c:order val="2"/>
          <c:tx>
            <c:strRef>
              <c:f>工作底稿!$AN$7</c:f>
              <c:strCache>
                <c:ptCount val="1"/>
                <c:pt idx="0">
                  <c:v>最低本益比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工作底稿!$AD$8:$AD$12</c:f>
              <c:strCache>
                <c:ptCount val="5"/>
                <c:pt idx="0">
                  <c:v>∟</c:v>
                </c:pt>
                <c:pt idx="1">
                  <c:v>2020</c:v>
                </c:pt>
                <c:pt idx="2">
                  <c:v>∟</c:v>
                </c:pt>
                <c:pt idx="3">
                  <c:v>∟</c:v>
                </c:pt>
                <c:pt idx="4">
                  <c:v>∟</c:v>
                </c:pt>
              </c:strCache>
            </c:strRef>
          </c:cat>
          <c:val>
            <c:numRef>
              <c:f>工作底稿!$AN$8:$AN$12</c:f>
              <c:numCache>
                <c:formatCode>0.00</c:formatCode>
                <c:ptCount val="5"/>
                <c:pt idx="0">
                  <c:v>0</c:v>
                </c:pt>
                <c:pt idx="1">
                  <c:v>44.433962264150942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B9-48B5-8DD5-11A7837C7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61232"/>
        <c:axId val="344054992"/>
      </c:lineChart>
      <c:catAx>
        <c:axId val="34407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9952"/>
        <c:crosses val="autoZero"/>
        <c:auto val="1"/>
        <c:lblAlgn val="ctr"/>
        <c:lblOffset val="100"/>
        <c:noMultiLvlLbl val="0"/>
      </c:catAx>
      <c:valAx>
        <c:axId val="34407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9536"/>
        <c:crosses val="autoZero"/>
        <c:crossBetween val="between"/>
      </c:valAx>
      <c:valAx>
        <c:axId val="34405499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61232"/>
        <c:crosses val="max"/>
        <c:crossBetween val="between"/>
      </c:valAx>
      <c:catAx>
        <c:axId val="34406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405499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工作底稿!$X$7</c:f>
              <c:strCache>
                <c:ptCount val="1"/>
                <c:pt idx="0">
                  <c:v>營收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工作底稿!$X$8:$X$44</c:f>
              <c:numCache>
                <c:formatCode>0</c:formatCode>
                <c:ptCount val="37"/>
                <c:pt idx="0">
                  <c:v>70438.297999999995</c:v>
                </c:pt>
                <c:pt idx="1">
                  <c:v>74370.923999999999</c:v>
                </c:pt>
                <c:pt idx="2">
                  <c:v>91055.038</c:v>
                </c:pt>
                <c:pt idx="3">
                  <c:v>94921.919999999998</c:v>
                </c:pt>
                <c:pt idx="4">
                  <c:v>101550.181</c:v>
                </c:pt>
                <c:pt idx="5">
                  <c:v>98389.414000000004</c:v>
                </c:pt>
                <c:pt idx="6">
                  <c:v>89830.597999999998</c:v>
                </c:pt>
                <c:pt idx="7">
                  <c:v>78093.827000000005</c:v>
                </c:pt>
                <c:pt idx="8">
                  <c:v>60889.055</c:v>
                </c:pt>
                <c:pt idx="9">
                  <c:v>79721.587</c:v>
                </c:pt>
                <c:pt idx="10">
                  <c:v>74693.615000000005</c:v>
                </c:pt>
                <c:pt idx="11">
                  <c:v>80436.930999999997</c:v>
                </c:pt>
                <c:pt idx="12">
                  <c:v>85867.929000000004</c:v>
                </c:pt>
                <c:pt idx="13">
                  <c:v>84757.724000000002</c:v>
                </c:pt>
                <c:pt idx="14">
                  <c:v>106117.61900000001</c:v>
                </c:pt>
                <c:pt idx="15">
                  <c:v>102170.09600000001</c:v>
                </c:pt>
                <c:pt idx="16">
                  <c:v>106039.531</c:v>
                </c:pt>
                <c:pt idx="17">
                  <c:v>107884.39599999999</c:v>
                </c:pt>
                <c:pt idx="18">
                  <c:v>103313.13800000001</c:v>
                </c:pt>
                <c:pt idx="19">
                  <c:v>103683.13499999999</c:v>
                </c:pt>
                <c:pt idx="20">
                  <c:v>93394.448999999993</c:v>
                </c:pt>
                <c:pt idx="21">
                  <c:v>113519.599</c:v>
                </c:pt>
                <c:pt idx="22">
                  <c:v>96001.572</c:v>
                </c:pt>
                <c:pt idx="23">
                  <c:v>93819.01</c:v>
                </c:pt>
                <c:pt idx="24">
                  <c:v>120877.785</c:v>
                </c:pt>
                <c:pt idx="25">
                  <c:v>105963.46799999999</c:v>
                </c:pt>
                <c:pt idx="26">
                  <c:v>122878.24400000001</c:v>
                </c:pt>
                <c:pt idx="27">
                  <c:v>127584.492</c:v>
                </c:pt>
                <c:pt idx="28">
                  <c:v>119302.70699999999</c:v>
                </c:pt>
                <c:pt idx="29">
                  <c:v>124865.43799999999</c:v>
                </c:pt>
                <c:pt idx="30">
                  <c:v>117364.912</c:v>
                </c:pt>
                <c:pt idx="31">
                  <c:v>126749.152</c:v>
                </c:pt>
                <c:pt idx="32">
                  <c:v>106533.69</c:v>
                </c:pt>
                <c:pt idx="33">
                  <c:v>129127.38800000001</c:v>
                </c:pt>
                <c:pt idx="34">
                  <c:v>111314.79399999999</c:v>
                </c:pt>
                <c:pt idx="35">
                  <c:v>112359.66800000001</c:v>
                </c:pt>
                <c:pt idx="36">
                  <c:v>148470.66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4-4851-A37E-46A85548E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041680"/>
        <c:axId val="344037936"/>
      </c:barChart>
      <c:lineChart>
        <c:grouping val="standard"/>
        <c:varyColors val="0"/>
        <c:ser>
          <c:idx val="1"/>
          <c:order val="1"/>
          <c:tx>
            <c:strRef>
              <c:f>工作底稿!$Y$7</c:f>
              <c:strCache>
                <c:ptCount val="1"/>
                <c:pt idx="0">
                  <c:v>年增率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工作底稿!$Y$8:$Y$44</c:f>
              <c:numCache>
                <c:formatCode>0.00%</c:formatCode>
                <c:ptCount val="37"/>
                <c:pt idx="0">
                  <c:v>-0.1633</c:v>
                </c:pt>
                <c:pt idx="1">
                  <c:v>3.85E-2</c:v>
                </c:pt>
                <c:pt idx="2">
                  <c:v>-9.4000000000000004E-3</c:v>
                </c:pt>
                <c:pt idx="3">
                  <c:v>7.1599999999999997E-2</c:v>
                </c:pt>
                <c:pt idx="4">
                  <c:v>7.4399999999999994E-2</c:v>
                </c:pt>
                <c:pt idx="5">
                  <c:v>5.62E-2</c:v>
                </c:pt>
                <c:pt idx="6">
                  <c:v>-6.9999999999999999E-4</c:v>
                </c:pt>
                <c:pt idx="7">
                  <c:v>-2.07E-2</c:v>
                </c:pt>
                <c:pt idx="8">
                  <c:v>-5.8000000000000003E-2</c:v>
                </c:pt>
                <c:pt idx="9">
                  <c:v>-0.23119999999999999</c:v>
                </c:pt>
                <c:pt idx="10">
                  <c:v>-8.77E-2</c:v>
                </c:pt>
                <c:pt idx="11">
                  <c:v>-6.6E-3</c:v>
                </c:pt>
                <c:pt idx="12">
                  <c:v>0.21909999999999999</c:v>
                </c:pt>
                <c:pt idx="13">
                  <c:v>0.13969999999999999</c:v>
                </c:pt>
                <c:pt idx="14">
                  <c:v>0.16539999999999999</c:v>
                </c:pt>
                <c:pt idx="15">
                  <c:v>7.6399999999999996E-2</c:v>
                </c:pt>
                <c:pt idx="16">
                  <c:v>4.4200000000000003E-2</c:v>
                </c:pt>
                <c:pt idx="17">
                  <c:v>9.6500000000000002E-2</c:v>
                </c:pt>
                <c:pt idx="18">
                  <c:v>0.15010000000000001</c:v>
                </c:pt>
                <c:pt idx="19">
                  <c:v>0.32769999999999999</c:v>
                </c:pt>
                <c:pt idx="20">
                  <c:v>0.53380000000000005</c:v>
                </c:pt>
                <c:pt idx="21">
                  <c:v>0.42399999999999999</c:v>
                </c:pt>
                <c:pt idx="22">
                  <c:v>0.2853</c:v>
                </c:pt>
                <c:pt idx="23">
                  <c:v>0.16639999999999999</c:v>
                </c:pt>
                <c:pt idx="24">
                  <c:v>0.40770000000000001</c:v>
                </c:pt>
                <c:pt idx="25">
                  <c:v>0.25019999999999998</c:v>
                </c:pt>
                <c:pt idx="26">
                  <c:v>0.15790000000000001</c:v>
                </c:pt>
                <c:pt idx="27">
                  <c:v>0.2487</c:v>
                </c:pt>
                <c:pt idx="28">
                  <c:v>0.12509999999999999</c:v>
                </c:pt>
                <c:pt idx="29">
                  <c:v>0.15740000000000001</c:v>
                </c:pt>
                <c:pt idx="30">
                  <c:v>0.13600000000000001</c:v>
                </c:pt>
                <c:pt idx="31">
                  <c:v>0.2225</c:v>
                </c:pt>
                <c:pt idx="32">
                  <c:v>0.14069999999999999</c:v>
                </c:pt>
                <c:pt idx="33">
                  <c:v>0.13750000000000001</c:v>
                </c:pt>
                <c:pt idx="34">
                  <c:v>0.1595</c:v>
                </c:pt>
                <c:pt idx="35">
                  <c:v>0.1976</c:v>
                </c:pt>
                <c:pt idx="36">
                  <c:v>0.2283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B4-4851-A37E-46A85548EAC5}"/>
            </c:ext>
          </c:extLst>
        </c:ser>
        <c:ser>
          <c:idx val="2"/>
          <c:order val="2"/>
          <c:tx>
            <c:strRef>
              <c:f>工作底稿!$Z$7</c:f>
              <c:strCache>
                <c:ptCount val="1"/>
                <c:pt idx="0">
                  <c:v>綠色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50"/>
              </a:solidFill>
              <a:ln w="38100" cmpd="dbl">
                <a:solidFill>
                  <a:srgbClr val="00B050">
                    <a:alpha val="99000"/>
                  </a:srgbClr>
                </a:solidFill>
              </a:ln>
              <a:effectLst/>
            </c:spPr>
          </c:marker>
          <c:dLbls>
            <c:spPr>
              <a:solidFill>
                <a:srgbClr val="00B05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down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工作底稿!$Z$8:$Z$44</c:f>
              <c:numCache>
                <c:formatCode>General</c:formatCode>
                <c:ptCount val="3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0.21909999999999999</c:v>
                </c:pt>
                <c:pt idx="13">
                  <c:v>0.13969999999999999</c:v>
                </c:pt>
                <c:pt idx="14">
                  <c:v>0.16539999999999999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0.15010000000000001</c:v>
                </c:pt>
                <c:pt idx="19">
                  <c:v>0.32769999999999999</c:v>
                </c:pt>
                <c:pt idx="20">
                  <c:v>0.53380000000000005</c:v>
                </c:pt>
                <c:pt idx="21">
                  <c:v>0.42399999999999999</c:v>
                </c:pt>
                <c:pt idx="22">
                  <c:v>0.2853</c:v>
                </c:pt>
                <c:pt idx="23">
                  <c:v>0.16639999999999999</c:v>
                </c:pt>
                <c:pt idx="24">
                  <c:v>0.40770000000000001</c:v>
                </c:pt>
                <c:pt idx="25">
                  <c:v>0.25019999999999998</c:v>
                </c:pt>
                <c:pt idx="26">
                  <c:v>0.15790000000000001</c:v>
                </c:pt>
                <c:pt idx="27">
                  <c:v>0.2487</c:v>
                </c:pt>
                <c:pt idx="28">
                  <c:v>0.12509999999999999</c:v>
                </c:pt>
                <c:pt idx="29">
                  <c:v>0.15740000000000001</c:v>
                </c:pt>
                <c:pt idx="30">
                  <c:v>0.13600000000000001</c:v>
                </c:pt>
                <c:pt idx="31">
                  <c:v>0.2225</c:v>
                </c:pt>
                <c:pt idx="32">
                  <c:v>0.14069999999999999</c:v>
                </c:pt>
                <c:pt idx="33">
                  <c:v>0.13750000000000001</c:v>
                </c:pt>
                <c:pt idx="34">
                  <c:v>0.1595</c:v>
                </c:pt>
                <c:pt idx="35">
                  <c:v>0.1976</c:v>
                </c:pt>
                <c:pt idx="36">
                  <c:v>0.2283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B4-4851-A37E-46A85548EAC5}"/>
            </c:ext>
          </c:extLst>
        </c:ser>
        <c:ser>
          <c:idx val="3"/>
          <c:order val="3"/>
          <c:tx>
            <c:strRef>
              <c:f>工作底稿!$AA$7</c:f>
              <c:strCache>
                <c:ptCount val="1"/>
                <c:pt idx="0">
                  <c:v>紅色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38100" cmpd="dbl">
                <a:solidFill>
                  <a:srgbClr val="FF0000"/>
                </a:solidFill>
              </a:ln>
              <a:effectLst/>
            </c:spPr>
          </c:marker>
          <c:dLbls>
            <c:spPr>
              <a:solidFill>
                <a:srgbClr val="FF0000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upArrow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工作底稿!$W$8</c:f>
              <c:strCache>
                <c:ptCount val="1"/>
                <c:pt idx="0">
                  <c:v>107/06</c:v>
                </c:pt>
              </c:strCache>
            </c:strRef>
          </c:cat>
          <c:val>
            <c:numRef>
              <c:f>工作底稿!$AA$8:$AA$44</c:f>
              <c:numCache>
                <c:formatCode>General</c:formatCode>
                <c:ptCount val="37"/>
                <c:pt idx="0">
                  <c:v>-0.1633</c:v>
                </c:pt>
                <c:pt idx="1">
                  <c:v>3.85E-2</c:v>
                </c:pt>
                <c:pt idx="2">
                  <c:v>-9.4000000000000004E-3</c:v>
                </c:pt>
                <c:pt idx="3">
                  <c:v>7.1599999999999997E-2</c:v>
                </c:pt>
                <c:pt idx="4">
                  <c:v>7.4399999999999994E-2</c:v>
                </c:pt>
                <c:pt idx="5">
                  <c:v>5.62E-2</c:v>
                </c:pt>
                <c:pt idx="6">
                  <c:v>-6.9999999999999999E-4</c:v>
                </c:pt>
                <c:pt idx="7">
                  <c:v>-2.07E-2</c:v>
                </c:pt>
                <c:pt idx="8">
                  <c:v>-5.8000000000000003E-2</c:v>
                </c:pt>
                <c:pt idx="9">
                  <c:v>-0.23119999999999999</c:v>
                </c:pt>
                <c:pt idx="10">
                  <c:v>-8.77E-2</c:v>
                </c:pt>
                <c:pt idx="11">
                  <c:v>-6.6E-3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7.6399999999999996E-2</c:v>
                </c:pt>
                <c:pt idx="16">
                  <c:v>4.4200000000000003E-2</c:v>
                </c:pt>
                <c:pt idx="17">
                  <c:v>9.6500000000000002E-2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B4-4851-A37E-46A85548E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31200"/>
        <c:axId val="317830784"/>
      </c:lineChart>
      <c:catAx>
        <c:axId val="34404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37936"/>
        <c:crosses val="autoZero"/>
        <c:auto val="1"/>
        <c:lblAlgn val="ctr"/>
        <c:lblOffset val="100"/>
        <c:noMultiLvlLbl val="0"/>
      </c:catAx>
      <c:valAx>
        <c:axId val="34403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41680"/>
        <c:crosses val="autoZero"/>
        <c:crossBetween val="between"/>
      </c:valAx>
      <c:valAx>
        <c:axId val="31783078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17831200"/>
        <c:crosses val="max"/>
        <c:crossBetween val="between"/>
      </c:valAx>
      <c:catAx>
        <c:axId val="31783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7830784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187320815667273E-2"/>
          <c:y val="3.5171871365111719E-2"/>
          <c:w val="0.90302895215021217"/>
          <c:h val="0.89065299336039661"/>
        </c:manualLayout>
      </c:layout>
      <c:stockChart>
        <c:ser>
          <c:idx val="0"/>
          <c:order val="0"/>
          <c:tx>
            <c:strRef>
              <c:f>工作底稿!$BA$7</c:f>
              <c:strCache>
                <c:ptCount val="1"/>
                <c:pt idx="0">
                  <c:v>開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工作底稿!$BA$8:$BA$251</c:f>
              <c:numCache>
                <c:formatCode>General</c:formatCode>
                <c:ptCount val="244"/>
                <c:pt idx="0">
                  <c:v>455.4513</c:v>
                </c:pt>
                <c:pt idx="1">
                  <c:v>420.1146</c:v>
                </c:pt>
                <c:pt idx="2">
                  <c:v>428.45800000000003</c:v>
                </c:pt>
                <c:pt idx="3">
                  <c:v>418.15140000000002</c:v>
                </c:pt>
                <c:pt idx="4">
                  <c:v>412.75279999999998</c:v>
                </c:pt>
                <c:pt idx="5">
                  <c:v>413.73439999999999</c:v>
                </c:pt>
                <c:pt idx="6">
                  <c:v>422.56849999999997</c:v>
                </c:pt>
                <c:pt idx="7">
                  <c:v>429.43959999999998</c:v>
                </c:pt>
                <c:pt idx="8">
                  <c:v>425.51330000000002</c:v>
                </c:pt>
                <c:pt idx="9">
                  <c:v>419.62380000000002</c:v>
                </c:pt>
                <c:pt idx="10">
                  <c:v>424.04090000000002</c:v>
                </c:pt>
                <c:pt idx="11">
                  <c:v>414.2251</c:v>
                </c:pt>
                <c:pt idx="12">
                  <c:v>420.1146</c:v>
                </c:pt>
                <c:pt idx="13">
                  <c:v>416.18830000000003</c:v>
                </c:pt>
                <c:pt idx="14">
                  <c:v>419.13299999999998</c:v>
                </c:pt>
                <c:pt idx="15">
                  <c:v>431.89350000000002</c:v>
                </c:pt>
                <c:pt idx="16">
                  <c:v>427.96719999999999</c:v>
                </c:pt>
                <c:pt idx="17">
                  <c:v>419.13299999999998</c:v>
                </c:pt>
                <c:pt idx="18">
                  <c:v>413.73439999999999</c:v>
                </c:pt>
                <c:pt idx="19">
                  <c:v>419.62380000000002</c:v>
                </c:pt>
                <c:pt idx="20">
                  <c:v>425.51330000000002</c:v>
                </c:pt>
                <c:pt idx="21">
                  <c:v>427.47640000000001</c:v>
                </c:pt>
                <c:pt idx="22">
                  <c:v>439.74610000000001</c:v>
                </c:pt>
                <c:pt idx="23">
                  <c:v>431.89350000000002</c:v>
                </c:pt>
                <c:pt idx="24">
                  <c:v>428.94880000000001</c:v>
                </c:pt>
                <c:pt idx="25">
                  <c:v>422.07769999999999</c:v>
                </c:pt>
                <c:pt idx="26">
                  <c:v>432.87509999999997</c:v>
                </c:pt>
                <c:pt idx="27">
                  <c:v>431.40269999999998</c:v>
                </c:pt>
                <c:pt idx="28">
                  <c:v>419.13299999999998</c:v>
                </c:pt>
                <c:pt idx="29">
                  <c:v>420.1146</c:v>
                </c:pt>
                <c:pt idx="30">
                  <c:v>420.1146</c:v>
                </c:pt>
                <c:pt idx="31">
                  <c:v>417.16989999999998</c:v>
                </c:pt>
                <c:pt idx="32">
                  <c:v>424.5317</c:v>
                </c:pt>
                <c:pt idx="33">
                  <c:v>427.47640000000001</c:v>
                </c:pt>
                <c:pt idx="34">
                  <c:v>427.96719999999999</c:v>
                </c:pt>
                <c:pt idx="35">
                  <c:v>432.3843</c:v>
                </c:pt>
                <c:pt idx="36">
                  <c:v>451.52499999999998</c:v>
                </c:pt>
                <c:pt idx="37">
                  <c:v>447.09449999999998</c:v>
                </c:pt>
                <c:pt idx="38">
                  <c:v>441.17270000000002</c:v>
                </c:pt>
                <c:pt idx="39">
                  <c:v>437.7183</c:v>
                </c:pt>
                <c:pt idx="40">
                  <c:v>434.26389999999998</c:v>
                </c:pt>
                <c:pt idx="41">
                  <c:v>430.31610000000001</c:v>
                </c:pt>
                <c:pt idx="42">
                  <c:v>419.95299999999997</c:v>
                </c:pt>
                <c:pt idx="43">
                  <c:v>421.43340000000001</c:v>
                </c:pt>
                <c:pt idx="44">
                  <c:v>421.43340000000001</c:v>
                </c:pt>
                <c:pt idx="45">
                  <c:v>426.86169999999998</c:v>
                </c:pt>
                <c:pt idx="46">
                  <c:v>424.88780000000003</c:v>
                </c:pt>
                <c:pt idx="47">
                  <c:v>432.29</c:v>
                </c:pt>
                <c:pt idx="48">
                  <c:v>435.74439999999998</c:v>
                </c:pt>
                <c:pt idx="49">
                  <c:v>429.32909999999998</c:v>
                </c:pt>
                <c:pt idx="50">
                  <c:v>444.1336</c:v>
                </c:pt>
                <c:pt idx="51">
                  <c:v>452.02929999999998</c:v>
                </c:pt>
                <c:pt idx="52">
                  <c:v>458.93799999999999</c:v>
                </c:pt>
                <c:pt idx="53">
                  <c:v>454.49669999999998</c:v>
                </c:pt>
                <c:pt idx="54">
                  <c:v>450.05540000000002</c:v>
                </c:pt>
                <c:pt idx="55">
                  <c:v>445.12049999999999</c:v>
                </c:pt>
                <c:pt idx="56">
                  <c:v>447.09449999999998</c:v>
                </c:pt>
                <c:pt idx="57">
                  <c:v>449.56189999999998</c:v>
                </c:pt>
                <c:pt idx="58">
                  <c:v>447.58800000000002</c:v>
                </c:pt>
                <c:pt idx="59">
                  <c:v>444.1336</c:v>
                </c:pt>
                <c:pt idx="60">
                  <c:v>452.02929999999998</c:v>
                </c:pt>
                <c:pt idx="61">
                  <c:v>449.0684</c:v>
                </c:pt>
                <c:pt idx="62">
                  <c:v>441.6662</c:v>
                </c:pt>
                <c:pt idx="63">
                  <c:v>439.19880000000001</c:v>
                </c:pt>
                <c:pt idx="64">
                  <c:v>430.80959999999999</c:v>
                </c:pt>
                <c:pt idx="65">
                  <c:v>431.30309999999997</c:v>
                </c:pt>
                <c:pt idx="66">
                  <c:v>427.35520000000002</c:v>
                </c:pt>
                <c:pt idx="67">
                  <c:v>433.77050000000003</c:v>
                </c:pt>
                <c:pt idx="68">
                  <c:v>438.70530000000002</c:v>
                </c:pt>
                <c:pt idx="69">
                  <c:v>445.61399999999998</c:v>
                </c:pt>
                <c:pt idx="70">
                  <c:v>449.0684</c:v>
                </c:pt>
                <c:pt idx="71">
                  <c:v>452.02929999999998</c:v>
                </c:pt>
                <c:pt idx="72">
                  <c:v>446.10750000000002</c:v>
                </c:pt>
                <c:pt idx="73">
                  <c:v>442.65309999999999</c:v>
                </c:pt>
                <c:pt idx="74">
                  <c:v>456.96409999999997</c:v>
                </c:pt>
                <c:pt idx="75">
                  <c:v>453.0163</c:v>
                </c:pt>
                <c:pt idx="76">
                  <c:v>463.87290000000002</c:v>
                </c:pt>
                <c:pt idx="77">
                  <c:v>495.45569999999998</c:v>
                </c:pt>
                <c:pt idx="78">
                  <c:v>483.6121</c:v>
                </c:pt>
                <c:pt idx="79">
                  <c:v>492.4948</c:v>
                </c:pt>
                <c:pt idx="80">
                  <c:v>479.66430000000003</c:v>
                </c:pt>
                <c:pt idx="81">
                  <c:v>488.05349999999999</c:v>
                </c:pt>
                <c:pt idx="82">
                  <c:v>492.98829999999998</c:v>
                </c:pt>
                <c:pt idx="83">
                  <c:v>488.54689999999999</c:v>
                </c:pt>
                <c:pt idx="84">
                  <c:v>482.62520000000001</c:v>
                </c:pt>
                <c:pt idx="85">
                  <c:v>481.1447</c:v>
                </c:pt>
                <c:pt idx="86">
                  <c:v>486.57299999999998</c:v>
                </c:pt>
                <c:pt idx="87">
                  <c:v>483.11860000000001</c:v>
                </c:pt>
                <c:pt idx="88">
                  <c:v>492.98829999999998</c:v>
                </c:pt>
                <c:pt idx="89">
                  <c:v>492.98829999999998</c:v>
                </c:pt>
                <c:pt idx="90">
                  <c:v>492.00130000000001</c:v>
                </c:pt>
                <c:pt idx="91">
                  <c:v>505.32530000000003</c:v>
                </c:pt>
                <c:pt idx="92">
                  <c:v>507.29919999999998</c:v>
                </c:pt>
                <c:pt idx="93">
                  <c:v>514.20799999999997</c:v>
                </c:pt>
                <c:pt idx="94">
                  <c:v>504.33839999999998</c:v>
                </c:pt>
                <c:pt idx="95">
                  <c:v>510.26010000000002</c:v>
                </c:pt>
                <c:pt idx="96">
                  <c:v>505.32530000000003</c:v>
                </c:pt>
                <c:pt idx="97">
                  <c:v>500.39049999999997</c:v>
                </c:pt>
                <c:pt idx="98">
                  <c:v>502.36439999999999</c:v>
                </c:pt>
                <c:pt idx="99">
                  <c:v>510.78030000000001</c:v>
                </c:pt>
                <c:pt idx="100">
                  <c:v>503.83760000000001</c:v>
                </c:pt>
                <c:pt idx="101">
                  <c:v>507.8048</c:v>
                </c:pt>
                <c:pt idx="102">
                  <c:v>507.8048</c:v>
                </c:pt>
                <c:pt idx="103">
                  <c:v>503.83760000000001</c:v>
                </c:pt>
                <c:pt idx="104">
                  <c:v>506.81299999999999</c:v>
                </c:pt>
                <c:pt idx="105">
                  <c:v>509.78840000000002</c:v>
                </c:pt>
                <c:pt idx="106">
                  <c:v>507.8048</c:v>
                </c:pt>
                <c:pt idx="107">
                  <c:v>510.78030000000001</c:v>
                </c:pt>
                <c:pt idx="108">
                  <c:v>511.77210000000002</c:v>
                </c:pt>
                <c:pt idx="109">
                  <c:v>521.69010000000003</c:v>
                </c:pt>
                <c:pt idx="110">
                  <c:v>525.65729999999996</c:v>
                </c:pt>
                <c:pt idx="111">
                  <c:v>531.60820000000001</c:v>
                </c:pt>
                <c:pt idx="112">
                  <c:v>550.45249999999999</c:v>
                </c:pt>
                <c:pt idx="113">
                  <c:v>549.46069999999997</c:v>
                </c:pt>
                <c:pt idx="114">
                  <c:v>575.24770000000001</c:v>
                </c:pt>
                <c:pt idx="115">
                  <c:v>572.2722</c:v>
                </c:pt>
                <c:pt idx="116">
                  <c:v>578.22310000000004</c:v>
                </c:pt>
                <c:pt idx="117">
                  <c:v>590.12480000000005</c:v>
                </c:pt>
                <c:pt idx="118">
                  <c:v>582.19029999999998</c:v>
                </c:pt>
                <c:pt idx="119">
                  <c:v>615.9117</c:v>
                </c:pt>
                <c:pt idx="120">
                  <c:v>603.01819999999998</c:v>
                </c:pt>
                <c:pt idx="121">
                  <c:v>612.93629999999996</c:v>
                </c:pt>
                <c:pt idx="122">
                  <c:v>627.8134</c:v>
                </c:pt>
                <c:pt idx="123">
                  <c:v>634.75599999999997</c:v>
                </c:pt>
                <c:pt idx="124">
                  <c:v>643.68230000000005</c:v>
                </c:pt>
                <c:pt idx="125">
                  <c:v>636.73969999999997</c:v>
                </c:pt>
                <c:pt idx="126">
                  <c:v>626.82159999999999</c:v>
                </c:pt>
                <c:pt idx="127">
                  <c:v>612.93629999999996</c:v>
                </c:pt>
                <c:pt idx="128">
                  <c:v>595.0838</c:v>
                </c:pt>
                <c:pt idx="129">
                  <c:v>613.92809999999997</c:v>
                </c:pt>
                <c:pt idx="130">
                  <c:v>590.12480000000005</c:v>
                </c:pt>
                <c:pt idx="131">
                  <c:v>623.84619999999995</c:v>
                </c:pt>
                <c:pt idx="132">
                  <c:v>632.77239999999995</c:v>
                </c:pt>
                <c:pt idx="133">
                  <c:v>620.87080000000003</c:v>
                </c:pt>
                <c:pt idx="134">
                  <c:v>632.77239999999995</c:v>
                </c:pt>
                <c:pt idx="135">
                  <c:v>657.56759999999997</c:v>
                </c:pt>
                <c:pt idx="136">
                  <c:v>658.55939999999998</c:v>
                </c:pt>
                <c:pt idx="137">
                  <c:v>650.62490000000003</c:v>
                </c:pt>
                <c:pt idx="138">
                  <c:v>654.59220000000005</c:v>
                </c:pt>
                <c:pt idx="139">
                  <c:v>635.74779999999998</c:v>
                </c:pt>
                <c:pt idx="140">
                  <c:v>621.86260000000004</c:v>
                </c:pt>
                <c:pt idx="141">
                  <c:v>630.78880000000004</c:v>
                </c:pt>
                <c:pt idx="142">
                  <c:v>605.99369999999999</c:v>
                </c:pt>
                <c:pt idx="143">
                  <c:v>615.9117</c:v>
                </c:pt>
                <c:pt idx="144">
                  <c:v>604.01</c:v>
                </c:pt>
                <c:pt idx="145">
                  <c:v>604.01</c:v>
                </c:pt>
                <c:pt idx="146">
                  <c:v>583.18209999999999</c:v>
                </c:pt>
                <c:pt idx="147">
                  <c:v>603.01819999999998</c:v>
                </c:pt>
                <c:pt idx="148">
                  <c:v>580.20669999999996</c:v>
                </c:pt>
                <c:pt idx="149">
                  <c:v>596.07560000000001</c:v>
                </c:pt>
                <c:pt idx="150">
                  <c:v>591.11659999999995</c:v>
                </c:pt>
                <c:pt idx="151">
                  <c:v>609.96090000000004</c:v>
                </c:pt>
                <c:pt idx="152">
                  <c:v>608.96910000000003</c:v>
                </c:pt>
                <c:pt idx="153">
                  <c:v>605.00189999999998</c:v>
                </c:pt>
                <c:pt idx="154">
                  <c:v>609.47109999999998</c:v>
                </c:pt>
                <c:pt idx="155">
                  <c:v>603.49590000000001</c:v>
                </c:pt>
                <c:pt idx="156">
                  <c:v>591.54549999999995</c:v>
                </c:pt>
                <c:pt idx="157">
                  <c:v>585.5702</c:v>
                </c:pt>
                <c:pt idx="158">
                  <c:v>594.53309999999999</c:v>
                </c:pt>
                <c:pt idx="159">
                  <c:v>568.64049999999997</c:v>
                </c:pt>
                <c:pt idx="160">
                  <c:v>569.63639999999998</c:v>
                </c:pt>
                <c:pt idx="161">
                  <c:v>579.59500000000003</c:v>
                </c:pt>
                <c:pt idx="162">
                  <c:v>596.52480000000003</c:v>
                </c:pt>
                <c:pt idx="163">
                  <c:v>597.52070000000003</c:v>
                </c:pt>
                <c:pt idx="164">
                  <c:v>593.53719999999998</c:v>
                </c:pt>
                <c:pt idx="165">
                  <c:v>595.52890000000002</c:v>
                </c:pt>
                <c:pt idx="166">
                  <c:v>612.45870000000002</c:v>
                </c:pt>
                <c:pt idx="167">
                  <c:v>611.46280000000002</c:v>
                </c:pt>
                <c:pt idx="168">
                  <c:v>603.49590000000001</c:v>
                </c:pt>
                <c:pt idx="169">
                  <c:v>615.44629999999995</c:v>
                </c:pt>
                <c:pt idx="170">
                  <c:v>609.47109999999998</c:v>
                </c:pt>
                <c:pt idx="171">
                  <c:v>601.50409999999999</c:v>
                </c:pt>
                <c:pt idx="172">
                  <c:v>605.48760000000004</c:v>
                </c:pt>
                <c:pt idx="173">
                  <c:v>609.47109999999998</c:v>
                </c:pt>
                <c:pt idx="174">
                  <c:v>607.47929999999997</c:v>
                </c:pt>
                <c:pt idx="175">
                  <c:v>602.5</c:v>
                </c:pt>
                <c:pt idx="176">
                  <c:v>595.52890000000002</c:v>
                </c:pt>
                <c:pt idx="177">
                  <c:v>596.52480000000003</c:v>
                </c:pt>
                <c:pt idx="178">
                  <c:v>593.53719999999998</c:v>
                </c:pt>
                <c:pt idx="179">
                  <c:v>589.55370000000005</c:v>
                </c:pt>
                <c:pt idx="180">
                  <c:v>602.5</c:v>
                </c:pt>
                <c:pt idx="181">
                  <c:v>605.48760000000004</c:v>
                </c:pt>
                <c:pt idx="182">
                  <c:v>603.49590000000001</c:v>
                </c:pt>
                <c:pt idx="183">
                  <c:v>606.48350000000005</c:v>
                </c:pt>
                <c:pt idx="184">
                  <c:v>592.54129999999998</c:v>
                </c:pt>
                <c:pt idx="185">
                  <c:v>585.5702</c:v>
                </c:pt>
                <c:pt idx="186">
                  <c:v>591.54549999999995</c:v>
                </c:pt>
                <c:pt idx="187">
                  <c:v>587.56200000000001</c:v>
                </c:pt>
                <c:pt idx="188">
                  <c:v>591.54549999999995</c:v>
                </c:pt>
                <c:pt idx="189">
                  <c:v>593.53719999999998</c:v>
                </c:pt>
                <c:pt idx="190">
                  <c:v>576.60739999999998</c:v>
                </c:pt>
                <c:pt idx="191">
                  <c:v>564.65700000000004</c:v>
                </c:pt>
                <c:pt idx="192">
                  <c:v>544.73969999999997</c:v>
                </c:pt>
                <c:pt idx="193">
                  <c:v>553.70249999999999</c:v>
                </c:pt>
                <c:pt idx="194">
                  <c:v>541.75210000000004</c:v>
                </c:pt>
                <c:pt idx="195">
                  <c:v>560.67359999999996</c:v>
                </c:pt>
                <c:pt idx="196">
                  <c:v>568.64049999999997</c:v>
                </c:pt>
                <c:pt idx="197">
                  <c:v>564.65700000000004</c:v>
                </c:pt>
                <c:pt idx="198">
                  <c:v>569.63639999999998</c:v>
                </c:pt>
                <c:pt idx="199">
                  <c:v>567.64459999999997</c:v>
                </c:pt>
                <c:pt idx="200">
                  <c:v>573.61980000000005</c:v>
                </c:pt>
                <c:pt idx="201">
                  <c:v>584.57439999999997</c:v>
                </c:pt>
                <c:pt idx="202">
                  <c:v>577.60329999999999</c:v>
                </c:pt>
                <c:pt idx="203">
                  <c:v>584.57439999999997</c:v>
                </c:pt>
                <c:pt idx="204">
                  <c:v>592.54129999999998</c:v>
                </c:pt>
                <c:pt idx="205">
                  <c:v>595.52890000000002</c:v>
                </c:pt>
                <c:pt idx="206">
                  <c:v>597.52070000000003</c:v>
                </c:pt>
                <c:pt idx="207">
                  <c:v>597.52070000000003</c:v>
                </c:pt>
                <c:pt idx="208">
                  <c:v>588.55790000000002</c:v>
                </c:pt>
                <c:pt idx="209">
                  <c:v>591.54549999999995</c:v>
                </c:pt>
                <c:pt idx="210">
                  <c:v>587.56200000000001</c:v>
                </c:pt>
                <c:pt idx="211">
                  <c:v>583.57849999999996</c:v>
                </c:pt>
                <c:pt idx="212">
                  <c:v>588.55790000000002</c:v>
                </c:pt>
                <c:pt idx="213">
                  <c:v>599.51239999999996</c:v>
                </c:pt>
                <c:pt idx="214">
                  <c:v>604.49170000000004</c:v>
                </c:pt>
                <c:pt idx="215">
                  <c:v>605.48760000000004</c:v>
                </c:pt>
                <c:pt idx="216">
                  <c:v>601</c:v>
                </c:pt>
                <c:pt idx="217">
                  <c:v>608</c:v>
                </c:pt>
                <c:pt idx="218">
                  <c:v>590</c:v>
                </c:pt>
                <c:pt idx="219">
                  <c:v>585</c:v>
                </c:pt>
                <c:pt idx="220">
                  <c:v>583</c:v>
                </c:pt>
                <c:pt idx="221">
                  <c:v>598</c:v>
                </c:pt>
                <c:pt idx="222">
                  <c:v>598</c:v>
                </c:pt>
                <c:pt idx="223">
                  <c:v>590</c:v>
                </c:pt>
                <c:pt idx="224">
                  <c:v>598</c:v>
                </c:pt>
                <c:pt idx="225">
                  <c:v>599</c:v>
                </c:pt>
                <c:pt idx="226">
                  <c:v>596</c:v>
                </c:pt>
                <c:pt idx="227">
                  <c:v>590</c:v>
                </c:pt>
                <c:pt idx="228">
                  <c:v>588</c:v>
                </c:pt>
                <c:pt idx="229">
                  <c:v>595</c:v>
                </c:pt>
                <c:pt idx="230">
                  <c:v>590</c:v>
                </c:pt>
                <c:pt idx="231">
                  <c:v>595</c:v>
                </c:pt>
                <c:pt idx="232">
                  <c:v>582</c:v>
                </c:pt>
                <c:pt idx="233">
                  <c:v>595</c:v>
                </c:pt>
                <c:pt idx="234">
                  <c:v>600</c:v>
                </c:pt>
                <c:pt idx="235">
                  <c:v>613</c:v>
                </c:pt>
                <c:pt idx="236">
                  <c:v>613</c:v>
                </c:pt>
                <c:pt idx="237">
                  <c:v>591</c:v>
                </c:pt>
                <c:pt idx="238">
                  <c:v>583</c:v>
                </c:pt>
                <c:pt idx="239">
                  <c:v>579</c:v>
                </c:pt>
                <c:pt idx="240">
                  <c:v>586</c:v>
                </c:pt>
                <c:pt idx="241">
                  <c:v>589</c:v>
                </c:pt>
                <c:pt idx="242">
                  <c:v>592</c:v>
                </c:pt>
                <c:pt idx="243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7A-4B36-B50A-54EFDE8FE29F}"/>
            </c:ext>
          </c:extLst>
        </c:ser>
        <c:ser>
          <c:idx val="1"/>
          <c:order val="1"/>
          <c:tx>
            <c:strRef>
              <c:f>工作底稿!$BB$7</c:f>
              <c:strCache>
                <c:ptCount val="1"/>
                <c:pt idx="0">
                  <c:v>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工作底稿!$BB$8:$BB$251</c:f>
              <c:numCache>
                <c:formatCode>General</c:formatCode>
                <c:ptCount val="244"/>
                <c:pt idx="0">
                  <c:v>457.90530000000001</c:v>
                </c:pt>
                <c:pt idx="1">
                  <c:v>423.55009999999999</c:v>
                </c:pt>
                <c:pt idx="2">
                  <c:v>432.87509999999997</c:v>
                </c:pt>
                <c:pt idx="3">
                  <c:v>424.04090000000002</c:v>
                </c:pt>
                <c:pt idx="4">
                  <c:v>416.18830000000003</c:v>
                </c:pt>
                <c:pt idx="5">
                  <c:v>417.66070000000002</c:v>
                </c:pt>
                <c:pt idx="6">
                  <c:v>425.51330000000002</c:v>
                </c:pt>
                <c:pt idx="7">
                  <c:v>429.93040000000002</c:v>
                </c:pt>
                <c:pt idx="8">
                  <c:v>426.00409999999999</c:v>
                </c:pt>
                <c:pt idx="9">
                  <c:v>429.43959999999998</c:v>
                </c:pt>
                <c:pt idx="10">
                  <c:v>426.98559999999998</c:v>
                </c:pt>
                <c:pt idx="11">
                  <c:v>415.69749999999999</c:v>
                </c:pt>
                <c:pt idx="12">
                  <c:v>421.09620000000001</c:v>
                </c:pt>
                <c:pt idx="13">
                  <c:v>420.1146</c:v>
                </c:pt>
                <c:pt idx="14">
                  <c:v>426.98559999999998</c:v>
                </c:pt>
                <c:pt idx="15">
                  <c:v>432.3843</c:v>
                </c:pt>
                <c:pt idx="16">
                  <c:v>428.45800000000003</c:v>
                </c:pt>
                <c:pt idx="17">
                  <c:v>419.62380000000002</c:v>
                </c:pt>
                <c:pt idx="18">
                  <c:v>419.13299999999998</c:v>
                </c:pt>
                <c:pt idx="19">
                  <c:v>426.4948</c:v>
                </c:pt>
                <c:pt idx="20">
                  <c:v>427.96719999999999</c:v>
                </c:pt>
                <c:pt idx="21">
                  <c:v>433.85669999999999</c:v>
                </c:pt>
                <c:pt idx="22">
                  <c:v>445.14479999999998</c:v>
                </c:pt>
                <c:pt idx="23">
                  <c:v>432.3843</c:v>
                </c:pt>
                <c:pt idx="24">
                  <c:v>431.40269999999998</c:v>
                </c:pt>
                <c:pt idx="25">
                  <c:v>426.98559999999998</c:v>
                </c:pt>
                <c:pt idx="26">
                  <c:v>432.87509999999997</c:v>
                </c:pt>
                <c:pt idx="27">
                  <c:v>431.40269999999998</c:v>
                </c:pt>
                <c:pt idx="28">
                  <c:v>424.5317</c:v>
                </c:pt>
                <c:pt idx="29">
                  <c:v>424.5317</c:v>
                </c:pt>
                <c:pt idx="30">
                  <c:v>425.02249999999998</c:v>
                </c:pt>
                <c:pt idx="31">
                  <c:v>420.1146</c:v>
                </c:pt>
                <c:pt idx="32">
                  <c:v>426.98559999999998</c:v>
                </c:pt>
                <c:pt idx="33">
                  <c:v>428.45800000000003</c:v>
                </c:pt>
                <c:pt idx="34">
                  <c:v>433.85669999999999</c:v>
                </c:pt>
                <c:pt idx="35">
                  <c:v>438.7645</c:v>
                </c:pt>
                <c:pt idx="36">
                  <c:v>453.48820000000001</c:v>
                </c:pt>
                <c:pt idx="37">
                  <c:v>449.0684</c:v>
                </c:pt>
                <c:pt idx="38">
                  <c:v>443.64010000000002</c:v>
                </c:pt>
                <c:pt idx="39">
                  <c:v>444.1336</c:v>
                </c:pt>
                <c:pt idx="40">
                  <c:v>435.2509</c:v>
                </c:pt>
                <c:pt idx="41">
                  <c:v>432.7835</c:v>
                </c:pt>
                <c:pt idx="42">
                  <c:v>423.40730000000002</c:v>
                </c:pt>
                <c:pt idx="43">
                  <c:v>422.42039999999997</c:v>
                </c:pt>
                <c:pt idx="44">
                  <c:v>425.87479999999999</c:v>
                </c:pt>
                <c:pt idx="45">
                  <c:v>429.32909999999998</c:v>
                </c:pt>
                <c:pt idx="46">
                  <c:v>429.32909999999998</c:v>
                </c:pt>
                <c:pt idx="47">
                  <c:v>432.29</c:v>
                </c:pt>
                <c:pt idx="48">
                  <c:v>436.23790000000002</c:v>
                </c:pt>
                <c:pt idx="49">
                  <c:v>439.19880000000001</c:v>
                </c:pt>
                <c:pt idx="50">
                  <c:v>448.08139999999997</c:v>
                </c:pt>
                <c:pt idx="51">
                  <c:v>455.97710000000001</c:v>
                </c:pt>
                <c:pt idx="52">
                  <c:v>458.93799999999999</c:v>
                </c:pt>
                <c:pt idx="53">
                  <c:v>454.99020000000002</c:v>
                </c:pt>
                <c:pt idx="54">
                  <c:v>450.54880000000003</c:v>
                </c:pt>
                <c:pt idx="55">
                  <c:v>450.05540000000002</c:v>
                </c:pt>
                <c:pt idx="56">
                  <c:v>451.53579999999999</c:v>
                </c:pt>
                <c:pt idx="57">
                  <c:v>451.04230000000001</c:v>
                </c:pt>
                <c:pt idx="58">
                  <c:v>450.05540000000002</c:v>
                </c:pt>
                <c:pt idx="59">
                  <c:v>449.0684</c:v>
                </c:pt>
                <c:pt idx="60">
                  <c:v>452.02929999999998</c:v>
                </c:pt>
                <c:pt idx="61">
                  <c:v>449.0684</c:v>
                </c:pt>
                <c:pt idx="62">
                  <c:v>442.65309999999999</c:v>
                </c:pt>
                <c:pt idx="63">
                  <c:v>441.17270000000002</c:v>
                </c:pt>
                <c:pt idx="64">
                  <c:v>433.77050000000003</c:v>
                </c:pt>
                <c:pt idx="65">
                  <c:v>431.30309999999997</c:v>
                </c:pt>
                <c:pt idx="66">
                  <c:v>429.82260000000002</c:v>
                </c:pt>
                <c:pt idx="67">
                  <c:v>437.22480000000002</c:v>
                </c:pt>
                <c:pt idx="68">
                  <c:v>445.61399999999998</c:v>
                </c:pt>
                <c:pt idx="69">
                  <c:v>445.61399999999998</c:v>
                </c:pt>
                <c:pt idx="70">
                  <c:v>449.56189999999998</c:v>
                </c:pt>
                <c:pt idx="71">
                  <c:v>454.00319999999999</c:v>
                </c:pt>
                <c:pt idx="72">
                  <c:v>448.57490000000001</c:v>
                </c:pt>
                <c:pt idx="73">
                  <c:v>451.04230000000001</c:v>
                </c:pt>
                <c:pt idx="74">
                  <c:v>457.45760000000001</c:v>
                </c:pt>
                <c:pt idx="75">
                  <c:v>455.97710000000001</c:v>
                </c:pt>
                <c:pt idx="76">
                  <c:v>478.18380000000002</c:v>
                </c:pt>
                <c:pt idx="77">
                  <c:v>499.40350000000001</c:v>
                </c:pt>
                <c:pt idx="78">
                  <c:v>490.52089999999998</c:v>
                </c:pt>
                <c:pt idx="79">
                  <c:v>492.4948</c:v>
                </c:pt>
                <c:pt idx="80">
                  <c:v>483.6121</c:v>
                </c:pt>
                <c:pt idx="81">
                  <c:v>492.00130000000001</c:v>
                </c:pt>
                <c:pt idx="82">
                  <c:v>493.48180000000002</c:v>
                </c:pt>
                <c:pt idx="83">
                  <c:v>489.04039999999998</c:v>
                </c:pt>
                <c:pt idx="84">
                  <c:v>487.06650000000002</c:v>
                </c:pt>
                <c:pt idx="85">
                  <c:v>485.58600000000001</c:v>
                </c:pt>
                <c:pt idx="86">
                  <c:v>487.06650000000002</c:v>
                </c:pt>
                <c:pt idx="87">
                  <c:v>483.6121</c:v>
                </c:pt>
                <c:pt idx="88">
                  <c:v>493.48180000000002</c:v>
                </c:pt>
                <c:pt idx="89">
                  <c:v>492.98829999999998</c:v>
                </c:pt>
                <c:pt idx="90">
                  <c:v>498.41660000000002</c:v>
                </c:pt>
                <c:pt idx="91">
                  <c:v>508.28620000000001</c:v>
                </c:pt>
                <c:pt idx="92">
                  <c:v>518.1558</c:v>
                </c:pt>
                <c:pt idx="93">
                  <c:v>517.16890000000001</c:v>
                </c:pt>
                <c:pt idx="94">
                  <c:v>508.28620000000001</c:v>
                </c:pt>
                <c:pt idx="95">
                  <c:v>510.26010000000002</c:v>
                </c:pt>
                <c:pt idx="96">
                  <c:v>506.31229999999999</c:v>
                </c:pt>
                <c:pt idx="97">
                  <c:v>503.35140000000001</c:v>
                </c:pt>
                <c:pt idx="98">
                  <c:v>508.28620000000001</c:v>
                </c:pt>
                <c:pt idx="99">
                  <c:v>510.78030000000001</c:v>
                </c:pt>
                <c:pt idx="100">
                  <c:v>507.8048</c:v>
                </c:pt>
                <c:pt idx="101">
                  <c:v>512.76390000000004</c:v>
                </c:pt>
                <c:pt idx="102">
                  <c:v>511.77210000000002</c:v>
                </c:pt>
                <c:pt idx="103">
                  <c:v>506.81299999999999</c:v>
                </c:pt>
                <c:pt idx="104">
                  <c:v>507.8048</c:v>
                </c:pt>
                <c:pt idx="105">
                  <c:v>510.78030000000001</c:v>
                </c:pt>
                <c:pt idx="106">
                  <c:v>510.78030000000001</c:v>
                </c:pt>
                <c:pt idx="107">
                  <c:v>512.76390000000004</c:v>
                </c:pt>
                <c:pt idx="108">
                  <c:v>520.69830000000002</c:v>
                </c:pt>
                <c:pt idx="109">
                  <c:v>525.65729999999996</c:v>
                </c:pt>
                <c:pt idx="110">
                  <c:v>535.57539999999995</c:v>
                </c:pt>
                <c:pt idx="111">
                  <c:v>537.55899999999997</c:v>
                </c:pt>
                <c:pt idx="112">
                  <c:v>550.45249999999999</c:v>
                </c:pt>
                <c:pt idx="113">
                  <c:v>565.32960000000003</c:v>
                </c:pt>
                <c:pt idx="114">
                  <c:v>575.24770000000001</c:v>
                </c:pt>
                <c:pt idx="115">
                  <c:v>579.21489999999994</c:v>
                </c:pt>
                <c:pt idx="116">
                  <c:v>592.10839999999996</c:v>
                </c:pt>
                <c:pt idx="117">
                  <c:v>600.04280000000006</c:v>
                </c:pt>
                <c:pt idx="118">
                  <c:v>592.10839999999996</c:v>
                </c:pt>
                <c:pt idx="119">
                  <c:v>619.87890000000004</c:v>
                </c:pt>
                <c:pt idx="120">
                  <c:v>603.01819999999998</c:v>
                </c:pt>
                <c:pt idx="121">
                  <c:v>626.82159999999999</c:v>
                </c:pt>
                <c:pt idx="122">
                  <c:v>644.67409999999995</c:v>
                </c:pt>
                <c:pt idx="123">
                  <c:v>673.43650000000002</c:v>
                </c:pt>
                <c:pt idx="124">
                  <c:v>659.55119999999999</c:v>
                </c:pt>
                <c:pt idx="125">
                  <c:v>640.70690000000002</c:v>
                </c:pt>
                <c:pt idx="126">
                  <c:v>634.75599999999997</c:v>
                </c:pt>
                <c:pt idx="127">
                  <c:v>619.87890000000004</c:v>
                </c:pt>
                <c:pt idx="128">
                  <c:v>603.01819999999998</c:v>
                </c:pt>
                <c:pt idx="129">
                  <c:v>613.92809999999997</c:v>
                </c:pt>
                <c:pt idx="130">
                  <c:v>606.9855</c:v>
                </c:pt>
                <c:pt idx="131">
                  <c:v>632.77239999999995</c:v>
                </c:pt>
                <c:pt idx="132">
                  <c:v>636.73969999999997</c:v>
                </c:pt>
                <c:pt idx="133">
                  <c:v>626.82159999999999</c:v>
                </c:pt>
                <c:pt idx="134">
                  <c:v>635.74779999999998</c:v>
                </c:pt>
                <c:pt idx="135">
                  <c:v>662.52660000000003</c:v>
                </c:pt>
                <c:pt idx="136">
                  <c:v>659.55119999999999</c:v>
                </c:pt>
                <c:pt idx="137">
                  <c:v>651.61680000000001</c:v>
                </c:pt>
                <c:pt idx="138">
                  <c:v>656.57579999999996</c:v>
                </c:pt>
                <c:pt idx="139">
                  <c:v>637.73149999999998</c:v>
                </c:pt>
                <c:pt idx="140">
                  <c:v>630.78880000000004</c:v>
                </c:pt>
                <c:pt idx="141">
                  <c:v>630.78880000000004</c:v>
                </c:pt>
                <c:pt idx="142">
                  <c:v>612.93629999999996</c:v>
                </c:pt>
                <c:pt idx="143">
                  <c:v>616.90350000000001</c:v>
                </c:pt>
                <c:pt idx="144">
                  <c:v>616.90350000000001</c:v>
                </c:pt>
                <c:pt idx="145">
                  <c:v>605.99369999999999</c:v>
                </c:pt>
                <c:pt idx="146">
                  <c:v>600.04280000000006</c:v>
                </c:pt>
                <c:pt idx="147">
                  <c:v>605.00189999999998</c:v>
                </c:pt>
                <c:pt idx="148">
                  <c:v>590.12480000000005</c:v>
                </c:pt>
                <c:pt idx="149">
                  <c:v>596.07560000000001</c:v>
                </c:pt>
                <c:pt idx="150">
                  <c:v>606.9855</c:v>
                </c:pt>
                <c:pt idx="151">
                  <c:v>612.93629999999996</c:v>
                </c:pt>
                <c:pt idx="152">
                  <c:v>608.96910000000003</c:v>
                </c:pt>
                <c:pt idx="153">
                  <c:v>607.97730000000001</c:v>
                </c:pt>
                <c:pt idx="154">
                  <c:v>609.47109999999998</c:v>
                </c:pt>
                <c:pt idx="155">
                  <c:v>606.48350000000005</c:v>
                </c:pt>
                <c:pt idx="156">
                  <c:v>595.52890000000002</c:v>
                </c:pt>
                <c:pt idx="157">
                  <c:v>595.52890000000002</c:v>
                </c:pt>
                <c:pt idx="158">
                  <c:v>600.50829999999996</c:v>
                </c:pt>
                <c:pt idx="159">
                  <c:v>579.59500000000003</c:v>
                </c:pt>
                <c:pt idx="160">
                  <c:v>578.5992</c:v>
                </c:pt>
                <c:pt idx="161">
                  <c:v>589.55370000000005</c:v>
                </c:pt>
                <c:pt idx="162">
                  <c:v>599.51239999999996</c:v>
                </c:pt>
                <c:pt idx="163">
                  <c:v>597.52070000000003</c:v>
                </c:pt>
                <c:pt idx="164">
                  <c:v>594.53309999999999</c:v>
                </c:pt>
                <c:pt idx="165">
                  <c:v>599.51239999999996</c:v>
                </c:pt>
                <c:pt idx="166">
                  <c:v>613.45450000000005</c:v>
                </c:pt>
                <c:pt idx="167">
                  <c:v>611.46280000000002</c:v>
                </c:pt>
                <c:pt idx="168">
                  <c:v>610.46690000000001</c:v>
                </c:pt>
                <c:pt idx="169">
                  <c:v>615.44629999999995</c:v>
                </c:pt>
                <c:pt idx="170">
                  <c:v>610.46690000000001</c:v>
                </c:pt>
                <c:pt idx="171">
                  <c:v>610.46690000000001</c:v>
                </c:pt>
                <c:pt idx="172">
                  <c:v>609.47109999999998</c:v>
                </c:pt>
                <c:pt idx="173">
                  <c:v>616.44209999999998</c:v>
                </c:pt>
                <c:pt idx="174">
                  <c:v>608.47519999999997</c:v>
                </c:pt>
                <c:pt idx="175">
                  <c:v>604.49170000000004</c:v>
                </c:pt>
                <c:pt idx="176">
                  <c:v>599.51239999999996</c:v>
                </c:pt>
                <c:pt idx="177">
                  <c:v>596.52480000000003</c:v>
                </c:pt>
                <c:pt idx="178">
                  <c:v>595.52890000000002</c:v>
                </c:pt>
                <c:pt idx="179">
                  <c:v>599.51239999999996</c:v>
                </c:pt>
                <c:pt idx="180">
                  <c:v>607.47929999999997</c:v>
                </c:pt>
                <c:pt idx="181">
                  <c:v>608.47519999999997</c:v>
                </c:pt>
                <c:pt idx="182">
                  <c:v>605.48760000000004</c:v>
                </c:pt>
                <c:pt idx="183">
                  <c:v>606.48350000000005</c:v>
                </c:pt>
                <c:pt idx="184">
                  <c:v>594.53309999999999</c:v>
                </c:pt>
                <c:pt idx="185">
                  <c:v>591.54549999999995</c:v>
                </c:pt>
                <c:pt idx="186">
                  <c:v>591.54549999999995</c:v>
                </c:pt>
                <c:pt idx="187">
                  <c:v>587.56200000000001</c:v>
                </c:pt>
                <c:pt idx="188">
                  <c:v>597.52070000000003</c:v>
                </c:pt>
                <c:pt idx="189">
                  <c:v>594.53309999999999</c:v>
                </c:pt>
                <c:pt idx="190">
                  <c:v>577.60329999999999</c:v>
                </c:pt>
                <c:pt idx="191">
                  <c:v>568.64049999999997</c:v>
                </c:pt>
                <c:pt idx="192">
                  <c:v>560.67359999999996</c:v>
                </c:pt>
                <c:pt idx="193">
                  <c:v>559.67769999999996</c:v>
                </c:pt>
                <c:pt idx="194">
                  <c:v>555.69420000000002</c:v>
                </c:pt>
                <c:pt idx="195">
                  <c:v>570.63220000000001</c:v>
                </c:pt>
                <c:pt idx="196">
                  <c:v>569.63639999999998</c:v>
                </c:pt>
                <c:pt idx="197">
                  <c:v>568.64049999999997</c:v>
                </c:pt>
                <c:pt idx="198">
                  <c:v>574.61569999999995</c:v>
                </c:pt>
                <c:pt idx="199">
                  <c:v>569.63639999999998</c:v>
                </c:pt>
                <c:pt idx="200">
                  <c:v>581.58680000000004</c:v>
                </c:pt>
                <c:pt idx="201">
                  <c:v>585.5702</c:v>
                </c:pt>
                <c:pt idx="202">
                  <c:v>579.59500000000003</c:v>
                </c:pt>
                <c:pt idx="203">
                  <c:v>589.55370000000005</c:v>
                </c:pt>
                <c:pt idx="204">
                  <c:v>594.53309999999999</c:v>
                </c:pt>
                <c:pt idx="205">
                  <c:v>596.52480000000003</c:v>
                </c:pt>
                <c:pt idx="206">
                  <c:v>597.52070000000003</c:v>
                </c:pt>
                <c:pt idx="207">
                  <c:v>597.52070000000003</c:v>
                </c:pt>
                <c:pt idx="208">
                  <c:v>592.54129999999998</c:v>
                </c:pt>
                <c:pt idx="209">
                  <c:v>592.54129999999998</c:v>
                </c:pt>
                <c:pt idx="210">
                  <c:v>592.54129999999998</c:v>
                </c:pt>
                <c:pt idx="211">
                  <c:v>585.5702</c:v>
                </c:pt>
                <c:pt idx="212">
                  <c:v>596.52480000000003</c:v>
                </c:pt>
                <c:pt idx="213">
                  <c:v>600.50829999999996</c:v>
                </c:pt>
                <c:pt idx="214">
                  <c:v>606.48350000000005</c:v>
                </c:pt>
                <c:pt idx="215">
                  <c:v>605.48760000000004</c:v>
                </c:pt>
                <c:pt idx="216">
                  <c:v>606</c:v>
                </c:pt>
                <c:pt idx="217">
                  <c:v>608</c:v>
                </c:pt>
                <c:pt idx="218">
                  <c:v>594</c:v>
                </c:pt>
                <c:pt idx="219">
                  <c:v>588</c:v>
                </c:pt>
                <c:pt idx="220">
                  <c:v>598</c:v>
                </c:pt>
                <c:pt idx="221">
                  <c:v>598</c:v>
                </c:pt>
                <c:pt idx="222">
                  <c:v>598</c:v>
                </c:pt>
                <c:pt idx="223">
                  <c:v>590</c:v>
                </c:pt>
                <c:pt idx="224">
                  <c:v>598</c:v>
                </c:pt>
                <c:pt idx="225">
                  <c:v>599</c:v>
                </c:pt>
                <c:pt idx="226">
                  <c:v>597</c:v>
                </c:pt>
                <c:pt idx="227">
                  <c:v>593</c:v>
                </c:pt>
                <c:pt idx="228">
                  <c:v>597</c:v>
                </c:pt>
                <c:pt idx="229">
                  <c:v>596</c:v>
                </c:pt>
                <c:pt idx="230">
                  <c:v>594</c:v>
                </c:pt>
                <c:pt idx="231">
                  <c:v>595</c:v>
                </c:pt>
                <c:pt idx="232">
                  <c:v>585</c:v>
                </c:pt>
                <c:pt idx="233">
                  <c:v>597</c:v>
                </c:pt>
                <c:pt idx="234">
                  <c:v>608</c:v>
                </c:pt>
                <c:pt idx="235">
                  <c:v>615</c:v>
                </c:pt>
                <c:pt idx="236">
                  <c:v>614</c:v>
                </c:pt>
                <c:pt idx="237">
                  <c:v>595</c:v>
                </c:pt>
                <c:pt idx="238">
                  <c:v>584</c:v>
                </c:pt>
                <c:pt idx="239">
                  <c:v>584</c:v>
                </c:pt>
                <c:pt idx="240">
                  <c:v>586</c:v>
                </c:pt>
                <c:pt idx="241">
                  <c:v>594</c:v>
                </c:pt>
                <c:pt idx="242">
                  <c:v>592</c:v>
                </c:pt>
                <c:pt idx="243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A-4B36-B50A-54EFDE8FE29F}"/>
            </c:ext>
          </c:extLst>
        </c:ser>
        <c:ser>
          <c:idx val="2"/>
          <c:order val="2"/>
          <c:tx>
            <c:strRef>
              <c:f>工作底稿!$BC$7</c:f>
              <c:strCache>
                <c:ptCount val="1"/>
                <c:pt idx="0">
                  <c:v>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工作底稿!$BC$8:$BC$251</c:f>
              <c:numCache>
                <c:formatCode>General</c:formatCode>
                <c:ptCount val="244"/>
                <c:pt idx="0">
                  <c:v>420.60539999999997</c:v>
                </c:pt>
                <c:pt idx="1">
                  <c:v>411.77120000000002</c:v>
                </c:pt>
                <c:pt idx="2">
                  <c:v>420.60539999999997</c:v>
                </c:pt>
                <c:pt idx="3">
                  <c:v>417.66070000000002</c:v>
                </c:pt>
                <c:pt idx="4">
                  <c:v>407.35410000000002</c:v>
                </c:pt>
                <c:pt idx="5">
                  <c:v>410.78960000000001</c:v>
                </c:pt>
                <c:pt idx="6">
                  <c:v>418.15140000000002</c:v>
                </c:pt>
                <c:pt idx="7">
                  <c:v>423.05930000000001</c:v>
                </c:pt>
                <c:pt idx="8">
                  <c:v>420.1146</c:v>
                </c:pt>
                <c:pt idx="9">
                  <c:v>419.62380000000002</c:v>
                </c:pt>
                <c:pt idx="10">
                  <c:v>421.09620000000001</c:v>
                </c:pt>
                <c:pt idx="11">
                  <c:v>411.28039999999999</c:v>
                </c:pt>
                <c:pt idx="12">
                  <c:v>416.67910000000001</c:v>
                </c:pt>
                <c:pt idx="13">
                  <c:v>415.20670000000001</c:v>
                </c:pt>
                <c:pt idx="14">
                  <c:v>417.66070000000002</c:v>
                </c:pt>
                <c:pt idx="15">
                  <c:v>424.04090000000002</c:v>
                </c:pt>
                <c:pt idx="16">
                  <c:v>419.62380000000002</c:v>
                </c:pt>
                <c:pt idx="17">
                  <c:v>393.61200000000002</c:v>
                </c:pt>
                <c:pt idx="18">
                  <c:v>412.262</c:v>
                </c:pt>
                <c:pt idx="19">
                  <c:v>417.16989999999998</c:v>
                </c:pt>
                <c:pt idx="20">
                  <c:v>422.56849999999997</c:v>
                </c:pt>
                <c:pt idx="21">
                  <c:v>426.98559999999998</c:v>
                </c:pt>
                <c:pt idx="22">
                  <c:v>435.81979999999999</c:v>
                </c:pt>
                <c:pt idx="23">
                  <c:v>423.05930000000001</c:v>
                </c:pt>
                <c:pt idx="24">
                  <c:v>418.6422</c:v>
                </c:pt>
                <c:pt idx="25">
                  <c:v>420.1146</c:v>
                </c:pt>
                <c:pt idx="26">
                  <c:v>422.56849999999997</c:v>
                </c:pt>
                <c:pt idx="27">
                  <c:v>425.51330000000002</c:v>
                </c:pt>
                <c:pt idx="28">
                  <c:v>419.13299999999998</c:v>
                </c:pt>
                <c:pt idx="29">
                  <c:v>417.16989999999998</c:v>
                </c:pt>
                <c:pt idx="30">
                  <c:v>419.62380000000002</c:v>
                </c:pt>
                <c:pt idx="31">
                  <c:v>415.20670000000001</c:v>
                </c:pt>
                <c:pt idx="32">
                  <c:v>422.56849999999997</c:v>
                </c:pt>
                <c:pt idx="33">
                  <c:v>424.5317</c:v>
                </c:pt>
                <c:pt idx="34">
                  <c:v>427.47640000000001</c:v>
                </c:pt>
                <c:pt idx="35">
                  <c:v>431.40269999999998</c:v>
                </c:pt>
                <c:pt idx="36">
                  <c:v>447.10789999999997</c:v>
                </c:pt>
                <c:pt idx="37">
                  <c:v>440.67919999999998</c:v>
                </c:pt>
                <c:pt idx="38">
                  <c:v>437.22480000000002</c:v>
                </c:pt>
                <c:pt idx="39">
                  <c:v>434.26389999999998</c:v>
                </c:pt>
                <c:pt idx="40">
                  <c:v>430.31610000000001</c:v>
                </c:pt>
                <c:pt idx="41">
                  <c:v>426.3682</c:v>
                </c:pt>
                <c:pt idx="42">
                  <c:v>417.48559999999998</c:v>
                </c:pt>
                <c:pt idx="43">
                  <c:v>415.51159999999999</c:v>
                </c:pt>
                <c:pt idx="44">
                  <c:v>418.96600000000001</c:v>
                </c:pt>
                <c:pt idx="45">
                  <c:v>422.42039999999997</c:v>
                </c:pt>
                <c:pt idx="46">
                  <c:v>424.88780000000003</c:v>
                </c:pt>
                <c:pt idx="47">
                  <c:v>425.87479999999999</c:v>
                </c:pt>
                <c:pt idx="48">
                  <c:v>431.79649999999998</c:v>
                </c:pt>
                <c:pt idx="49">
                  <c:v>429.32909999999998</c:v>
                </c:pt>
                <c:pt idx="50">
                  <c:v>442.65309999999999</c:v>
                </c:pt>
                <c:pt idx="51">
                  <c:v>451.53579999999999</c:v>
                </c:pt>
                <c:pt idx="52">
                  <c:v>450.54880000000003</c:v>
                </c:pt>
                <c:pt idx="53">
                  <c:v>451.04230000000001</c:v>
                </c:pt>
                <c:pt idx="54">
                  <c:v>444.1336</c:v>
                </c:pt>
                <c:pt idx="55">
                  <c:v>442.65309999999999</c:v>
                </c:pt>
                <c:pt idx="56">
                  <c:v>445.12049999999999</c:v>
                </c:pt>
                <c:pt idx="57">
                  <c:v>445.12049999999999</c:v>
                </c:pt>
                <c:pt idx="58">
                  <c:v>445.12049999999999</c:v>
                </c:pt>
                <c:pt idx="59">
                  <c:v>443.64010000000002</c:v>
                </c:pt>
                <c:pt idx="60">
                  <c:v>445.61399999999998</c:v>
                </c:pt>
                <c:pt idx="61">
                  <c:v>444.1336</c:v>
                </c:pt>
                <c:pt idx="62">
                  <c:v>439.69220000000001</c:v>
                </c:pt>
                <c:pt idx="63">
                  <c:v>437.22480000000002</c:v>
                </c:pt>
                <c:pt idx="64">
                  <c:v>429.82260000000002</c:v>
                </c:pt>
                <c:pt idx="65">
                  <c:v>426.3682</c:v>
                </c:pt>
                <c:pt idx="66">
                  <c:v>422.42039999999997</c:v>
                </c:pt>
                <c:pt idx="67">
                  <c:v>432.29</c:v>
                </c:pt>
                <c:pt idx="68">
                  <c:v>437.22480000000002</c:v>
                </c:pt>
                <c:pt idx="69">
                  <c:v>439.69220000000001</c:v>
                </c:pt>
                <c:pt idx="70">
                  <c:v>444.1336</c:v>
                </c:pt>
                <c:pt idx="71">
                  <c:v>448.08139999999997</c:v>
                </c:pt>
                <c:pt idx="72">
                  <c:v>442.65309999999999</c:v>
                </c:pt>
                <c:pt idx="73">
                  <c:v>442.65309999999999</c:v>
                </c:pt>
                <c:pt idx="74">
                  <c:v>451.53579999999999</c:v>
                </c:pt>
                <c:pt idx="75">
                  <c:v>450.54880000000003</c:v>
                </c:pt>
                <c:pt idx="76">
                  <c:v>462.88589999999999</c:v>
                </c:pt>
                <c:pt idx="77">
                  <c:v>479.17079999999999</c:v>
                </c:pt>
                <c:pt idx="78">
                  <c:v>480.15769999999998</c:v>
                </c:pt>
                <c:pt idx="79">
                  <c:v>483.6121</c:v>
                </c:pt>
                <c:pt idx="80">
                  <c:v>479.66430000000003</c:v>
                </c:pt>
                <c:pt idx="81">
                  <c:v>485.58600000000001</c:v>
                </c:pt>
                <c:pt idx="82">
                  <c:v>485.0926</c:v>
                </c:pt>
                <c:pt idx="83">
                  <c:v>480.65120000000002</c:v>
                </c:pt>
                <c:pt idx="84">
                  <c:v>481.63819999999998</c:v>
                </c:pt>
                <c:pt idx="85">
                  <c:v>480.15769999999998</c:v>
                </c:pt>
                <c:pt idx="86">
                  <c:v>474.23599999999999</c:v>
                </c:pt>
                <c:pt idx="87">
                  <c:v>477.19690000000003</c:v>
                </c:pt>
                <c:pt idx="88">
                  <c:v>487.06650000000002</c:v>
                </c:pt>
                <c:pt idx="89">
                  <c:v>488.54689999999999</c:v>
                </c:pt>
                <c:pt idx="90">
                  <c:v>491.01429999999999</c:v>
                </c:pt>
                <c:pt idx="91">
                  <c:v>499.40350000000001</c:v>
                </c:pt>
                <c:pt idx="92">
                  <c:v>502.36439999999999</c:v>
                </c:pt>
                <c:pt idx="93">
                  <c:v>513.221</c:v>
                </c:pt>
                <c:pt idx="94">
                  <c:v>503.35140000000001</c:v>
                </c:pt>
                <c:pt idx="95">
                  <c:v>498.41660000000002</c:v>
                </c:pt>
                <c:pt idx="96">
                  <c:v>501.3775</c:v>
                </c:pt>
                <c:pt idx="97">
                  <c:v>497.42959999999999</c:v>
                </c:pt>
                <c:pt idx="98">
                  <c:v>500.39049999999997</c:v>
                </c:pt>
                <c:pt idx="99">
                  <c:v>503.83760000000001</c:v>
                </c:pt>
                <c:pt idx="100">
                  <c:v>502.8458</c:v>
                </c:pt>
                <c:pt idx="101">
                  <c:v>503.83760000000001</c:v>
                </c:pt>
                <c:pt idx="102">
                  <c:v>504.82940000000002</c:v>
                </c:pt>
                <c:pt idx="103">
                  <c:v>501.85399999999998</c:v>
                </c:pt>
                <c:pt idx="104">
                  <c:v>503.83760000000001</c:v>
                </c:pt>
                <c:pt idx="105">
                  <c:v>505.82119999999998</c:v>
                </c:pt>
                <c:pt idx="106">
                  <c:v>504.82940000000002</c:v>
                </c:pt>
                <c:pt idx="107">
                  <c:v>508.79660000000001</c:v>
                </c:pt>
                <c:pt idx="108">
                  <c:v>509.78840000000002</c:v>
                </c:pt>
                <c:pt idx="109">
                  <c:v>519.70650000000001</c:v>
                </c:pt>
                <c:pt idx="110">
                  <c:v>523.67370000000005</c:v>
                </c:pt>
                <c:pt idx="111">
                  <c:v>530.6164</c:v>
                </c:pt>
                <c:pt idx="112">
                  <c:v>536.56719999999996</c:v>
                </c:pt>
                <c:pt idx="113">
                  <c:v>548.46889999999996</c:v>
                </c:pt>
                <c:pt idx="114">
                  <c:v>566.32140000000004</c:v>
                </c:pt>
                <c:pt idx="115">
                  <c:v>569.29679999999996</c:v>
                </c:pt>
                <c:pt idx="116">
                  <c:v>577.23130000000003</c:v>
                </c:pt>
                <c:pt idx="117">
                  <c:v>588.14110000000005</c:v>
                </c:pt>
                <c:pt idx="118">
                  <c:v>582.19029999999998</c:v>
                </c:pt>
                <c:pt idx="119">
                  <c:v>596.07560000000001</c:v>
                </c:pt>
                <c:pt idx="120">
                  <c:v>589.13300000000004</c:v>
                </c:pt>
                <c:pt idx="121">
                  <c:v>607.97730000000001</c:v>
                </c:pt>
                <c:pt idx="122">
                  <c:v>625.82979999999998</c:v>
                </c:pt>
                <c:pt idx="123">
                  <c:v>634.75599999999997</c:v>
                </c:pt>
                <c:pt idx="124">
                  <c:v>643.68230000000005</c:v>
                </c:pt>
                <c:pt idx="125">
                  <c:v>620.87080000000003</c:v>
                </c:pt>
                <c:pt idx="126">
                  <c:v>605.00189999999998</c:v>
                </c:pt>
                <c:pt idx="127">
                  <c:v>605.99369999999999</c:v>
                </c:pt>
                <c:pt idx="128">
                  <c:v>593.10019999999997</c:v>
                </c:pt>
                <c:pt idx="129">
                  <c:v>586.15750000000003</c:v>
                </c:pt>
                <c:pt idx="130">
                  <c:v>582.19029999999998</c:v>
                </c:pt>
                <c:pt idx="131">
                  <c:v>616.90350000000001</c:v>
                </c:pt>
                <c:pt idx="132">
                  <c:v>624.83799999999997</c:v>
                </c:pt>
                <c:pt idx="133">
                  <c:v>614.91989999999998</c:v>
                </c:pt>
                <c:pt idx="134">
                  <c:v>625.82979999999998</c:v>
                </c:pt>
                <c:pt idx="135">
                  <c:v>654.59220000000005</c:v>
                </c:pt>
                <c:pt idx="136">
                  <c:v>650.62490000000003</c:v>
                </c:pt>
                <c:pt idx="137">
                  <c:v>641.69870000000003</c:v>
                </c:pt>
                <c:pt idx="138">
                  <c:v>644.67409999999995</c:v>
                </c:pt>
                <c:pt idx="139">
                  <c:v>627.8134</c:v>
                </c:pt>
                <c:pt idx="140">
                  <c:v>619.87890000000004</c:v>
                </c:pt>
                <c:pt idx="141">
                  <c:v>622.85440000000006</c:v>
                </c:pt>
                <c:pt idx="142">
                  <c:v>601.03459999999995</c:v>
                </c:pt>
                <c:pt idx="143">
                  <c:v>604.01</c:v>
                </c:pt>
                <c:pt idx="144">
                  <c:v>596.07560000000001</c:v>
                </c:pt>
                <c:pt idx="145">
                  <c:v>596.07560000000001</c:v>
                </c:pt>
                <c:pt idx="146">
                  <c:v>579.21489999999994</c:v>
                </c:pt>
                <c:pt idx="147">
                  <c:v>593.10019999999997</c:v>
                </c:pt>
                <c:pt idx="148">
                  <c:v>580.20669999999996</c:v>
                </c:pt>
                <c:pt idx="149">
                  <c:v>588.14110000000005</c:v>
                </c:pt>
                <c:pt idx="150">
                  <c:v>590.12480000000005</c:v>
                </c:pt>
                <c:pt idx="151">
                  <c:v>604.01</c:v>
                </c:pt>
                <c:pt idx="152">
                  <c:v>604.01</c:v>
                </c:pt>
                <c:pt idx="153">
                  <c:v>602.02639999999997</c:v>
                </c:pt>
                <c:pt idx="154">
                  <c:v>599.51239999999996</c:v>
                </c:pt>
                <c:pt idx="155">
                  <c:v>599.51239999999996</c:v>
                </c:pt>
                <c:pt idx="156">
                  <c:v>588.55790000000002</c:v>
                </c:pt>
                <c:pt idx="157">
                  <c:v>583.57849999999996</c:v>
                </c:pt>
                <c:pt idx="158">
                  <c:v>590.54960000000005</c:v>
                </c:pt>
                <c:pt idx="159">
                  <c:v>568.64049999999997</c:v>
                </c:pt>
                <c:pt idx="160">
                  <c:v>567.64459999999997</c:v>
                </c:pt>
                <c:pt idx="161">
                  <c:v>577.60329999999999</c:v>
                </c:pt>
                <c:pt idx="162">
                  <c:v>593.53719999999998</c:v>
                </c:pt>
                <c:pt idx="163">
                  <c:v>589.55370000000005</c:v>
                </c:pt>
                <c:pt idx="164">
                  <c:v>584.57439999999997</c:v>
                </c:pt>
                <c:pt idx="165">
                  <c:v>591.54549999999995</c:v>
                </c:pt>
                <c:pt idx="166">
                  <c:v>605.48760000000004</c:v>
                </c:pt>
                <c:pt idx="167">
                  <c:v>605.48760000000004</c:v>
                </c:pt>
                <c:pt idx="168">
                  <c:v>600.50829999999996</c:v>
                </c:pt>
                <c:pt idx="169">
                  <c:v>606.48350000000005</c:v>
                </c:pt>
                <c:pt idx="170">
                  <c:v>600.50829999999996</c:v>
                </c:pt>
                <c:pt idx="171">
                  <c:v>601.50409999999999</c:v>
                </c:pt>
                <c:pt idx="172">
                  <c:v>597.52070000000003</c:v>
                </c:pt>
                <c:pt idx="173">
                  <c:v>604.49170000000004</c:v>
                </c:pt>
                <c:pt idx="174">
                  <c:v>600.50829999999996</c:v>
                </c:pt>
                <c:pt idx="175">
                  <c:v>598.51649999999995</c:v>
                </c:pt>
                <c:pt idx="176">
                  <c:v>592.54129999999998</c:v>
                </c:pt>
                <c:pt idx="177">
                  <c:v>589.55370000000005</c:v>
                </c:pt>
                <c:pt idx="178">
                  <c:v>588.55790000000002</c:v>
                </c:pt>
                <c:pt idx="179">
                  <c:v>587.56200000000001</c:v>
                </c:pt>
                <c:pt idx="180">
                  <c:v>600.50829999999996</c:v>
                </c:pt>
                <c:pt idx="181">
                  <c:v>602.5</c:v>
                </c:pt>
                <c:pt idx="182">
                  <c:v>598.51649999999995</c:v>
                </c:pt>
                <c:pt idx="183">
                  <c:v>597.52070000000003</c:v>
                </c:pt>
                <c:pt idx="184">
                  <c:v>585.5702</c:v>
                </c:pt>
                <c:pt idx="185">
                  <c:v>579.59500000000003</c:v>
                </c:pt>
                <c:pt idx="186">
                  <c:v>582.58259999999996</c:v>
                </c:pt>
                <c:pt idx="187">
                  <c:v>577.60329999999999</c:v>
                </c:pt>
                <c:pt idx="188">
                  <c:v>586.56610000000001</c:v>
                </c:pt>
                <c:pt idx="189">
                  <c:v>585.5702</c:v>
                </c:pt>
                <c:pt idx="190">
                  <c:v>567.64459999999997</c:v>
                </c:pt>
                <c:pt idx="191">
                  <c:v>515.85950000000003</c:v>
                </c:pt>
                <c:pt idx="192">
                  <c:v>538.7645</c:v>
                </c:pt>
                <c:pt idx="193">
                  <c:v>549.71900000000005</c:v>
                </c:pt>
                <c:pt idx="194">
                  <c:v>538.7645</c:v>
                </c:pt>
                <c:pt idx="195">
                  <c:v>552.70659999999998</c:v>
                </c:pt>
                <c:pt idx="196">
                  <c:v>562.6653</c:v>
                </c:pt>
                <c:pt idx="197">
                  <c:v>557.68600000000004</c:v>
                </c:pt>
                <c:pt idx="198">
                  <c:v>565.65290000000005</c:v>
                </c:pt>
                <c:pt idx="199">
                  <c:v>563.66120000000001</c:v>
                </c:pt>
                <c:pt idx="200">
                  <c:v>570.63220000000001</c:v>
                </c:pt>
                <c:pt idx="201">
                  <c:v>578.5992</c:v>
                </c:pt>
                <c:pt idx="202">
                  <c:v>570.63220000000001</c:v>
                </c:pt>
                <c:pt idx="203">
                  <c:v>579.59500000000003</c:v>
                </c:pt>
                <c:pt idx="204">
                  <c:v>587.56200000000001</c:v>
                </c:pt>
                <c:pt idx="205">
                  <c:v>592.54129999999998</c:v>
                </c:pt>
                <c:pt idx="206">
                  <c:v>590.54960000000005</c:v>
                </c:pt>
                <c:pt idx="207">
                  <c:v>593.53719999999998</c:v>
                </c:pt>
                <c:pt idx="208">
                  <c:v>587.56200000000001</c:v>
                </c:pt>
                <c:pt idx="209">
                  <c:v>580.59090000000003</c:v>
                </c:pt>
                <c:pt idx="210">
                  <c:v>585.5702</c:v>
                </c:pt>
                <c:pt idx="211">
                  <c:v>580.59090000000003</c:v>
                </c:pt>
                <c:pt idx="212">
                  <c:v>584.57439999999997</c:v>
                </c:pt>
                <c:pt idx="213">
                  <c:v>597.52070000000003</c:v>
                </c:pt>
                <c:pt idx="214">
                  <c:v>603.49590000000001</c:v>
                </c:pt>
                <c:pt idx="215">
                  <c:v>602.5</c:v>
                </c:pt>
                <c:pt idx="216">
                  <c:v>598</c:v>
                </c:pt>
                <c:pt idx="217">
                  <c:v>601</c:v>
                </c:pt>
                <c:pt idx="218">
                  <c:v>583</c:v>
                </c:pt>
                <c:pt idx="219">
                  <c:v>578</c:v>
                </c:pt>
                <c:pt idx="220">
                  <c:v>581</c:v>
                </c:pt>
                <c:pt idx="221">
                  <c:v>588</c:v>
                </c:pt>
                <c:pt idx="222">
                  <c:v>589</c:v>
                </c:pt>
                <c:pt idx="223">
                  <c:v>586</c:v>
                </c:pt>
                <c:pt idx="224">
                  <c:v>591</c:v>
                </c:pt>
                <c:pt idx="225">
                  <c:v>595</c:v>
                </c:pt>
                <c:pt idx="226">
                  <c:v>591</c:v>
                </c:pt>
                <c:pt idx="227">
                  <c:v>587</c:v>
                </c:pt>
                <c:pt idx="228">
                  <c:v>588</c:v>
                </c:pt>
                <c:pt idx="229">
                  <c:v>589</c:v>
                </c:pt>
                <c:pt idx="230">
                  <c:v>588</c:v>
                </c:pt>
                <c:pt idx="231">
                  <c:v>588</c:v>
                </c:pt>
                <c:pt idx="232">
                  <c:v>580</c:v>
                </c:pt>
                <c:pt idx="233">
                  <c:v>590</c:v>
                </c:pt>
                <c:pt idx="234">
                  <c:v>599</c:v>
                </c:pt>
                <c:pt idx="235">
                  <c:v>608</c:v>
                </c:pt>
                <c:pt idx="236">
                  <c:v>608</c:v>
                </c:pt>
                <c:pt idx="237">
                  <c:v>588</c:v>
                </c:pt>
                <c:pt idx="238">
                  <c:v>578</c:v>
                </c:pt>
                <c:pt idx="239">
                  <c:v>579</c:v>
                </c:pt>
                <c:pt idx="240">
                  <c:v>580</c:v>
                </c:pt>
                <c:pt idx="241">
                  <c:v>587</c:v>
                </c:pt>
                <c:pt idx="242">
                  <c:v>583</c:v>
                </c:pt>
                <c:pt idx="243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A-4B36-B50A-54EFDE8FE29F}"/>
            </c:ext>
          </c:extLst>
        </c:ser>
        <c:ser>
          <c:idx val="3"/>
          <c:order val="3"/>
          <c:tx>
            <c:strRef>
              <c:f>工作底稿!$BD$7</c:f>
              <c:strCache>
                <c:ptCount val="1"/>
                <c:pt idx="0">
                  <c:v>收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工作底稿!$BD$8:$BD$251</c:f>
              <c:numCache>
                <c:formatCode>General</c:formatCode>
                <c:ptCount val="244"/>
                <c:pt idx="0">
                  <c:v>426.98559999999998</c:v>
                </c:pt>
                <c:pt idx="1">
                  <c:v>414.2251</c:v>
                </c:pt>
                <c:pt idx="2">
                  <c:v>426.00409999999999</c:v>
                </c:pt>
                <c:pt idx="3">
                  <c:v>417.66070000000002</c:v>
                </c:pt>
                <c:pt idx="4">
                  <c:v>408.33569999999997</c:v>
                </c:pt>
                <c:pt idx="5">
                  <c:v>417.66070000000002</c:v>
                </c:pt>
                <c:pt idx="6">
                  <c:v>421.09620000000001</c:v>
                </c:pt>
                <c:pt idx="7">
                  <c:v>426.98559999999998</c:v>
                </c:pt>
                <c:pt idx="8">
                  <c:v>425.02249999999998</c:v>
                </c:pt>
                <c:pt idx="9">
                  <c:v>427.47640000000001</c:v>
                </c:pt>
                <c:pt idx="10">
                  <c:v>421.09620000000001</c:v>
                </c:pt>
                <c:pt idx="11">
                  <c:v>411.28039999999999</c:v>
                </c:pt>
                <c:pt idx="12">
                  <c:v>421.09620000000001</c:v>
                </c:pt>
                <c:pt idx="13">
                  <c:v>419.13299999999998</c:v>
                </c:pt>
                <c:pt idx="14">
                  <c:v>426.98559999999998</c:v>
                </c:pt>
                <c:pt idx="15">
                  <c:v>425.02249999999998</c:v>
                </c:pt>
                <c:pt idx="16">
                  <c:v>419.62380000000002</c:v>
                </c:pt>
                <c:pt idx="17">
                  <c:v>407.35410000000002</c:v>
                </c:pt>
                <c:pt idx="18">
                  <c:v>416.67910000000001</c:v>
                </c:pt>
                <c:pt idx="19">
                  <c:v>420.1146</c:v>
                </c:pt>
                <c:pt idx="20">
                  <c:v>426.4948</c:v>
                </c:pt>
                <c:pt idx="21">
                  <c:v>433.85669999999999</c:v>
                </c:pt>
                <c:pt idx="22">
                  <c:v>435.81979999999999</c:v>
                </c:pt>
                <c:pt idx="23">
                  <c:v>426.98559999999998</c:v>
                </c:pt>
                <c:pt idx="24">
                  <c:v>418.6422</c:v>
                </c:pt>
                <c:pt idx="25">
                  <c:v>426.98559999999998</c:v>
                </c:pt>
                <c:pt idx="26">
                  <c:v>425.02249999999998</c:v>
                </c:pt>
                <c:pt idx="27">
                  <c:v>427.96719999999999</c:v>
                </c:pt>
                <c:pt idx="28">
                  <c:v>421.09620000000001</c:v>
                </c:pt>
                <c:pt idx="29">
                  <c:v>418.15140000000002</c:v>
                </c:pt>
                <c:pt idx="30">
                  <c:v>423.05930000000001</c:v>
                </c:pt>
                <c:pt idx="31">
                  <c:v>419.13299999999998</c:v>
                </c:pt>
                <c:pt idx="32">
                  <c:v>426.98559999999998</c:v>
                </c:pt>
                <c:pt idx="33">
                  <c:v>428.45800000000003</c:v>
                </c:pt>
                <c:pt idx="34">
                  <c:v>432.87509999999997</c:v>
                </c:pt>
                <c:pt idx="35">
                  <c:v>436.8014</c:v>
                </c:pt>
                <c:pt idx="36">
                  <c:v>449.56189999999998</c:v>
                </c:pt>
                <c:pt idx="37">
                  <c:v>442.65309999999999</c:v>
                </c:pt>
                <c:pt idx="38">
                  <c:v>438.21179999999998</c:v>
                </c:pt>
                <c:pt idx="39">
                  <c:v>434.26389999999998</c:v>
                </c:pt>
                <c:pt idx="40">
                  <c:v>431.30309999999997</c:v>
                </c:pt>
                <c:pt idx="41">
                  <c:v>427.84870000000001</c:v>
                </c:pt>
                <c:pt idx="42">
                  <c:v>417.48559999999998</c:v>
                </c:pt>
                <c:pt idx="43">
                  <c:v>418.47250000000003</c:v>
                </c:pt>
                <c:pt idx="44">
                  <c:v>425.87479999999999</c:v>
                </c:pt>
                <c:pt idx="45">
                  <c:v>425.38130000000001</c:v>
                </c:pt>
                <c:pt idx="46">
                  <c:v>427.35520000000002</c:v>
                </c:pt>
                <c:pt idx="47">
                  <c:v>426.86169999999998</c:v>
                </c:pt>
                <c:pt idx="48">
                  <c:v>433.77050000000003</c:v>
                </c:pt>
                <c:pt idx="49">
                  <c:v>437.22480000000002</c:v>
                </c:pt>
                <c:pt idx="50">
                  <c:v>447.09449999999998</c:v>
                </c:pt>
                <c:pt idx="51">
                  <c:v>454.00319999999999</c:v>
                </c:pt>
                <c:pt idx="52">
                  <c:v>455.97710000000001</c:v>
                </c:pt>
                <c:pt idx="53">
                  <c:v>453.0163</c:v>
                </c:pt>
                <c:pt idx="54">
                  <c:v>447.09449999999998</c:v>
                </c:pt>
                <c:pt idx="55">
                  <c:v>443.14659999999998</c:v>
                </c:pt>
                <c:pt idx="56">
                  <c:v>451.53579999999999</c:v>
                </c:pt>
                <c:pt idx="57">
                  <c:v>445.12049999999999</c:v>
                </c:pt>
                <c:pt idx="58">
                  <c:v>447.09449999999998</c:v>
                </c:pt>
                <c:pt idx="59">
                  <c:v>449.0684</c:v>
                </c:pt>
                <c:pt idx="60">
                  <c:v>446.10750000000002</c:v>
                </c:pt>
                <c:pt idx="61">
                  <c:v>444.1336</c:v>
                </c:pt>
                <c:pt idx="62">
                  <c:v>441.17270000000002</c:v>
                </c:pt>
                <c:pt idx="63">
                  <c:v>438.21179999999998</c:v>
                </c:pt>
                <c:pt idx="64">
                  <c:v>431.30309999999997</c:v>
                </c:pt>
                <c:pt idx="65">
                  <c:v>426.3682</c:v>
                </c:pt>
                <c:pt idx="66">
                  <c:v>429.82260000000002</c:v>
                </c:pt>
                <c:pt idx="67">
                  <c:v>435.2509</c:v>
                </c:pt>
                <c:pt idx="68">
                  <c:v>444.1336</c:v>
                </c:pt>
                <c:pt idx="69">
                  <c:v>445.12049999999999</c:v>
                </c:pt>
                <c:pt idx="70">
                  <c:v>446.601</c:v>
                </c:pt>
                <c:pt idx="71">
                  <c:v>452.52280000000002</c:v>
                </c:pt>
                <c:pt idx="72">
                  <c:v>445.12049999999999</c:v>
                </c:pt>
                <c:pt idx="73">
                  <c:v>451.04230000000001</c:v>
                </c:pt>
                <c:pt idx="74">
                  <c:v>452.02929999999998</c:v>
                </c:pt>
                <c:pt idx="75">
                  <c:v>455.97710000000001</c:v>
                </c:pt>
                <c:pt idx="76">
                  <c:v>477.69029999999998</c:v>
                </c:pt>
                <c:pt idx="77">
                  <c:v>479.17079999999999</c:v>
                </c:pt>
                <c:pt idx="78">
                  <c:v>490.52089999999998</c:v>
                </c:pt>
                <c:pt idx="79">
                  <c:v>483.6121</c:v>
                </c:pt>
                <c:pt idx="80">
                  <c:v>481.63819999999998</c:v>
                </c:pt>
                <c:pt idx="81">
                  <c:v>490.0274</c:v>
                </c:pt>
                <c:pt idx="82">
                  <c:v>485.58600000000001</c:v>
                </c:pt>
                <c:pt idx="83">
                  <c:v>480.65120000000002</c:v>
                </c:pt>
                <c:pt idx="84">
                  <c:v>482.62520000000001</c:v>
                </c:pt>
                <c:pt idx="85">
                  <c:v>482.62520000000001</c:v>
                </c:pt>
                <c:pt idx="86">
                  <c:v>474.23599999999999</c:v>
                </c:pt>
                <c:pt idx="87">
                  <c:v>483.6121</c:v>
                </c:pt>
                <c:pt idx="88">
                  <c:v>492.4948</c:v>
                </c:pt>
                <c:pt idx="89">
                  <c:v>490.52089999999998</c:v>
                </c:pt>
                <c:pt idx="90">
                  <c:v>496.44260000000003</c:v>
                </c:pt>
                <c:pt idx="91">
                  <c:v>507.29919999999998</c:v>
                </c:pt>
                <c:pt idx="92">
                  <c:v>517.16890000000001</c:v>
                </c:pt>
                <c:pt idx="93">
                  <c:v>513.221</c:v>
                </c:pt>
                <c:pt idx="94">
                  <c:v>505.32530000000003</c:v>
                </c:pt>
                <c:pt idx="95">
                  <c:v>509.27319999999997</c:v>
                </c:pt>
                <c:pt idx="96">
                  <c:v>501.3775</c:v>
                </c:pt>
                <c:pt idx="97">
                  <c:v>497.42959999999999</c:v>
                </c:pt>
                <c:pt idx="98">
                  <c:v>505.32530000000003</c:v>
                </c:pt>
                <c:pt idx="99">
                  <c:v>503.83760000000001</c:v>
                </c:pt>
                <c:pt idx="100">
                  <c:v>505.82119999999998</c:v>
                </c:pt>
                <c:pt idx="101">
                  <c:v>511.77210000000002</c:v>
                </c:pt>
                <c:pt idx="102">
                  <c:v>504.82940000000002</c:v>
                </c:pt>
                <c:pt idx="103">
                  <c:v>504.82940000000002</c:v>
                </c:pt>
                <c:pt idx="104">
                  <c:v>505.82119999999998</c:v>
                </c:pt>
                <c:pt idx="105">
                  <c:v>506.81299999999999</c:v>
                </c:pt>
                <c:pt idx="106">
                  <c:v>510.78030000000001</c:v>
                </c:pt>
                <c:pt idx="107">
                  <c:v>510.78030000000001</c:v>
                </c:pt>
                <c:pt idx="108">
                  <c:v>520.69830000000002</c:v>
                </c:pt>
                <c:pt idx="109">
                  <c:v>525.65729999999996</c:v>
                </c:pt>
                <c:pt idx="110">
                  <c:v>531.60820000000001</c:v>
                </c:pt>
                <c:pt idx="111">
                  <c:v>537.55899999999997</c:v>
                </c:pt>
                <c:pt idx="112">
                  <c:v>544.50170000000003</c:v>
                </c:pt>
                <c:pt idx="113">
                  <c:v>560.37059999999997</c:v>
                </c:pt>
                <c:pt idx="114">
                  <c:v>575.24770000000001</c:v>
                </c:pt>
                <c:pt idx="115">
                  <c:v>579.21489999999994</c:v>
                </c:pt>
                <c:pt idx="116">
                  <c:v>586.15750000000003</c:v>
                </c:pt>
                <c:pt idx="117">
                  <c:v>600.04280000000006</c:v>
                </c:pt>
                <c:pt idx="118">
                  <c:v>587.14930000000004</c:v>
                </c:pt>
                <c:pt idx="119">
                  <c:v>596.07560000000001</c:v>
                </c:pt>
                <c:pt idx="120">
                  <c:v>602.02639999999997</c:v>
                </c:pt>
                <c:pt idx="121">
                  <c:v>621.86260000000004</c:v>
                </c:pt>
                <c:pt idx="122">
                  <c:v>641.69870000000003</c:v>
                </c:pt>
                <c:pt idx="123">
                  <c:v>667.48569999999995</c:v>
                </c:pt>
                <c:pt idx="124">
                  <c:v>643.68230000000005</c:v>
                </c:pt>
                <c:pt idx="125">
                  <c:v>627.8134</c:v>
                </c:pt>
                <c:pt idx="126">
                  <c:v>611.94449999999995</c:v>
                </c:pt>
                <c:pt idx="127">
                  <c:v>609.96090000000004</c:v>
                </c:pt>
                <c:pt idx="128">
                  <c:v>596.07560000000001</c:v>
                </c:pt>
                <c:pt idx="129">
                  <c:v>586.15750000000003</c:v>
                </c:pt>
                <c:pt idx="130">
                  <c:v>605.99369999999999</c:v>
                </c:pt>
                <c:pt idx="131">
                  <c:v>626.82159999999999</c:v>
                </c:pt>
                <c:pt idx="132">
                  <c:v>624.83799999999997</c:v>
                </c:pt>
                <c:pt idx="133">
                  <c:v>621.86260000000004</c:v>
                </c:pt>
                <c:pt idx="134">
                  <c:v>626.82159999999999</c:v>
                </c:pt>
                <c:pt idx="135">
                  <c:v>657.56759999999997</c:v>
                </c:pt>
                <c:pt idx="136">
                  <c:v>654.59220000000005</c:v>
                </c:pt>
                <c:pt idx="137">
                  <c:v>646.65769999999998</c:v>
                </c:pt>
                <c:pt idx="138">
                  <c:v>644.67409999999995</c:v>
                </c:pt>
                <c:pt idx="139">
                  <c:v>635.74779999999998</c:v>
                </c:pt>
                <c:pt idx="140">
                  <c:v>619.87890000000004</c:v>
                </c:pt>
                <c:pt idx="141">
                  <c:v>629.79700000000003</c:v>
                </c:pt>
                <c:pt idx="142">
                  <c:v>601.03459999999995</c:v>
                </c:pt>
                <c:pt idx="143">
                  <c:v>604.01</c:v>
                </c:pt>
                <c:pt idx="144">
                  <c:v>616.90350000000001</c:v>
                </c:pt>
                <c:pt idx="145">
                  <c:v>596.07560000000001</c:v>
                </c:pt>
                <c:pt idx="146">
                  <c:v>596.07560000000001</c:v>
                </c:pt>
                <c:pt idx="147">
                  <c:v>593.10019999999997</c:v>
                </c:pt>
                <c:pt idx="148">
                  <c:v>590.12480000000005</c:v>
                </c:pt>
                <c:pt idx="149">
                  <c:v>592.10839999999996</c:v>
                </c:pt>
                <c:pt idx="150">
                  <c:v>604.01</c:v>
                </c:pt>
                <c:pt idx="151">
                  <c:v>608.96910000000003</c:v>
                </c:pt>
                <c:pt idx="152">
                  <c:v>605.99369999999999</c:v>
                </c:pt>
                <c:pt idx="153">
                  <c:v>607.97730000000001</c:v>
                </c:pt>
                <c:pt idx="154">
                  <c:v>601.50409999999999</c:v>
                </c:pt>
                <c:pt idx="155">
                  <c:v>599.51239999999996</c:v>
                </c:pt>
                <c:pt idx="156">
                  <c:v>588.55790000000002</c:v>
                </c:pt>
                <c:pt idx="157">
                  <c:v>590.54960000000005</c:v>
                </c:pt>
                <c:pt idx="158">
                  <c:v>591.54549999999995</c:v>
                </c:pt>
                <c:pt idx="159">
                  <c:v>573.61980000000005</c:v>
                </c:pt>
                <c:pt idx="160">
                  <c:v>572.62400000000002</c:v>
                </c:pt>
                <c:pt idx="161">
                  <c:v>587.56200000000001</c:v>
                </c:pt>
                <c:pt idx="162">
                  <c:v>596.52480000000003</c:v>
                </c:pt>
                <c:pt idx="163">
                  <c:v>594.53309999999999</c:v>
                </c:pt>
                <c:pt idx="164">
                  <c:v>584.57439999999997</c:v>
                </c:pt>
                <c:pt idx="165">
                  <c:v>599.51239999999996</c:v>
                </c:pt>
                <c:pt idx="166">
                  <c:v>607.47929999999997</c:v>
                </c:pt>
                <c:pt idx="167">
                  <c:v>607.47929999999997</c:v>
                </c:pt>
                <c:pt idx="168">
                  <c:v>610.46690000000001</c:v>
                </c:pt>
                <c:pt idx="169">
                  <c:v>607.47929999999997</c:v>
                </c:pt>
                <c:pt idx="170">
                  <c:v>602.5</c:v>
                </c:pt>
                <c:pt idx="171">
                  <c:v>602.5</c:v>
                </c:pt>
                <c:pt idx="172">
                  <c:v>609.47109999999998</c:v>
                </c:pt>
                <c:pt idx="173">
                  <c:v>616.44209999999998</c:v>
                </c:pt>
                <c:pt idx="174">
                  <c:v>607.47929999999997</c:v>
                </c:pt>
                <c:pt idx="175">
                  <c:v>600.50829999999996</c:v>
                </c:pt>
                <c:pt idx="176">
                  <c:v>599.51239999999996</c:v>
                </c:pt>
                <c:pt idx="177">
                  <c:v>589.55370000000005</c:v>
                </c:pt>
                <c:pt idx="178">
                  <c:v>588.55790000000002</c:v>
                </c:pt>
                <c:pt idx="179">
                  <c:v>599.51239999999996</c:v>
                </c:pt>
                <c:pt idx="180">
                  <c:v>607.47929999999997</c:v>
                </c:pt>
                <c:pt idx="181">
                  <c:v>607.47929999999997</c:v>
                </c:pt>
                <c:pt idx="182">
                  <c:v>599.51239999999996</c:v>
                </c:pt>
                <c:pt idx="183">
                  <c:v>597.52070000000003</c:v>
                </c:pt>
                <c:pt idx="184">
                  <c:v>585.5702</c:v>
                </c:pt>
                <c:pt idx="185">
                  <c:v>588.55790000000002</c:v>
                </c:pt>
                <c:pt idx="186">
                  <c:v>582.58259999999996</c:v>
                </c:pt>
                <c:pt idx="187">
                  <c:v>584.57439999999997</c:v>
                </c:pt>
                <c:pt idx="188">
                  <c:v>596.52480000000003</c:v>
                </c:pt>
                <c:pt idx="189">
                  <c:v>586.56610000000001</c:v>
                </c:pt>
                <c:pt idx="190">
                  <c:v>568.64049999999997</c:v>
                </c:pt>
                <c:pt idx="191">
                  <c:v>557.68600000000004</c:v>
                </c:pt>
                <c:pt idx="192">
                  <c:v>544.73969999999997</c:v>
                </c:pt>
                <c:pt idx="193">
                  <c:v>554.69830000000002</c:v>
                </c:pt>
                <c:pt idx="194">
                  <c:v>546.73140000000001</c:v>
                </c:pt>
                <c:pt idx="195">
                  <c:v>569.63639999999998</c:v>
                </c:pt>
                <c:pt idx="196">
                  <c:v>564.65700000000004</c:v>
                </c:pt>
                <c:pt idx="197">
                  <c:v>564.65700000000004</c:v>
                </c:pt>
                <c:pt idx="198">
                  <c:v>570.63220000000001</c:v>
                </c:pt>
                <c:pt idx="199">
                  <c:v>565.65290000000005</c:v>
                </c:pt>
                <c:pt idx="200">
                  <c:v>580.59090000000003</c:v>
                </c:pt>
                <c:pt idx="201">
                  <c:v>582.58259999999996</c:v>
                </c:pt>
                <c:pt idx="202">
                  <c:v>579.59500000000003</c:v>
                </c:pt>
                <c:pt idx="203">
                  <c:v>587.56200000000001</c:v>
                </c:pt>
                <c:pt idx="204">
                  <c:v>594.53309999999999</c:v>
                </c:pt>
                <c:pt idx="205">
                  <c:v>595.52890000000002</c:v>
                </c:pt>
                <c:pt idx="206">
                  <c:v>592.54129999999998</c:v>
                </c:pt>
                <c:pt idx="207">
                  <c:v>593.53719999999998</c:v>
                </c:pt>
                <c:pt idx="208">
                  <c:v>592.54129999999998</c:v>
                </c:pt>
                <c:pt idx="209">
                  <c:v>589.55370000000005</c:v>
                </c:pt>
                <c:pt idx="210">
                  <c:v>586.56610000000001</c:v>
                </c:pt>
                <c:pt idx="211">
                  <c:v>583.57849999999996</c:v>
                </c:pt>
                <c:pt idx="212">
                  <c:v>596.52480000000003</c:v>
                </c:pt>
                <c:pt idx="213">
                  <c:v>599.51239999999996</c:v>
                </c:pt>
                <c:pt idx="214">
                  <c:v>606.48350000000005</c:v>
                </c:pt>
                <c:pt idx="215">
                  <c:v>602.5</c:v>
                </c:pt>
                <c:pt idx="216">
                  <c:v>606</c:v>
                </c:pt>
                <c:pt idx="217">
                  <c:v>603</c:v>
                </c:pt>
                <c:pt idx="218">
                  <c:v>583</c:v>
                </c:pt>
                <c:pt idx="219">
                  <c:v>578</c:v>
                </c:pt>
                <c:pt idx="220">
                  <c:v>595</c:v>
                </c:pt>
                <c:pt idx="221">
                  <c:v>590</c:v>
                </c:pt>
                <c:pt idx="222">
                  <c:v>591</c:v>
                </c:pt>
                <c:pt idx="223">
                  <c:v>590</c:v>
                </c:pt>
                <c:pt idx="224">
                  <c:v>595</c:v>
                </c:pt>
                <c:pt idx="225">
                  <c:v>595</c:v>
                </c:pt>
                <c:pt idx="226">
                  <c:v>593</c:v>
                </c:pt>
                <c:pt idx="227">
                  <c:v>588</c:v>
                </c:pt>
                <c:pt idx="228">
                  <c:v>591</c:v>
                </c:pt>
                <c:pt idx="229">
                  <c:v>592</c:v>
                </c:pt>
                <c:pt idx="230">
                  <c:v>594</c:v>
                </c:pt>
                <c:pt idx="231">
                  <c:v>588</c:v>
                </c:pt>
                <c:pt idx="232">
                  <c:v>584</c:v>
                </c:pt>
                <c:pt idx="233">
                  <c:v>593</c:v>
                </c:pt>
                <c:pt idx="234">
                  <c:v>607</c:v>
                </c:pt>
                <c:pt idx="235">
                  <c:v>613</c:v>
                </c:pt>
                <c:pt idx="236">
                  <c:v>614</c:v>
                </c:pt>
                <c:pt idx="237">
                  <c:v>589</c:v>
                </c:pt>
                <c:pt idx="238">
                  <c:v>582</c:v>
                </c:pt>
                <c:pt idx="239">
                  <c:v>581</c:v>
                </c:pt>
                <c:pt idx="240">
                  <c:v>585</c:v>
                </c:pt>
                <c:pt idx="241">
                  <c:v>591</c:v>
                </c:pt>
                <c:pt idx="242">
                  <c:v>585</c:v>
                </c:pt>
                <c:pt idx="243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7A-4B36-B50A-54EFDE8F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rgbClr val="00B050"/>
                </a:solidFill>
                <a:round/>
              </a:ln>
              <a:effectLst/>
            </c:spPr>
          </c:upBars>
          <c:downBars>
            <c:spPr>
              <a:solidFill>
                <a:srgbClr val="00B050"/>
              </a:solidFill>
              <a:ln w="9525" cap="flat" cmpd="sng" algn="ctr">
                <a:solidFill>
                  <a:srgbClr val="FF0000"/>
                </a:solidFill>
                <a:round/>
              </a:ln>
              <a:effectLst/>
            </c:spPr>
          </c:downBars>
        </c:upDownBars>
        <c:axId val="344035856"/>
        <c:axId val="344057488"/>
      </c:stockChart>
      <c:stockChart>
        <c:ser>
          <c:idx val="4"/>
          <c:order val="4"/>
          <c:tx>
            <c:strRef>
              <c:f>工作底稿!$BY$7</c:f>
              <c:strCache>
                <c:ptCount val="1"/>
                <c:pt idx="0">
                  <c:v>5MA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工作底稿!$BY$8:$BY$251</c:f>
              <c:numCache>
                <c:formatCode>General</c:formatCode>
                <c:ptCount val="2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415.59935999999999</c:v>
                </c:pt>
                <c:pt idx="5">
                  <c:v>413.63620000000003</c:v>
                </c:pt>
                <c:pt idx="6">
                  <c:v>414.91224</c:v>
                </c:pt>
                <c:pt idx="7">
                  <c:v>415.40302000000003</c:v>
                </c:pt>
                <c:pt idx="8">
                  <c:v>415.8938</c:v>
                </c:pt>
                <c:pt idx="9">
                  <c:v>418.34773999999999</c:v>
                </c:pt>
                <c:pt idx="10">
                  <c:v>420.40906000000007</c:v>
                </c:pt>
                <c:pt idx="11">
                  <c:v>419.03486000000004</c:v>
                </c:pt>
                <c:pt idx="12">
                  <c:v>417.7588199999999</c:v>
                </c:pt>
                <c:pt idx="13">
                  <c:v>416.77724000000001</c:v>
                </c:pt>
                <c:pt idx="14">
                  <c:v>416.38461999999998</c:v>
                </c:pt>
                <c:pt idx="15">
                  <c:v>416.97356000000002</c:v>
                </c:pt>
                <c:pt idx="16">
                  <c:v>418.64223999999996</c:v>
                </c:pt>
                <c:pt idx="17">
                  <c:v>414.02882</c:v>
                </c:pt>
                <c:pt idx="18">
                  <c:v>413.43988000000007</c:v>
                </c:pt>
                <c:pt idx="19">
                  <c:v>413.34172000000001</c:v>
                </c:pt>
                <c:pt idx="20">
                  <c:v>413.04723999999999</c:v>
                </c:pt>
                <c:pt idx="21">
                  <c:v>414.51959999999997</c:v>
                </c:pt>
                <c:pt idx="22">
                  <c:v>422.96116000000001</c:v>
                </c:pt>
                <c:pt idx="23">
                  <c:v>425.12061999999997</c:v>
                </c:pt>
                <c:pt idx="24">
                  <c:v>425.41507999999993</c:v>
                </c:pt>
                <c:pt idx="25">
                  <c:v>424.92430000000002</c:v>
                </c:pt>
                <c:pt idx="26">
                  <c:v>424.0408799999999</c:v>
                </c:pt>
                <c:pt idx="27">
                  <c:v>421.97958</c:v>
                </c:pt>
                <c:pt idx="28">
                  <c:v>421.19431999999995</c:v>
                </c:pt>
                <c:pt idx="29">
                  <c:v>420.89985999999999</c:v>
                </c:pt>
                <c:pt idx="30">
                  <c:v>420.80169999999998</c:v>
                </c:pt>
                <c:pt idx="31">
                  <c:v>419.32934000000006</c:v>
                </c:pt>
                <c:pt idx="32">
                  <c:v>418.74038000000002</c:v>
                </c:pt>
                <c:pt idx="33">
                  <c:v>419.82011999999997</c:v>
                </c:pt>
                <c:pt idx="34">
                  <c:v>421.88141999999999</c:v>
                </c:pt>
                <c:pt idx="35">
                  <c:v>424.23720000000003</c:v>
                </c:pt>
                <c:pt idx="36">
                  <c:v>430.61743999999999</c:v>
                </c:pt>
                <c:pt idx="37">
                  <c:v>434.23958000000005</c:v>
                </c:pt>
                <c:pt idx="38">
                  <c:v>436.77820000000003</c:v>
                </c:pt>
                <c:pt idx="39">
                  <c:v>438.13569999999999</c:v>
                </c:pt>
                <c:pt idx="40">
                  <c:v>437.91837999999996</c:v>
                </c:pt>
                <c:pt idx="41">
                  <c:v>433.77043999999995</c:v>
                </c:pt>
                <c:pt idx="42">
                  <c:v>429.13171999999997</c:v>
                </c:pt>
                <c:pt idx="43">
                  <c:v>424.7890799999999</c:v>
                </c:pt>
                <c:pt idx="44">
                  <c:v>421.72950000000003</c:v>
                </c:pt>
                <c:pt idx="45">
                  <c:v>420.15035999999998</c:v>
                </c:pt>
                <c:pt idx="46">
                  <c:v>419.85428000000002</c:v>
                </c:pt>
                <c:pt idx="47">
                  <c:v>421.53211999999996</c:v>
                </c:pt>
                <c:pt idx="48">
                  <c:v>424.78910000000008</c:v>
                </c:pt>
                <c:pt idx="49">
                  <c:v>426.86171999999999</c:v>
                </c:pt>
                <c:pt idx="50">
                  <c:v>430.90825999999998</c:v>
                </c:pt>
                <c:pt idx="51">
                  <c:v>436.23786000000001</c:v>
                </c:pt>
                <c:pt idx="52">
                  <c:v>441.17266000000001</c:v>
                </c:pt>
                <c:pt idx="53">
                  <c:v>445.02182000000005</c:v>
                </c:pt>
                <c:pt idx="54">
                  <c:v>447.98272000000009</c:v>
                </c:pt>
                <c:pt idx="55">
                  <c:v>447.98271999999997</c:v>
                </c:pt>
                <c:pt idx="56">
                  <c:v>446.69966000000005</c:v>
                </c:pt>
                <c:pt idx="57">
                  <c:v>445.61399999999992</c:v>
                </c:pt>
                <c:pt idx="58">
                  <c:v>444.42964000000001</c:v>
                </c:pt>
                <c:pt idx="59">
                  <c:v>444.33094</c:v>
                </c:pt>
                <c:pt idx="60">
                  <c:v>444.92312000000004</c:v>
                </c:pt>
                <c:pt idx="61">
                  <c:v>444.72574000000003</c:v>
                </c:pt>
                <c:pt idx="62">
                  <c:v>443.64008000000001</c:v>
                </c:pt>
                <c:pt idx="63">
                  <c:v>442.06094000000002</c:v>
                </c:pt>
                <c:pt idx="64">
                  <c:v>439.29743999999999</c:v>
                </c:pt>
                <c:pt idx="65">
                  <c:v>435.44827999999995</c:v>
                </c:pt>
                <c:pt idx="66">
                  <c:v>431.10564000000005</c:v>
                </c:pt>
                <c:pt idx="67">
                  <c:v>429.62520000000006</c:v>
                </c:pt>
                <c:pt idx="68">
                  <c:v>429.62520000000006</c:v>
                </c:pt>
                <c:pt idx="69">
                  <c:v>431.59912000000003</c:v>
                </c:pt>
                <c:pt idx="70">
                  <c:v>435.15219999999999</c:v>
                </c:pt>
                <c:pt idx="71">
                  <c:v>440.28440000000001</c:v>
                </c:pt>
                <c:pt idx="72">
                  <c:v>442.35702000000003</c:v>
                </c:pt>
                <c:pt idx="73">
                  <c:v>443.44268</c:v>
                </c:pt>
                <c:pt idx="74">
                  <c:v>445.81139999999994</c:v>
                </c:pt>
                <c:pt idx="75">
                  <c:v>447.09444000000002</c:v>
                </c:pt>
                <c:pt idx="76">
                  <c:v>450.05534000000006</c:v>
                </c:pt>
                <c:pt idx="77">
                  <c:v>457.35888000000006</c:v>
                </c:pt>
                <c:pt idx="78">
                  <c:v>464.85980000000001</c:v>
                </c:pt>
                <c:pt idx="79">
                  <c:v>471.27506000000005</c:v>
                </c:pt>
                <c:pt idx="80">
                  <c:v>477.09816000000001</c:v>
                </c:pt>
                <c:pt idx="81">
                  <c:v>481.63817999999992</c:v>
                </c:pt>
                <c:pt idx="82">
                  <c:v>482.82254</c:v>
                </c:pt>
                <c:pt idx="83">
                  <c:v>482.92124000000001</c:v>
                </c:pt>
                <c:pt idx="84">
                  <c:v>482.52646000000004</c:v>
                </c:pt>
                <c:pt idx="85">
                  <c:v>482.62513999999993</c:v>
                </c:pt>
                <c:pt idx="86">
                  <c:v>480.35514000000001</c:v>
                </c:pt>
                <c:pt idx="87">
                  <c:v>478.77599999999995</c:v>
                </c:pt>
                <c:pt idx="88">
                  <c:v>480.05905999999993</c:v>
                </c:pt>
                <c:pt idx="89">
                  <c:v>481.44079999999997</c:v>
                </c:pt>
                <c:pt idx="90">
                  <c:v>483.61212000000006</c:v>
                </c:pt>
                <c:pt idx="91">
                  <c:v>488.64562000000006</c:v>
                </c:pt>
                <c:pt idx="92">
                  <c:v>493.67911999999995</c:v>
                </c:pt>
                <c:pt idx="93">
                  <c:v>498.91001999999997</c:v>
                </c:pt>
                <c:pt idx="94">
                  <c:v>501.87091999999996</c:v>
                </c:pt>
                <c:pt idx="95">
                  <c:v>503.35138000000006</c:v>
                </c:pt>
                <c:pt idx="96">
                  <c:v>503.74617999999998</c:v>
                </c:pt>
                <c:pt idx="97">
                  <c:v>502.75922000000003</c:v>
                </c:pt>
                <c:pt idx="98">
                  <c:v>500.19312000000002</c:v>
                </c:pt>
                <c:pt idx="99">
                  <c:v>500.29035999999996</c:v>
                </c:pt>
                <c:pt idx="100">
                  <c:v>501.17619999999999</c:v>
                </c:pt>
                <c:pt idx="101">
                  <c:v>501.66822000000002</c:v>
                </c:pt>
                <c:pt idx="102">
                  <c:v>503.14818000000002</c:v>
                </c:pt>
                <c:pt idx="103">
                  <c:v>503.44087999999999</c:v>
                </c:pt>
                <c:pt idx="104">
                  <c:v>503.44087999999999</c:v>
                </c:pt>
                <c:pt idx="105">
                  <c:v>504.03595999999999</c:v>
                </c:pt>
                <c:pt idx="106">
                  <c:v>504.23432000000003</c:v>
                </c:pt>
                <c:pt idx="107">
                  <c:v>505.02776000000006</c:v>
                </c:pt>
                <c:pt idx="108">
                  <c:v>506.61463999999995</c:v>
                </c:pt>
                <c:pt idx="109">
                  <c:v>509.78842000000003</c:v>
                </c:pt>
                <c:pt idx="110">
                  <c:v>513.35892000000001</c:v>
                </c:pt>
                <c:pt idx="111">
                  <c:v>518.51631999999995</c:v>
                </c:pt>
                <c:pt idx="112">
                  <c:v>524.07044000000008</c:v>
                </c:pt>
                <c:pt idx="113">
                  <c:v>531.80653999999993</c:v>
                </c:pt>
                <c:pt idx="114">
                  <c:v>541.12952000000007</c:v>
                </c:pt>
                <c:pt idx="115">
                  <c:v>550.25414000000001</c:v>
                </c:pt>
                <c:pt idx="116">
                  <c:v>559.57711999999992</c:v>
                </c:pt>
                <c:pt idx="117">
                  <c:v>569.89189999999996</c:v>
                </c:pt>
                <c:pt idx="118">
                  <c:v>576.63618000000008</c:v>
                </c:pt>
                <c:pt idx="119">
                  <c:v>582.58702000000005</c:v>
                </c:pt>
                <c:pt idx="120">
                  <c:v>586.55426000000011</c:v>
                </c:pt>
                <c:pt idx="121">
                  <c:v>592.70345999999995</c:v>
                </c:pt>
                <c:pt idx="122">
                  <c:v>600.24119999999994</c:v>
                </c:pt>
                <c:pt idx="123">
                  <c:v>610.75433999999996</c:v>
                </c:pt>
                <c:pt idx="124">
                  <c:v>620.27567999999997</c:v>
                </c:pt>
                <c:pt idx="125">
                  <c:v>626.62324000000001</c:v>
                </c:pt>
                <c:pt idx="126">
                  <c:v>626.02816000000007</c:v>
                </c:pt>
                <c:pt idx="127">
                  <c:v>622.06093999999996</c:v>
                </c:pt>
                <c:pt idx="128">
                  <c:v>613.72978000000001</c:v>
                </c:pt>
                <c:pt idx="129">
                  <c:v>602.22482000000002</c:v>
                </c:pt>
                <c:pt idx="130">
                  <c:v>594.48872000000006</c:v>
                </c:pt>
                <c:pt idx="131">
                  <c:v>596.86903999999993</c:v>
                </c:pt>
                <c:pt idx="132">
                  <c:v>600.63790000000006</c:v>
                </c:pt>
                <c:pt idx="133">
                  <c:v>605.0018399999999</c:v>
                </c:pt>
                <c:pt idx="134">
                  <c:v>612.93630000000007</c:v>
                </c:pt>
                <c:pt idx="135">
                  <c:v>627.41668000000004</c:v>
                </c:pt>
                <c:pt idx="136">
                  <c:v>634.16095999999993</c:v>
                </c:pt>
                <c:pt idx="137">
                  <c:v>637.53309999999999</c:v>
                </c:pt>
                <c:pt idx="138">
                  <c:v>643.48394000000008</c:v>
                </c:pt>
                <c:pt idx="139">
                  <c:v>643.88066000000003</c:v>
                </c:pt>
                <c:pt idx="140">
                  <c:v>636.93799999999999</c:v>
                </c:pt>
                <c:pt idx="141">
                  <c:v>631.38390000000004</c:v>
                </c:pt>
                <c:pt idx="142">
                  <c:v>623.25108</c:v>
                </c:pt>
                <c:pt idx="143">
                  <c:v>615.11825999999996</c:v>
                </c:pt>
                <c:pt idx="144">
                  <c:v>608.77070000000003</c:v>
                </c:pt>
                <c:pt idx="145">
                  <c:v>604.01004</c:v>
                </c:pt>
                <c:pt idx="146">
                  <c:v>595.28214000000003</c:v>
                </c:pt>
                <c:pt idx="147">
                  <c:v>593.69525999999996</c:v>
                </c:pt>
                <c:pt idx="148">
                  <c:v>588.93459999999993</c:v>
                </c:pt>
                <c:pt idx="149">
                  <c:v>587.34769999999992</c:v>
                </c:pt>
                <c:pt idx="150">
                  <c:v>586.15753999999993</c:v>
                </c:pt>
                <c:pt idx="151">
                  <c:v>591.11656000000005</c:v>
                </c:pt>
                <c:pt idx="152">
                  <c:v>593.29852000000005</c:v>
                </c:pt>
                <c:pt idx="153">
                  <c:v>597.6624599999999</c:v>
                </c:pt>
                <c:pt idx="154">
                  <c:v>599.93671999999992</c:v>
                </c:pt>
                <c:pt idx="155">
                  <c:v>601.81423999999993</c:v>
                </c:pt>
                <c:pt idx="156">
                  <c:v>598.72381999999993</c:v>
                </c:pt>
                <c:pt idx="157">
                  <c:v>594.63751999999999</c:v>
                </c:pt>
                <c:pt idx="158">
                  <c:v>592.34215999999992</c:v>
                </c:pt>
                <c:pt idx="159">
                  <c:v>586.16777999999999</c:v>
                </c:pt>
                <c:pt idx="160">
                  <c:v>579.79422</c:v>
                </c:pt>
                <c:pt idx="161">
                  <c:v>577.60329999999999</c:v>
                </c:pt>
                <c:pt idx="162">
                  <c:v>579.59503999999993</c:v>
                </c:pt>
                <c:pt idx="163">
                  <c:v>579.39585999999997</c:v>
                </c:pt>
                <c:pt idx="164">
                  <c:v>582.58263999999997</c:v>
                </c:pt>
                <c:pt idx="165">
                  <c:v>587.36281999999994</c:v>
                </c:pt>
                <c:pt idx="166">
                  <c:v>592.93967999999995</c:v>
                </c:pt>
                <c:pt idx="167">
                  <c:v>595.32975999999996</c:v>
                </c:pt>
                <c:pt idx="168">
                  <c:v>597.52067999999997</c:v>
                </c:pt>
                <c:pt idx="169">
                  <c:v>601.90249999999992</c:v>
                </c:pt>
                <c:pt idx="170">
                  <c:v>603.69506000000001</c:v>
                </c:pt>
                <c:pt idx="171">
                  <c:v>602.89835999999991</c:v>
                </c:pt>
                <c:pt idx="172">
                  <c:v>601.30498</c:v>
                </c:pt>
                <c:pt idx="173">
                  <c:v>602.10166000000004</c:v>
                </c:pt>
                <c:pt idx="174">
                  <c:v>600.90661999999998</c:v>
                </c:pt>
                <c:pt idx="175">
                  <c:v>600.50825999999995</c:v>
                </c:pt>
                <c:pt idx="176">
                  <c:v>598.71569999999997</c:v>
                </c:pt>
                <c:pt idx="177">
                  <c:v>597.1223</c:v>
                </c:pt>
                <c:pt idx="178">
                  <c:v>593.93554000000006</c:v>
                </c:pt>
                <c:pt idx="179">
                  <c:v>591.34627999999998</c:v>
                </c:pt>
                <c:pt idx="180">
                  <c:v>591.74464</c:v>
                </c:pt>
                <c:pt idx="181">
                  <c:v>593.73638000000005</c:v>
                </c:pt>
                <c:pt idx="182">
                  <c:v>595.52893999999992</c:v>
                </c:pt>
                <c:pt idx="183">
                  <c:v>597.32150000000001</c:v>
                </c:pt>
                <c:pt idx="184">
                  <c:v>596.9231400000001</c:v>
                </c:pt>
                <c:pt idx="185">
                  <c:v>592.74048000000005</c:v>
                </c:pt>
                <c:pt idx="186">
                  <c:v>588.75699999999995</c:v>
                </c:pt>
                <c:pt idx="187">
                  <c:v>584.57435999999996</c:v>
                </c:pt>
                <c:pt idx="188">
                  <c:v>582.38343999999995</c:v>
                </c:pt>
                <c:pt idx="189">
                  <c:v>582.38343999999995</c:v>
                </c:pt>
                <c:pt idx="190">
                  <c:v>579.99336000000005</c:v>
                </c:pt>
                <c:pt idx="191">
                  <c:v>566.64873999999998</c:v>
                </c:pt>
                <c:pt idx="192">
                  <c:v>558.88098000000014</c:v>
                </c:pt>
                <c:pt idx="193">
                  <c:v>551.51156000000003</c:v>
                </c:pt>
                <c:pt idx="194">
                  <c:v>542.15042000000017</c:v>
                </c:pt>
                <c:pt idx="195">
                  <c:v>539.16282000000001</c:v>
                </c:pt>
                <c:pt idx="196">
                  <c:v>548.52398000000005</c:v>
                </c:pt>
                <c:pt idx="197">
                  <c:v>552.30827999999997</c:v>
                </c:pt>
                <c:pt idx="198">
                  <c:v>555.49505999999997</c:v>
                </c:pt>
                <c:pt idx="199">
                  <c:v>560.47440000000006</c:v>
                </c:pt>
                <c:pt idx="200">
                  <c:v>564.05952000000002</c:v>
                </c:pt>
                <c:pt idx="201">
                  <c:v>567.24630000000002</c:v>
                </c:pt>
                <c:pt idx="202">
                  <c:v>569.83554000000004</c:v>
                </c:pt>
                <c:pt idx="203">
                  <c:v>572.62396000000012</c:v>
                </c:pt>
                <c:pt idx="204">
                  <c:v>577.40411999999992</c:v>
                </c:pt>
                <c:pt idx="205">
                  <c:v>581.78593999999998</c:v>
                </c:pt>
                <c:pt idx="206">
                  <c:v>584.17602000000011</c:v>
                </c:pt>
                <c:pt idx="207">
                  <c:v>588.75702000000001</c:v>
                </c:pt>
                <c:pt idx="208">
                  <c:v>590.35041999999999</c:v>
                </c:pt>
                <c:pt idx="209">
                  <c:v>588.95620000000008</c:v>
                </c:pt>
                <c:pt idx="210">
                  <c:v>587.56198000000006</c:v>
                </c:pt>
                <c:pt idx="211">
                  <c:v>585.57024000000013</c:v>
                </c:pt>
                <c:pt idx="212">
                  <c:v>583.77768000000003</c:v>
                </c:pt>
                <c:pt idx="213">
                  <c:v>585.76941999999997</c:v>
                </c:pt>
                <c:pt idx="214">
                  <c:v>590.35041999999999</c:v>
                </c:pt>
                <c:pt idx="215">
                  <c:v>593.73638000000005</c:v>
                </c:pt>
                <c:pt idx="216">
                  <c:v>597.21820000000002</c:v>
                </c:pt>
                <c:pt idx="217">
                  <c:v>600.50332000000003</c:v>
                </c:pt>
                <c:pt idx="218">
                  <c:v>597.59917999999993</c:v>
                </c:pt>
                <c:pt idx="219">
                  <c:v>592.5</c:v>
                </c:pt>
                <c:pt idx="220">
                  <c:v>588.20000000000005</c:v>
                </c:pt>
                <c:pt idx="221">
                  <c:v>586.20000000000005</c:v>
                </c:pt>
                <c:pt idx="222">
                  <c:v>583.79999999999995</c:v>
                </c:pt>
                <c:pt idx="223">
                  <c:v>584.4</c:v>
                </c:pt>
                <c:pt idx="224">
                  <c:v>587</c:v>
                </c:pt>
                <c:pt idx="225">
                  <c:v>589.79999999999995</c:v>
                </c:pt>
                <c:pt idx="226">
                  <c:v>590.4</c:v>
                </c:pt>
                <c:pt idx="227">
                  <c:v>590</c:v>
                </c:pt>
                <c:pt idx="228">
                  <c:v>590.4</c:v>
                </c:pt>
                <c:pt idx="229">
                  <c:v>590</c:v>
                </c:pt>
                <c:pt idx="230">
                  <c:v>588.6</c:v>
                </c:pt>
                <c:pt idx="231">
                  <c:v>588</c:v>
                </c:pt>
                <c:pt idx="232">
                  <c:v>586.6</c:v>
                </c:pt>
                <c:pt idx="233">
                  <c:v>587</c:v>
                </c:pt>
                <c:pt idx="234">
                  <c:v>589</c:v>
                </c:pt>
                <c:pt idx="235">
                  <c:v>593</c:v>
                </c:pt>
                <c:pt idx="236">
                  <c:v>597</c:v>
                </c:pt>
                <c:pt idx="237">
                  <c:v>598.6</c:v>
                </c:pt>
                <c:pt idx="238">
                  <c:v>596.20000000000005</c:v>
                </c:pt>
                <c:pt idx="239">
                  <c:v>592.20000000000005</c:v>
                </c:pt>
                <c:pt idx="240">
                  <c:v>586.6</c:v>
                </c:pt>
                <c:pt idx="241">
                  <c:v>582.4</c:v>
                </c:pt>
                <c:pt idx="242">
                  <c:v>581.4</c:v>
                </c:pt>
                <c:pt idx="243">
                  <c:v>581.79999999999995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7A-4B36-B50A-54EFDE8FE29F}"/>
            </c:ext>
          </c:extLst>
        </c:ser>
        <c:ser>
          <c:idx val="5"/>
          <c:order val="5"/>
          <c:tx>
            <c:strRef>
              <c:f>工作底稿!$BZ$7</c:f>
              <c:strCache>
                <c:ptCount val="1"/>
                <c:pt idx="0">
                  <c:v>20MA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工作底稿!$BZ$8:$BZ$251</c:f>
              <c:numCache>
                <c:formatCode>General</c:formatCode>
                <c:ptCount val="2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415.91836000000001</c:v>
                </c:pt>
                <c:pt idx="20">
                  <c:v>416.01651499999997</c:v>
                </c:pt>
                <c:pt idx="21">
                  <c:v>416.77723500000002</c:v>
                </c:pt>
                <c:pt idx="22">
                  <c:v>417.53795499999995</c:v>
                </c:pt>
                <c:pt idx="23">
                  <c:v>417.80788500000006</c:v>
                </c:pt>
                <c:pt idx="24">
                  <c:v>418.37228999999996</c:v>
                </c:pt>
                <c:pt idx="25">
                  <c:v>418.83854000000008</c:v>
                </c:pt>
                <c:pt idx="26">
                  <c:v>419.05939500000005</c:v>
                </c:pt>
                <c:pt idx="27">
                  <c:v>419.182095</c:v>
                </c:pt>
                <c:pt idx="28">
                  <c:v>419.133015</c:v>
                </c:pt>
                <c:pt idx="29">
                  <c:v>419.01032000000004</c:v>
                </c:pt>
                <c:pt idx="30">
                  <c:v>418.93670000000003</c:v>
                </c:pt>
                <c:pt idx="31">
                  <c:v>419.133015</c:v>
                </c:pt>
                <c:pt idx="32">
                  <c:v>419.42748499999999</c:v>
                </c:pt>
                <c:pt idx="33">
                  <c:v>419.89373499999999</c:v>
                </c:pt>
                <c:pt idx="34">
                  <c:v>420.38451999999995</c:v>
                </c:pt>
                <c:pt idx="35">
                  <c:v>420.75261</c:v>
                </c:pt>
                <c:pt idx="36">
                  <c:v>422.12681499999997</c:v>
                </c:pt>
                <c:pt idx="37">
                  <c:v>424.48017499999997</c:v>
                </c:pt>
                <c:pt idx="38">
                  <c:v>425.72831499999995</c:v>
                </c:pt>
                <c:pt idx="39">
                  <c:v>426.58301499999999</c:v>
                </c:pt>
                <c:pt idx="40">
                  <c:v>426.97039499999994</c:v>
                </c:pt>
                <c:pt idx="41">
                  <c:v>426.93952499999989</c:v>
                </c:pt>
                <c:pt idx="42">
                  <c:v>426.02281499999992</c:v>
                </c:pt>
                <c:pt idx="43">
                  <c:v>425.64542999999992</c:v>
                </c:pt>
                <c:pt idx="44">
                  <c:v>425.66161999999997</c:v>
                </c:pt>
                <c:pt idx="45">
                  <c:v>425.77690999999993</c:v>
                </c:pt>
                <c:pt idx="46">
                  <c:v>425.892875</c:v>
                </c:pt>
                <c:pt idx="47">
                  <c:v>425.91095000000007</c:v>
                </c:pt>
                <c:pt idx="48">
                  <c:v>426.54412500000001</c:v>
                </c:pt>
                <c:pt idx="49">
                  <c:v>427.15208500000006</c:v>
                </c:pt>
                <c:pt idx="50">
                  <c:v>428.30354999999997</c:v>
                </c:pt>
                <c:pt idx="51">
                  <c:v>430.12000500000005</c:v>
                </c:pt>
                <c:pt idx="52">
                  <c:v>431.51902000000001</c:v>
                </c:pt>
                <c:pt idx="53">
                  <c:v>432.84454999999997</c:v>
                </c:pt>
                <c:pt idx="54">
                  <c:v>433.67740999999995</c:v>
                </c:pt>
                <c:pt idx="55">
                  <c:v>434.23993000000002</c:v>
                </c:pt>
                <c:pt idx="56">
                  <c:v>434.14055999999999</c:v>
                </c:pt>
                <c:pt idx="57">
                  <c:v>434.36262499999992</c:v>
                </c:pt>
                <c:pt idx="58">
                  <c:v>434.75740999999999</c:v>
                </c:pt>
                <c:pt idx="59">
                  <c:v>435.22622000000013</c:v>
                </c:pt>
                <c:pt idx="60">
                  <c:v>435.99111499999992</c:v>
                </c:pt>
                <c:pt idx="61">
                  <c:v>436.8793849999999</c:v>
                </c:pt>
                <c:pt idx="62">
                  <c:v>437.98971499999988</c:v>
                </c:pt>
                <c:pt idx="63">
                  <c:v>439.07537500000001</c:v>
                </c:pt>
                <c:pt idx="64">
                  <c:v>439.61820499999993</c:v>
                </c:pt>
                <c:pt idx="65">
                  <c:v>439.81559500000003</c:v>
                </c:pt>
                <c:pt idx="66">
                  <c:v>439.69222499999995</c:v>
                </c:pt>
                <c:pt idx="67">
                  <c:v>440.01298500000013</c:v>
                </c:pt>
                <c:pt idx="68">
                  <c:v>440.28440000000001</c:v>
                </c:pt>
                <c:pt idx="69">
                  <c:v>440.80255500000004</c:v>
                </c:pt>
                <c:pt idx="70">
                  <c:v>440.87657999999999</c:v>
                </c:pt>
                <c:pt idx="71">
                  <c:v>440.70385999999996</c:v>
                </c:pt>
                <c:pt idx="72">
                  <c:v>440.30907500000001</c:v>
                </c:pt>
                <c:pt idx="73">
                  <c:v>439.88961500000005</c:v>
                </c:pt>
                <c:pt idx="74">
                  <c:v>440.259725</c:v>
                </c:pt>
                <c:pt idx="75">
                  <c:v>440.65451000000002</c:v>
                </c:pt>
                <c:pt idx="76">
                  <c:v>441.54277999999994</c:v>
                </c:pt>
                <c:pt idx="77">
                  <c:v>443.245295</c:v>
                </c:pt>
                <c:pt idx="78">
                  <c:v>444.99715500000002</c:v>
                </c:pt>
                <c:pt idx="79">
                  <c:v>446.99575500000003</c:v>
                </c:pt>
                <c:pt idx="80">
                  <c:v>448.69826999999998</c:v>
                </c:pt>
                <c:pt idx="81">
                  <c:v>450.77088999999995</c:v>
                </c:pt>
                <c:pt idx="82">
                  <c:v>453.04091000000005</c:v>
                </c:pt>
                <c:pt idx="83">
                  <c:v>455.21223000000009</c:v>
                </c:pt>
                <c:pt idx="84">
                  <c:v>457.80300999999997</c:v>
                </c:pt>
                <c:pt idx="85">
                  <c:v>460.49248500000004</c:v>
                </c:pt>
                <c:pt idx="86">
                  <c:v>463.08326500000004</c:v>
                </c:pt>
                <c:pt idx="87">
                  <c:v>465.32861000000014</c:v>
                </c:pt>
                <c:pt idx="88">
                  <c:v>467.82069500000017</c:v>
                </c:pt>
                <c:pt idx="89">
                  <c:v>470.26343000000008</c:v>
                </c:pt>
                <c:pt idx="90">
                  <c:v>472.60746500000005</c:v>
                </c:pt>
                <c:pt idx="91">
                  <c:v>475.17357000000004</c:v>
                </c:pt>
                <c:pt idx="92">
                  <c:v>478.15913500000005</c:v>
                </c:pt>
                <c:pt idx="93">
                  <c:v>481.68752999999998</c:v>
                </c:pt>
                <c:pt idx="94">
                  <c:v>484.27830999999998</c:v>
                </c:pt>
                <c:pt idx="95">
                  <c:v>486.67169999999999</c:v>
                </c:pt>
                <c:pt idx="96">
                  <c:v>488.59628000000004</c:v>
                </c:pt>
                <c:pt idx="97">
                  <c:v>489.50922000000003</c:v>
                </c:pt>
                <c:pt idx="98">
                  <c:v>490.52085999999997</c:v>
                </c:pt>
                <c:pt idx="99">
                  <c:v>491.53213500000004</c:v>
                </c:pt>
                <c:pt idx="100">
                  <c:v>492.69120999999996</c:v>
                </c:pt>
                <c:pt idx="101">
                  <c:v>493.60379</c:v>
                </c:pt>
                <c:pt idx="102">
                  <c:v>494.59063000000003</c:v>
                </c:pt>
                <c:pt idx="103">
                  <c:v>495.65077000000002</c:v>
                </c:pt>
                <c:pt idx="104">
                  <c:v>496.76074</c:v>
                </c:pt>
                <c:pt idx="105">
                  <c:v>498.04391500000003</c:v>
                </c:pt>
                <c:pt idx="106">
                  <c:v>499.57358499999998</c:v>
                </c:pt>
                <c:pt idx="107">
                  <c:v>501.15357000000006</c:v>
                </c:pt>
                <c:pt idx="108">
                  <c:v>502.28966499999996</c:v>
                </c:pt>
                <c:pt idx="109">
                  <c:v>503.84764499999994</c:v>
                </c:pt>
                <c:pt idx="110">
                  <c:v>505.48061499999994</c:v>
                </c:pt>
                <c:pt idx="111">
                  <c:v>507.04125999999997</c:v>
                </c:pt>
                <c:pt idx="112">
                  <c:v>508.75139999999993</c:v>
                </c:pt>
                <c:pt idx="113">
                  <c:v>510.51379500000002</c:v>
                </c:pt>
                <c:pt idx="114">
                  <c:v>513.66229499999997</c:v>
                </c:pt>
                <c:pt idx="115">
                  <c:v>517.20630500000004</c:v>
                </c:pt>
                <c:pt idx="116">
                  <c:v>520.99899500000004</c:v>
                </c:pt>
                <c:pt idx="117">
                  <c:v>525.53457000000003</c:v>
                </c:pt>
                <c:pt idx="118">
                  <c:v>529.62456000000009</c:v>
                </c:pt>
                <c:pt idx="119">
                  <c:v>534.23645999999997</c:v>
                </c:pt>
                <c:pt idx="120">
                  <c:v>538.55082000000004</c:v>
                </c:pt>
                <c:pt idx="121">
                  <c:v>543.75780500000008</c:v>
                </c:pt>
                <c:pt idx="122">
                  <c:v>549.80782499999998</c:v>
                </c:pt>
                <c:pt idx="123">
                  <c:v>556.45292499999994</c:v>
                </c:pt>
                <c:pt idx="124">
                  <c:v>563.44515999999999</c:v>
                </c:pt>
                <c:pt idx="125">
                  <c:v>569.19764000000009</c:v>
                </c:pt>
                <c:pt idx="126">
                  <c:v>574.20626500000003</c:v>
                </c:pt>
                <c:pt idx="127">
                  <c:v>579.06612000000007</c:v>
                </c:pt>
                <c:pt idx="128">
                  <c:v>583.23171000000002</c:v>
                </c:pt>
                <c:pt idx="129">
                  <c:v>586.55426</c:v>
                </c:pt>
                <c:pt idx="130">
                  <c:v>589.48009000000002</c:v>
                </c:pt>
                <c:pt idx="131">
                  <c:v>593.79444499999988</c:v>
                </c:pt>
                <c:pt idx="132">
                  <c:v>598.20798500000001</c:v>
                </c:pt>
                <c:pt idx="133">
                  <c:v>601.5305350000001</c:v>
                </c:pt>
                <c:pt idx="134">
                  <c:v>604.50595500000009</c:v>
                </c:pt>
                <c:pt idx="135">
                  <c:v>608.77072500000008</c:v>
                </c:pt>
                <c:pt idx="136">
                  <c:v>612.44040500000006</c:v>
                </c:pt>
                <c:pt idx="137">
                  <c:v>615.11828500000001</c:v>
                </c:pt>
                <c:pt idx="138">
                  <c:v>618.24247500000013</c:v>
                </c:pt>
                <c:pt idx="139">
                  <c:v>619.82936500000017</c:v>
                </c:pt>
                <c:pt idx="140">
                  <c:v>621.36666000000002</c:v>
                </c:pt>
                <c:pt idx="141">
                  <c:v>622.11051500000008</c:v>
                </c:pt>
                <c:pt idx="142">
                  <c:v>620.87075499999992</c:v>
                </c:pt>
                <c:pt idx="143">
                  <c:v>619.33345500000007</c:v>
                </c:pt>
                <c:pt idx="144">
                  <c:v>616.9531199999999</c:v>
                </c:pt>
                <c:pt idx="145">
                  <c:v>615.71335999999997</c:v>
                </c:pt>
                <c:pt idx="146">
                  <c:v>614.42401000000007</c:v>
                </c:pt>
                <c:pt idx="147">
                  <c:v>613.77933500000017</c:v>
                </c:pt>
                <c:pt idx="148">
                  <c:v>613.13465999999994</c:v>
                </c:pt>
                <c:pt idx="149">
                  <c:v>613.2338400000001</c:v>
                </c:pt>
                <c:pt idx="150">
                  <c:v>613.63056500000005</c:v>
                </c:pt>
                <c:pt idx="151">
                  <c:v>612.98589000000004</c:v>
                </c:pt>
                <c:pt idx="152">
                  <c:v>611.94449000000009</c:v>
                </c:pt>
                <c:pt idx="153">
                  <c:v>611.29981500000008</c:v>
                </c:pt>
                <c:pt idx="154">
                  <c:v>609.98394500000006</c:v>
                </c:pt>
                <c:pt idx="155">
                  <c:v>607.22995500000002</c:v>
                </c:pt>
                <c:pt idx="156">
                  <c:v>604.12660500000004</c:v>
                </c:pt>
                <c:pt idx="157">
                  <c:v>601.220595</c:v>
                </c:pt>
                <c:pt idx="158">
                  <c:v>598.51436999999999</c:v>
                </c:pt>
                <c:pt idx="159">
                  <c:v>595.55572499999994</c:v>
                </c:pt>
                <c:pt idx="160">
                  <c:v>592.94400999999993</c:v>
                </c:pt>
                <c:pt idx="161">
                  <c:v>590.68145500000003</c:v>
                </c:pt>
                <c:pt idx="162">
                  <c:v>590.30658500000004</c:v>
                </c:pt>
                <c:pt idx="163">
                  <c:v>589.58376999999996</c:v>
                </c:pt>
                <c:pt idx="164">
                  <c:v>589.00870999999984</c:v>
                </c:pt>
                <c:pt idx="165">
                  <c:v>588.78220499999998</c:v>
                </c:pt>
                <c:pt idx="166">
                  <c:v>590.09584000000007</c:v>
                </c:pt>
                <c:pt idx="167">
                  <c:v>590.71521000000007</c:v>
                </c:pt>
                <c:pt idx="168">
                  <c:v>591.73028999999997</c:v>
                </c:pt>
                <c:pt idx="169">
                  <c:v>592.64740999999992</c:v>
                </c:pt>
                <c:pt idx="170">
                  <c:v>593.16658499999994</c:v>
                </c:pt>
                <c:pt idx="171">
                  <c:v>593.04128999999989</c:v>
                </c:pt>
                <c:pt idx="172">
                  <c:v>592.71682499999986</c:v>
                </c:pt>
                <c:pt idx="173">
                  <c:v>592.84008999999992</c:v>
                </c:pt>
                <c:pt idx="174">
                  <c:v>592.88988499999994</c:v>
                </c:pt>
                <c:pt idx="175">
                  <c:v>592.84008999999992</c:v>
                </c:pt>
                <c:pt idx="176">
                  <c:v>593.03926000000001</c:v>
                </c:pt>
                <c:pt idx="177">
                  <c:v>593.33802000000003</c:v>
                </c:pt>
                <c:pt idx="178">
                  <c:v>593.23843500000009</c:v>
                </c:pt>
                <c:pt idx="179">
                  <c:v>594.18451000000005</c:v>
                </c:pt>
                <c:pt idx="180">
                  <c:v>595.82769499999995</c:v>
                </c:pt>
                <c:pt idx="181">
                  <c:v>597.07252999999992</c:v>
                </c:pt>
                <c:pt idx="182">
                  <c:v>597.32149499999991</c:v>
                </c:pt>
                <c:pt idx="183">
                  <c:v>597.71984499999985</c:v>
                </c:pt>
                <c:pt idx="184">
                  <c:v>597.76963499999988</c:v>
                </c:pt>
                <c:pt idx="185">
                  <c:v>597.17210999999986</c:v>
                </c:pt>
                <c:pt idx="186">
                  <c:v>596.02685999999983</c:v>
                </c:pt>
                <c:pt idx="187">
                  <c:v>594.63264500000002</c:v>
                </c:pt>
                <c:pt idx="188">
                  <c:v>593.93553499999996</c:v>
                </c:pt>
                <c:pt idx="189">
                  <c:v>592.88987000000009</c:v>
                </c:pt>
                <c:pt idx="190">
                  <c:v>591.24668499999984</c:v>
                </c:pt>
                <c:pt idx="191">
                  <c:v>586.96445500000004</c:v>
                </c:pt>
                <c:pt idx="192">
                  <c:v>584.02664500000003</c:v>
                </c:pt>
                <c:pt idx="193">
                  <c:v>581.28800999999999</c:v>
                </c:pt>
                <c:pt idx="194">
                  <c:v>578.20081999999991</c:v>
                </c:pt>
                <c:pt idx="195">
                  <c:v>575.91032499999983</c:v>
                </c:pt>
                <c:pt idx="196">
                  <c:v>574.41652499999998</c:v>
                </c:pt>
                <c:pt idx="197">
                  <c:v>572.82313999999997</c:v>
                </c:pt>
                <c:pt idx="198">
                  <c:v>571.67788999999993</c:v>
                </c:pt>
                <c:pt idx="199">
                  <c:v>570.4828500000001</c:v>
                </c:pt>
                <c:pt idx="200">
                  <c:v>568.98904500000003</c:v>
                </c:pt>
                <c:pt idx="201">
                  <c:v>567.79400499999997</c:v>
                </c:pt>
                <c:pt idx="202">
                  <c:v>566.39979000000017</c:v>
                </c:pt>
                <c:pt idx="203">
                  <c:v>565.50350500000002</c:v>
                </c:pt>
                <c:pt idx="204">
                  <c:v>565.60309500000005</c:v>
                </c:pt>
                <c:pt idx="205">
                  <c:v>566.25040999999999</c:v>
                </c:pt>
                <c:pt idx="206">
                  <c:v>566.64876000000004</c:v>
                </c:pt>
                <c:pt idx="207">
                  <c:v>567.44545500000004</c:v>
                </c:pt>
                <c:pt idx="208">
                  <c:v>567.49525000000006</c:v>
                </c:pt>
                <c:pt idx="209">
                  <c:v>567.24628500000006</c:v>
                </c:pt>
                <c:pt idx="210">
                  <c:v>568.1425650000001</c:v>
                </c:pt>
                <c:pt idx="211">
                  <c:v>571.37913499999991</c:v>
                </c:pt>
                <c:pt idx="212">
                  <c:v>573.66962999999987</c:v>
                </c:pt>
                <c:pt idx="213">
                  <c:v>576.05971499999998</c:v>
                </c:pt>
                <c:pt idx="214">
                  <c:v>579.2962849999999</c:v>
                </c:pt>
                <c:pt idx="215">
                  <c:v>581.78595499999983</c:v>
                </c:pt>
                <c:pt idx="216">
                  <c:v>583.55268999999998</c:v>
                </c:pt>
                <c:pt idx="217">
                  <c:v>585.71839000000011</c:v>
                </c:pt>
                <c:pt idx="218">
                  <c:v>586.58574500000009</c:v>
                </c:pt>
                <c:pt idx="219">
                  <c:v>587.302685</c:v>
                </c:pt>
                <c:pt idx="220">
                  <c:v>587.82107500000006</c:v>
                </c:pt>
                <c:pt idx="221">
                  <c:v>588.29111499999999</c:v>
                </c:pt>
                <c:pt idx="222">
                  <c:v>589.20950500000004</c:v>
                </c:pt>
                <c:pt idx="223">
                  <c:v>589.52975499999991</c:v>
                </c:pt>
                <c:pt idx="224">
                  <c:v>589.70165500000007</c:v>
                </c:pt>
                <c:pt idx="225">
                  <c:v>589.82458999999994</c:v>
                </c:pt>
                <c:pt idx="226">
                  <c:v>589.84711000000004</c:v>
                </c:pt>
                <c:pt idx="227">
                  <c:v>589.52025000000003</c:v>
                </c:pt>
                <c:pt idx="228">
                  <c:v>589.54214999999999</c:v>
                </c:pt>
                <c:pt idx="229">
                  <c:v>589.96260499999994</c:v>
                </c:pt>
                <c:pt idx="230">
                  <c:v>590.08409499999993</c:v>
                </c:pt>
                <c:pt idx="231">
                  <c:v>590.45455000000004</c:v>
                </c:pt>
                <c:pt idx="232">
                  <c:v>590.22582999999997</c:v>
                </c:pt>
                <c:pt idx="233">
                  <c:v>589.84979499999997</c:v>
                </c:pt>
                <c:pt idx="234">
                  <c:v>589.625</c:v>
                </c:pt>
                <c:pt idx="235">
                  <c:v>589.9</c:v>
                </c:pt>
                <c:pt idx="236">
                  <c:v>590.4</c:v>
                </c:pt>
                <c:pt idx="237">
                  <c:v>589.75</c:v>
                </c:pt>
                <c:pt idx="238">
                  <c:v>589.5</c:v>
                </c:pt>
                <c:pt idx="239">
                  <c:v>589.54999999999995</c:v>
                </c:pt>
                <c:pt idx="240">
                  <c:v>589.5</c:v>
                </c:pt>
                <c:pt idx="241">
                  <c:v>589.45000000000005</c:v>
                </c:pt>
                <c:pt idx="242">
                  <c:v>589.15</c:v>
                </c:pt>
                <c:pt idx="243">
                  <c:v>588.85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7A-4B36-B50A-54EFDE8FE29F}"/>
            </c:ext>
          </c:extLst>
        </c:ser>
        <c:ser>
          <c:idx val="6"/>
          <c:order val="6"/>
          <c:tx>
            <c:strRef>
              <c:f>工作底稿!$CA$7</c:f>
              <c:strCache>
                <c:ptCount val="1"/>
                <c:pt idx="0">
                  <c:v>60MA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工作底稿!$CA$8:$CA$251</c:f>
              <c:numCache>
                <c:formatCode>General</c:formatCode>
                <c:ptCount val="24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425.90919833333356</c:v>
                </c:pt>
                <c:pt idx="60">
                  <c:v>426.3260083333335</c:v>
                </c:pt>
                <c:pt idx="61">
                  <c:v>426.86538166666685</c:v>
                </c:pt>
                <c:pt idx="62">
                  <c:v>427.18349500000022</c:v>
                </c:pt>
                <c:pt idx="63">
                  <c:v>427.50956333333363</c:v>
                </c:pt>
                <c:pt idx="64">
                  <c:v>427.88403833333354</c:v>
                </c:pt>
                <c:pt idx="65">
                  <c:v>428.14368166666685</c:v>
                </c:pt>
                <c:pt idx="66">
                  <c:v>428.2148316666669</c:v>
                </c:pt>
                <c:pt idx="67">
                  <c:v>428.36867666666689</c:v>
                </c:pt>
                <c:pt idx="68">
                  <c:v>428.65384666666688</c:v>
                </c:pt>
                <c:pt idx="69">
                  <c:v>428.98832000000021</c:v>
                </c:pt>
                <c:pt idx="70">
                  <c:v>429.37227666666695</c:v>
                </c:pt>
                <c:pt idx="71">
                  <c:v>429.98562666666686</c:v>
                </c:pt>
                <c:pt idx="72">
                  <c:v>430.41852666666693</c:v>
                </c:pt>
                <c:pt idx="73">
                  <c:v>430.87596666666684</c:v>
                </c:pt>
                <c:pt idx="74">
                  <c:v>431.44055166666686</c:v>
                </c:pt>
                <c:pt idx="75">
                  <c:v>431.8823500000002</c:v>
                </c:pt>
                <c:pt idx="76">
                  <c:v>432.60338500000023</c:v>
                </c:pt>
                <c:pt idx="77">
                  <c:v>434.02936500000015</c:v>
                </c:pt>
                <c:pt idx="78">
                  <c:v>435.1609600000001</c:v>
                </c:pt>
                <c:pt idx="79">
                  <c:v>436.26833000000011</c:v>
                </c:pt>
                <c:pt idx="80">
                  <c:v>437.21992666666677</c:v>
                </c:pt>
                <c:pt idx="81">
                  <c:v>438.19660000000005</c:v>
                </c:pt>
                <c:pt idx="82">
                  <c:v>439.01781333333344</c:v>
                </c:pt>
                <c:pt idx="83">
                  <c:v>439.97767833333336</c:v>
                </c:pt>
                <c:pt idx="84">
                  <c:v>441.0276116666667</c:v>
                </c:pt>
                <c:pt idx="85">
                  <c:v>442.02833000000004</c:v>
                </c:pt>
                <c:pt idx="86">
                  <c:v>442.88945500000011</c:v>
                </c:pt>
                <c:pt idx="87">
                  <c:v>443.75084833333335</c:v>
                </c:pt>
                <c:pt idx="88">
                  <c:v>444.88307333333341</c:v>
                </c:pt>
                <c:pt idx="89">
                  <c:v>446.07269000000008</c:v>
                </c:pt>
                <c:pt idx="90">
                  <c:v>447.26253166666669</c:v>
                </c:pt>
                <c:pt idx="91">
                  <c:v>448.66581166666674</c:v>
                </c:pt>
                <c:pt idx="92">
                  <c:v>449.99574333333328</c:v>
                </c:pt>
                <c:pt idx="93">
                  <c:v>451.47389833333335</c:v>
                </c:pt>
                <c:pt idx="94">
                  <c:v>452.73848166666664</c:v>
                </c:pt>
                <c:pt idx="95">
                  <c:v>453.85538000000003</c:v>
                </c:pt>
                <c:pt idx="96">
                  <c:v>454.75987333333336</c:v>
                </c:pt>
                <c:pt idx="97">
                  <c:v>455.70571333333322</c:v>
                </c:pt>
                <c:pt idx="98">
                  <c:v>456.75847499999992</c:v>
                </c:pt>
                <c:pt idx="99">
                  <c:v>457.91803666666664</c:v>
                </c:pt>
                <c:pt idx="100">
                  <c:v>459.1268649999999</c:v>
                </c:pt>
                <c:pt idx="101">
                  <c:v>460.4180216666665</c:v>
                </c:pt>
                <c:pt idx="102">
                  <c:v>461.87375166666646</c:v>
                </c:pt>
                <c:pt idx="103">
                  <c:v>463.3127916666665</c:v>
                </c:pt>
                <c:pt idx="104">
                  <c:v>464.72731833333324</c:v>
                </c:pt>
                <c:pt idx="105">
                  <c:v>466.11733166666653</c:v>
                </c:pt>
                <c:pt idx="106">
                  <c:v>467.44969166666647</c:v>
                </c:pt>
                <c:pt idx="107">
                  <c:v>468.83172166666651</c:v>
                </c:pt>
                <c:pt idx="108">
                  <c:v>470.13158666666652</c:v>
                </c:pt>
                <c:pt idx="109">
                  <c:v>471.6378766666665</c:v>
                </c:pt>
                <c:pt idx="110">
                  <c:v>472.9882199999999</c:v>
                </c:pt>
                <c:pt idx="111">
                  <c:v>474.30622999999986</c:v>
                </c:pt>
                <c:pt idx="112">
                  <c:v>475.73986999999994</c:v>
                </c:pt>
                <c:pt idx="113">
                  <c:v>477.36364666666657</c:v>
                </c:pt>
                <c:pt idx="114">
                  <c:v>479.40010999999987</c:v>
                </c:pt>
                <c:pt idx="115">
                  <c:v>481.51083833333325</c:v>
                </c:pt>
                <c:pt idx="116">
                  <c:v>483.71268499999991</c:v>
                </c:pt>
                <c:pt idx="117">
                  <c:v>486.09636166666661</c:v>
                </c:pt>
                <c:pt idx="118">
                  <c:v>488.38085833333326</c:v>
                </c:pt>
                <c:pt idx="119">
                  <c:v>490.92144999999988</c:v>
                </c:pt>
                <c:pt idx="120">
                  <c:v>493.31343333333331</c:v>
                </c:pt>
                <c:pt idx="121">
                  <c:v>496.04416166666664</c:v>
                </c:pt>
                <c:pt idx="122">
                  <c:v>499.146455</c:v>
                </c:pt>
                <c:pt idx="123">
                  <c:v>502.43864166666663</c:v>
                </c:pt>
                <c:pt idx="124">
                  <c:v>506.00296999999995</c:v>
                </c:pt>
                <c:pt idx="125">
                  <c:v>509.24468000000002</c:v>
                </c:pt>
                <c:pt idx="126">
                  <c:v>512.28770499999996</c:v>
                </c:pt>
                <c:pt idx="127">
                  <c:v>515.18276666666668</c:v>
                </c:pt>
                <c:pt idx="128">
                  <c:v>517.78069000000005</c:v>
                </c:pt>
                <c:pt idx="129">
                  <c:v>520.22177833333342</c:v>
                </c:pt>
                <c:pt idx="130">
                  <c:v>522.52272333333337</c:v>
                </c:pt>
                <c:pt idx="131">
                  <c:v>525.33642500000008</c:v>
                </c:pt>
                <c:pt idx="132">
                  <c:v>528.37284000000011</c:v>
                </c:pt>
                <c:pt idx="133">
                  <c:v>531.24395333333337</c:v>
                </c:pt>
                <c:pt idx="134">
                  <c:v>534.14885333333336</c:v>
                </c:pt>
                <c:pt idx="135">
                  <c:v>537.54957666666667</c:v>
                </c:pt>
                <c:pt idx="136">
                  <c:v>540.67855999999995</c:v>
                </c:pt>
                <c:pt idx="137">
                  <c:v>543.38735833333328</c:v>
                </c:pt>
                <c:pt idx="138">
                  <c:v>546.1292983333334</c:v>
                </c:pt>
                <c:pt idx="139">
                  <c:v>548.53265333333343</c:v>
                </c:pt>
                <c:pt idx="140">
                  <c:v>550.86956333333342</c:v>
                </c:pt>
                <c:pt idx="141">
                  <c:v>553.15737000000001</c:v>
                </c:pt>
                <c:pt idx="142">
                  <c:v>555.08973666666668</c:v>
                </c:pt>
                <c:pt idx="143">
                  <c:v>557.14571666666666</c:v>
                </c:pt>
                <c:pt idx="144">
                  <c:v>559.05300666666653</c:v>
                </c:pt>
                <c:pt idx="145">
                  <c:v>560.98497166666652</c:v>
                </c:pt>
                <c:pt idx="146">
                  <c:v>562.73461999999984</c:v>
                </c:pt>
                <c:pt idx="147">
                  <c:v>564.66634166666665</c:v>
                </c:pt>
                <c:pt idx="148">
                  <c:v>566.21867833333329</c:v>
                </c:pt>
                <c:pt idx="149">
                  <c:v>567.87858166666661</c:v>
                </c:pt>
                <c:pt idx="150">
                  <c:v>569.53042333333326</c:v>
                </c:pt>
                <c:pt idx="151">
                  <c:v>571.27386499999989</c:v>
                </c:pt>
                <c:pt idx="152">
                  <c:v>572.96795833333329</c:v>
                </c:pt>
                <c:pt idx="153">
                  <c:v>574.44804833333342</c:v>
                </c:pt>
                <c:pt idx="154">
                  <c:v>576.05073166666659</c:v>
                </c:pt>
                <c:pt idx="155">
                  <c:v>577.73566166666672</c:v>
                </c:pt>
                <c:pt idx="156">
                  <c:v>579.18866833333334</c:v>
                </c:pt>
                <c:pt idx="157">
                  <c:v>580.62448333333327</c:v>
                </c:pt>
                <c:pt idx="158">
                  <c:v>582.12713499999995</c:v>
                </c:pt>
                <c:pt idx="159">
                  <c:v>583.20718333333332</c:v>
                </c:pt>
                <c:pt idx="160">
                  <c:v>584.28716333333318</c:v>
                </c:pt>
                <c:pt idx="161">
                  <c:v>585.51659166666661</c:v>
                </c:pt>
                <c:pt idx="162">
                  <c:v>586.99505499999987</c:v>
                </c:pt>
                <c:pt idx="163">
                  <c:v>588.45671666666635</c:v>
                </c:pt>
                <c:pt idx="164">
                  <c:v>589.80232999999987</c:v>
                </c:pt>
                <c:pt idx="165">
                  <c:v>591.23106833333304</c:v>
                </c:pt>
                <c:pt idx="166">
                  <c:v>592.90870499999971</c:v>
                </c:pt>
                <c:pt idx="167">
                  <c:v>594.52022166666643</c:v>
                </c:pt>
                <c:pt idx="168">
                  <c:v>596.03221999999971</c:v>
                </c:pt>
                <c:pt idx="169">
                  <c:v>597.47850333333326</c:v>
                </c:pt>
                <c:pt idx="170">
                  <c:v>598.75907999999993</c:v>
                </c:pt>
                <c:pt idx="171">
                  <c:v>599.9405416666666</c:v>
                </c:pt>
                <c:pt idx="172">
                  <c:v>600.95643333333328</c:v>
                </c:pt>
                <c:pt idx="173">
                  <c:v>601.89014666666662</c:v>
                </c:pt>
                <c:pt idx="174">
                  <c:v>602.45992833333332</c:v>
                </c:pt>
                <c:pt idx="175">
                  <c:v>602.94692333333319</c:v>
                </c:pt>
                <c:pt idx="176">
                  <c:v>603.20208999999988</c:v>
                </c:pt>
                <c:pt idx="177">
                  <c:v>603.22563333333312</c:v>
                </c:pt>
                <c:pt idx="178">
                  <c:v>603.3317599999998</c:v>
                </c:pt>
                <c:pt idx="179">
                  <c:v>603.18986666666638</c:v>
                </c:pt>
                <c:pt idx="180">
                  <c:v>603.37945499999989</c:v>
                </c:pt>
                <c:pt idx="181">
                  <c:v>603.2881666666666</c:v>
                </c:pt>
                <c:pt idx="182">
                  <c:v>602.83294499999988</c:v>
                </c:pt>
                <c:pt idx="183">
                  <c:v>602.21235666666666</c:v>
                </c:pt>
                <c:pt idx="184">
                  <c:v>601.24382166666669</c:v>
                </c:pt>
                <c:pt idx="185">
                  <c:v>600.55589166666675</c:v>
                </c:pt>
                <c:pt idx="186">
                  <c:v>600.18223666666688</c:v>
                </c:pt>
                <c:pt idx="187">
                  <c:v>599.70906333333369</c:v>
                </c:pt>
                <c:pt idx="188">
                  <c:v>599.60016166666685</c:v>
                </c:pt>
                <c:pt idx="189">
                  <c:v>599.59037333333379</c:v>
                </c:pt>
                <c:pt idx="190">
                  <c:v>599.3479450000001</c:v>
                </c:pt>
                <c:pt idx="191">
                  <c:v>597.6638783333334</c:v>
                </c:pt>
                <c:pt idx="192">
                  <c:v>596.22932000000026</c:v>
                </c:pt>
                <c:pt idx="193">
                  <c:v>595.14263833333337</c:v>
                </c:pt>
                <c:pt idx="194">
                  <c:v>593.69155000000001</c:v>
                </c:pt>
                <c:pt idx="195">
                  <c:v>591.9934566666667</c:v>
                </c:pt>
                <c:pt idx="196">
                  <c:v>590.52746333333334</c:v>
                </c:pt>
                <c:pt idx="197">
                  <c:v>589.12725166666667</c:v>
                </c:pt>
                <c:pt idx="198">
                  <c:v>587.81023166666671</c:v>
                </c:pt>
                <c:pt idx="199">
                  <c:v>586.74102833333359</c:v>
                </c:pt>
                <c:pt idx="200">
                  <c:v>585.92025000000024</c:v>
                </c:pt>
                <c:pt idx="201">
                  <c:v>585.18266333333349</c:v>
                </c:pt>
                <c:pt idx="202">
                  <c:v>584.67595666666682</c:v>
                </c:pt>
                <c:pt idx="203">
                  <c:v>584.26904000000002</c:v>
                </c:pt>
                <c:pt idx="204">
                  <c:v>584.12714666666682</c:v>
                </c:pt>
                <c:pt idx="205">
                  <c:v>584.06824166666672</c:v>
                </c:pt>
                <c:pt idx="206">
                  <c:v>584.25715333333346</c:v>
                </c:pt>
                <c:pt idx="207">
                  <c:v>584.26443666666671</c:v>
                </c:pt>
                <c:pt idx="208">
                  <c:v>584.38702500000011</c:v>
                </c:pt>
                <c:pt idx="209">
                  <c:v>584.26118833333351</c:v>
                </c:pt>
                <c:pt idx="210">
                  <c:v>584.1852783333336</c:v>
                </c:pt>
                <c:pt idx="211">
                  <c:v>583.79496000000029</c:v>
                </c:pt>
                <c:pt idx="212">
                  <c:v>583.47103333333348</c:v>
                </c:pt>
                <c:pt idx="213">
                  <c:v>583.39593833333345</c:v>
                </c:pt>
                <c:pt idx="214">
                  <c:v>583.46233000000007</c:v>
                </c:pt>
                <c:pt idx="215">
                  <c:v>583.51212333333342</c:v>
                </c:pt>
                <c:pt idx="216">
                  <c:v>583.66949166666677</c:v>
                </c:pt>
                <c:pt idx="217">
                  <c:v>583.95985000000007</c:v>
                </c:pt>
                <c:pt idx="218">
                  <c:v>583.83402333333345</c:v>
                </c:pt>
                <c:pt idx="219">
                  <c:v>583.99001500000008</c:v>
                </c:pt>
                <c:pt idx="220">
                  <c:v>584.21260500000017</c:v>
                </c:pt>
                <c:pt idx="221">
                  <c:v>584.38588333333348</c:v>
                </c:pt>
                <c:pt idx="222">
                  <c:v>584.31026333333352</c:v>
                </c:pt>
                <c:pt idx="223">
                  <c:v>584.25103500000012</c:v>
                </c:pt>
                <c:pt idx="224">
                  <c:v>584.35812833333353</c:v>
                </c:pt>
                <c:pt idx="225">
                  <c:v>584.41570333333345</c:v>
                </c:pt>
                <c:pt idx="226">
                  <c:v>584.17424333333327</c:v>
                </c:pt>
                <c:pt idx="227">
                  <c:v>583.8661166666667</c:v>
                </c:pt>
                <c:pt idx="228">
                  <c:v>583.657645</c:v>
                </c:pt>
                <c:pt idx="229">
                  <c:v>583.36625333333336</c:v>
                </c:pt>
                <c:pt idx="230">
                  <c:v>583.15778166666666</c:v>
                </c:pt>
                <c:pt idx="231">
                  <c:v>582.93271333333337</c:v>
                </c:pt>
                <c:pt idx="232">
                  <c:v>582.6407016666667</c:v>
                </c:pt>
                <c:pt idx="233">
                  <c:v>582.39917333333335</c:v>
                </c:pt>
                <c:pt idx="234">
                  <c:v>582.37403500000005</c:v>
                </c:pt>
                <c:pt idx="235">
                  <c:v>582.53209333333336</c:v>
                </c:pt>
                <c:pt idx="236">
                  <c:v>582.78973833333328</c:v>
                </c:pt>
                <c:pt idx="237">
                  <c:v>582.7638433333334</c:v>
                </c:pt>
                <c:pt idx="238">
                  <c:v>582.58787833333338</c:v>
                </c:pt>
                <c:pt idx="239">
                  <c:v>582.44517833333339</c:v>
                </c:pt>
                <c:pt idx="240">
                  <c:v>582.10337333333337</c:v>
                </c:pt>
                <c:pt idx="241">
                  <c:v>581.84504000000004</c:v>
                </c:pt>
                <c:pt idx="242">
                  <c:v>581.58643166666684</c:v>
                </c:pt>
                <c:pt idx="243">
                  <c:v>581.29442000000006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7A-4B36-B50A-54EFDE8FE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71632"/>
        <c:axId val="344057072"/>
      </c:stockChart>
      <c:catAx>
        <c:axId val="34403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57488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344057488"/>
        <c:scaling>
          <c:orientation val="minMax"/>
          <c:max val="741"/>
          <c:min val="354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35856"/>
        <c:crosses val="autoZero"/>
        <c:crossBetween val="between"/>
      </c:valAx>
      <c:valAx>
        <c:axId val="344057072"/>
        <c:scaling>
          <c:orientation val="minMax"/>
          <c:max val="741"/>
          <c:min val="35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71632"/>
        <c:crosses val="max"/>
        <c:crossBetween val="between"/>
      </c:valAx>
      <c:dateAx>
        <c:axId val="344071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4057072"/>
        <c:crosses val="autoZero"/>
        <c:auto val="1"/>
        <c:lblOffset val="100"/>
        <c:baseTimeUnit val="days"/>
      </c:dateAx>
      <c:spPr>
        <a:solidFill>
          <a:schemeClr val="bg1">
            <a:lumMod val="9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4016074568695744E-2"/>
          <c:y val="0.21970047861664355"/>
          <c:w val="0.90121907824590797"/>
          <c:h val="0.672900005146415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工作底稿!$BE$7</c:f>
              <c:strCache>
                <c:ptCount val="1"/>
                <c:pt idx="0">
                  <c:v>成交量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工作底稿!$AZ$8:$AZ$251</c:f>
              <c:numCache>
                <c:formatCode>m/d/yyyy</c:formatCode>
                <c:ptCount val="244"/>
                <c:pt idx="0">
                  <c:v>44040</c:v>
                </c:pt>
                <c:pt idx="1">
                  <c:v>44041</c:v>
                </c:pt>
                <c:pt idx="2">
                  <c:v>44042</c:v>
                </c:pt>
                <c:pt idx="3">
                  <c:v>44043</c:v>
                </c:pt>
                <c:pt idx="4">
                  <c:v>44046</c:v>
                </c:pt>
                <c:pt idx="5">
                  <c:v>44047</c:v>
                </c:pt>
                <c:pt idx="6">
                  <c:v>44048</c:v>
                </c:pt>
                <c:pt idx="7">
                  <c:v>44049</c:v>
                </c:pt>
                <c:pt idx="8">
                  <c:v>44050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44067</c:v>
                </c:pt>
                <c:pt idx="20">
                  <c:v>44068</c:v>
                </c:pt>
                <c:pt idx="21">
                  <c:v>44069</c:v>
                </c:pt>
                <c:pt idx="22">
                  <c:v>44070</c:v>
                </c:pt>
                <c:pt idx="23">
                  <c:v>44071</c:v>
                </c:pt>
                <c:pt idx="24">
                  <c:v>44074</c:v>
                </c:pt>
                <c:pt idx="25">
                  <c:v>44075</c:v>
                </c:pt>
                <c:pt idx="26">
                  <c:v>44076</c:v>
                </c:pt>
                <c:pt idx="27">
                  <c:v>44077</c:v>
                </c:pt>
                <c:pt idx="28">
                  <c:v>44078</c:v>
                </c:pt>
                <c:pt idx="29">
                  <c:v>44081</c:v>
                </c:pt>
                <c:pt idx="30">
                  <c:v>44082</c:v>
                </c:pt>
                <c:pt idx="31">
                  <c:v>44083</c:v>
                </c:pt>
                <c:pt idx="32">
                  <c:v>44084</c:v>
                </c:pt>
                <c:pt idx="33">
                  <c:v>44085</c:v>
                </c:pt>
                <c:pt idx="34">
                  <c:v>44088</c:v>
                </c:pt>
                <c:pt idx="35">
                  <c:v>44089</c:v>
                </c:pt>
                <c:pt idx="36">
                  <c:v>44090</c:v>
                </c:pt>
                <c:pt idx="37">
                  <c:v>44091</c:v>
                </c:pt>
                <c:pt idx="38">
                  <c:v>44092</c:v>
                </c:pt>
                <c:pt idx="39">
                  <c:v>44095</c:v>
                </c:pt>
                <c:pt idx="40">
                  <c:v>44096</c:v>
                </c:pt>
                <c:pt idx="41">
                  <c:v>44097</c:v>
                </c:pt>
                <c:pt idx="42">
                  <c:v>44098</c:v>
                </c:pt>
                <c:pt idx="43">
                  <c:v>44099</c:v>
                </c:pt>
                <c:pt idx="44">
                  <c:v>44102</c:v>
                </c:pt>
                <c:pt idx="45">
                  <c:v>44103</c:v>
                </c:pt>
                <c:pt idx="46">
                  <c:v>44104</c:v>
                </c:pt>
                <c:pt idx="47">
                  <c:v>44109</c:v>
                </c:pt>
                <c:pt idx="48">
                  <c:v>44110</c:v>
                </c:pt>
                <c:pt idx="49">
                  <c:v>44111</c:v>
                </c:pt>
                <c:pt idx="50">
                  <c:v>44112</c:v>
                </c:pt>
                <c:pt idx="51">
                  <c:v>44116</c:v>
                </c:pt>
                <c:pt idx="52">
                  <c:v>44117</c:v>
                </c:pt>
                <c:pt idx="53">
                  <c:v>44118</c:v>
                </c:pt>
                <c:pt idx="54">
                  <c:v>44119</c:v>
                </c:pt>
                <c:pt idx="55">
                  <c:v>44120</c:v>
                </c:pt>
                <c:pt idx="56">
                  <c:v>44123</c:v>
                </c:pt>
                <c:pt idx="57">
                  <c:v>44124</c:v>
                </c:pt>
                <c:pt idx="58">
                  <c:v>44125</c:v>
                </c:pt>
                <c:pt idx="59">
                  <c:v>44126</c:v>
                </c:pt>
                <c:pt idx="60">
                  <c:v>44127</c:v>
                </c:pt>
                <c:pt idx="61">
                  <c:v>44130</c:v>
                </c:pt>
                <c:pt idx="62">
                  <c:v>44131</c:v>
                </c:pt>
                <c:pt idx="63">
                  <c:v>44132</c:v>
                </c:pt>
                <c:pt idx="64">
                  <c:v>44133</c:v>
                </c:pt>
                <c:pt idx="65">
                  <c:v>44134</c:v>
                </c:pt>
                <c:pt idx="66">
                  <c:v>44137</c:v>
                </c:pt>
                <c:pt idx="67">
                  <c:v>44138</c:v>
                </c:pt>
                <c:pt idx="68">
                  <c:v>44139</c:v>
                </c:pt>
                <c:pt idx="69">
                  <c:v>44140</c:v>
                </c:pt>
                <c:pt idx="70">
                  <c:v>44141</c:v>
                </c:pt>
                <c:pt idx="71">
                  <c:v>44144</c:v>
                </c:pt>
                <c:pt idx="72">
                  <c:v>44145</c:v>
                </c:pt>
                <c:pt idx="73">
                  <c:v>44146</c:v>
                </c:pt>
                <c:pt idx="74">
                  <c:v>44147</c:v>
                </c:pt>
                <c:pt idx="75">
                  <c:v>44148</c:v>
                </c:pt>
                <c:pt idx="76">
                  <c:v>44151</c:v>
                </c:pt>
                <c:pt idx="77">
                  <c:v>44152</c:v>
                </c:pt>
                <c:pt idx="78">
                  <c:v>44153</c:v>
                </c:pt>
                <c:pt idx="79">
                  <c:v>44154</c:v>
                </c:pt>
                <c:pt idx="80">
                  <c:v>44155</c:v>
                </c:pt>
                <c:pt idx="81">
                  <c:v>44158</c:v>
                </c:pt>
                <c:pt idx="82">
                  <c:v>44159</c:v>
                </c:pt>
                <c:pt idx="83">
                  <c:v>44160</c:v>
                </c:pt>
                <c:pt idx="84">
                  <c:v>44161</c:v>
                </c:pt>
                <c:pt idx="85">
                  <c:v>44162</c:v>
                </c:pt>
                <c:pt idx="86">
                  <c:v>44165</c:v>
                </c:pt>
                <c:pt idx="87">
                  <c:v>44166</c:v>
                </c:pt>
                <c:pt idx="88">
                  <c:v>44167</c:v>
                </c:pt>
                <c:pt idx="89">
                  <c:v>44168</c:v>
                </c:pt>
                <c:pt idx="90">
                  <c:v>44169</c:v>
                </c:pt>
                <c:pt idx="91">
                  <c:v>44172</c:v>
                </c:pt>
                <c:pt idx="92">
                  <c:v>44173</c:v>
                </c:pt>
                <c:pt idx="93">
                  <c:v>44174</c:v>
                </c:pt>
                <c:pt idx="94">
                  <c:v>44175</c:v>
                </c:pt>
                <c:pt idx="95">
                  <c:v>44176</c:v>
                </c:pt>
                <c:pt idx="96">
                  <c:v>44179</c:v>
                </c:pt>
                <c:pt idx="97">
                  <c:v>44180</c:v>
                </c:pt>
                <c:pt idx="98">
                  <c:v>44181</c:v>
                </c:pt>
                <c:pt idx="99">
                  <c:v>44182</c:v>
                </c:pt>
                <c:pt idx="100">
                  <c:v>44183</c:v>
                </c:pt>
                <c:pt idx="101">
                  <c:v>44186</c:v>
                </c:pt>
                <c:pt idx="102">
                  <c:v>44187</c:v>
                </c:pt>
                <c:pt idx="103">
                  <c:v>44188</c:v>
                </c:pt>
                <c:pt idx="104">
                  <c:v>44189</c:v>
                </c:pt>
                <c:pt idx="105">
                  <c:v>44190</c:v>
                </c:pt>
                <c:pt idx="106">
                  <c:v>44193</c:v>
                </c:pt>
                <c:pt idx="107">
                  <c:v>44194</c:v>
                </c:pt>
                <c:pt idx="108">
                  <c:v>44195</c:v>
                </c:pt>
                <c:pt idx="109">
                  <c:v>44196</c:v>
                </c:pt>
                <c:pt idx="110">
                  <c:v>44200</c:v>
                </c:pt>
                <c:pt idx="111">
                  <c:v>44201</c:v>
                </c:pt>
                <c:pt idx="112">
                  <c:v>44202</c:v>
                </c:pt>
                <c:pt idx="113">
                  <c:v>44203</c:v>
                </c:pt>
                <c:pt idx="114">
                  <c:v>44204</c:v>
                </c:pt>
                <c:pt idx="115">
                  <c:v>44207</c:v>
                </c:pt>
                <c:pt idx="116">
                  <c:v>44208</c:v>
                </c:pt>
                <c:pt idx="117">
                  <c:v>44209</c:v>
                </c:pt>
                <c:pt idx="118">
                  <c:v>44210</c:v>
                </c:pt>
                <c:pt idx="119">
                  <c:v>44211</c:v>
                </c:pt>
                <c:pt idx="120">
                  <c:v>44214</c:v>
                </c:pt>
                <c:pt idx="121">
                  <c:v>44215</c:v>
                </c:pt>
                <c:pt idx="122">
                  <c:v>44216</c:v>
                </c:pt>
                <c:pt idx="123">
                  <c:v>44217</c:v>
                </c:pt>
                <c:pt idx="124">
                  <c:v>44218</c:v>
                </c:pt>
                <c:pt idx="125">
                  <c:v>44221</c:v>
                </c:pt>
                <c:pt idx="126">
                  <c:v>44222</c:v>
                </c:pt>
                <c:pt idx="127">
                  <c:v>44223</c:v>
                </c:pt>
                <c:pt idx="128">
                  <c:v>44224</c:v>
                </c:pt>
                <c:pt idx="129">
                  <c:v>44225</c:v>
                </c:pt>
                <c:pt idx="130">
                  <c:v>44228</c:v>
                </c:pt>
                <c:pt idx="131">
                  <c:v>44229</c:v>
                </c:pt>
                <c:pt idx="132">
                  <c:v>44230</c:v>
                </c:pt>
                <c:pt idx="133">
                  <c:v>44231</c:v>
                </c:pt>
                <c:pt idx="134">
                  <c:v>44232</c:v>
                </c:pt>
                <c:pt idx="135">
                  <c:v>44244</c:v>
                </c:pt>
                <c:pt idx="136">
                  <c:v>44245</c:v>
                </c:pt>
                <c:pt idx="137">
                  <c:v>44246</c:v>
                </c:pt>
                <c:pt idx="138">
                  <c:v>44249</c:v>
                </c:pt>
                <c:pt idx="139">
                  <c:v>44250</c:v>
                </c:pt>
                <c:pt idx="140">
                  <c:v>44251</c:v>
                </c:pt>
                <c:pt idx="141">
                  <c:v>44252</c:v>
                </c:pt>
                <c:pt idx="142">
                  <c:v>44253</c:v>
                </c:pt>
                <c:pt idx="143">
                  <c:v>44257</c:v>
                </c:pt>
                <c:pt idx="144">
                  <c:v>44258</c:v>
                </c:pt>
                <c:pt idx="145">
                  <c:v>44259</c:v>
                </c:pt>
                <c:pt idx="146">
                  <c:v>44260</c:v>
                </c:pt>
                <c:pt idx="147">
                  <c:v>44263</c:v>
                </c:pt>
                <c:pt idx="148">
                  <c:v>44264</c:v>
                </c:pt>
                <c:pt idx="149">
                  <c:v>44265</c:v>
                </c:pt>
                <c:pt idx="150">
                  <c:v>44266</c:v>
                </c:pt>
                <c:pt idx="151">
                  <c:v>44267</c:v>
                </c:pt>
                <c:pt idx="152">
                  <c:v>44270</c:v>
                </c:pt>
                <c:pt idx="153">
                  <c:v>44271</c:v>
                </c:pt>
                <c:pt idx="154">
                  <c:v>44272</c:v>
                </c:pt>
                <c:pt idx="155">
                  <c:v>44273</c:v>
                </c:pt>
                <c:pt idx="156">
                  <c:v>44274</c:v>
                </c:pt>
                <c:pt idx="157">
                  <c:v>44277</c:v>
                </c:pt>
                <c:pt idx="158">
                  <c:v>44278</c:v>
                </c:pt>
                <c:pt idx="159">
                  <c:v>44279</c:v>
                </c:pt>
                <c:pt idx="160">
                  <c:v>44280</c:v>
                </c:pt>
                <c:pt idx="161">
                  <c:v>44281</c:v>
                </c:pt>
                <c:pt idx="162">
                  <c:v>44284</c:v>
                </c:pt>
                <c:pt idx="163">
                  <c:v>44285</c:v>
                </c:pt>
                <c:pt idx="164">
                  <c:v>44286</c:v>
                </c:pt>
                <c:pt idx="165">
                  <c:v>44287</c:v>
                </c:pt>
                <c:pt idx="166">
                  <c:v>44292</c:v>
                </c:pt>
                <c:pt idx="167">
                  <c:v>44293</c:v>
                </c:pt>
                <c:pt idx="168">
                  <c:v>44294</c:v>
                </c:pt>
                <c:pt idx="169">
                  <c:v>44295</c:v>
                </c:pt>
                <c:pt idx="170">
                  <c:v>44298</c:v>
                </c:pt>
                <c:pt idx="171">
                  <c:v>44299</c:v>
                </c:pt>
                <c:pt idx="172">
                  <c:v>44300</c:v>
                </c:pt>
                <c:pt idx="173">
                  <c:v>44301</c:v>
                </c:pt>
                <c:pt idx="174">
                  <c:v>44302</c:v>
                </c:pt>
                <c:pt idx="175">
                  <c:v>44305</c:v>
                </c:pt>
                <c:pt idx="176">
                  <c:v>44306</c:v>
                </c:pt>
                <c:pt idx="177">
                  <c:v>44307</c:v>
                </c:pt>
                <c:pt idx="178">
                  <c:v>44308</c:v>
                </c:pt>
                <c:pt idx="179">
                  <c:v>44309</c:v>
                </c:pt>
                <c:pt idx="180">
                  <c:v>44312</c:v>
                </c:pt>
                <c:pt idx="181">
                  <c:v>44313</c:v>
                </c:pt>
                <c:pt idx="182">
                  <c:v>44314</c:v>
                </c:pt>
                <c:pt idx="183">
                  <c:v>44315</c:v>
                </c:pt>
                <c:pt idx="184">
                  <c:v>44319</c:v>
                </c:pt>
                <c:pt idx="185">
                  <c:v>44320</c:v>
                </c:pt>
                <c:pt idx="186">
                  <c:v>44321</c:v>
                </c:pt>
                <c:pt idx="187">
                  <c:v>44322</c:v>
                </c:pt>
                <c:pt idx="188">
                  <c:v>44323</c:v>
                </c:pt>
                <c:pt idx="189">
                  <c:v>44326</c:v>
                </c:pt>
                <c:pt idx="190">
                  <c:v>44327</c:v>
                </c:pt>
                <c:pt idx="191">
                  <c:v>44328</c:v>
                </c:pt>
                <c:pt idx="192">
                  <c:v>44329</c:v>
                </c:pt>
                <c:pt idx="193">
                  <c:v>44330</c:v>
                </c:pt>
                <c:pt idx="194">
                  <c:v>44333</c:v>
                </c:pt>
                <c:pt idx="195">
                  <c:v>44334</c:v>
                </c:pt>
                <c:pt idx="196">
                  <c:v>44335</c:v>
                </c:pt>
                <c:pt idx="197">
                  <c:v>44336</c:v>
                </c:pt>
                <c:pt idx="198">
                  <c:v>44337</c:v>
                </c:pt>
                <c:pt idx="199">
                  <c:v>44340</c:v>
                </c:pt>
                <c:pt idx="200">
                  <c:v>44341</c:v>
                </c:pt>
                <c:pt idx="201">
                  <c:v>44342</c:v>
                </c:pt>
                <c:pt idx="202">
                  <c:v>44343</c:v>
                </c:pt>
                <c:pt idx="203">
                  <c:v>44344</c:v>
                </c:pt>
                <c:pt idx="204">
                  <c:v>44347</c:v>
                </c:pt>
                <c:pt idx="205">
                  <c:v>44348</c:v>
                </c:pt>
                <c:pt idx="206">
                  <c:v>44349</c:v>
                </c:pt>
                <c:pt idx="207">
                  <c:v>44350</c:v>
                </c:pt>
                <c:pt idx="208">
                  <c:v>44351</c:v>
                </c:pt>
                <c:pt idx="209">
                  <c:v>44354</c:v>
                </c:pt>
                <c:pt idx="210">
                  <c:v>44355</c:v>
                </c:pt>
                <c:pt idx="211">
                  <c:v>44356</c:v>
                </c:pt>
                <c:pt idx="212">
                  <c:v>44357</c:v>
                </c:pt>
                <c:pt idx="213">
                  <c:v>44358</c:v>
                </c:pt>
                <c:pt idx="214">
                  <c:v>44362</c:v>
                </c:pt>
                <c:pt idx="215">
                  <c:v>44363</c:v>
                </c:pt>
                <c:pt idx="216">
                  <c:v>44364</c:v>
                </c:pt>
                <c:pt idx="217">
                  <c:v>44365</c:v>
                </c:pt>
                <c:pt idx="218">
                  <c:v>44368</c:v>
                </c:pt>
                <c:pt idx="219">
                  <c:v>44369</c:v>
                </c:pt>
                <c:pt idx="220">
                  <c:v>44370</c:v>
                </c:pt>
                <c:pt idx="221">
                  <c:v>44371</c:v>
                </c:pt>
                <c:pt idx="222">
                  <c:v>44372</c:v>
                </c:pt>
                <c:pt idx="223">
                  <c:v>44375</c:v>
                </c:pt>
                <c:pt idx="224">
                  <c:v>44376</c:v>
                </c:pt>
                <c:pt idx="225">
                  <c:v>44377</c:v>
                </c:pt>
                <c:pt idx="226">
                  <c:v>44378</c:v>
                </c:pt>
                <c:pt idx="227">
                  <c:v>44379</c:v>
                </c:pt>
                <c:pt idx="228">
                  <c:v>44382</c:v>
                </c:pt>
                <c:pt idx="229">
                  <c:v>44383</c:v>
                </c:pt>
                <c:pt idx="230">
                  <c:v>44384</c:v>
                </c:pt>
                <c:pt idx="231">
                  <c:v>44385</c:v>
                </c:pt>
                <c:pt idx="232">
                  <c:v>44386</c:v>
                </c:pt>
                <c:pt idx="233">
                  <c:v>44389</c:v>
                </c:pt>
                <c:pt idx="234">
                  <c:v>44390</c:v>
                </c:pt>
                <c:pt idx="235">
                  <c:v>44391</c:v>
                </c:pt>
                <c:pt idx="236">
                  <c:v>44392</c:v>
                </c:pt>
                <c:pt idx="237">
                  <c:v>44393</c:v>
                </c:pt>
                <c:pt idx="238">
                  <c:v>44396</c:v>
                </c:pt>
                <c:pt idx="239">
                  <c:v>44397</c:v>
                </c:pt>
                <c:pt idx="240">
                  <c:v>44398</c:v>
                </c:pt>
                <c:pt idx="241">
                  <c:v>44399</c:v>
                </c:pt>
                <c:pt idx="242">
                  <c:v>44400</c:v>
                </c:pt>
                <c:pt idx="243">
                  <c:v>44403</c:v>
                </c:pt>
              </c:numCache>
            </c:numRef>
          </c:cat>
          <c:val>
            <c:numRef>
              <c:f>工作底稿!$BE$8:$BE$251</c:f>
              <c:numCache>
                <c:formatCode>General</c:formatCode>
                <c:ptCount val="244"/>
                <c:pt idx="0">
                  <c:v>172158</c:v>
                </c:pt>
                <c:pt idx="1">
                  <c:v>88641</c:v>
                </c:pt>
                <c:pt idx="2">
                  <c:v>69937</c:v>
                </c:pt>
                <c:pt idx="3">
                  <c:v>50485</c:v>
                </c:pt>
                <c:pt idx="4">
                  <c:v>77289</c:v>
                </c:pt>
                <c:pt idx="5">
                  <c:v>41697</c:v>
                </c:pt>
                <c:pt idx="6">
                  <c:v>47461</c:v>
                </c:pt>
                <c:pt idx="7">
                  <c:v>43444</c:v>
                </c:pt>
                <c:pt idx="8">
                  <c:v>37611</c:v>
                </c:pt>
                <c:pt idx="9">
                  <c:v>36068</c:v>
                </c:pt>
                <c:pt idx="10">
                  <c:v>34545</c:v>
                </c:pt>
                <c:pt idx="11">
                  <c:v>53980</c:v>
                </c:pt>
                <c:pt idx="12">
                  <c:v>45669</c:v>
                </c:pt>
                <c:pt idx="13">
                  <c:v>24260</c:v>
                </c:pt>
                <c:pt idx="14">
                  <c:v>34608</c:v>
                </c:pt>
                <c:pt idx="15">
                  <c:v>45504</c:v>
                </c:pt>
                <c:pt idx="16">
                  <c:v>31487</c:v>
                </c:pt>
                <c:pt idx="17">
                  <c:v>75155</c:v>
                </c:pt>
                <c:pt idx="18">
                  <c:v>41956</c:v>
                </c:pt>
                <c:pt idx="19">
                  <c:v>49199</c:v>
                </c:pt>
                <c:pt idx="20">
                  <c:v>37025</c:v>
                </c:pt>
                <c:pt idx="21">
                  <c:v>41406</c:v>
                </c:pt>
                <c:pt idx="22">
                  <c:v>57207</c:v>
                </c:pt>
                <c:pt idx="23">
                  <c:v>57039</c:v>
                </c:pt>
                <c:pt idx="24">
                  <c:v>88570</c:v>
                </c:pt>
                <c:pt idx="25">
                  <c:v>50130</c:v>
                </c:pt>
                <c:pt idx="26">
                  <c:v>42013</c:v>
                </c:pt>
                <c:pt idx="27">
                  <c:v>40684</c:v>
                </c:pt>
                <c:pt idx="28">
                  <c:v>51350</c:v>
                </c:pt>
                <c:pt idx="29">
                  <c:v>39855</c:v>
                </c:pt>
                <c:pt idx="30">
                  <c:v>23715</c:v>
                </c:pt>
                <c:pt idx="31">
                  <c:v>40727</c:v>
                </c:pt>
                <c:pt idx="32">
                  <c:v>35282</c:v>
                </c:pt>
                <c:pt idx="33">
                  <c:v>34893</c:v>
                </c:pt>
                <c:pt idx="34">
                  <c:v>39326</c:v>
                </c:pt>
                <c:pt idx="35">
                  <c:v>39661</c:v>
                </c:pt>
                <c:pt idx="36">
                  <c:v>70608</c:v>
                </c:pt>
                <c:pt idx="37">
                  <c:v>44421</c:v>
                </c:pt>
                <c:pt idx="38">
                  <c:v>53000</c:v>
                </c:pt>
                <c:pt idx="39">
                  <c:v>40194</c:v>
                </c:pt>
                <c:pt idx="40">
                  <c:v>36843</c:v>
                </c:pt>
                <c:pt idx="41">
                  <c:v>47427</c:v>
                </c:pt>
                <c:pt idx="42">
                  <c:v>82510</c:v>
                </c:pt>
                <c:pt idx="43">
                  <c:v>41263</c:v>
                </c:pt>
                <c:pt idx="44">
                  <c:v>34427</c:v>
                </c:pt>
                <c:pt idx="45">
                  <c:v>42731</c:v>
                </c:pt>
                <c:pt idx="46">
                  <c:v>28859</c:v>
                </c:pt>
                <c:pt idx="47">
                  <c:v>33239</c:v>
                </c:pt>
                <c:pt idx="48">
                  <c:v>36276</c:v>
                </c:pt>
                <c:pt idx="49">
                  <c:v>44691</c:v>
                </c:pt>
                <c:pt idx="50">
                  <c:v>60854</c:v>
                </c:pt>
                <c:pt idx="51">
                  <c:v>67645</c:v>
                </c:pt>
                <c:pt idx="52">
                  <c:v>46304</c:v>
                </c:pt>
                <c:pt idx="53">
                  <c:v>52677</c:v>
                </c:pt>
                <c:pt idx="54">
                  <c:v>49987</c:v>
                </c:pt>
                <c:pt idx="55">
                  <c:v>48275</c:v>
                </c:pt>
                <c:pt idx="56">
                  <c:v>34847</c:v>
                </c:pt>
                <c:pt idx="57">
                  <c:v>26568</c:v>
                </c:pt>
                <c:pt idx="58">
                  <c:v>29907</c:v>
                </c:pt>
                <c:pt idx="59">
                  <c:v>25286</c:v>
                </c:pt>
                <c:pt idx="60">
                  <c:v>18777</c:v>
                </c:pt>
                <c:pt idx="61">
                  <c:v>15801</c:v>
                </c:pt>
                <c:pt idx="62">
                  <c:v>31795</c:v>
                </c:pt>
                <c:pt idx="63">
                  <c:v>26222</c:v>
                </c:pt>
                <c:pt idx="64">
                  <c:v>43075</c:v>
                </c:pt>
                <c:pt idx="65">
                  <c:v>49771</c:v>
                </c:pt>
                <c:pt idx="66">
                  <c:v>34540</c:v>
                </c:pt>
                <c:pt idx="67">
                  <c:v>31462</c:v>
                </c:pt>
                <c:pt idx="68">
                  <c:v>37930</c:v>
                </c:pt>
                <c:pt idx="69">
                  <c:v>36539</c:v>
                </c:pt>
                <c:pt idx="70">
                  <c:v>32644</c:v>
                </c:pt>
                <c:pt idx="71">
                  <c:v>43416</c:v>
                </c:pt>
                <c:pt idx="72">
                  <c:v>36787</c:v>
                </c:pt>
                <c:pt idx="73">
                  <c:v>40356</c:v>
                </c:pt>
                <c:pt idx="74">
                  <c:v>57994</c:v>
                </c:pt>
                <c:pt idx="75">
                  <c:v>31484</c:v>
                </c:pt>
                <c:pt idx="76">
                  <c:v>83381</c:v>
                </c:pt>
                <c:pt idx="77">
                  <c:v>75764</c:v>
                </c:pt>
                <c:pt idx="78">
                  <c:v>56608</c:v>
                </c:pt>
                <c:pt idx="79">
                  <c:v>47345</c:v>
                </c:pt>
                <c:pt idx="80">
                  <c:v>35243</c:v>
                </c:pt>
                <c:pt idx="81">
                  <c:v>43708</c:v>
                </c:pt>
                <c:pt idx="82">
                  <c:v>38630</c:v>
                </c:pt>
                <c:pt idx="83">
                  <c:v>47180</c:v>
                </c:pt>
                <c:pt idx="84">
                  <c:v>31844</c:v>
                </c:pt>
                <c:pt idx="85">
                  <c:v>35197</c:v>
                </c:pt>
                <c:pt idx="86">
                  <c:v>149312</c:v>
                </c:pt>
                <c:pt idx="87">
                  <c:v>38341</c:v>
                </c:pt>
                <c:pt idx="88">
                  <c:v>60208</c:v>
                </c:pt>
                <c:pt idx="89">
                  <c:v>36920</c:v>
                </c:pt>
                <c:pt idx="90">
                  <c:v>54471</c:v>
                </c:pt>
                <c:pt idx="91">
                  <c:v>45494</c:v>
                </c:pt>
                <c:pt idx="92">
                  <c:v>41830</c:v>
                </c:pt>
                <c:pt idx="93">
                  <c:v>46832</c:v>
                </c:pt>
                <c:pt idx="94">
                  <c:v>43991</c:v>
                </c:pt>
                <c:pt idx="95">
                  <c:v>51297</c:v>
                </c:pt>
                <c:pt idx="96">
                  <c:v>30810</c:v>
                </c:pt>
                <c:pt idx="97">
                  <c:v>43060</c:v>
                </c:pt>
                <c:pt idx="98">
                  <c:v>53661</c:v>
                </c:pt>
                <c:pt idx="99">
                  <c:v>39286</c:v>
                </c:pt>
                <c:pt idx="100">
                  <c:v>40626</c:v>
                </c:pt>
                <c:pt idx="101">
                  <c:v>35153</c:v>
                </c:pt>
                <c:pt idx="102">
                  <c:v>25632</c:v>
                </c:pt>
                <c:pt idx="103">
                  <c:v>18321</c:v>
                </c:pt>
                <c:pt idx="104">
                  <c:v>15218</c:v>
                </c:pt>
                <c:pt idx="105">
                  <c:v>12581</c:v>
                </c:pt>
                <c:pt idx="106">
                  <c:v>19521</c:v>
                </c:pt>
                <c:pt idx="107">
                  <c:v>20227</c:v>
                </c:pt>
                <c:pt idx="108">
                  <c:v>46705</c:v>
                </c:pt>
                <c:pt idx="109">
                  <c:v>31173</c:v>
                </c:pt>
                <c:pt idx="110">
                  <c:v>39490</c:v>
                </c:pt>
                <c:pt idx="111">
                  <c:v>34839</c:v>
                </c:pt>
                <c:pt idx="112">
                  <c:v>55614</c:v>
                </c:pt>
                <c:pt idx="113">
                  <c:v>53393</c:v>
                </c:pt>
                <c:pt idx="114">
                  <c:v>62957</c:v>
                </c:pt>
                <c:pt idx="115">
                  <c:v>52772</c:v>
                </c:pt>
                <c:pt idx="116">
                  <c:v>52605</c:v>
                </c:pt>
                <c:pt idx="117">
                  <c:v>75708</c:v>
                </c:pt>
                <c:pt idx="118">
                  <c:v>90310</c:v>
                </c:pt>
                <c:pt idx="119">
                  <c:v>100998</c:v>
                </c:pt>
                <c:pt idx="120">
                  <c:v>50389</c:v>
                </c:pt>
                <c:pt idx="121">
                  <c:v>52947</c:v>
                </c:pt>
                <c:pt idx="122">
                  <c:v>95484</c:v>
                </c:pt>
                <c:pt idx="123">
                  <c:v>97590</c:v>
                </c:pt>
                <c:pt idx="124">
                  <c:v>134238</c:v>
                </c:pt>
                <c:pt idx="125">
                  <c:v>98608</c:v>
                </c:pt>
                <c:pt idx="126">
                  <c:v>114798</c:v>
                </c:pt>
                <c:pt idx="127">
                  <c:v>72824</c:v>
                </c:pt>
                <c:pt idx="128">
                  <c:v>104182</c:v>
                </c:pt>
                <c:pt idx="129">
                  <c:v>96876</c:v>
                </c:pt>
                <c:pt idx="130">
                  <c:v>70162</c:v>
                </c:pt>
                <c:pt idx="131">
                  <c:v>80724</c:v>
                </c:pt>
                <c:pt idx="132">
                  <c:v>59763</c:v>
                </c:pt>
                <c:pt idx="133">
                  <c:v>47548</c:v>
                </c:pt>
                <c:pt idx="134">
                  <c:v>57351</c:v>
                </c:pt>
                <c:pt idx="135">
                  <c:v>115578</c:v>
                </c:pt>
                <c:pt idx="136">
                  <c:v>54520</c:v>
                </c:pt>
                <c:pt idx="137">
                  <c:v>51652</c:v>
                </c:pt>
                <c:pt idx="138">
                  <c:v>39512</c:v>
                </c:pt>
                <c:pt idx="139">
                  <c:v>52868</c:v>
                </c:pt>
                <c:pt idx="140">
                  <c:v>80011</c:v>
                </c:pt>
                <c:pt idx="141">
                  <c:v>45279</c:v>
                </c:pt>
                <c:pt idx="142">
                  <c:v>137933</c:v>
                </c:pt>
                <c:pt idx="143">
                  <c:v>57793</c:v>
                </c:pt>
                <c:pt idx="144">
                  <c:v>61171</c:v>
                </c:pt>
                <c:pt idx="145">
                  <c:v>75508</c:v>
                </c:pt>
                <c:pt idx="146">
                  <c:v>85580</c:v>
                </c:pt>
                <c:pt idx="147">
                  <c:v>47677</c:v>
                </c:pt>
                <c:pt idx="148">
                  <c:v>74471</c:v>
                </c:pt>
                <c:pt idx="149">
                  <c:v>41735</c:v>
                </c:pt>
                <c:pt idx="150">
                  <c:v>55463</c:v>
                </c:pt>
                <c:pt idx="151">
                  <c:v>33877</c:v>
                </c:pt>
                <c:pt idx="152">
                  <c:v>29768</c:v>
                </c:pt>
                <c:pt idx="153">
                  <c:v>37781</c:v>
                </c:pt>
                <c:pt idx="154">
                  <c:v>43942</c:v>
                </c:pt>
                <c:pt idx="155">
                  <c:v>30224</c:v>
                </c:pt>
                <c:pt idx="156">
                  <c:v>74961</c:v>
                </c:pt>
                <c:pt idx="157">
                  <c:v>35931</c:v>
                </c:pt>
                <c:pt idx="158">
                  <c:v>31933</c:v>
                </c:pt>
                <c:pt idx="159">
                  <c:v>115318</c:v>
                </c:pt>
                <c:pt idx="160">
                  <c:v>74226</c:v>
                </c:pt>
                <c:pt idx="161">
                  <c:v>37937</c:v>
                </c:pt>
                <c:pt idx="162">
                  <c:v>40574</c:v>
                </c:pt>
                <c:pt idx="163">
                  <c:v>34686</c:v>
                </c:pt>
                <c:pt idx="164">
                  <c:v>44455</c:v>
                </c:pt>
                <c:pt idx="165">
                  <c:v>45973</c:v>
                </c:pt>
                <c:pt idx="166">
                  <c:v>37664</c:v>
                </c:pt>
                <c:pt idx="167">
                  <c:v>28141</c:v>
                </c:pt>
                <c:pt idx="168">
                  <c:v>26658</c:v>
                </c:pt>
                <c:pt idx="169">
                  <c:v>31602</c:v>
                </c:pt>
                <c:pt idx="170">
                  <c:v>23320</c:v>
                </c:pt>
                <c:pt idx="171">
                  <c:v>27387</c:v>
                </c:pt>
                <c:pt idx="172">
                  <c:v>31145</c:v>
                </c:pt>
                <c:pt idx="173">
                  <c:v>36394</c:v>
                </c:pt>
                <c:pt idx="174">
                  <c:v>49952</c:v>
                </c:pt>
                <c:pt idx="175">
                  <c:v>25235</c:v>
                </c:pt>
                <c:pt idx="176">
                  <c:v>36655</c:v>
                </c:pt>
                <c:pt idx="177">
                  <c:v>41894</c:v>
                </c:pt>
                <c:pt idx="178">
                  <c:v>38095</c:v>
                </c:pt>
                <c:pt idx="179">
                  <c:v>29005</c:v>
                </c:pt>
                <c:pt idx="180">
                  <c:v>32427</c:v>
                </c:pt>
                <c:pt idx="181">
                  <c:v>26761</c:v>
                </c:pt>
                <c:pt idx="182">
                  <c:v>24601</c:v>
                </c:pt>
                <c:pt idx="183">
                  <c:v>35756</c:v>
                </c:pt>
                <c:pt idx="184">
                  <c:v>46801</c:v>
                </c:pt>
                <c:pt idx="185">
                  <c:v>45507</c:v>
                </c:pt>
                <c:pt idx="186">
                  <c:v>31787</c:v>
                </c:pt>
                <c:pt idx="187">
                  <c:v>33165</c:v>
                </c:pt>
                <c:pt idx="188">
                  <c:v>28720</c:v>
                </c:pt>
                <c:pt idx="189">
                  <c:v>21366</c:v>
                </c:pt>
                <c:pt idx="190">
                  <c:v>66036</c:v>
                </c:pt>
                <c:pt idx="191">
                  <c:v>138329</c:v>
                </c:pt>
                <c:pt idx="192">
                  <c:v>71519</c:v>
                </c:pt>
                <c:pt idx="193">
                  <c:v>38625</c:v>
                </c:pt>
                <c:pt idx="194">
                  <c:v>58447</c:v>
                </c:pt>
                <c:pt idx="195">
                  <c:v>44584</c:v>
                </c:pt>
                <c:pt idx="196">
                  <c:v>29610</c:v>
                </c:pt>
                <c:pt idx="197">
                  <c:v>36606</c:v>
                </c:pt>
                <c:pt idx="198">
                  <c:v>28010</c:v>
                </c:pt>
                <c:pt idx="199">
                  <c:v>15981</c:v>
                </c:pt>
                <c:pt idx="200">
                  <c:v>35445</c:v>
                </c:pt>
                <c:pt idx="201">
                  <c:v>19555</c:v>
                </c:pt>
                <c:pt idx="202">
                  <c:v>70061</c:v>
                </c:pt>
                <c:pt idx="203">
                  <c:v>30721</c:v>
                </c:pt>
                <c:pt idx="204">
                  <c:v>31557</c:v>
                </c:pt>
                <c:pt idx="205">
                  <c:v>18405</c:v>
                </c:pt>
                <c:pt idx="206">
                  <c:v>22417</c:v>
                </c:pt>
                <c:pt idx="207">
                  <c:v>31704</c:v>
                </c:pt>
                <c:pt idx="208">
                  <c:v>16073</c:v>
                </c:pt>
                <c:pt idx="209">
                  <c:v>17729</c:v>
                </c:pt>
                <c:pt idx="210">
                  <c:v>14084</c:v>
                </c:pt>
                <c:pt idx="211">
                  <c:v>21575</c:v>
                </c:pt>
                <c:pt idx="212">
                  <c:v>29742</c:v>
                </c:pt>
                <c:pt idx="213">
                  <c:v>24941</c:v>
                </c:pt>
                <c:pt idx="214">
                  <c:v>30246</c:v>
                </c:pt>
                <c:pt idx="215">
                  <c:v>28625</c:v>
                </c:pt>
                <c:pt idx="216">
                  <c:v>26477</c:v>
                </c:pt>
                <c:pt idx="217">
                  <c:v>42036</c:v>
                </c:pt>
                <c:pt idx="218">
                  <c:v>47340</c:v>
                </c:pt>
                <c:pt idx="219">
                  <c:v>30578</c:v>
                </c:pt>
                <c:pt idx="220">
                  <c:v>36386</c:v>
                </c:pt>
                <c:pt idx="221">
                  <c:v>19323</c:v>
                </c:pt>
                <c:pt idx="222">
                  <c:v>19140</c:v>
                </c:pt>
                <c:pt idx="223">
                  <c:v>15402</c:v>
                </c:pt>
                <c:pt idx="224">
                  <c:v>30838</c:v>
                </c:pt>
                <c:pt idx="225">
                  <c:v>34021</c:v>
                </c:pt>
                <c:pt idx="226">
                  <c:v>18720</c:v>
                </c:pt>
                <c:pt idx="227">
                  <c:v>19634</c:v>
                </c:pt>
                <c:pt idx="228">
                  <c:v>30274</c:v>
                </c:pt>
                <c:pt idx="229">
                  <c:v>13831</c:v>
                </c:pt>
                <c:pt idx="230">
                  <c:v>17329</c:v>
                </c:pt>
                <c:pt idx="231">
                  <c:v>21596</c:v>
                </c:pt>
                <c:pt idx="232">
                  <c:v>30602</c:v>
                </c:pt>
                <c:pt idx="233">
                  <c:v>33012</c:v>
                </c:pt>
                <c:pt idx="234">
                  <c:v>54894</c:v>
                </c:pt>
                <c:pt idx="235">
                  <c:v>39670</c:v>
                </c:pt>
                <c:pt idx="236">
                  <c:v>23058</c:v>
                </c:pt>
                <c:pt idx="237">
                  <c:v>61882</c:v>
                </c:pt>
                <c:pt idx="238">
                  <c:v>43249</c:v>
                </c:pt>
                <c:pt idx="239">
                  <c:v>16353</c:v>
                </c:pt>
                <c:pt idx="240">
                  <c:v>26476</c:v>
                </c:pt>
                <c:pt idx="241">
                  <c:v>27076</c:v>
                </c:pt>
                <c:pt idx="242">
                  <c:v>15705</c:v>
                </c:pt>
                <c:pt idx="243">
                  <c:v>22443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39-415C-BE1A-557FBFD85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089520"/>
        <c:axId val="344092848"/>
      </c:barChart>
      <c:catAx>
        <c:axId val="34408952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344092848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344092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44089520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8742548521425257"/>
          <c:y val="6.1002178649237473E-2"/>
          <c:w val="4.5363856622614676E-2"/>
          <c:h val="0.14705985281251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7137807464469418E-2"/>
          <c:y val="3.3333325379783972E-2"/>
          <c:w val="0.91675361400258404"/>
          <c:h val="0.82705038724638813"/>
        </c:manualLayout>
      </c:layout>
      <c:stockChart>
        <c:ser>
          <c:idx val="0"/>
          <c:order val="0"/>
          <c:tx>
            <c:strRef>
              <c:f>工作底稿!$CF$7</c:f>
              <c:strCache>
                <c:ptCount val="1"/>
                <c:pt idx="0">
                  <c:v>開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工作底稿!$CF$8:$CF$265</c:f>
              <c:numCache>
                <c:formatCode>General</c:formatCode>
                <c:ptCount val="258"/>
                <c:pt idx="0">
                  <c:v>178</c:v>
                </c:pt>
                <c:pt idx="1">
                  <c:v>178.5</c:v>
                </c:pt>
                <c:pt idx="2">
                  <c:v>173</c:v>
                </c:pt>
                <c:pt idx="3">
                  <c:v>175</c:v>
                </c:pt>
                <c:pt idx="4">
                  <c:v>176.5</c:v>
                </c:pt>
                <c:pt idx="5">
                  <c:v>177.5</c:v>
                </c:pt>
                <c:pt idx="6">
                  <c:v>179.5</c:v>
                </c:pt>
                <c:pt idx="7">
                  <c:v>183.5</c:v>
                </c:pt>
                <c:pt idx="8">
                  <c:v>186</c:v>
                </c:pt>
                <c:pt idx="9">
                  <c:v>191</c:v>
                </c:pt>
                <c:pt idx="10">
                  <c:v>186.5</c:v>
                </c:pt>
                <c:pt idx="11">
                  <c:v>191</c:v>
                </c:pt>
                <c:pt idx="12">
                  <c:v>189</c:v>
                </c:pt>
                <c:pt idx="13">
                  <c:v>186.5</c:v>
                </c:pt>
                <c:pt idx="14">
                  <c:v>181</c:v>
                </c:pt>
                <c:pt idx="15">
                  <c:v>180.5</c:v>
                </c:pt>
                <c:pt idx="16">
                  <c:v>181.5</c:v>
                </c:pt>
                <c:pt idx="17">
                  <c:v>178</c:v>
                </c:pt>
                <c:pt idx="18">
                  <c:v>186</c:v>
                </c:pt>
                <c:pt idx="19">
                  <c:v>184</c:v>
                </c:pt>
                <c:pt idx="20">
                  <c:v>179</c:v>
                </c:pt>
                <c:pt idx="21">
                  <c:v>181.5</c:v>
                </c:pt>
                <c:pt idx="22">
                  <c:v>184</c:v>
                </c:pt>
                <c:pt idx="23">
                  <c:v>180</c:v>
                </c:pt>
                <c:pt idx="24">
                  <c:v>182.5</c:v>
                </c:pt>
                <c:pt idx="25">
                  <c:v>188</c:v>
                </c:pt>
                <c:pt idx="26">
                  <c:v>184.5</c:v>
                </c:pt>
                <c:pt idx="27">
                  <c:v>186.5</c:v>
                </c:pt>
                <c:pt idx="28">
                  <c:v>190</c:v>
                </c:pt>
                <c:pt idx="29">
                  <c:v>188.5</c:v>
                </c:pt>
                <c:pt idx="30">
                  <c:v>184</c:v>
                </c:pt>
                <c:pt idx="31">
                  <c:v>185</c:v>
                </c:pt>
                <c:pt idx="32">
                  <c:v>191.5</c:v>
                </c:pt>
                <c:pt idx="33">
                  <c:v>194.5</c:v>
                </c:pt>
                <c:pt idx="34">
                  <c:v>189.5</c:v>
                </c:pt>
                <c:pt idx="35">
                  <c:v>191</c:v>
                </c:pt>
                <c:pt idx="36">
                  <c:v>189</c:v>
                </c:pt>
                <c:pt idx="37">
                  <c:v>191</c:v>
                </c:pt>
                <c:pt idx="38">
                  <c:v>198.5</c:v>
                </c:pt>
                <c:pt idx="39">
                  <c:v>199</c:v>
                </c:pt>
                <c:pt idx="40">
                  <c:v>204</c:v>
                </c:pt>
                <c:pt idx="41">
                  <c:v>203.5</c:v>
                </c:pt>
                <c:pt idx="42">
                  <c:v>206.5</c:v>
                </c:pt>
                <c:pt idx="43">
                  <c:v>209.5</c:v>
                </c:pt>
                <c:pt idx="44">
                  <c:v>207</c:v>
                </c:pt>
                <c:pt idx="45">
                  <c:v>211</c:v>
                </c:pt>
                <c:pt idx="46">
                  <c:v>212</c:v>
                </c:pt>
                <c:pt idx="47">
                  <c:v>207.5</c:v>
                </c:pt>
                <c:pt idx="48">
                  <c:v>206.5</c:v>
                </c:pt>
                <c:pt idx="49">
                  <c:v>215</c:v>
                </c:pt>
                <c:pt idx="50">
                  <c:v>213.5</c:v>
                </c:pt>
                <c:pt idx="51">
                  <c:v>211.5</c:v>
                </c:pt>
                <c:pt idx="52">
                  <c:v>213.5</c:v>
                </c:pt>
                <c:pt idx="53">
                  <c:v>213.5</c:v>
                </c:pt>
                <c:pt idx="54">
                  <c:v>212.5</c:v>
                </c:pt>
                <c:pt idx="55">
                  <c:v>215</c:v>
                </c:pt>
                <c:pt idx="56">
                  <c:v>216.5</c:v>
                </c:pt>
                <c:pt idx="57">
                  <c:v>219</c:v>
                </c:pt>
                <c:pt idx="58">
                  <c:v>219</c:v>
                </c:pt>
                <c:pt idx="59">
                  <c:v>217.5</c:v>
                </c:pt>
                <c:pt idx="60">
                  <c:v>219.5</c:v>
                </c:pt>
                <c:pt idx="61">
                  <c:v>226.5</c:v>
                </c:pt>
                <c:pt idx="62">
                  <c:v>237.5</c:v>
                </c:pt>
                <c:pt idx="63">
                  <c:v>239</c:v>
                </c:pt>
                <c:pt idx="64">
                  <c:v>242</c:v>
                </c:pt>
                <c:pt idx="65">
                  <c:v>243.5</c:v>
                </c:pt>
                <c:pt idx="66">
                  <c:v>240</c:v>
                </c:pt>
                <c:pt idx="67">
                  <c:v>241</c:v>
                </c:pt>
                <c:pt idx="68">
                  <c:v>240</c:v>
                </c:pt>
                <c:pt idx="69">
                  <c:v>232.5</c:v>
                </c:pt>
                <c:pt idx="70">
                  <c:v>228.5</c:v>
                </c:pt>
                <c:pt idx="71">
                  <c:v>227</c:v>
                </c:pt>
                <c:pt idx="72">
                  <c:v>228</c:v>
                </c:pt>
                <c:pt idx="73">
                  <c:v>231.5</c:v>
                </c:pt>
                <c:pt idx="74">
                  <c:v>242</c:v>
                </c:pt>
                <c:pt idx="75">
                  <c:v>240</c:v>
                </c:pt>
                <c:pt idx="76">
                  <c:v>257.5</c:v>
                </c:pt>
                <c:pt idx="77">
                  <c:v>259</c:v>
                </c:pt>
                <c:pt idx="78">
                  <c:v>251</c:v>
                </c:pt>
                <c:pt idx="79">
                  <c:v>235.5</c:v>
                </c:pt>
                <c:pt idx="80">
                  <c:v>244.5</c:v>
                </c:pt>
                <c:pt idx="81">
                  <c:v>247</c:v>
                </c:pt>
                <c:pt idx="82">
                  <c:v>242.5</c:v>
                </c:pt>
                <c:pt idx="83">
                  <c:v>252</c:v>
                </c:pt>
                <c:pt idx="84">
                  <c:v>252.5</c:v>
                </c:pt>
                <c:pt idx="85">
                  <c:v>241.5</c:v>
                </c:pt>
                <c:pt idx="86">
                  <c:v>248.5</c:v>
                </c:pt>
                <c:pt idx="87">
                  <c:v>248</c:v>
                </c:pt>
                <c:pt idx="88">
                  <c:v>243</c:v>
                </c:pt>
                <c:pt idx="89">
                  <c:v>226.5</c:v>
                </c:pt>
                <c:pt idx="90">
                  <c:v>224.5</c:v>
                </c:pt>
                <c:pt idx="91">
                  <c:v>225</c:v>
                </c:pt>
                <c:pt idx="92">
                  <c:v>234.5</c:v>
                </c:pt>
                <c:pt idx="93">
                  <c:v>225</c:v>
                </c:pt>
                <c:pt idx="94">
                  <c:v>229.5</c:v>
                </c:pt>
                <c:pt idx="95">
                  <c:v>227.5</c:v>
                </c:pt>
                <c:pt idx="96">
                  <c:v>226.5</c:v>
                </c:pt>
                <c:pt idx="97">
                  <c:v>225.5</c:v>
                </c:pt>
                <c:pt idx="98">
                  <c:v>220</c:v>
                </c:pt>
                <c:pt idx="99">
                  <c:v>218.5</c:v>
                </c:pt>
                <c:pt idx="100">
                  <c:v>219.5</c:v>
                </c:pt>
                <c:pt idx="101">
                  <c:v>224.5</c:v>
                </c:pt>
                <c:pt idx="102">
                  <c:v>239</c:v>
                </c:pt>
                <c:pt idx="103">
                  <c:v>244.5</c:v>
                </c:pt>
                <c:pt idx="104">
                  <c:v>245</c:v>
                </c:pt>
                <c:pt idx="105">
                  <c:v>241.5</c:v>
                </c:pt>
                <c:pt idx="106">
                  <c:v>239.5</c:v>
                </c:pt>
                <c:pt idx="107">
                  <c:v>246</c:v>
                </c:pt>
                <c:pt idx="108">
                  <c:v>259</c:v>
                </c:pt>
                <c:pt idx="109">
                  <c:v>266.5</c:v>
                </c:pt>
                <c:pt idx="110">
                  <c:v>262.5</c:v>
                </c:pt>
                <c:pt idx="111">
                  <c:v>261.5</c:v>
                </c:pt>
                <c:pt idx="112">
                  <c:v>262</c:v>
                </c:pt>
                <c:pt idx="113">
                  <c:v>245.5</c:v>
                </c:pt>
                <c:pt idx="114">
                  <c:v>234</c:v>
                </c:pt>
                <c:pt idx="115">
                  <c:v>232.5</c:v>
                </c:pt>
                <c:pt idx="116">
                  <c:v>223</c:v>
                </c:pt>
                <c:pt idx="117">
                  <c:v>233</c:v>
                </c:pt>
                <c:pt idx="118">
                  <c:v>230</c:v>
                </c:pt>
                <c:pt idx="119">
                  <c:v>225</c:v>
                </c:pt>
                <c:pt idx="120">
                  <c:v>219</c:v>
                </c:pt>
                <c:pt idx="121">
                  <c:v>231</c:v>
                </c:pt>
                <c:pt idx="122">
                  <c:v>219.5</c:v>
                </c:pt>
                <c:pt idx="123">
                  <c:v>221</c:v>
                </c:pt>
                <c:pt idx="124">
                  <c:v>221.5</c:v>
                </c:pt>
                <c:pt idx="125">
                  <c:v>226.5</c:v>
                </c:pt>
                <c:pt idx="126">
                  <c:v>212</c:v>
                </c:pt>
                <c:pt idx="127">
                  <c:v>218.5</c:v>
                </c:pt>
                <c:pt idx="128">
                  <c:v>220</c:v>
                </c:pt>
                <c:pt idx="129">
                  <c:v>229.5</c:v>
                </c:pt>
                <c:pt idx="130">
                  <c:v>228</c:v>
                </c:pt>
                <c:pt idx="131">
                  <c:v>229</c:v>
                </c:pt>
                <c:pt idx="132">
                  <c:v>237.5</c:v>
                </c:pt>
                <c:pt idx="133">
                  <c:v>239.5</c:v>
                </c:pt>
                <c:pt idx="134">
                  <c:v>228</c:v>
                </c:pt>
                <c:pt idx="135">
                  <c:v>239.5</c:v>
                </c:pt>
                <c:pt idx="136">
                  <c:v>240.5</c:v>
                </c:pt>
                <c:pt idx="137">
                  <c:v>251</c:v>
                </c:pt>
                <c:pt idx="138">
                  <c:v>251</c:v>
                </c:pt>
                <c:pt idx="139">
                  <c:v>255</c:v>
                </c:pt>
                <c:pt idx="140">
                  <c:v>266.5</c:v>
                </c:pt>
                <c:pt idx="141">
                  <c:v>260</c:v>
                </c:pt>
                <c:pt idx="142">
                  <c:v>260</c:v>
                </c:pt>
                <c:pt idx="143">
                  <c:v>253</c:v>
                </c:pt>
                <c:pt idx="144">
                  <c:v>242.5</c:v>
                </c:pt>
                <c:pt idx="145">
                  <c:v>234</c:v>
                </c:pt>
                <c:pt idx="146">
                  <c:v>235.5</c:v>
                </c:pt>
                <c:pt idx="147">
                  <c:v>237.5</c:v>
                </c:pt>
                <c:pt idx="148">
                  <c:v>231.5</c:v>
                </c:pt>
                <c:pt idx="149">
                  <c:v>241</c:v>
                </c:pt>
                <c:pt idx="150">
                  <c:v>245.5</c:v>
                </c:pt>
                <c:pt idx="151">
                  <c:v>240</c:v>
                </c:pt>
                <c:pt idx="152">
                  <c:v>251</c:v>
                </c:pt>
                <c:pt idx="153">
                  <c:v>263</c:v>
                </c:pt>
                <c:pt idx="154">
                  <c:v>260</c:v>
                </c:pt>
                <c:pt idx="155">
                  <c:v>251</c:v>
                </c:pt>
                <c:pt idx="156">
                  <c:v>254.5</c:v>
                </c:pt>
                <c:pt idx="157">
                  <c:v>251.5</c:v>
                </c:pt>
                <c:pt idx="158">
                  <c:v>249</c:v>
                </c:pt>
                <c:pt idx="159">
                  <c:v>258</c:v>
                </c:pt>
                <c:pt idx="160">
                  <c:v>265.5</c:v>
                </c:pt>
                <c:pt idx="161">
                  <c:v>262</c:v>
                </c:pt>
                <c:pt idx="162">
                  <c:v>264</c:v>
                </c:pt>
                <c:pt idx="163">
                  <c:v>273</c:v>
                </c:pt>
                <c:pt idx="164">
                  <c:v>279</c:v>
                </c:pt>
                <c:pt idx="165">
                  <c:v>291.5</c:v>
                </c:pt>
                <c:pt idx="166">
                  <c:v>291</c:v>
                </c:pt>
                <c:pt idx="167">
                  <c:v>295</c:v>
                </c:pt>
                <c:pt idx="168">
                  <c:v>302.5</c:v>
                </c:pt>
                <c:pt idx="169">
                  <c:v>305</c:v>
                </c:pt>
                <c:pt idx="170">
                  <c:v>308.5</c:v>
                </c:pt>
                <c:pt idx="171">
                  <c:v>310.5</c:v>
                </c:pt>
                <c:pt idx="172">
                  <c:v>307</c:v>
                </c:pt>
                <c:pt idx="173">
                  <c:v>314</c:v>
                </c:pt>
                <c:pt idx="174">
                  <c:v>336.5</c:v>
                </c:pt>
                <c:pt idx="175">
                  <c:v>329.5</c:v>
                </c:pt>
                <c:pt idx="176">
                  <c:v>338</c:v>
                </c:pt>
                <c:pt idx="177">
                  <c:v>333</c:v>
                </c:pt>
                <c:pt idx="178">
                  <c:v>342</c:v>
                </c:pt>
                <c:pt idx="179">
                  <c:v>334</c:v>
                </c:pt>
                <c:pt idx="180">
                  <c:v>326</c:v>
                </c:pt>
                <c:pt idx="181">
                  <c:v>315</c:v>
                </c:pt>
                <c:pt idx="182">
                  <c:v>321.5</c:v>
                </c:pt>
                <c:pt idx="183">
                  <c:v>331.5</c:v>
                </c:pt>
                <c:pt idx="184">
                  <c:v>319.5</c:v>
                </c:pt>
                <c:pt idx="185">
                  <c:v>308</c:v>
                </c:pt>
                <c:pt idx="186">
                  <c:v>307.5</c:v>
                </c:pt>
                <c:pt idx="187">
                  <c:v>285</c:v>
                </c:pt>
                <c:pt idx="188">
                  <c:v>257</c:v>
                </c:pt>
                <c:pt idx="189">
                  <c:v>263.5</c:v>
                </c:pt>
                <c:pt idx="190">
                  <c:v>273</c:v>
                </c:pt>
                <c:pt idx="191">
                  <c:v>278.5</c:v>
                </c:pt>
                <c:pt idx="192">
                  <c:v>308</c:v>
                </c:pt>
                <c:pt idx="193">
                  <c:v>298</c:v>
                </c:pt>
                <c:pt idx="194">
                  <c:v>294.5</c:v>
                </c:pt>
                <c:pt idx="195">
                  <c:v>300</c:v>
                </c:pt>
                <c:pt idx="196">
                  <c:v>291</c:v>
                </c:pt>
                <c:pt idx="197">
                  <c:v>290.5</c:v>
                </c:pt>
                <c:pt idx="198">
                  <c:v>294</c:v>
                </c:pt>
                <c:pt idx="199">
                  <c:v>316</c:v>
                </c:pt>
                <c:pt idx="200">
                  <c:v>316</c:v>
                </c:pt>
                <c:pt idx="201">
                  <c:v>314.5</c:v>
                </c:pt>
                <c:pt idx="202">
                  <c:v>314</c:v>
                </c:pt>
                <c:pt idx="203">
                  <c:v>332.5</c:v>
                </c:pt>
                <c:pt idx="204">
                  <c:v>351</c:v>
                </c:pt>
                <c:pt idx="205">
                  <c:v>370</c:v>
                </c:pt>
                <c:pt idx="206">
                  <c:v>420.5</c:v>
                </c:pt>
                <c:pt idx="207">
                  <c:v>420.5</c:v>
                </c:pt>
                <c:pt idx="208">
                  <c:v>427.5</c:v>
                </c:pt>
                <c:pt idx="209">
                  <c:v>427</c:v>
                </c:pt>
                <c:pt idx="210">
                  <c:v>427.5</c:v>
                </c:pt>
                <c:pt idx="211">
                  <c:v>437</c:v>
                </c:pt>
                <c:pt idx="212">
                  <c:v>428</c:v>
                </c:pt>
                <c:pt idx="213">
                  <c:v>436</c:v>
                </c:pt>
                <c:pt idx="214">
                  <c:v>443.5</c:v>
                </c:pt>
                <c:pt idx="215">
                  <c:v>427</c:v>
                </c:pt>
                <c:pt idx="216">
                  <c:v>438</c:v>
                </c:pt>
                <c:pt idx="217">
                  <c:v>458</c:v>
                </c:pt>
                <c:pt idx="218">
                  <c:v>453</c:v>
                </c:pt>
                <c:pt idx="219">
                  <c:v>455</c:v>
                </c:pt>
                <c:pt idx="220">
                  <c:v>433</c:v>
                </c:pt>
                <c:pt idx="221">
                  <c:v>458</c:v>
                </c:pt>
                <c:pt idx="222">
                  <c:v>470</c:v>
                </c:pt>
                <c:pt idx="223">
                  <c:v>494.5</c:v>
                </c:pt>
                <c:pt idx="224">
                  <c:v>493</c:v>
                </c:pt>
                <c:pt idx="225">
                  <c:v>512</c:v>
                </c:pt>
                <c:pt idx="226">
                  <c:v>512</c:v>
                </c:pt>
                <c:pt idx="227">
                  <c:v>512</c:v>
                </c:pt>
                <c:pt idx="228">
                  <c:v>512</c:v>
                </c:pt>
                <c:pt idx="229">
                  <c:v>530</c:v>
                </c:pt>
                <c:pt idx="230">
                  <c:v>577</c:v>
                </c:pt>
                <c:pt idx="231">
                  <c:v>608</c:v>
                </c:pt>
                <c:pt idx="232">
                  <c:v>642</c:v>
                </c:pt>
                <c:pt idx="233">
                  <c:v>595</c:v>
                </c:pt>
                <c:pt idx="234">
                  <c:v>663</c:v>
                </c:pt>
                <c:pt idx="235">
                  <c:v>660</c:v>
                </c:pt>
                <c:pt idx="236">
                  <c:v>621</c:v>
                </c:pt>
                <c:pt idx="237">
                  <c:v>608</c:v>
                </c:pt>
                <c:pt idx="238">
                  <c:v>614</c:v>
                </c:pt>
                <c:pt idx="239">
                  <c:v>588</c:v>
                </c:pt>
                <c:pt idx="240">
                  <c:v>599</c:v>
                </c:pt>
                <c:pt idx="241">
                  <c:v>615</c:v>
                </c:pt>
                <c:pt idx="242">
                  <c:v>612</c:v>
                </c:pt>
                <c:pt idx="243">
                  <c:v>605</c:v>
                </c:pt>
                <c:pt idx="244">
                  <c:v>605</c:v>
                </c:pt>
                <c:pt idx="245">
                  <c:v>595</c:v>
                </c:pt>
                <c:pt idx="246">
                  <c:v>596</c:v>
                </c:pt>
                <c:pt idx="247">
                  <c:v>544</c:v>
                </c:pt>
                <c:pt idx="248">
                  <c:v>570</c:v>
                </c:pt>
                <c:pt idx="249">
                  <c:v>595</c:v>
                </c:pt>
                <c:pt idx="250">
                  <c:v>594</c:v>
                </c:pt>
                <c:pt idx="251">
                  <c:v>607</c:v>
                </c:pt>
                <c:pt idx="252">
                  <c:v>590</c:v>
                </c:pt>
                <c:pt idx="253">
                  <c:v>590</c:v>
                </c:pt>
                <c:pt idx="254">
                  <c:v>588</c:v>
                </c:pt>
                <c:pt idx="255">
                  <c:v>595</c:v>
                </c:pt>
                <c:pt idx="256">
                  <c:v>583</c:v>
                </c:pt>
                <c:pt idx="257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F-452A-9770-241BCD142629}"/>
            </c:ext>
          </c:extLst>
        </c:ser>
        <c:ser>
          <c:idx val="1"/>
          <c:order val="1"/>
          <c:tx>
            <c:strRef>
              <c:f>工作底稿!$CG$7</c:f>
              <c:strCache>
                <c:ptCount val="1"/>
                <c:pt idx="0">
                  <c:v>高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工作底稿!$CG$8:$CG$265</c:f>
              <c:numCache>
                <c:formatCode>General</c:formatCode>
                <c:ptCount val="258"/>
                <c:pt idx="0">
                  <c:v>179.5</c:v>
                </c:pt>
                <c:pt idx="1">
                  <c:v>179</c:v>
                </c:pt>
                <c:pt idx="2">
                  <c:v>177</c:v>
                </c:pt>
                <c:pt idx="3">
                  <c:v>177</c:v>
                </c:pt>
                <c:pt idx="4">
                  <c:v>185</c:v>
                </c:pt>
                <c:pt idx="5">
                  <c:v>177.5</c:v>
                </c:pt>
                <c:pt idx="6">
                  <c:v>187.5</c:v>
                </c:pt>
                <c:pt idx="7">
                  <c:v>187.5</c:v>
                </c:pt>
                <c:pt idx="8">
                  <c:v>188</c:v>
                </c:pt>
                <c:pt idx="9">
                  <c:v>191</c:v>
                </c:pt>
                <c:pt idx="10">
                  <c:v>192</c:v>
                </c:pt>
                <c:pt idx="11">
                  <c:v>193</c:v>
                </c:pt>
                <c:pt idx="12">
                  <c:v>190.5</c:v>
                </c:pt>
                <c:pt idx="13">
                  <c:v>190.5</c:v>
                </c:pt>
                <c:pt idx="14">
                  <c:v>183</c:v>
                </c:pt>
                <c:pt idx="15">
                  <c:v>186.5</c:v>
                </c:pt>
                <c:pt idx="16">
                  <c:v>185</c:v>
                </c:pt>
                <c:pt idx="17">
                  <c:v>186</c:v>
                </c:pt>
                <c:pt idx="18">
                  <c:v>187.5</c:v>
                </c:pt>
                <c:pt idx="19">
                  <c:v>184.5</c:v>
                </c:pt>
                <c:pt idx="20">
                  <c:v>182.5</c:v>
                </c:pt>
                <c:pt idx="21">
                  <c:v>184.5</c:v>
                </c:pt>
                <c:pt idx="22">
                  <c:v>185.5</c:v>
                </c:pt>
                <c:pt idx="23">
                  <c:v>181.5</c:v>
                </c:pt>
                <c:pt idx="24">
                  <c:v>186.5</c:v>
                </c:pt>
                <c:pt idx="25">
                  <c:v>188.5</c:v>
                </c:pt>
                <c:pt idx="26">
                  <c:v>185.5</c:v>
                </c:pt>
                <c:pt idx="27">
                  <c:v>190.5</c:v>
                </c:pt>
                <c:pt idx="28">
                  <c:v>191</c:v>
                </c:pt>
                <c:pt idx="29">
                  <c:v>188.5</c:v>
                </c:pt>
                <c:pt idx="30">
                  <c:v>188</c:v>
                </c:pt>
                <c:pt idx="31">
                  <c:v>191.5</c:v>
                </c:pt>
                <c:pt idx="32">
                  <c:v>195</c:v>
                </c:pt>
                <c:pt idx="33">
                  <c:v>195</c:v>
                </c:pt>
                <c:pt idx="34">
                  <c:v>193</c:v>
                </c:pt>
                <c:pt idx="35">
                  <c:v>192</c:v>
                </c:pt>
                <c:pt idx="36">
                  <c:v>190</c:v>
                </c:pt>
                <c:pt idx="37">
                  <c:v>194.5</c:v>
                </c:pt>
                <c:pt idx="38">
                  <c:v>199</c:v>
                </c:pt>
                <c:pt idx="39">
                  <c:v>208.5</c:v>
                </c:pt>
                <c:pt idx="40">
                  <c:v>206</c:v>
                </c:pt>
                <c:pt idx="41">
                  <c:v>207</c:v>
                </c:pt>
                <c:pt idx="42">
                  <c:v>209</c:v>
                </c:pt>
                <c:pt idx="43">
                  <c:v>215</c:v>
                </c:pt>
                <c:pt idx="44">
                  <c:v>212</c:v>
                </c:pt>
                <c:pt idx="45">
                  <c:v>218.5</c:v>
                </c:pt>
                <c:pt idx="46">
                  <c:v>215</c:v>
                </c:pt>
                <c:pt idx="47">
                  <c:v>209</c:v>
                </c:pt>
                <c:pt idx="48">
                  <c:v>216</c:v>
                </c:pt>
                <c:pt idx="49">
                  <c:v>215.5</c:v>
                </c:pt>
                <c:pt idx="50">
                  <c:v>216</c:v>
                </c:pt>
                <c:pt idx="51">
                  <c:v>216</c:v>
                </c:pt>
                <c:pt idx="52">
                  <c:v>219</c:v>
                </c:pt>
                <c:pt idx="53">
                  <c:v>214.5</c:v>
                </c:pt>
                <c:pt idx="54">
                  <c:v>217.5</c:v>
                </c:pt>
                <c:pt idx="55">
                  <c:v>218</c:v>
                </c:pt>
                <c:pt idx="56">
                  <c:v>218.5</c:v>
                </c:pt>
                <c:pt idx="57">
                  <c:v>219.5</c:v>
                </c:pt>
                <c:pt idx="58">
                  <c:v>223</c:v>
                </c:pt>
                <c:pt idx="59">
                  <c:v>218.5</c:v>
                </c:pt>
                <c:pt idx="60">
                  <c:v>225.5</c:v>
                </c:pt>
                <c:pt idx="61">
                  <c:v>237.5</c:v>
                </c:pt>
                <c:pt idx="62">
                  <c:v>241.5</c:v>
                </c:pt>
                <c:pt idx="63">
                  <c:v>240</c:v>
                </c:pt>
                <c:pt idx="64">
                  <c:v>245</c:v>
                </c:pt>
                <c:pt idx="65">
                  <c:v>244</c:v>
                </c:pt>
                <c:pt idx="66">
                  <c:v>242.5</c:v>
                </c:pt>
                <c:pt idx="67">
                  <c:v>244.5</c:v>
                </c:pt>
                <c:pt idx="68">
                  <c:v>240</c:v>
                </c:pt>
                <c:pt idx="69">
                  <c:v>234.5</c:v>
                </c:pt>
                <c:pt idx="70">
                  <c:v>230.5</c:v>
                </c:pt>
                <c:pt idx="71">
                  <c:v>228.5</c:v>
                </c:pt>
                <c:pt idx="72">
                  <c:v>230</c:v>
                </c:pt>
                <c:pt idx="73">
                  <c:v>240</c:v>
                </c:pt>
                <c:pt idx="74">
                  <c:v>242.5</c:v>
                </c:pt>
                <c:pt idx="75">
                  <c:v>255.5</c:v>
                </c:pt>
                <c:pt idx="76">
                  <c:v>266</c:v>
                </c:pt>
                <c:pt idx="77">
                  <c:v>261.5</c:v>
                </c:pt>
                <c:pt idx="78">
                  <c:v>254.5</c:v>
                </c:pt>
                <c:pt idx="79">
                  <c:v>237.5</c:v>
                </c:pt>
                <c:pt idx="80">
                  <c:v>245</c:v>
                </c:pt>
                <c:pt idx="81">
                  <c:v>250.5</c:v>
                </c:pt>
                <c:pt idx="82">
                  <c:v>251.5</c:v>
                </c:pt>
                <c:pt idx="83">
                  <c:v>259</c:v>
                </c:pt>
                <c:pt idx="84">
                  <c:v>255.5</c:v>
                </c:pt>
                <c:pt idx="85">
                  <c:v>251</c:v>
                </c:pt>
                <c:pt idx="86">
                  <c:v>249</c:v>
                </c:pt>
                <c:pt idx="87">
                  <c:v>249</c:v>
                </c:pt>
                <c:pt idx="88">
                  <c:v>244.5</c:v>
                </c:pt>
                <c:pt idx="89">
                  <c:v>227.5</c:v>
                </c:pt>
                <c:pt idx="90">
                  <c:v>228</c:v>
                </c:pt>
                <c:pt idx="91">
                  <c:v>234</c:v>
                </c:pt>
                <c:pt idx="92">
                  <c:v>234.5</c:v>
                </c:pt>
                <c:pt idx="93">
                  <c:v>233.5</c:v>
                </c:pt>
                <c:pt idx="94">
                  <c:v>230</c:v>
                </c:pt>
                <c:pt idx="95">
                  <c:v>231.5</c:v>
                </c:pt>
                <c:pt idx="96">
                  <c:v>232</c:v>
                </c:pt>
                <c:pt idx="97">
                  <c:v>228</c:v>
                </c:pt>
                <c:pt idx="98">
                  <c:v>220.5</c:v>
                </c:pt>
                <c:pt idx="99">
                  <c:v>219</c:v>
                </c:pt>
                <c:pt idx="100">
                  <c:v>224.5</c:v>
                </c:pt>
                <c:pt idx="101">
                  <c:v>237.5</c:v>
                </c:pt>
                <c:pt idx="102">
                  <c:v>245</c:v>
                </c:pt>
                <c:pt idx="103">
                  <c:v>249.5</c:v>
                </c:pt>
                <c:pt idx="104">
                  <c:v>248</c:v>
                </c:pt>
                <c:pt idx="105">
                  <c:v>245</c:v>
                </c:pt>
                <c:pt idx="106">
                  <c:v>246</c:v>
                </c:pt>
                <c:pt idx="107">
                  <c:v>268</c:v>
                </c:pt>
                <c:pt idx="108">
                  <c:v>268</c:v>
                </c:pt>
                <c:pt idx="109">
                  <c:v>266.5</c:v>
                </c:pt>
                <c:pt idx="110">
                  <c:v>262.5</c:v>
                </c:pt>
                <c:pt idx="111">
                  <c:v>266</c:v>
                </c:pt>
                <c:pt idx="112">
                  <c:v>264</c:v>
                </c:pt>
                <c:pt idx="113">
                  <c:v>246.5</c:v>
                </c:pt>
                <c:pt idx="114">
                  <c:v>243</c:v>
                </c:pt>
                <c:pt idx="115">
                  <c:v>238</c:v>
                </c:pt>
                <c:pt idx="116">
                  <c:v>237</c:v>
                </c:pt>
                <c:pt idx="117">
                  <c:v>237.5</c:v>
                </c:pt>
                <c:pt idx="118">
                  <c:v>234.5</c:v>
                </c:pt>
                <c:pt idx="119">
                  <c:v>225</c:v>
                </c:pt>
                <c:pt idx="120">
                  <c:v>231.5</c:v>
                </c:pt>
                <c:pt idx="121">
                  <c:v>235</c:v>
                </c:pt>
                <c:pt idx="122">
                  <c:v>227.5</c:v>
                </c:pt>
                <c:pt idx="123">
                  <c:v>225.5</c:v>
                </c:pt>
                <c:pt idx="124">
                  <c:v>225.5</c:v>
                </c:pt>
                <c:pt idx="125">
                  <c:v>226.5</c:v>
                </c:pt>
                <c:pt idx="126">
                  <c:v>220.5</c:v>
                </c:pt>
                <c:pt idx="127">
                  <c:v>221</c:v>
                </c:pt>
                <c:pt idx="128">
                  <c:v>227</c:v>
                </c:pt>
                <c:pt idx="129">
                  <c:v>229.5</c:v>
                </c:pt>
                <c:pt idx="130">
                  <c:v>232</c:v>
                </c:pt>
                <c:pt idx="131">
                  <c:v>236.5</c:v>
                </c:pt>
                <c:pt idx="132">
                  <c:v>240</c:v>
                </c:pt>
                <c:pt idx="133">
                  <c:v>239.5</c:v>
                </c:pt>
                <c:pt idx="134">
                  <c:v>239.5</c:v>
                </c:pt>
                <c:pt idx="135">
                  <c:v>248.5</c:v>
                </c:pt>
                <c:pt idx="136">
                  <c:v>245.5</c:v>
                </c:pt>
                <c:pt idx="137">
                  <c:v>251</c:v>
                </c:pt>
                <c:pt idx="138">
                  <c:v>254.5</c:v>
                </c:pt>
                <c:pt idx="139">
                  <c:v>269.5</c:v>
                </c:pt>
                <c:pt idx="140">
                  <c:v>270</c:v>
                </c:pt>
                <c:pt idx="141">
                  <c:v>265</c:v>
                </c:pt>
                <c:pt idx="142">
                  <c:v>263</c:v>
                </c:pt>
                <c:pt idx="143">
                  <c:v>254</c:v>
                </c:pt>
                <c:pt idx="144">
                  <c:v>243</c:v>
                </c:pt>
                <c:pt idx="145">
                  <c:v>237.5</c:v>
                </c:pt>
                <c:pt idx="146">
                  <c:v>238.5</c:v>
                </c:pt>
                <c:pt idx="147">
                  <c:v>247.5</c:v>
                </c:pt>
                <c:pt idx="148">
                  <c:v>248.5</c:v>
                </c:pt>
                <c:pt idx="149">
                  <c:v>242</c:v>
                </c:pt>
                <c:pt idx="150">
                  <c:v>250</c:v>
                </c:pt>
                <c:pt idx="151">
                  <c:v>252</c:v>
                </c:pt>
                <c:pt idx="152">
                  <c:v>261</c:v>
                </c:pt>
                <c:pt idx="153">
                  <c:v>266.5</c:v>
                </c:pt>
                <c:pt idx="154">
                  <c:v>263</c:v>
                </c:pt>
                <c:pt idx="155">
                  <c:v>254</c:v>
                </c:pt>
                <c:pt idx="156">
                  <c:v>254.5</c:v>
                </c:pt>
                <c:pt idx="157">
                  <c:v>257.5</c:v>
                </c:pt>
                <c:pt idx="158">
                  <c:v>259</c:v>
                </c:pt>
                <c:pt idx="159">
                  <c:v>265</c:v>
                </c:pt>
                <c:pt idx="160">
                  <c:v>266</c:v>
                </c:pt>
                <c:pt idx="161">
                  <c:v>269.5</c:v>
                </c:pt>
                <c:pt idx="162">
                  <c:v>272.5</c:v>
                </c:pt>
                <c:pt idx="163">
                  <c:v>281</c:v>
                </c:pt>
                <c:pt idx="164">
                  <c:v>286.5</c:v>
                </c:pt>
                <c:pt idx="165">
                  <c:v>298</c:v>
                </c:pt>
                <c:pt idx="166">
                  <c:v>294.5</c:v>
                </c:pt>
                <c:pt idx="167">
                  <c:v>301.5</c:v>
                </c:pt>
                <c:pt idx="168">
                  <c:v>311.5</c:v>
                </c:pt>
                <c:pt idx="169">
                  <c:v>307.5</c:v>
                </c:pt>
                <c:pt idx="170">
                  <c:v>315</c:v>
                </c:pt>
                <c:pt idx="171">
                  <c:v>312</c:v>
                </c:pt>
                <c:pt idx="172">
                  <c:v>316</c:v>
                </c:pt>
                <c:pt idx="173">
                  <c:v>343</c:v>
                </c:pt>
                <c:pt idx="174">
                  <c:v>345</c:v>
                </c:pt>
                <c:pt idx="175">
                  <c:v>338</c:v>
                </c:pt>
                <c:pt idx="176">
                  <c:v>345</c:v>
                </c:pt>
                <c:pt idx="177">
                  <c:v>341</c:v>
                </c:pt>
                <c:pt idx="178">
                  <c:v>346</c:v>
                </c:pt>
                <c:pt idx="179">
                  <c:v>335.5</c:v>
                </c:pt>
                <c:pt idx="180">
                  <c:v>326</c:v>
                </c:pt>
                <c:pt idx="181">
                  <c:v>332.5</c:v>
                </c:pt>
                <c:pt idx="182">
                  <c:v>338</c:v>
                </c:pt>
                <c:pt idx="183">
                  <c:v>333</c:v>
                </c:pt>
                <c:pt idx="184">
                  <c:v>323.5</c:v>
                </c:pt>
                <c:pt idx="185">
                  <c:v>326</c:v>
                </c:pt>
                <c:pt idx="186">
                  <c:v>310.5</c:v>
                </c:pt>
                <c:pt idx="187">
                  <c:v>291</c:v>
                </c:pt>
                <c:pt idx="188">
                  <c:v>286</c:v>
                </c:pt>
                <c:pt idx="189">
                  <c:v>276.5</c:v>
                </c:pt>
                <c:pt idx="190">
                  <c:v>288</c:v>
                </c:pt>
                <c:pt idx="191">
                  <c:v>308.5</c:v>
                </c:pt>
                <c:pt idx="192">
                  <c:v>309</c:v>
                </c:pt>
                <c:pt idx="193">
                  <c:v>305</c:v>
                </c:pt>
                <c:pt idx="194">
                  <c:v>300</c:v>
                </c:pt>
                <c:pt idx="195">
                  <c:v>301.5</c:v>
                </c:pt>
                <c:pt idx="196">
                  <c:v>298</c:v>
                </c:pt>
                <c:pt idx="197">
                  <c:v>298.5</c:v>
                </c:pt>
                <c:pt idx="198">
                  <c:v>312</c:v>
                </c:pt>
                <c:pt idx="199">
                  <c:v>327</c:v>
                </c:pt>
                <c:pt idx="200">
                  <c:v>317.5</c:v>
                </c:pt>
                <c:pt idx="201">
                  <c:v>320</c:v>
                </c:pt>
                <c:pt idx="202">
                  <c:v>330.5</c:v>
                </c:pt>
                <c:pt idx="203">
                  <c:v>353</c:v>
                </c:pt>
                <c:pt idx="204">
                  <c:v>370</c:v>
                </c:pt>
                <c:pt idx="205">
                  <c:v>395</c:v>
                </c:pt>
                <c:pt idx="206">
                  <c:v>466.5</c:v>
                </c:pt>
                <c:pt idx="207">
                  <c:v>438</c:v>
                </c:pt>
                <c:pt idx="208">
                  <c:v>437.5</c:v>
                </c:pt>
                <c:pt idx="209">
                  <c:v>440.5</c:v>
                </c:pt>
                <c:pt idx="210">
                  <c:v>453.5</c:v>
                </c:pt>
                <c:pt idx="211">
                  <c:v>441</c:v>
                </c:pt>
                <c:pt idx="212">
                  <c:v>436.5</c:v>
                </c:pt>
                <c:pt idx="213">
                  <c:v>462</c:v>
                </c:pt>
                <c:pt idx="214">
                  <c:v>450</c:v>
                </c:pt>
                <c:pt idx="215">
                  <c:v>435</c:v>
                </c:pt>
                <c:pt idx="216">
                  <c:v>454</c:v>
                </c:pt>
                <c:pt idx="217">
                  <c:v>465</c:v>
                </c:pt>
                <c:pt idx="218">
                  <c:v>458</c:v>
                </c:pt>
                <c:pt idx="219">
                  <c:v>455</c:v>
                </c:pt>
                <c:pt idx="220">
                  <c:v>455.5</c:v>
                </c:pt>
                <c:pt idx="221">
                  <c:v>463.5</c:v>
                </c:pt>
                <c:pt idx="222">
                  <c:v>506</c:v>
                </c:pt>
                <c:pt idx="223">
                  <c:v>500</c:v>
                </c:pt>
                <c:pt idx="224">
                  <c:v>505</c:v>
                </c:pt>
                <c:pt idx="225">
                  <c:v>525</c:v>
                </c:pt>
                <c:pt idx="226">
                  <c:v>515</c:v>
                </c:pt>
                <c:pt idx="227">
                  <c:v>517</c:v>
                </c:pt>
                <c:pt idx="228">
                  <c:v>530</c:v>
                </c:pt>
                <c:pt idx="229">
                  <c:v>580</c:v>
                </c:pt>
                <c:pt idx="230">
                  <c:v>625</c:v>
                </c:pt>
                <c:pt idx="231">
                  <c:v>679</c:v>
                </c:pt>
                <c:pt idx="232">
                  <c:v>646</c:v>
                </c:pt>
                <c:pt idx="233">
                  <c:v>642</c:v>
                </c:pt>
                <c:pt idx="234">
                  <c:v>668</c:v>
                </c:pt>
                <c:pt idx="235">
                  <c:v>662</c:v>
                </c:pt>
                <c:pt idx="236">
                  <c:v>622</c:v>
                </c:pt>
                <c:pt idx="237">
                  <c:v>618</c:v>
                </c:pt>
                <c:pt idx="238">
                  <c:v>614</c:v>
                </c:pt>
                <c:pt idx="239">
                  <c:v>603</c:v>
                </c:pt>
                <c:pt idx="240">
                  <c:v>602</c:v>
                </c:pt>
                <c:pt idx="241">
                  <c:v>618</c:v>
                </c:pt>
                <c:pt idx="242">
                  <c:v>619</c:v>
                </c:pt>
                <c:pt idx="243">
                  <c:v>607</c:v>
                </c:pt>
                <c:pt idx="244">
                  <c:v>611</c:v>
                </c:pt>
                <c:pt idx="245">
                  <c:v>600</c:v>
                </c:pt>
                <c:pt idx="246">
                  <c:v>597</c:v>
                </c:pt>
                <c:pt idx="247">
                  <c:v>577</c:v>
                </c:pt>
                <c:pt idx="248">
                  <c:v>592</c:v>
                </c:pt>
                <c:pt idx="249">
                  <c:v>600</c:v>
                </c:pt>
                <c:pt idx="250">
                  <c:v>603</c:v>
                </c:pt>
                <c:pt idx="251">
                  <c:v>609</c:v>
                </c:pt>
                <c:pt idx="252">
                  <c:v>598</c:v>
                </c:pt>
                <c:pt idx="253">
                  <c:v>599</c:v>
                </c:pt>
                <c:pt idx="254">
                  <c:v>597</c:v>
                </c:pt>
                <c:pt idx="255">
                  <c:v>615</c:v>
                </c:pt>
                <c:pt idx="256">
                  <c:v>594</c:v>
                </c:pt>
                <c:pt idx="257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F-452A-9770-241BCD142629}"/>
            </c:ext>
          </c:extLst>
        </c:ser>
        <c:ser>
          <c:idx val="2"/>
          <c:order val="2"/>
          <c:tx>
            <c:strRef>
              <c:f>工作底稿!$CH$7</c:f>
              <c:strCache>
                <c:ptCount val="1"/>
                <c:pt idx="0">
                  <c:v>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工作底稿!$CH$8:$CH$265</c:f>
              <c:numCache>
                <c:formatCode>General</c:formatCode>
                <c:ptCount val="258"/>
                <c:pt idx="0">
                  <c:v>175.5</c:v>
                </c:pt>
                <c:pt idx="1">
                  <c:v>174</c:v>
                </c:pt>
                <c:pt idx="2">
                  <c:v>171.5</c:v>
                </c:pt>
                <c:pt idx="3">
                  <c:v>173</c:v>
                </c:pt>
                <c:pt idx="4">
                  <c:v>176</c:v>
                </c:pt>
                <c:pt idx="5">
                  <c:v>173.5</c:v>
                </c:pt>
                <c:pt idx="6">
                  <c:v>178.5</c:v>
                </c:pt>
                <c:pt idx="7">
                  <c:v>182.5</c:v>
                </c:pt>
                <c:pt idx="8">
                  <c:v>184.5</c:v>
                </c:pt>
                <c:pt idx="9">
                  <c:v>186</c:v>
                </c:pt>
                <c:pt idx="10">
                  <c:v>185</c:v>
                </c:pt>
                <c:pt idx="11">
                  <c:v>188.5</c:v>
                </c:pt>
                <c:pt idx="12">
                  <c:v>184</c:v>
                </c:pt>
                <c:pt idx="13">
                  <c:v>181</c:v>
                </c:pt>
                <c:pt idx="14">
                  <c:v>179</c:v>
                </c:pt>
                <c:pt idx="15">
                  <c:v>180</c:v>
                </c:pt>
                <c:pt idx="16">
                  <c:v>178</c:v>
                </c:pt>
                <c:pt idx="17">
                  <c:v>178</c:v>
                </c:pt>
                <c:pt idx="18">
                  <c:v>184</c:v>
                </c:pt>
                <c:pt idx="19">
                  <c:v>178.5</c:v>
                </c:pt>
                <c:pt idx="20">
                  <c:v>179</c:v>
                </c:pt>
                <c:pt idx="21">
                  <c:v>181</c:v>
                </c:pt>
                <c:pt idx="22">
                  <c:v>180.5</c:v>
                </c:pt>
                <c:pt idx="23">
                  <c:v>179</c:v>
                </c:pt>
                <c:pt idx="24">
                  <c:v>182.5</c:v>
                </c:pt>
                <c:pt idx="25">
                  <c:v>183.5</c:v>
                </c:pt>
                <c:pt idx="26">
                  <c:v>183</c:v>
                </c:pt>
                <c:pt idx="27">
                  <c:v>186.5</c:v>
                </c:pt>
                <c:pt idx="28">
                  <c:v>187</c:v>
                </c:pt>
                <c:pt idx="29">
                  <c:v>184</c:v>
                </c:pt>
                <c:pt idx="30">
                  <c:v>183</c:v>
                </c:pt>
                <c:pt idx="31">
                  <c:v>185</c:v>
                </c:pt>
                <c:pt idx="32">
                  <c:v>189.5</c:v>
                </c:pt>
                <c:pt idx="33">
                  <c:v>189</c:v>
                </c:pt>
                <c:pt idx="34">
                  <c:v>188.5</c:v>
                </c:pt>
                <c:pt idx="35">
                  <c:v>188</c:v>
                </c:pt>
                <c:pt idx="36">
                  <c:v>186.5</c:v>
                </c:pt>
                <c:pt idx="37">
                  <c:v>188.5</c:v>
                </c:pt>
                <c:pt idx="38">
                  <c:v>195.5</c:v>
                </c:pt>
                <c:pt idx="39">
                  <c:v>199</c:v>
                </c:pt>
                <c:pt idx="40">
                  <c:v>201.5</c:v>
                </c:pt>
                <c:pt idx="41">
                  <c:v>203</c:v>
                </c:pt>
                <c:pt idx="42">
                  <c:v>203</c:v>
                </c:pt>
                <c:pt idx="43">
                  <c:v>209</c:v>
                </c:pt>
                <c:pt idx="44">
                  <c:v>206</c:v>
                </c:pt>
                <c:pt idx="45">
                  <c:v>210.5</c:v>
                </c:pt>
                <c:pt idx="46">
                  <c:v>206.5</c:v>
                </c:pt>
                <c:pt idx="47">
                  <c:v>205.5</c:v>
                </c:pt>
                <c:pt idx="48">
                  <c:v>206</c:v>
                </c:pt>
                <c:pt idx="49">
                  <c:v>211.5</c:v>
                </c:pt>
                <c:pt idx="50">
                  <c:v>212.5</c:v>
                </c:pt>
                <c:pt idx="51">
                  <c:v>211.5</c:v>
                </c:pt>
                <c:pt idx="52">
                  <c:v>210.5</c:v>
                </c:pt>
                <c:pt idx="53">
                  <c:v>210</c:v>
                </c:pt>
                <c:pt idx="54">
                  <c:v>211.5</c:v>
                </c:pt>
                <c:pt idx="55">
                  <c:v>215</c:v>
                </c:pt>
                <c:pt idx="56">
                  <c:v>215.5</c:v>
                </c:pt>
                <c:pt idx="57">
                  <c:v>216.5</c:v>
                </c:pt>
                <c:pt idx="58">
                  <c:v>218</c:v>
                </c:pt>
                <c:pt idx="59">
                  <c:v>213.5</c:v>
                </c:pt>
                <c:pt idx="60">
                  <c:v>218.5</c:v>
                </c:pt>
                <c:pt idx="61">
                  <c:v>226.5</c:v>
                </c:pt>
                <c:pt idx="62">
                  <c:v>235</c:v>
                </c:pt>
                <c:pt idx="63">
                  <c:v>236</c:v>
                </c:pt>
                <c:pt idx="64">
                  <c:v>238.5</c:v>
                </c:pt>
                <c:pt idx="65">
                  <c:v>239</c:v>
                </c:pt>
                <c:pt idx="66">
                  <c:v>236</c:v>
                </c:pt>
                <c:pt idx="67">
                  <c:v>238</c:v>
                </c:pt>
                <c:pt idx="68">
                  <c:v>226</c:v>
                </c:pt>
                <c:pt idx="69">
                  <c:v>222.5</c:v>
                </c:pt>
                <c:pt idx="70">
                  <c:v>225</c:v>
                </c:pt>
                <c:pt idx="71">
                  <c:v>223.5</c:v>
                </c:pt>
                <c:pt idx="72">
                  <c:v>225</c:v>
                </c:pt>
                <c:pt idx="73">
                  <c:v>231</c:v>
                </c:pt>
                <c:pt idx="74">
                  <c:v>232.5</c:v>
                </c:pt>
                <c:pt idx="75">
                  <c:v>238</c:v>
                </c:pt>
                <c:pt idx="76">
                  <c:v>253.5</c:v>
                </c:pt>
                <c:pt idx="77">
                  <c:v>252</c:v>
                </c:pt>
                <c:pt idx="78">
                  <c:v>228.5</c:v>
                </c:pt>
                <c:pt idx="79">
                  <c:v>235</c:v>
                </c:pt>
                <c:pt idx="80">
                  <c:v>239</c:v>
                </c:pt>
                <c:pt idx="81">
                  <c:v>238.5</c:v>
                </c:pt>
                <c:pt idx="82">
                  <c:v>240.5</c:v>
                </c:pt>
                <c:pt idx="83">
                  <c:v>249.5</c:v>
                </c:pt>
                <c:pt idx="84">
                  <c:v>244</c:v>
                </c:pt>
                <c:pt idx="85">
                  <c:v>241.5</c:v>
                </c:pt>
                <c:pt idx="86">
                  <c:v>242</c:v>
                </c:pt>
                <c:pt idx="87">
                  <c:v>243.5</c:v>
                </c:pt>
                <c:pt idx="88">
                  <c:v>228</c:v>
                </c:pt>
                <c:pt idx="89">
                  <c:v>221</c:v>
                </c:pt>
                <c:pt idx="90">
                  <c:v>220</c:v>
                </c:pt>
                <c:pt idx="91">
                  <c:v>221.5</c:v>
                </c:pt>
                <c:pt idx="92">
                  <c:v>223.5</c:v>
                </c:pt>
                <c:pt idx="93">
                  <c:v>225</c:v>
                </c:pt>
                <c:pt idx="94">
                  <c:v>220.5</c:v>
                </c:pt>
                <c:pt idx="95">
                  <c:v>226</c:v>
                </c:pt>
                <c:pt idx="96">
                  <c:v>224</c:v>
                </c:pt>
                <c:pt idx="97">
                  <c:v>223.5</c:v>
                </c:pt>
                <c:pt idx="98">
                  <c:v>210</c:v>
                </c:pt>
                <c:pt idx="99">
                  <c:v>213</c:v>
                </c:pt>
                <c:pt idx="100">
                  <c:v>218</c:v>
                </c:pt>
                <c:pt idx="101">
                  <c:v>221</c:v>
                </c:pt>
                <c:pt idx="102">
                  <c:v>238.5</c:v>
                </c:pt>
                <c:pt idx="103">
                  <c:v>242</c:v>
                </c:pt>
                <c:pt idx="104">
                  <c:v>241.5</c:v>
                </c:pt>
                <c:pt idx="105">
                  <c:v>238</c:v>
                </c:pt>
                <c:pt idx="106">
                  <c:v>238</c:v>
                </c:pt>
                <c:pt idx="107">
                  <c:v>244.5</c:v>
                </c:pt>
                <c:pt idx="108">
                  <c:v>255.5</c:v>
                </c:pt>
                <c:pt idx="109">
                  <c:v>253.5</c:v>
                </c:pt>
                <c:pt idx="110">
                  <c:v>254</c:v>
                </c:pt>
                <c:pt idx="111">
                  <c:v>260</c:v>
                </c:pt>
                <c:pt idx="112">
                  <c:v>248.5</c:v>
                </c:pt>
                <c:pt idx="113">
                  <c:v>227</c:v>
                </c:pt>
                <c:pt idx="114">
                  <c:v>229</c:v>
                </c:pt>
                <c:pt idx="115">
                  <c:v>217</c:v>
                </c:pt>
                <c:pt idx="116">
                  <c:v>220.5</c:v>
                </c:pt>
                <c:pt idx="117">
                  <c:v>231</c:v>
                </c:pt>
                <c:pt idx="118">
                  <c:v>224.5</c:v>
                </c:pt>
                <c:pt idx="119">
                  <c:v>214</c:v>
                </c:pt>
                <c:pt idx="120">
                  <c:v>218.5</c:v>
                </c:pt>
                <c:pt idx="121">
                  <c:v>219.5</c:v>
                </c:pt>
                <c:pt idx="122">
                  <c:v>218.5</c:v>
                </c:pt>
                <c:pt idx="123">
                  <c:v>219</c:v>
                </c:pt>
                <c:pt idx="124">
                  <c:v>215</c:v>
                </c:pt>
                <c:pt idx="125">
                  <c:v>206.5</c:v>
                </c:pt>
                <c:pt idx="126">
                  <c:v>210</c:v>
                </c:pt>
                <c:pt idx="127">
                  <c:v>215.5</c:v>
                </c:pt>
                <c:pt idx="128">
                  <c:v>219</c:v>
                </c:pt>
                <c:pt idx="129">
                  <c:v>220</c:v>
                </c:pt>
                <c:pt idx="130">
                  <c:v>226</c:v>
                </c:pt>
                <c:pt idx="131">
                  <c:v>228.5</c:v>
                </c:pt>
                <c:pt idx="132">
                  <c:v>236</c:v>
                </c:pt>
                <c:pt idx="133">
                  <c:v>229</c:v>
                </c:pt>
                <c:pt idx="134">
                  <c:v>227.5</c:v>
                </c:pt>
                <c:pt idx="135">
                  <c:v>238</c:v>
                </c:pt>
                <c:pt idx="136">
                  <c:v>240</c:v>
                </c:pt>
                <c:pt idx="137">
                  <c:v>245</c:v>
                </c:pt>
                <c:pt idx="138">
                  <c:v>250.5</c:v>
                </c:pt>
                <c:pt idx="139">
                  <c:v>254</c:v>
                </c:pt>
                <c:pt idx="140">
                  <c:v>257.5</c:v>
                </c:pt>
                <c:pt idx="141">
                  <c:v>258</c:v>
                </c:pt>
                <c:pt idx="142">
                  <c:v>255</c:v>
                </c:pt>
                <c:pt idx="143">
                  <c:v>241.5</c:v>
                </c:pt>
                <c:pt idx="144">
                  <c:v>230</c:v>
                </c:pt>
                <c:pt idx="145">
                  <c:v>227</c:v>
                </c:pt>
                <c:pt idx="146">
                  <c:v>229.5</c:v>
                </c:pt>
                <c:pt idx="147">
                  <c:v>234.5</c:v>
                </c:pt>
                <c:pt idx="148">
                  <c:v>230.5</c:v>
                </c:pt>
                <c:pt idx="149">
                  <c:v>234</c:v>
                </c:pt>
                <c:pt idx="150">
                  <c:v>241.5</c:v>
                </c:pt>
                <c:pt idx="151">
                  <c:v>240</c:v>
                </c:pt>
                <c:pt idx="152">
                  <c:v>249.5</c:v>
                </c:pt>
                <c:pt idx="153">
                  <c:v>261</c:v>
                </c:pt>
                <c:pt idx="154">
                  <c:v>250.5</c:v>
                </c:pt>
                <c:pt idx="155">
                  <c:v>240</c:v>
                </c:pt>
                <c:pt idx="156">
                  <c:v>246</c:v>
                </c:pt>
                <c:pt idx="157">
                  <c:v>250.5</c:v>
                </c:pt>
                <c:pt idx="158">
                  <c:v>248.5</c:v>
                </c:pt>
                <c:pt idx="159">
                  <c:v>253</c:v>
                </c:pt>
                <c:pt idx="160">
                  <c:v>260.5</c:v>
                </c:pt>
                <c:pt idx="161">
                  <c:v>261.5</c:v>
                </c:pt>
                <c:pt idx="162">
                  <c:v>262</c:v>
                </c:pt>
                <c:pt idx="163">
                  <c:v>273</c:v>
                </c:pt>
                <c:pt idx="164">
                  <c:v>277.5</c:v>
                </c:pt>
                <c:pt idx="165">
                  <c:v>288.5</c:v>
                </c:pt>
                <c:pt idx="166">
                  <c:v>288.5</c:v>
                </c:pt>
                <c:pt idx="167">
                  <c:v>294</c:v>
                </c:pt>
                <c:pt idx="168">
                  <c:v>301</c:v>
                </c:pt>
                <c:pt idx="169">
                  <c:v>300</c:v>
                </c:pt>
                <c:pt idx="170">
                  <c:v>307</c:v>
                </c:pt>
                <c:pt idx="171">
                  <c:v>305</c:v>
                </c:pt>
                <c:pt idx="172">
                  <c:v>304</c:v>
                </c:pt>
                <c:pt idx="173">
                  <c:v>312.5</c:v>
                </c:pt>
                <c:pt idx="174">
                  <c:v>328.5</c:v>
                </c:pt>
                <c:pt idx="175">
                  <c:v>329.5</c:v>
                </c:pt>
                <c:pt idx="176">
                  <c:v>331</c:v>
                </c:pt>
                <c:pt idx="177">
                  <c:v>325</c:v>
                </c:pt>
                <c:pt idx="178">
                  <c:v>330</c:v>
                </c:pt>
                <c:pt idx="179">
                  <c:v>333</c:v>
                </c:pt>
                <c:pt idx="180">
                  <c:v>316.5</c:v>
                </c:pt>
                <c:pt idx="181">
                  <c:v>312</c:v>
                </c:pt>
                <c:pt idx="182">
                  <c:v>321</c:v>
                </c:pt>
                <c:pt idx="183">
                  <c:v>322</c:v>
                </c:pt>
                <c:pt idx="184">
                  <c:v>315</c:v>
                </c:pt>
                <c:pt idx="185">
                  <c:v>308</c:v>
                </c:pt>
                <c:pt idx="186">
                  <c:v>272.5</c:v>
                </c:pt>
                <c:pt idx="187">
                  <c:v>235.5</c:v>
                </c:pt>
                <c:pt idx="188">
                  <c:v>252</c:v>
                </c:pt>
                <c:pt idx="189">
                  <c:v>262.5</c:v>
                </c:pt>
                <c:pt idx="190">
                  <c:v>270</c:v>
                </c:pt>
                <c:pt idx="191">
                  <c:v>278.5</c:v>
                </c:pt>
                <c:pt idx="192">
                  <c:v>290.5</c:v>
                </c:pt>
                <c:pt idx="193">
                  <c:v>294.5</c:v>
                </c:pt>
                <c:pt idx="194">
                  <c:v>292.5</c:v>
                </c:pt>
                <c:pt idx="195">
                  <c:v>292.5</c:v>
                </c:pt>
                <c:pt idx="196">
                  <c:v>290</c:v>
                </c:pt>
                <c:pt idx="197">
                  <c:v>288.5</c:v>
                </c:pt>
                <c:pt idx="198">
                  <c:v>293.5</c:v>
                </c:pt>
                <c:pt idx="199">
                  <c:v>312.5</c:v>
                </c:pt>
                <c:pt idx="200">
                  <c:v>308.5</c:v>
                </c:pt>
                <c:pt idx="201">
                  <c:v>312</c:v>
                </c:pt>
                <c:pt idx="202">
                  <c:v>310</c:v>
                </c:pt>
                <c:pt idx="203">
                  <c:v>332</c:v>
                </c:pt>
                <c:pt idx="204">
                  <c:v>350.5</c:v>
                </c:pt>
                <c:pt idx="205">
                  <c:v>362.5</c:v>
                </c:pt>
                <c:pt idx="206">
                  <c:v>416.5</c:v>
                </c:pt>
                <c:pt idx="207">
                  <c:v>415</c:v>
                </c:pt>
                <c:pt idx="208">
                  <c:v>419</c:v>
                </c:pt>
                <c:pt idx="209">
                  <c:v>401</c:v>
                </c:pt>
                <c:pt idx="210">
                  <c:v>425</c:v>
                </c:pt>
                <c:pt idx="211">
                  <c:v>426.5</c:v>
                </c:pt>
                <c:pt idx="212">
                  <c:v>423</c:v>
                </c:pt>
                <c:pt idx="213">
                  <c:v>435.5</c:v>
                </c:pt>
                <c:pt idx="214">
                  <c:v>421</c:v>
                </c:pt>
                <c:pt idx="215">
                  <c:v>424.5</c:v>
                </c:pt>
                <c:pt idx="216">
                  <c:v>431.5</c:v>
                </c:pt>
                <c:pt idx="217">
                  <c:v>448.5</c:v>
                </c:pt>
                <c:pt idx="218">
                  <c:v>449.5</c:v>
                </c:pt>
                <c:pt idx="219">
                  <c:v>432</c:v>
                </c:pt>
                <c:pt idx="220">
                  <c:v>428</c:v>
                </c:pt>
                <c:pt idx="221">
                  <c:v>448.5</c:v>
                </c:pt>
                <c:pt idx="222">
                  <c:v>469</c:v>
                </c:pt>
                <c:pt idx="223">
                  <c:v>486.5</c:v>
                </c:pt>
                <c:pt idx="224">
                  <c:v>480.5</c:v>
                </c:pt>
                <c:pt idx="225">
                  <c:v>505</c:v>
                </c:pt>
                <c:pt idx="226">
                  <c:v>504</c:v>
                </c:pt>
                <c:pt idx="227">
                  <c:v>506</c:v>
                </c:pt>
                <c:pt idx="228">
                  <c:v>509</c:v>
                </c:pt>
                <c:pt idx="229">
                  <c:v>528</c:v>
                </c:pt>
                <c:pt idx="230">
                  <c:v>574</c:v>
                </c:pt>
                <c:pt idx="231">
                  <c:v>594</c:v>
                </c:pt>
                <c:pt idx="232">
                  <c:v>591</c:v>
                </c:pt>
                <c:pt idx="233">
                  <c:v>587</c:v>
                </c:pt>
                <c:pt idx="234">
                  <c:v>647</c:v>
                </c:pt>
                <c:pt idx="235">
                  <c:v>606</c:v>
                </c:pt>
                <c:pt idx="236">
                  <c:v>584</c:v>
                </c:pt>
                <c:pt idx="237">
                  <c:v>585</c:v>
                </c:pt>
                <c:pt idx="238">
                  <c:v>591</c:v>
                </c:pt>
                <c:pt idx="239">
                  <c:v>570</c:v>
                </c:pt>
                <c:pt idx="240">
                  <c:v>587</c:v>
                </c:pt>
                <c:pt idx="241">
                  <c:v>603</c:v>
                </c:pt>
                <c:pt idx="242">
                  <c:v>600</c:v>
                </c:pt>
                <c:pt idx="243">
                  <c:v>590</c:v>
                </c:pt>
                <c:pt idx="244">
                  <c:v>600</c:v>
                </c:pt>
                <c:pt idx="245">
                  <c:v>580</c:v>
                </c:pt>
                <c:pt idx="246">
                  <c:v>518</c:v>
                </c:pt>
                <c:pt idx="247">
                  <c:v>541</c:v>
                </c:pt>
                <c:pt idx="248">
                  <c:v>566</c:v>
                </c:pt>
                <c:pt idx="249">
                  <c:v>590</c:v>
                </c:pt>
                <c:pt idx="250">
                  <c:v>583</c:v>
                </c:pt>
                <c:pt idx="251">
                  <c:v>598</c:v>
                </c:pt>
                <c:pt idx="252">
                  <c:v>578</c:v>
                </c:pt>
                <c:pt idx="253">
                  <c:v>586</c:v>
                </c:pt>
                <c:pt idx="254">
                  <c:v>580</c:v>
                </c:pt>
                <c:pt idx="255">
                  <c:v>588</c:v>
                </c:pt>
                <c:pt idx="256">
                  <c:v>578</c:v>
                </c:pt>
                <c:pt idx="257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5F-452A-9770-241BCD142629}"/>
            </c:ext>
          </c:extLst>
        </c:ser>
        <c:ser>
          <c:idx val="3"/>
          <c:order val="3"/>
          <c:tx>
            <c:strRef>
              <c:f>工作底稿!$CI$7</c:f>
              <c:strCache>
                <c:ptCount val="1"/>
                <c:pt idx="0">
                  <c:v>收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工作底稿!$CI$8:$CI$265</c:f>
              <c:numCache>
                <c:formatCode>General</c:formatCode>
                <c:ptCount val="258"/>
                <c:pt idx="0">
                  <c:v>177.5</c:v>
                </c:pt>
                <c:pt idx="1">
                  <c:v>174.5</c:v>
                </c:pt>
                <c:pt idx="2">
                  <c:v>177</c:v>
                </c:pt>
                <c:pt idx="3">
                  <c:v>174.5</c:v>
                </c:pt>
                <c:pt idx="4">
                  <c:v>178</c:v>
                </c:pt>
                <c:pt idx="5">
                  <c:v>173.5</c:v>
                </c:pt>
                <c:pt idx="6">
                  <c:v>187.5</c:v>
                </c:pt>
                <c:pt idx="7">
                  <c:v>182.5</c:v>
                </c:pt>
                <c:pt idx="8">
                  <c:v>188</c:v>
                </c:pt>
                <c:pt idx="9">
                  <c:v>188</c:v>
                </c:pt>
                <c:pt idx="10">
                  <c:v>188.5</c:v>
                </c:pt>
                <c:pt idx="11">
                  <c:v>189.5</c:v>
                </c:pt>
                <c:pt idx="12">
                  <c:v>184.5</c:v>
                </c:pt>
                <c:pt idx="13">
                  <c:v>181.5</c:v>
                </c:pt>
                <c:pt idx="14">
                  <c:v>181</c:v>
                </c:pt>
                <c:pt idx="15">
                  <c:v>182</c:v>
                </c:pt>
                <c:pt idx="16">
                  <c:v>178</c:v>
                </c:pt>
                <c:pt idx="17">
                  <c:v>186</c:v>
                </c:pt>
                <c:pt idx="18">
                  <c:v>185</c:v>
                </c:pt>
                <c:pt idx="19">
                  <c:v>178.5</c:v>
                </c:pt>
                <c:pt idx="20">
                  <c:v>181.5</c:v>
                </c:pt>
                <c:pt idx="21">
                  <c:v>184</c:v>
                </c:pt>
                <c:pt idx="22">
                  <c:v>181.5</c:v>
                </c:pt>
                <c:pt idx="23">
                  <c:v>181</c:v>
                </c:pt>
                <c:pt idx="24">
                  <c:v>185.5</c:v>
                </c:pt>
                <c:pt idx="25">
                  <c:v>184.5</c:v>
                </c:pt>
                <c:pt idx="26">
                  <c:v>185.5</c:v>
                </c:pt>
                <c:pt idx="27">
                  <c:v>189.5</c:v>
                </c:pt>
                <c:pt idx="28">
                  <c:v>189</c:v>
                </c:pt>
                <c:pt idx="29">
                  <c:v>184</c:v>
                </c:pt>
                <c:pt idx="30">
                  <c:v>183.5</c:v>
                </c:pt>
                <c:pt idx="31">
                  <c:v>191.5</c:v>
                </c:pt>
                <c:pt idx="32">
                  <c:v>192.5</c:v>
                </c:pt>
                <c:pt idx="33">
                  <c:v>189</c:v>
                </c:pt>
                <c:pt idx="34">
                  <c:v>191</c:v>
                </c:pt>
                <c:pt idx="35">
                  <c:v>189</c:v>
                </c:pt>
                <c:pt idx="36">
                  <c:v>190</c:v>
                </c:pt>
                <c:pt idx="37">
                  <c:v>194.5</c:v>
                </c:pt>
                <c:pt idx="38">
                  <c:v>197.5</c:v>
                </c:pt>
                <c:pt idx="39">
                  <c:v>206</c:v>
                </c:pt>
                <c:pt idx="40">
                  <c:v>203</c:v>
                </c:pt>
                <c:pt idx="41">
                  <c:v>207</c:v>
                </c:pt>
                <c:pt idx="42">
                  <c:v>209</c:v>
                </c:pt>
                <c:pt idx="43">
                  <c:v>212</c:v>
                </c:pt>
                <c:pt idx="44">
                  <c:v>211.5</c:v>
                </c:pt>
                <c:pt idx="45">
                  <c:v>217</c:v>
                </c:pt>
                <c:pt idx="46">
                  <c:v>208.5</c:v>
                </c:pt>
                <c:pt idx="47">
                  <c:v>206</c:v>
                </c:pt>
                <c:pt idx="48">
                  <c:v>213</c:v>
                </c:pt>
                <c:pt idx="49">
                  <c:v>214</c:v>
                </c:pt>
                <c:pt idx="50">
                  <c:v>213</c:v>
                </c:pt>
                <c:pt idx="51">
                  <c:v>213</c:v>
                </c:pt>
                <c:pt idx="52">
                  <c:v>212.5</c:v>
                </c:pt>
                <c:pt idx="53">
                  <c:v>212.5</c:v>
                </c:pt>
                <c:pt idx="54">
                  <c:v>217.5</c:v>
                </c:pt>
                <c:pt idx="55">
                  <c:v>216.5</c:v>
                </c:pt>
                <c:pt idx="56">
                  <c:v>218</c:v>
                </c:pt>
                <c:pt idx="57">
                  <c:v>218.5</c:v>
                </c:pt>
                <c:pt idx="58">
                  <c:v>218.5</c:v>
                </c:pt>
                <c:pt idx="59">
                  <c:v>216.5</c:v>
                </c:pt>
                <c:pt idx="60">
                  <c:v>224.5</c:v>
                </c:pt>
                <c:pt idx="61">
                  <c:v>237.5</c:v>
                </c:pt>
                <c:pt idx="62">
                  <c:v>237.5</c:v>
                </c:pt>
                <c:pt idx="63">
                  <c:v>239</c:v>
                </c:pt>
                <c:pt idx="64">
                  <c:v>239</c:v>
                </c:pt>
                <c:pt idx="65">
                  <c:v>240.5</c:v>
                </c:pt>
                <c:pt idx="66">
                  <c:v>241.5</c:v>
                </c:pt>
                <c:pt idx="67">
                  <c:v>244</c:v>
                </c:pt>
                <c:pt idx="68">
                  <c:v>231</c:v>
                </c:pt>
                <c:pt idx="69">
                  <c:v>227</c:v>
                </c:pt>
                <c:pt idx="70">
                  <c:v>230</c:v>
                </c:pt>
                <c:pt idx="71">
                  <c:v>227.5</c:v>
                </c:pt>
                <c:pt idx="72">
                  <c:v>229.5</c:v>
                </c:pt>
                <c:pt idx="73">
                  <c:v>240</c:v>
                </c:pt>
                <c:pt idx="74">
                  <c:v>237</c:v>
                </c:pt>
                <c:pt idx="75">
                  <c:v>255.5</c:v>
                </c:pt>
                <c:pt idx="76">
                  <c:v>255</c:v>
                </c:pt>
                <c:pt idx="77">
                  <c:v>259.5</c:v>
                </c:pt>
                <c:pt idx="78">
                  <c:v>232.5</c:v>
                </c:pt>
                <c:pt idx="79">
                  <c:v>236.5</c:v>
                </c:pt>
                <c:pt idx="80">
                  <c:v>245</c:v>
                </c:pt>
                <c:pt idx="81">
                  <c:v>240</c:v>
                </c:pt>
                <c:pt idx="82">
                  <c:v>250.5</c:v>
                </c:pt>
                <c:pt idx="83">
                  <c:v>255</c:v>
                </c:pt>
                <c:pt idx="84">
                  <c:v>245</c:v>
                </c:pt>
                <c:pt idx="85">
                  <c:v>247.5</c:v>
                </c:pt>
                <c:pt idx="86">
                  <c:v>244</c:v>
                </c:pt>
                <c:pt idx="87">
                  <c:v>244.5</c:v>
                </c:pt>
                <c:pt idx="88">
                  <c:v>229</c:v>
                </c:pt>
                <c:pt idx="89">
                  <c:v>223.5</c:v>
                </c:pt>
                <c:pt idx="90">
                  <c:v>223</c:v>
                </c:pt>
                <c:pt idx="91">
                  <c:v>233</c:v>
                </c:pt>
                <c:pt idx="92">
                  <c:v>223.5</c:v>
                </c:pt>
                <c:pt idx="93">
                  <c:v>228.5</c:v>
                </c:pt>
                <c:pt idx="94">
                  <c:v>224</c:v>
                </c:pt>
                <c:pt idx="95">
                  <c:v>227</c:v>
                </c:pt>
                <c:pt idx="96">
                  <c:v>231</c:v>
                </c:pt>
                <c:pt idx="97">
                  <c:v>227.5</c:v>
                </c:pt>
                <c:pt idx="98">
                  <c:v>216.5</c:v>
                </c:pt>
                <c:pt idx="99">
                  <c:v>217</c:v>
                </c:pt>
                <c:pt idx="100">
                  <c:v>224.5</c:v>
                </c:pt>
                <c:pt idx="101">
                  <c:v>237.5</c:v>
                </c:pt>
                <c:pt idx="102">
                  <c:v>244.5</c:v>
                </c:pt>
                <c:pt idx="103">
                  <c:v>247</c:v>
                </c:pt>
                <c:pt idx="104">
                  <c:v>245</c:v>
                </c:pt>
                <c:pt idx="105">
                  <c:v>239.5</c:v>
                </c:pt>
                <c:pt idx="106">
                  <c:v>243.5</c:v>
                </c:pt>
                <c:pt idx="107">
                  <c:v>256</c:v>
                </c:pt>
                <c:pt idx="108">
                  <c:v>264</c:v>
                </c:pt>
                <c:pt idx="109">
                  <c:v>261</c:v>
                </c:pt>
                <c:pt idx="110">
                  <c:v>261.5</c:v>
                </c:pt>
                <c:pt idx="111">
                  <c:v>262.5</c:v>
                </c:pt>
                <c:pt idx="112">
                  <c:v>250</c:v>
                </c:pt>
                <c:pt idx="113">
                  <c:v>237</c:v>
                </c:pt>
                <c:pt idx="114">
                  <c:v>236</c:v>
                </c:pt>
                <c:pt idx="115">
                  <c:v>221</c:v>
                </c:pt>
                <c:pt idx="116">
                  <c:v>236.5</c:v>
                </c:pt>
                <c:pt idx="117">
                  <c:v>231</c:v>
                </c:pt>
                <c:pt idx="118">
                  <c:v>226</c:v>
                </c:pt>
                <c:pt idx="119">
                  <c:v>218.5</c:v>
                </c:pt>
                <c:pt idx="120">
                  <c:v>225.5</c:v>
                </c:pt>
                <c:pt idx="121">
                  <c:v>221</c:v>
                </c:pt>
                <c:pt idx="122">
                  <c:v>222.5</c:v>
                </c:pt>
                <c:pt idx="123">
                  <c:v>221.5</c:v>
                </c:pt>
                <c:pt idx="124">
                  <c:v>225.5</c:v>
                </c:pt>
                <c:pt idx="125">
                  <c:v>208</c:v>
                </c:pt>
                <c:pt idx="126">
                  <c:v>220.5</c:v>
                </c:pt>
                <c:pt idx="127">
                  <c:v>218.5</c:v>
                </c:pt>
                <c:pt idx="128">
                  <c:v>226</c:v>
                </c:pt>
                <c:pt idx="129">
                  <c:v>221</c:v>
                </c:pt>
                <c:pt idx="130">
                  <c:v>227</c:v>
                </c:pt>
                <c:pt idx="131">
                  <c:v>236.5</c:v>
                </c:pt>
                <c:pt idx="132">
                  <c:v>239</c:v>
                </c:pt>
                <c:pt idx="133">
                  <c:v>230</c:v>
                </c:pt>
                <c:pt idx="134">
                  <c:v>239</c:v>
                </c:pt>
                <c:pt idx="135">
                  <c:v>248.5</c:v>
                </c:pt>
                <c:pt idx="136">
                  <c:v>245.5</c:v>
                </c:pt>
                <c:pt idx="137">
                  <c:v>246.5</c:v>
                </c:pt>
                <c:pt idx="138">
                  <c:v>252</c:v>
                </c:pt>
                <c:pt idx="139">
                  <c:v>264.5</c:v>
                </c:pt>
                <c:pt idx="140">
                  <c:v>260</c:v>
                </c:pt>
                <c:pt idx="141">
                  <c:v>265</c:v>
                </c:pt>
                <c:pt idx="142">
                  <c:v>256</c:v>
                </c:pt>
                <c:pt idx="143">
                  <c:v>241.5</c:v>
                </c:pt>
                <c:pt idx="144">
                  <c:v>233</c:v>
                </c:pt>
                <c:pt idx="145">
                  <c:v>235.5</c:v>
                </c:pt>
                <c:pt idx="146">
                  <c:v>232</c:v>
                </c:pt>
                <c:pt idx="147">
                  <c:v>236</c:v>
                </c:pt>
                <c:pt idx="148">
                  <c:v>248.5</c:v>
                </c:pt>
                <c:pt idx="149">
                  <c:v>239</c:v>
                </c:pt>
                <c:pt idx="150">
                  <c:v>243</c:v>
                </c:pt>
                <c:pt idx="151">
                  <c:v>250.5</c:v>
                </c:pt>
                <c:pt idx="152">
                  <c:v>259</c:v>
                </c:pt>
                <c:pt idx="153">
                  <c:v>261</c:v>
                </c:pt>
                <c:pt idx="154">
                  <c:v>251.5</c:v>
                </c:pt>
                <c:pt idx="155">
                  <c:v>253.5</c:v>
                </c:pt>
                <c:pt idx="156">
                  <c:v>250</c:v>
                </c:pt>
                <c:pt idx="157">
                  <c:v>254</c:v>
                </c:pt>
                <c:pt idx="158">
                  <c:v>259</c:v>
                </c:pt>
                <c:pt idx="159">
                  <c:v>263.5</c:v>
                </c:pt>
                <c:pt idx="160">
                  <c:v>262.5</c:v>
                </c:pt>
                <c:pt idx="161">
                  <c:v>264</c:v>
                </c:pt>
                <c:pt idx="162">
                  <c:v>272</c:v>
                </c:pt>
                <c:pt idx="163">
                  <c:v>276.5</c:v>
                </c:pt>
                <c:pt idx="164">
                  <c:v>282</c:v>
                </c:pt>
                <c:pt idx="165">
                  <c:v>293</c:v>
                </c:pt>
                <c:pt idx="166">
                  <c:v>293.5</c:v>
                </c:pt>
                <c:pt idx="167">
                  <c:v>299</c:v>
                </c:pt>
                <c:pt idx="168">
                  <c:v>305.5</c:v>
                </c:pt>
                <c:pt idx="169">
                  <c:v>307</c:v>
                </c:pt>
                <c:pt idx="170">
                  <c:v>309</c:v>
                </c:pt>
                <c:pt idx="171">
                  <c:v>305</c:v>
                </c:pt>
                <c:pt idx="172">
                  <c:v>313</c:v>
                </c:pt>
                <c:pt idx="173">
                  <c:v>339</c:v>
                </c:pt>
                <c:pt idx="174">
                  <c:v>329</c:v>
                </c:pt>
                <c:pt idx="175">
                  <c:v>338</c:v>
                </c:pt>
                <c:pt idx="176">
                  <c:v>339.5</c:v>
                </c:pt>
                <c:pt idx="177">
                  <c:v>339.5</c:v>
                </c:pt>
                <c:pt idx="178">
                  <c:v>333</c:v>
                </c:pt>
                <c:pt idx="179">
                  <c:v>333</c:v>
                </c:pt>
                <c:pt idx="180">
                  <c:v>320</c:v>
                </c:pt>
                <c:pt idx="181">
                  <c:v>328</c:v>
                </c:pt>
                <c:pt idx="182">
                  <c:v>335</c:v>
                </c:pt>
                <c:pt idx="183">
                  <c:v>325</c:v>
                </c:pt>
                <c:pt idx="184">
                  <c:v>316</c:v>
                </c:pt>
                <c:pt idx="185">
                  <c:v>315</c:v>
                </c:pt>
                <c:pt idx="186">
                  <c:v>290</c:v>
                </c:pt>
                <c:pt idx="187">
                  <c:v>270</c:v>
                </c:pt>
                <c:pt idx="188">
                  <c:v>273</c:v>
                </c:pt>
                <c:pt idx="189">
                  <c:v>271.5</c:v>
                </c:pt>
                <c:pt idx="190">
                  <c:v>279.5</c:v>
                </c:pt>
                <c:pt idx="191">
                  <c:v>306.5</c:v>
                </c:pt>
                <c:pt idx="192">
                  <c:v>294</c:v>
                </c:pt>
                <c:pt idx="193">
                  <c:v>304.5</c:v>
                </c:pt>
                <c:pt idx="194">
                  <c:v>297.5</c:v>
                </c:pt>
                <c:pt idx="195">
                  <c:v>298</c:v>
                </c:pt>
                <c:pt idx="196">
                  <c:v>292</c:v>
                </c:pt>
                <c:pt idx="197">
                  <c:v>292</c:v>
                </c:pt>
                <c:pt idx="198">
                  <c:v>311.5</c:v>
                </c:pt>
                <c:pt idx="199">
                  <c:v>316</c:v>
                </c:pt>
                <c:pt idx="200">
                  <c:v>314.5</c:v>
                </c:pt>
                <c:pt idx="201">
                  <c:v>317.5</c:v>
                </c:pt>
                <c:pt idx="202">
                  <c:v>329.5</c:v>
                </c:pt>
                <c:pt idx="203">
                  <c:v>348.5</c:v>
                </c:pt>
                <c:pt idx="204">
                  <c:v>367</c:v>
                </c:pt>
                <c:pt idx="205">
                  <c:v>386</c:v>
                </c:pt>
                <c:pt idx="206">
                  <c:v>425.5</c:v>
                </c:pt>
                <c:pt idx="207">
                  <c:v>433</c:v>
                </c:pt>
                <c:pt idx="208">
                  <c:v>427</c:v>
                </c:pt>
                <c:pt idx="209">
                  <c:v>424.5</c:v>
                </c:pt>
                <c:pt idx="210">
                  <c:v>435</c:v>
                </c:pt>
                <c:pt idx="211">
                  <c:v>429</c:v>
                </c:pt>
                <c:pt idx="212">
                  <c:v>436.5</c:v>
                </c:pt>
                <c:pt idx="213">
                  <c:v>444</c:v>
                </c:pt>
                <c:pt idx="214">
                  <c:v>424</c:v>
                </c:pt>
                <c:pt idx="215">
                  <c:v>433</c:v>
                </c:pt>
                <c:pt idx="216">
                  <c:v>453</c:v>
                </c:pt>
                <c:pt idx="217">
                  <c:v>449</c:v>
                </c:pt>
                <c:pt idx="218">
                  <c:v>452</c:v>
                </c:pt>
                <c:pt idx="219">
                  <c:v>432</c:v>
                </c:pt>
                <c:pt idx="220">
                  <c:v>452.5</c:v>
                </c:pt>
                <c:pt idx="221">
                  <c:v>462</c:v>
                </c:pt>
                <c:pt idx="222">
                  <c:v>488</c:v>
                </c:pt>
                <c:pt idx="223">
                  <c:v>489</c:v>
                </c:pt>
                <c:pt idx="224">
                  <c:v>503</c:v>
                </c:pt>
                <c:pt idx="225">
                  <c:v>516</c:v>
                </c:pt>
                <c:pt idx="226">
                  <c:v>510</c:v>
                </c:pt>
                <c:pt idx="227">
                  <c:v>511</c:v>
                </c:pt>
                <c:pt idx="228">
                  <c:v>530</c:v>
                </c:pt>
                <c:pt idx="229">
                  <c:v>580</c:v>
                </c:pt>
                <c:pt idx="230">
                  <c:v>601</c:v>
                </c:pt>
                <c:pt idx="231">
                  <c:v>649</c:v>
                </c:pt>
                <c:pt idx="232">
                  <c:v>591</c:v>
                </c:pt>
                <c:pt idx="233">
                  <c:v>632</c:v>
                </c:pt>
                <c:pt idx="234">
                  <c:v>652</c:v>
                </c:pt>
                <c:pt idx="235">
                  <c:v>606</c:v>
                </c:pt>
                <c:pt idx="236">
                  <c:v>601</c:v>
                </c:pt>
                <c:pt idx="237">
                  <c:v>614</c:v>
                </c:pt>
                <c:pt idx="238">
                  <c:v>591</c:v>
                </c:pt>
                <c:pt idx="239">
                  <c:v>590</c:v>
                </c:pt>
                <c:pt idx="240">
                  <c:v>602</c:v>
                </c:pt>
                <c:pt idx="241">
                  <c:v>610</c:v>
                </c:pt>
                <c:pt idx="242">
                  <c:v>610</c:v>
                </c:pt>
                <c:pt idx="243">
                  <c:v>602</c:v>
                </c:pt>
                <c:pt idx="244">
                  <c:v>600</c:v>
                </c:pt>
                <c:pt idx="245">
                  <c:v>599</c:v>
                </c:pt>
                <c:pt idx="246">
                  <c:v>557</c:v>
                </c:pt>
                <c:pt idx="247">
                  <c:v>573</c:v>
                </c:pt>
                <c:pt idx="248">
                  <c:v>590</c:v>
                </c:pt>
                <c:pt idx="249">
                  <c:v>595</c:v>
                </c:pt>
                <c:pt idx="250">
                  <c:v>602</c:v>
                </c:pt>
                <c:pt idx="251">
                  <c:v>603</c:v>
                </c:pt>
                <c:pt idx="252">
                  <c:v>591</c:v>
                </c:pt>
                <c:pt idx="253">
                  <c:v>588</c:v>
                </c:pt>
                <c:pt idx="254">
                  <c:v>584</c:v>
                </c:pt>
                <c:pt idx="255">
                  <c:v>589</c:v>
                </c:pt>
                <c:pt idx="256">
                  <c:v>585</c:v>
                </c:pt>
                <c:pt idx="257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5F-452A-9770-241BCD14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FF000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rgbClr val="00B050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32866880"/>
        <c:axId val="232868960"/>
      </c:stockChart>
      <c:stockChart>
        <c:ser>
          <c:idx val="4"/>
          <c:order val="4"/>
          <c:tx>
            <c:strRef>
              <c:f>工作底稿!$CO$7</c:f>
              <c:strCache>
                <c:ptCount val="1"/>
                <c:pt idx="0">
                  <c:v>5MA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工作底稿!$CO$8:$CO$265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179.5</c:v>
                </c:pt>
                <c:pt idx="5">
                  <c:v>179.1</c:v>
                </c:pt>
                <c:pt idx="6">
                  <c:v>180.8</c:v>
                </c:pt>
                <c:pt idx="7">
                  <c:v>182.9</c:v>
                </c:pt>
                <c:pt idx="8">
                  <c:v>185.1</c:v>
                </c:pt>
                <c:pt idx="9">
                  <c:v>186.3</c:v>
                </c:pt>
                <c:pt idx="10">
                  <c:v>189.2</c:v>
                </c:pt>
                <c:pt idx="11">
                  <c:v>190.3</c:v>
                </c:pt>
                <c:pt idx="12">
                  <c:v>190.9</c:v>
                </c:pt>
                <c:pt idx="13">
                  <c:v>191.4</c:v>
                </c:pt>
                <c:pt idx="14">
                  <c:v>189.8</c:v>
                </c:pt>
                <c:pt idx="15">
                  <c:v>188.7</c:v>
                </c:pt>
                <c:pt idx="16">
                  <c:v>187.1</c:v>
                </c:pt>
                <c:pt idx="17">
                  <c:v>186.2</c:v>
                </c:pt>
                <c:pt idx="18">
                  <c:v>185.6</c:v>
                </c:pt>
                <c:pt idx="19">
                  <c:v>185.9</c:v>
                </c:pt>
                <c:pt idx="20">
                  <c:v>185.1</c:v>
                </c:pt>
                <c:pt idx="21">
                  <c:v>185</c:v>
                </c:pt>
                <c:pt idx="22">
                  <c:v>184.9</c:v>
                </c:pt>
                <c:pt idx="23">
                  <c:v>183.7</c:v>
                </c:pt>
                <c:pt idx="24">
                  <c:v>184.1</c:v>
                </c:pt>
                <c:pt idx="25">
                  <c:v>185.3</c:v>
                </c:pt>
                <c:pt idx="26">
                  <c:v>185.5</c:v>
                </c:pt>
                <c:pt idx="27">
                  <c:v>186.5</c:v>
                </c:pt>
                <c:pt idx="28">
                  <c:v>188.4</c:v>
                </c:pt>
                <c:pt idx="29">
                  <c:v>188.8</c:v>
                </c:pt>
                <c:pt idx="30">
                  <c:v>188.7</c:v>
                </c:pt>
                <c:pt idx="31">
                  <c:v>189.9</c:v>
                </c:pt>
                <c:pt idx="32">
                  <c:v>190.8</c:v>
                </c:pt>
                <c:pt idx="33">
                  <c:v>191.6</c:v>
                </c:pt>
                <c:pt idx="34">
                  <c:v>192.5</c:v>
                </c:pt>
                <c:pt idx="35">
                  <c:v>193.3</c:v>
                </c:pt>
                <c:pt idx="36">
                  <c:v>193</c:v>
                </c:pt>
                <c:pt idx="37">
                  <c:v>192.9</c:v>
                </c:pt>
                <c:pt idx="38">
                  <c:v>193.7</c:v>
                </c:pt>
                <c:pt idx="39">
                  <c:v>196.8</c:v>
                </c:pt>
                <c:pt idx="40">
                  <c:v>199.6</c:v>
                </c:pt>
                <c:pt idx="41">
                  <c:v>203</c:v>
                </c:pt>
                <c:pt idx="42">
                  <c:v>205.9</c:v>
                </c:pt>
                <c:pt idx="43">
                  <c:v>209.1</c:v>
                </c:pt>
                <c:pt idx="44">
                  <c:v>209.8</c:v>
                </c:pt>
                <c:pt idx="45">
                  <c:v>212.3</c:v>
                </c:pt>
                <c:pt idx="46">
                  <c:v>213.9</c:v>
                </c:pt>
                <c:pt idx="47">
                  <c:v>213.9</c:v>
                </c:pt>
                <c:pt idx="48">
                  <c:v>214.1</c:v>
                </c:pt>
                <c:pt idx="49">
                  <c:v>214.8</c:v>
                </c:pt>
                <c:pt idx="50">
                  <c:v>214.3</c:v>
                </c:pt>
                <c:pt idx="51">
                  <c:v>214.5</c:v>
                </c:pt>
                <c:pt idx="52">
                  <c:v>216.5</c:v>
                </c:pt>
                <c:pt idx="53">
                  <c:v>216.2</c:v>
                </c:pt>
                <c:pt idx="54">
                  <c:v>216.6</c:v>
                </c:pt>
                <c:pt idx="55">
                  <c:v>217</c:v>
                </c:pt>
                <c:pt idx="56">
                  <c:v>217.5</c:v>
                </c:pt>
                <c:pt idx="57">
                  <c:v>217.6</c:v>
                </c:pt>
                <c:pt idx="58">
                  <c:v>219.3</c:v>
                </c:pt>
                <c:pt idx="59">
                  <c:v>219.5</c:v>
                </c:pt>
                <c:pt idx="60">
                  <c:v>221</c:v>
                </c:pt>
                <c:pt idx="61">
                  <c:v>224.8</c:v>
                </c:pt>
                <c:pt idx="62">
                  <c:v>229.2</c:v>
                </c:pt>
                <c:pt idx="63">
                  <c:v>232.6</c:v>
                </c:pt>
                <c:pt idx="64">
                  <c:v>237.9</c:v>
                </c:pt>
                <c:pt idx="65">
                  <c:v>241.6</c:v>
                </c:pt>
                <c:pt idx="66">
                  <c:v>242.6</c:v>
                </c:pt>
                <c:pt idx="67">
                  <c:v>243.2</c:v>
                </c:pt>
                <c:pt idx="68">
                  <c:v>243.2</c:v>
                </c:pt>
                <c:pt idx="69">
                  <c:v>241.1</c:v>
                </c:pt>
                <c:pt idx="70">
                  <c:v>238.4</c:v>
                </c:pt>
                <c:pt idx="71">
                  <c:v>235.6</c:v>
                </c:pt>
                <c:pt idx="72">
                  <c:v>232.7</c:v>
                </c:pt>
                <c:pt idx="73">
                  <c:v>232.7</c:v>
                </c:pt>
                <c:pt idx="74">
                  <c:v>234.3</c:v>
                </c:pt>
                <c:pt idx="75">
                  <c:v>239.3</c:v>
                </c:pt>
                <c:pt idx="76">
                  <c:v>246.8</c:v>
                </c:pt>
                <c:pt idx="77">
                  <c:v>253.1</c:v>
                </c:pt>
                <c:pt idx="78">
                  <c:v>256</c:v>
                </c:pt>
                <c:pt idx="79">
                  <c:v>255</c:v>
                </c:pt>
                <c:pt idx="80">
                  <c:v>252.9</c:v>
                </c:pt>
                <c:pt idx="81">
                  <c:v>249.8</c:v>
                </c:pt>
                <c:pt idx="82">
                  <c:v>247.8</c:v>
                </c:pt>
                <c:pt idx="83">
                  <c:v>248.7</c:v>
                </c:pt>
                <c:pt idx="84">
                  <c:v>252.3</c:v>
                </c:pt>
                <c:pt idx="85">
                  <c:v>253.5</c:v>
                </c:pt>
                <c:pt idx="86">
                  <c:v>253.2</c:v>
                </c:pt>
                <c:pt idx="87">
                  <c:v>252.7</c:v>
                </c:pt>
                <c:pt idx="88">
                  <c:v>249.8</c:v>
                </c:pt>
                <c:pt idx="89">
                  <c:v>244.2</c:v>
                </c:pt>
                <c:pt idx="90">
                  <c:v>239.6</c:v>
                </c:pt>
                <c:pt idx="91">
                  <c:v>236.6</c:v>
                </c:pt>
                <c:pt idx="92">
                  <c:v>233.7</c:v>
                </c:pt>
                <c:pt idx="93">
                  <c:v>231.5</c:v>
                </c:pt>
                <c:pt idx="94">
                  <c:v>232</c:v>
                </c:pt>
                <c:pt idx="95">
                  <c:v>232.7</c:v>
                </c:pt>
                <c:pt idx="96">
                  <c:v>232.3</c:v>
                </c:pt>
                <c:pt idx="97">
                  <c:v>231</c:v>
                </c:pt>
                <c:pt idx="98">
                  <c:v>228.4</c:v>
                </c:pt>
                <c:pt idx="99">
                  <c:v>226.2</c:v>
                </c:pt>
                <c:pt idx="100">
                  <c:v>224.8</c:v>
                </c:pt>
                <c:pt idx="101">
                  <c:v>225.9</c:v>
                </c:pt>
                <c:pt idx="102">
                  <c:v>229.3</c:v>
                </c:pt>
                <c:pt idx="103">
                  <c:v>235.1</c:v>
                </c:pt>
                <c:pt idx="104">
                  <c:v>240.9</c:v>
                </c:pt>
                <c:pt idx="105">
                  <c:v>245</c:v>
                </c:pt>
                <c:pt idx="106">
                  <c:v>246.7</c:v>
                </c:pt>
                <c:pt idx="107">
                  <c:v>251.3</c:v>
                </c:pt>
                <c:pt idx="108">
                  <c:v>255</c:v>
                </c:pt>
                <c:pt idx="109">
                  <c:v>258.7</c:v>
                </c:pt>
                <c:pt idx="110">
                  <c:v>262.2</c:v>
                </c:pt>
                <c:pt idx="111">
                  <c:v>266.2</c:v>
                </c:pt>
                <c:pt idx="112">
                  <c:v>265.39999999999998</c:v>
                </c:pt>
                <c:pt idx="113">
                  <c:v>261.10000000000002</c:v>
                </c:pt>
                <c:pt idx="114">
                  <c:v>256.39999999999998</c:v>
                </c:pt>
                <c:pt idx="115">
                  <c:v>251.5</c:v>
                </c:pt>
                <c:pt idx="116">
                  <c:v>245.7</c:v>
                </c:pt>
                <c:pt idx="117">
                  <c:v>240.4</c:v>
                </c:pt>
                <c:pt idx="118">
                  <c:v>238</c:v>
                </c:pt>
                <c:pt idx="119">
                  <c:v>234.4</c:v>
                </c:pt>
                <c:pt idx="120">
                  <c:v>233.1</c:v>
                </c:pt>
                <c:pt idx="121">
                  <c:v>232.7</c:v>
                </c:pt>
                <c:pt idx="122">
                  <c:v>230.7</c:v>
                </c:pt>
                <c:pt idx="123">
                  <c:v>228.9</c:v>
                </c:pt>
                <c:pt idx="124">
                  <c:v>229</c:v>
                </c:pt>
                <c:pt idx="125">
                  <c:v>228</c:v>
                </c:pt>
                <c:pt idx="126">
                  <c:v>225.1</c:v>
                </c:pt>
                <c:pt idx="127">
                  <c:v>223.8</c:v>
                </c:pt>
                <c:pt idx="128">
                  <c:v>224.1</c:v>
                </c:pt>
                <c:pt idx="129">
                  <c:v>224.9</c:v>
                </c:pt>
                <c:pt idx="130">
                  <c:v>226</c:v>
                </c:pt>
                <c:pt idx="131">
                  <c:v>229.2</c:v>
                </c:pt>
                <c:pt idx="132">
                  <c:v>233</c:v>
                </c:pt>
                <c:pt idx="133">
                  <c:v>235.5</c:v>
                </c:pt>
                <c:pt idx="134">
                  <c:v>237.5</c:v>
                </c:pt>
                <c:pt idx="135">
                  <c:v>240.8</c:v>
                </c:pt>
                <c:pt idx="136">
                  <c:v>242.6</c:v>
                </c:pt>
                <c:pt idx="137">
                  <c:v>244.8</c:v>
                </c:pt>
                <c:pt idx="138">
                  <c:v>247.8</c:v>
                </c:pt>
                <c:pt idx="139">
                  <c:v>253.8</c:v>
                </c:pt>
                <c:pt idx="140">
                  <c:v>258.10000000000002</c:v>
                </c:pt>
                <c:pt idx="141">
                  <c:v>262</c:v>
                </c:pt>
                <c:pt idx="142">
                  <c:v>264.39999999999998</c:v>
                </c:pt>
                <c:pt idx="143">
                  <c:v>264.3</c:v>
                </c:pt>
                <c:pt idx="144">
                  <c:v>259</c:v>
                </c:pt>
                <c:pt idx="145">
                  <c:v>252.5</c:v>
                </c:pt>
                <c:pt idx="146">
                  <c:v>247.2</c:v>
                </c:pt>
                <c:pt idx="147">
                  <c:v>244.1</c:v>
                </c:pt>
                <c:pt idx="148">
                  <c:v>243</c:v>
                </c:pt>
                <c:pt idx="149">
                  <c:v>242.8</c:v>
                </c:pt>
                <c:pt idx="150">
                  <c:v>245.3</c:v>
                </c:pt>
                <c:pt idx="151">
                  <c:v>248</c:v>
                </c:pt>
                <c:pt idx="152">
                  <c:v>250.7</c:v>
                </c:pt>
                <c:pt idx="153">
                  <c:v>254.3</c:v>
                </c:pt>
                <c:pt idx="154">
                  <c:v>258.5</c:v>
                </c:pt>
                <c:pt idx="155">
                  <c:v>259.3</c:v>
                </c:pt>
                <c:pt idx="156">
                  <c:v>259.8</c:v>
                </c:pt>
                <c:pt idx="157">
                  <c:v>259.10000000000002</c:v>
                </c:pt>
                <c:pt idx="158">
                  <c:v>257.60000000000002</c:v>
                </c:pt>
                <c:pt idx="159">
                  <c:v>258</c:v>
                </c:pt>
                <c:pt idx="160">
                  <c:v>260.39999999999998</c:v>
                </c:pt>
                <c:pt idx="161">
                  <c:v>263.39999999999998</c:v>
                </c:pt>
                <c:pt idx="162">
                  <c:v>266.39999999999998</c:v>
                </c:pt>
                <c:pt idx="163">
                  <c:v>270.8</c:v>
                </c:pt>
                <c:pt idx="164">
                  <c:v>275.10000000000002</c:v>
                </c:pt>
                <c:pt idx="165">
                  <c:v>281.5</c:v>
                </c:pt>
                <c:pt idx="166">
                  <c:v>286.5</c:v>
                </c:pt>
                <c:pt idx="167">
                  <c:v>292.3</c:v>
                </c:pt>
                <c:pt idx="168">
                  <c:v>298.39999999999998</c:v>
                </c:pt>
                <c:pt idx="169">
                  <c:v>302.60000000000002</c:v>
                </c:pt>
                <c:pt idx="170">
                  <c:v>306</c:v>
                </c:pt>
                <c:pt idx="171">
                  <c:v>309.5</c:v>
                </c:pt>
                <c:pt idx="172">
                  <c:v>312.39999999999998</c:v>
                </c:pt>
                <c:pt idx="173">
                  <c:v>318.7</c:v>
                </c:pt>
                <c:pt idx="174">
                  <c:v>326.2</c:v>
                </c:pt>
                <c:pt idx="175">
                  <c:v>330.8</c:v>
                </c:pt>
                <c:pt idx="176">
                  <c:v>337.4</c:v>
                </c:pt>
                <c:pt idx="177">
                  <c:v>342.4</c:v>
                </c:pt>
                <c:pt idx="178">
                  <c:v>343</c:v>
                </c:pt>
                <c:pt idx="179">
                  <c:v>341.1</c:v>
                </c:pt>
                <c:pt idx="180">
                  <c:v>338.7</c:v>
                </c:pt>
                <c:pt idx="181">
                  <c:v>336.2</c:v>
                </c:pt>
                <c:pt idx="182">
                  <c:v>335.6</c:v>
                </c:pt>
                <c:pt idx="183">
                  <c:v>333</c:v>
                </c:pt>
                <c:pt idx="184">
                  <c:v>330.6</c:v>
                </c:pt>
                <c:pt idx="185">
                  <c:v>330.6</c:v>
                </c:pt>
                <c:pt idx="186">
                  <c:v>326.2</c:v>
                </c:pt>
                <c:pt idx="187">
                  <c:v>316.8</c:v>
                </c:pt>
                <c:pt idx="188">
                  <c:v>307.39999999999998</c:v>
                </c:pt>
                <c:pt idx="189">
                  <c:v>298</c:v>
                </c:pt>
                <c:pt idx="190">
                  <c:v>290.39999999999998</c:v>
                </c:pt>
                <c:pt idx="191">
                  <c:v>290</c:v>
                </c:pt>
                <c:pt idx="192">
                  <c:v>293.60000000000002</c:v>
                </c:pt>
                <c:pt idx="193">
                  <c:v>297.39999999999998</c:v>
                </c:pt>
                <c:pt idx="194">
                  <c:v>302.10000000000002</c:v>
                </c:pt>
                <c:pt idx="195">
                  <c:v>304.8</c:v>
                </c:pt>
                <c:pt idx="196">
                  <c:v>302.7</c:v>
                </c:pt>
                <c:pt idx="197">
                  <c:v>300.60000000000002</c:v>
                </c:pt>
                <c:pt idx="198">
                  <c:v>302</c:v>
                </c:pt>
                <c:pt idx="199">
                  <c:v>307.39999999999998</c:v>
                </c:pt>
                <c:pt idx="200">
                  <c:v>310.60000000000002</c:v>
                </c:pt>
                <c:pt idx="201">
                  <c:v>315</c:v>
                </c:pt>
                <c:pt idx="202">
                  <c:v>321.39999999999998</c:v>
                </c:pt>
                <c:pt idx="203">
                  <c:v>329.6</c:v>
                </c:pt>
                <c:pt idx="204">
                  <c:v>338.2</c:v>
                </c:pt>
                <c:pt idx="205">
                  <c:v>353.7</c:v>
                </c:pt>
                <c:pt idx="206">
                  <c:v>383</c:v>
                </c:pt>
                <c:pt idx="207">
                  <c:v>404.5</c:v>
                </c:pt>
                <c:pt idx="208">
                  <c:v>421.4</c:v>
                </c:pt>
                <c:pt idx="209">
                  <c:v>435.5</c:v>
                </c:pt>
                <c:pt idx="210">
                  <c:v>447.2</c:v>
                </c:pt>
                <c:pt idx="211">
                  <c:v>442.1</c:v>
                </c:pt>
                <c:pt idx="212">
                  <c:v>441.8</c:v>
                </c:pt>
                <c:pt idx="213">
                  <c:v>446.7</c:v>
                </c:pt>
                <c:pt idx="214">
                  <c:v>448.6</c:v>
                </c:pt>
                <c:pt idx="215">
                  <c:v>444.9</c:v>
                </c:pt>
                <c:pt idx="216">
                  <c:v>447.5</c:v>
                </c:pt>
                <c:pt idx="217">
                  <c:v>453.2</c:v>
                </c:pt>
                <c:pt idx="218">
                  <c:v>452.4</c:v>
                </c:pt>
                <c:pt idx="219">
                  <c:v>453.4</c:v>
                </c:pt>
                <c:pt idx="220">
                  <c:v>457.5</c:v>
                </c:pt>
                <c:pt idx="221">
                  <c:v>459.4</c:v>
                </c:pt>
                <c:pt idx="222">
                  <c:v>467.6</c:v>
                </c:pt>
                <c:pt idx="223">
                  <c:v>476</c:v>
                </c:pt>
                <c:pt idx="224">
                  <c:v>486</c:v>
                </c:pt>
                <c:pt idx="225">
                  <c:v>499.9</c:v>
                </c:pt>
                <c:pt idx="226">
                  <c:v>510.2</c:v>
                </c:pt>
                <c:pt idx="227">
                  <c:v>512.4</c:v>
                </c:pt>
                <c:pt idx="228">
                  <c:v>518.4</c:v>
                </c:pt>
                <c:pt idx="229">
                  <c:v>533.4</c:v>
                </c:pt>
                <c:pt idx="230">
                  <c:v>553.4</c:v>
                </c:pt>
                <c:pt idx="231">
                  <c:v>586.20000000000005</c:v>
                </c:pt>
                <c:pt idx="232">
                  <c:v>612</c:v>
                </c:pt>
                <c:pt idx="233">
                  <c:v>634.4</c:v>
                </c:pt>
                <c:pt idx="234">
                  <c:v>652</c:v>
                </c:pt>
                <c:pt idx="235">
                  <c:v>659.4</c:v>
                </c:pt>
                <c:pt idx="236">
                  <c:v>648</c:v>
                </c:pt>
                <c:pt idx="237">
                  <c:v>642.4</c:v>
                </c:pt>
                <c:pt idx="238">
                  <c:v>636.79999999999995</c:v>
                </c:pt>
                <c:pt idx="239">
                  <c:v>623.79999999999995</c:v>
                </c:pt>
                <c:pt idx="240">
                  <c:v>611.79999999999995</c:v>
                </c:pt>
                <c:pt idx="241">
                  <c:v>611</c:v>
                </c:pt>
                <c:pt idx="242">
                  <c:v>611.20000000000005</c:v>
                </c:pt>
                <c:pt idx="243">
                  <c:v>609.79999999999995</c:v>
                </c:pt>
                <c:pt idx="244">
                  <c:v>611.4</c:v>
                </c:pt>
                <c:pt idx="245">
                  <c:v>611</c:v>
                </c:pt>
                <c:pt idx="246">
                  <c:v>606.79999999999995</c:v>
                </c:pt>
                <c:pt idx="247">
                  <c:v>598.4</c:v>
                </c:pt>
                <c:pt idx="248">
                  <c:v>595.4</c:v>
                </c:pt>
                <c:pt idx="249">
                  <c:v>593.20000000000005</c:v>
                </c:pt>
                <c:pt idx="250">
                  <c:v>593.79999999999995</c:v>
                </c:pt>
                <c:pt idx="251">
                  <c:v>596.20000000000005</c:v>
                </c:pt>
                <c:pt idx="252">
                  <c:v>600.4</c:v>
                </c:pt>
                <c:pt idx="253">
                  <c:v>601.79999999999995</c:v>
                </c:pt>
                <c:pt idx="254">
                  <c:v>601.20000000000005</c:v>
                </c:pt>
                <c:pt idx="255">
                  <c:v>603.6</c:v>
                </c:pt>
                <c:pt idx="256">
                  <c:v>600.6</c:v>
                </c:pt>
                <c:pt idx="257">
                  <c:v>599.20000000000005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5F-452A-9770-241BCD142629}"/>
            </c:ext>
          </c:extLst>
        </c:ser>
        <c:ser>
          <c:idx val="5"/>
          <c:order val="5"/>
          <c:tx>
            <c:strRef>
              <c:f>工作底稿!$CS$7</c:f>
              <c:strCache>
                <c:ptCount val="1"/>
                <c:pt idx="0">
                  <c:v>20MA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工作底稿!$CS$8:$CS$265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185.375</c:v>
                </c:pt>
                <c:pt idx="20">
                  <c:v>185.52500000000001</c:v>
                </c:pt>
                <c:pt idx="21">
                  <c:v>185.8</c:v>
                </c:pt>
                <c:pt idx="22">
                  <c:v>186.22499999999999</c:v>
                </c:pt>
                <c:pt idx="23">
                  <c:v>186.45</c:v>
                </c:pt>
                <c:pt idx="24">
                  <c:v>186.52500000000001</c:v>
                </c:pt>
                <c:pt idx="25">
                  <c:v>187.07499999999999</c:v>
                </c:pt>
                <c:pt idx="26">
                  <c:v>186.97499999999999</c:v>
                </c:pt>
                <c:pt idx="27">
                  <c:v>187.125</c:v>
                </c:pt>
                <c:pt idx="28">
                  <c:v>187.27500000000001</c:v>
                </c:pt>
                <c:pt idx="29">
                  <c:v>187.15</c:v>
                </c:pt>
                <c:pt idx="30">
                  <c:v>186.95</c:v>
                </c:pt>
                <c:pt idx="31">
                  <c:v>186.875</c:v>
                </c:pt>
                <c:pt idx="32">
                  <c:v>187.1</c:v>
                </c:pt>
                <c:pt idx="33">
                  <c:v>187.32499999999999</c:v>
                </c:pt>
                <c:pt idx="34">
                  <c:v>187.82499999999999</c:v>
                </c:pt>
                <c:pt idx="35">
                  <c:v>188.1</c:v>
                </c:pt>
                <c:pt idx="36">
                  <c:v>188.35</c:v>
                </c:pt>
                <c:pt idx="37">
                  <c:v>188.77500000000001</c:v>
                </c:pt>
                <c:pt idx="38">
                  <c:v>189.35</c:v>
                </c:pt>
                <c:pt idx="39">
                  <c:v>190.55</c:v>
                </c:pt>
                <c:pt idx="40">
                  <c:v>191.72499999999999</c:v>
                </c:pt>
                <c:pt idx="41">
                  <c:v>192.85</c:v>
                </c:pt>
                <c:pt idx="42">
                  <c:v>194.02500000000001</c:v>
                </c:pt>
                <c:pt idx="43">
                  <c:v>195.7</c:v>
                </c:pt>
                <c:pt idx="44">
                  <c:v>196.97499999999999</c:v>
                </c:pt>
                <c:pt idx="45">
                  <c:v>198.47499999999999</c:v>
                </c:pt>
                <c:pt idx="46">
                  <c:v>199.95</c:v>
                </c:pt>
                <c:pt idx="47">
                  <c:v>200.875</c:v>
                </c:pt>
                <c:pt idx="48">
                  <c:v>202.125</c:v>
                </c:pt>
                <c:pt idx="49">
                  <c:v>203.47499999999999</c:v>
                </c:pt>
                <c:pt idx="50">
                  <c:v>204.875</c:v>
                </c:pt>
                <c:pt idx="51">
                  <c:v>206.1</c:v>
                </c:pt>
                <c:pt idx="52">
                  <c:v>207.3</c:v>
                </c:pt>
                <c:pt idx="53">
                  <c:v>208.27500000000001</c:v>
                </c:pt>
                <c:pt idx="54">
                  <c:v>209.5</c:v>
                </c:pt>
                <c:pt idx="55">
                  <c:v>210.8</c:v>
                </c:pt>
                <c:pt idx="56">
                  <c:v>212.22499999999999</c:v>
                </c:pt>
                <c:pt idx="57">
                  <c:v>213.47499999999999</c:v>
                </c:pt>
                <c:pt idx="58">
                  <c:v>214.67500000000001</c:v>
                </c:pt>
                <c:pt idx="59">
                  <c:v>215.17500000000001</c:v>
                </c:pt>
                <c:pt idx="60">
                  <c:v>216.15</c:v>
                </c:pt>
                <c:pt idx="61">
                  <c:v>217.67500000000001</c:v>
                </c:pt>
                <c:pt idx="62">
                  <c:v>219.3</c:v>
                </c:pt>
                <c:pt idx="63">
                  <c:v>220.55</c:v>
                </c:pt>
                <c:pt idx="64">
                  <c:v>222.2</c:v>
                </c:pt>
                <c:pt idx="65">
                  <c:v>223.47499999999999</c:v>
                </c:pt>
                <c:pt idx="66">
                  <c:v>224.85</c:v>
                </c:pt>
                <c:pt idx="67">
                  <c:v>226.625</c:v>
                </c:pt>
                <c:pt idx="68">
                  <c:v>227.82499999999999</c:v>
                </c:pt>
                <c:pt idx="69">
                  <c:v>228.77500000000001</c:v>
                </c:pt>
                <c:pt idx="70">
                  <c:v>229.5</c:v>
                </c:pt>
                <c:pt idx="71">
                  <c:v>230.125</c:v>
                </c:pt>
                <c:pt idx="72">
                  <c:v>230.67500000000001</c:v>
                </c:pt>
                <c:pt idx="73">
                  <c:v>231.95</c:v>
                </c:pt>
                <c:pt idx="74">
                  <c:v>233.2</c:v>
                </c:pt>
                <c:pt idx="75">
                  <c:v>235.07499999999999</c:v>
                </c:pt>
                <c:pt idx="76">
                  <c:v>237.45</c:v>
                </c:pt>
                <c:pt idx="77">
                  <c:v>239.55</c:v>
                </c:pt>
                <c:pt idx="78">
                  <c:v>241.125</c:v>
                </c:pt>
                <c:pt idx="79">
                  <c:v>242.07499999999999</c:v>
                </c:pt>
                <c:pt idx="80">
                  <c:v>243.05</c:v>
                </c:pt>
                <c:pt idx="81">
                  <c:v>243.7</c:v>
                </c:pt>
                <c:pt idx="82">
                  <c:v>244.2</c:v>
                </c:pt>
                <c:pt idx="83">
                  <c:v>245.15</c:v>
                </c:pt>
                <c:pt idx="84">
                  <c:v>245.67500000000001</c:v>
                </c:pt>
                <c:pt idx="85">
                  <c:v>246.02500000000001</c:v>
                </c:pt>
                <c:pt idx="86">
                  <c:v>246.35</c:v>
                </c:pt>
                <c:pt idx="87">
                  <c:v>246.57499999999999</c:v>
                </c:pt>
                <c:pt idx="88">
                  <c:v>246.8</c:v>
                </c:pt>
                <c:pt idx="89">
                  <c:v>246.45</c:v>
                </c:pt>
                <c:pt idx="90">
                  <c:v>246.32499999999999</c:v>
                </c:pt>
                <c:pt idx="91">
                  <c:v>246.6</c:v>
                </c:pt>
                <c:pt idx="92">
                  <c:v>246.82499999999999</c:v>
                </c:pt>
                <c:pt idx="93">
                  <c:v>246.5</c:v>
                </c:pt>
                <c:pt idx="94">
                  <c:v>245.875</c:v>
                </c:pt>
                <c:pt idx="95">
                  <c:v>244.67500000000001</c:v>
                </c:pt>
                <c:pt idx="96">
                  <c:v>242.97499999999999</c:v>
                </c:pt>
                <c:pt idx="97">
                  <c:v>241.3</c:v>
                </c:pt>
                <c:pt idx="98">
                  <c:v>239.6</c:v>
                </c:pt>
                <c:pt idx="99">
                  <c:v>238.67500000000001</c:v>
                </c:pt>
                <c:pt idx="100">
                  <c:v>237.65</c:v>
                </c:pt>
                <c:pt idx="101">
                  <c:v>237</c:v>
                </c:pt>
                <c:pt idx="102">
                  <c:v>236.67500000000001</c:v>
                </c:pt>
                <c:pt idx="103">
                  <c:v>236.2</c:v>
                </c:pt>
                <c:pt idx="104">
                  <c:v>235.82499999999999</c:v>
                </c:pt>
                <c:pt idx="105">
                  <c:v>235.52500000000001</c:v>
                </c:pt>
                <c:pt idx="106">
                  <c:v>235.375</c:v>
                </c:pt>
                <c:pt idx="107">
                  <c:v>236.32499999999999</c:v>
                </c:pt>
                <c:pt idx="108">
                  <c:v>237.5</c:v>
                </c:pt>
                <c:pt idx="109">
                  <c:v>239.45</c:v>
                </c:pt>
                <c:pt idx="110">
                  <c:v>241.17500000000001</c:v>
                </c:pt>
                <c:pt idx="111">
                  <c:v>242.77500000000001</c:v>
                </c:pt>
                <c:pt idx="112">
                  <c:v>244.25</c:v>
                </c:pt>
                <c:pt idx="113">
                  <c:v>244.9</c:v>
                </c:pt>
                <c:pt idx="114">
                  <c:v>245.55</c:v>
                </c:pt>
                <c:pt idx="115">
                  <c:v>245.875</c:v>
                </c:pt>
                <c:pt idx="116">
                  <c:v>246.125</c:v>
                </c:pt>
                <c:pt idx="117">
                  <c:v>246.6</c:v>
                </c:pt>
                <c:pt idx="118">
                  <c:v>247.3</c:v>
                </c:pt>
                <c:pt idx="119">
                  <c:v>247.6</c:v>
                </c:pt>
                <c:pt idx="120">
                  <c:v>247.95</c:v>
                </c:pt>
                <c:pt idx="121">
                  <c:v>247.82499999999999</c:v>
                </c:pt>
                <c:pt idx="122">
                  <c:v>246.95</c:v>
                </c:pt>
                <c:pt idx="123">
                  <c:v>245.75</c:v>
                </c:pt>
                <c:pt idx="124">
                  <c:v>244.625</c:v>
                </c:pt>
                <c:pt idx="125">
                  <c:v>243.7</c:v>
                </c:pt>
                <c:pt idx="126">
                  <c:v>242.42500000000001</c:v>
                </c:pt>
                <c:pt idx="127">
                  <c:v>240.07499999999999</c:v>
                </c:pt>
                <c:pt idx="128">
                  <c:v>238.02500000000001</c:v>
                </c:pt>
                <c:pt idx="129">
                  <c:v>236.17500000000001</c:v>
                </c:pt>
                <c:pt idx="130">
                  <c:v>234.65</c:v>
                </c:pt>
                <c:pt idx="131">
                  <c:v>233.17500000000001</c:v>
                </c:pt>
                <c:pt idx="132">
                  <c:v>231.97499999999999</c:v>
                </c:pt>
                <c:pt idx="133">
                  <c:v>231.625</c:v>
                </c:pt>
                <c:pt idx="134">
                  <c:v>231.45</c:v>
                </c:pt>
                <c:pt idx="135">
                  <c:v>231.97499999999999</c:v>
                </c:pt>
                <c:pt idx="136">
                  <c:v>232.4</c:v>
                </c:pt>
                <c:pt idx="137">
                  <c:v>233.07499999999999</c:v>
                </c:pt>
                <c:pt idx="138">
                  <c:v>234.07499999999999</c:v>
                </c:pt>
                <c:pt idx="139">
                  <c:v>236.3</c:v>
                </c:pt>
                <c:pt idx="140">
                  <c:v>238.22499999999999</c:v>
                </c:pt>
                <c:pt idx="141">
                  <c:v>239.72499999999999</c:v>
                </c:pt>
                <c:pt idx="142">
                  <c:v>241.5</c:v>
                </c:pt>
                <c:pt idx="143">
                  <c:v>242.92500000000001</c:v>
                </c:pt>
                <c:pt idx="144">
                  <c:v>243.8</c:v>
                </c:pt>
                <c:pt idx="145">
                  <c:v>244.35</c:v>
                </c:pt>
                <c:pt idx="146">
                  <c:v>245.25</c:v>
                </c:pt>
                <c:pt idx="147">
                  <c:v>246.57499999999999</c:v>
                </c:pt>
                <c:pt idx="148">
                  <c:v>247.65</c:v>
                </c:pt>
                <c:pt idx="149">
                  <c:v>248.27500000000001</c:v>
                </c:pt>
                <c:pt idx="150">
                  <c:v>249.17500000000001</c:v>
                </c:pt>
                <c:pt idx="151">
                  <c:v>249.95</c:v>
                </c:pt>
                <c:pt idx="152">
                  <c:v>251</c:v>
                </c:pt>
                <c:pt idx="153">
                  <c:v>252.35</c:v>
                </c:pt>
                <c:pt idx="154">
                  <c:v>253.52500000000001</c:v>
                </c:pt>
                <c:pt idx="155">
                  <c:v>253.8</c:v>
                </c:pt>
                <c:pt idx="156">
                  <c:v>254.25</c:v>
                </c:pt>
                <c:pt idx="157">
                  <c:v>254.57499999999999</c:v>
                </c:pt>
                <c:pt idx="158">
                  <c:v>254.8</c:v>
                </c:pt>
                <c:pt idx="159">
                  <c:v>254.57499999999999</c:v>
                </c:pt>
                <c:pt idx="160">
                  <c:v>254.375</c:v>
                </c:pt>
                <c:pt idx="161">
                  <c:v>254.6</c:v>
                </c:pt>
                <c:pt idx="162">
                  <c:v>255.07499999999999</c:v>
                </c:pt>
                <c:pt idx="163">
                  <c:v>256.42500000000001</c:v>
                </c:pt>
                <c:pt idx="164">
                  <c:v>258.60000000000002</c:v>
                </c:pt>
                <c:pt idx="165">
                  <c:v>261.625</c:v>
                </c:pt>
                <c:pt idx="166">
                  <c:v>264.42500000000001</c:v>
                </c:pt>
                <c:pt idx="167">
                  <c:v>267.125</c:v>
                </c:pt>
                <c:pt idx="168">
                  <c:v>270.27499999999998</c:v>
                </c:pt>
                <c:pt idx="169">
                  <c:v>273.55</c:v>
                </c:pt>
                <c:pt idx="170">
                  <c:v>276.8</c:v>
                </c:pt>
                <c:pt idx="171">
                  <c:v>279.8</c:v>
                </c:pt>
                <c:pt idx="172">
                  <c:v>282.55</c:v>
                </c:pt>
                <c:pt idx="173">
                  <c:v>286.375</c:v>
                </c:pt>
                <c:pt idx="174">
                  <c:v>290.47500000000002</c:v>
                </c:pt>
                <c:pt idx="175">
                  <c:v>294.67500000000001</c:v>
                </c:pt>
                <c:pt idx="176">
                  <c:v>299.2</c:v>
                </c:pt>
                <c:pt idx="177">
                  <c:v>303.375</c:v>
                </c:pt>
                <c:pt idx="178">
                  <c:v>307.72500000000002</c:v>
                </c:pt>
                <c:pt idx="179">
                  <c:v>311.25</c:v>
                </c:pt>
                <c:pt idx="180">
                  <c:v>314.25</c:v>
                </c:pt>
                <c:pt idx="181">
                  <c:v>317.39999999999998</c:v>
                </c:pt>
                <c:pt idx="182">
                  <c:v>320.67500000000001</c:v>
                </c:pt>
                <c:pt idx="183">
                  <c:v>323.27499999999998</c:v>
                </c:pt>
                <c:pt idx="184">
                  <c:v>325.125</c:v>
                </c:pt>
                <c:pt idx="185">
                  <c:v>326.52499999999998</c:v>
                </c:pt>
                <c:pt idx="186">
                  <c:v>327.32499999999999</c:v>
                </c:pt>
                <c:pt idx="187">
                  <c:v>326.8</c:v>
                </c:pt>
                <c:pt idx="188">
                  <c:v>325.52499999999998</c:v>
                </c:pt>
                <c:pt idx="189">
                  <c:v>323.97500000000002</c:v>
                </c:pt>
                <c:pt idx="190">
                  <c:v>322.625</c:v>
                </c:pt>
                <c:pt idx="191">
                  <c:v>322.45</c:v>
                </c:pt>
                <c:pt idx="192">
                  <c:v>322.10000000000002</c:v>
                </c:pt>
                <c:pt idx="193">
                  <c:v>320.2</c:v>
                </c:pt>
                <c:pt idx="194">
                  <c:v>317.95</c:v>
                </c:pt>
                <c:pt idx="195">
                  <c:v>316.125</c:v>
                </c:pt>
                <c:pt idx="196">
                  <c:v>313.77499999999998</c:v>
                </c:pt>
                <c:pt idx="197">
                  <c:v>311.64999999999998</c:v>
                </c:pt>
                <c:pt idx="198">
                  <c:v>309.95</c:v>
                </c:pt>
                <c:pt idx="199">
                  <c:v>309.52499999999998</c:v>
                </c:pt>
                <c:pt idx="200">
                  <c:v>309.10000000000002</c:v>
                </c:pt>
                <c:pt idx="201">
                  <c:v>308.47500000000002</c:v>
                </c:pt>
                <c:pt idx="202">
                  <c:v>308.10000000000002</c:v>
                </c:pt>
                <c:pt idx="203">
                  <c:v>309.10000000000002</c:v>
                </c:pt>
                <c:pt idx="204">
                  <c:v>311.42500000000001</c:v>
                </c:pt>
                <c:pt idx="205">
                  <c:v>314.875</c:v>
                </c:pt>
                <c:pt idx="206">
                  <c:v>322.67500000000001</c:v>
                </c:pt>
                <c:pt idx="207">
                  <c:v>330.02499999999998</c:v>
                </c:pt>
                <c:pt idx="208">
                  <c:v>337.6</c:v>
                </c:pt>
                <c:pt idx="209">
                  <c:v>345.8</c:v>
                </c:pt>
                <c:pt idx="210">
                  <c:v>354.07499999999999</c:v>
                </c:pt>
                <c:pt idx="211">
                  <c:v>360.7</c:v>
                </c:pt>
                <c:pt idx="212">
                  <c:v>367.07499999999999</c:v>
                </c:pt>
                <c:pt idx="213">
                  <c:v>374.92500000000001</c:v>
                </c:pt>
                <c:pt idx="214">
                  <c:v>382.42500000000001</c:v>
                </c:pt>
                <c:pt idx="215">
                  <c:v>389.1</c:v>
                </c:pt>
                <c:pt idx="216">
                  <c:v>396.9</c:v>
                </c:pt>
                <c:pt idx="217">
                  <c:v>405.22500000000002</c:v>
                </c:pt>
                <c:pt idx="218">
                  <c:v>412.52499999999998</c:v>
                </c:pt>
                <c:pt idx="219">
                  <c:v>418.92500000000001</c:v>
                </c:pt>
                <c:pt idx="220">
                  <c:v>425.82499999999999</c:v>
                </c:pt>
                <c:pt idx="221">
                  <c:v>433</c:v>
                </c:pt>
                <c:pt idx="222">
                  <c:v>441.77499999999998</c:v>
                </c:pt>
                <c:pt idx="223">
                  <c:v>449.125</c:v>
                </c:pt>
                <c:pt idx="224">
                  <c:v>455.875</c:v>
                </c:pt>
                <c:pt idx="225">
                  <c:v>462.375</c:v>
                </c:pt>
                <c:pt idx="226">
                  <c:v>464.8</c:v>
                </c:pt>
                <c:pt idx="227">
                  <c:v>468.75</c:v>
                </c:pt>
                <c:pt idx="228">
                  <c:v>473.375</c:v>
                </c:pt>
                <c:pt idx="229">
                  <c:v>480.35</c:v>
                </c:pt>
                <c:pt idx="230">
                  <c:v>488.92500000000001</c:v>
                </c:pt>
                <c:pt idx="231">
                  <c:v>500.82499999999999</c:v>
                </c:pt>
                <c:pt idx="232">
                  <c:v>511.3</c:v>
                </c:pt>
                <c:pt idx="233">
                  <c:v>520.29999999999995</c:v>
                </c:pt>
                <c:pt idx="234">
                  <c:v>531.20000000000005</c:v>
                </c:pt>
                <c:pt idx="235">
                  <c:v>542.54999999999995</c:v>
                </c:pt>
                <c:pt idx="236">
                  <c:v>550.95000000000005</c:v>
                </c:pt>
                <c:pt idx="237">
                  <c:v>558.6</c:v>
                </c:pt>
                <c:pt idx="238">
                  <c:v>566.4</c:v>
                </c:pt>
                <c:pt idx="239">
                  <c:v>573.79999999999995</c:v>
                </c:pt>
                <c:pt idx="240">
                  <c:v>581.125</c:v>
                </c:pt>
                <c:pt idx="241">
                  <c:v>588.85</c:v>
                </c:pt>
                <c:pt idx="242">
                  <c:v>594.5</c:v>
                </c:pt>
                <c:pt idx="243">
                  <c:v>599.85</c:v>
                </c:pt>
                <c:pt idx="244">
                  <c:v>605.15</c:v>
                </c:pt>
                <c:pt idx="245">
                  <c:v>608.9</c:v>
                </c:pt>
                <c:pt idx="246">
                  <c:v>613</c:v>
                </c:pt>
                <c:pt idx="247">
                  <c:v>616</c:v>
                </c:pt>
                <c:pt idx="248">
                  <c:v>619.1</c:v>
                </c:pt>
                <c:pt idx="249">
                  <c:v>620.1</c:v>
                </c:pt>
                <c:pt idx="250">
                  <c:v>619</c:v>
                </c:pt>
                <c:pt idx="251">
                  <c:v>615.5</c:v>
                </c:pt>
                <c:pt idx="252">
                  <c:v>613.1</c:v>
                </c:pt>
                <c:pt idx="253">
                  <c:v>610.95000000000005</c:v>
                </c:pt>
                <c:pt idx="254">
                  <c:v>607.4</c:v>
                </c:pt>
                <c:pt idx="255">
                  <c:v>605.04999999999995</c:v>
                </c:pt>
                <c:pt idx="256">
                  <c:v>603.65</c:v>
                </c:pt>
                <c:pt idx="257">
                  <c:v>602.29999999999995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5F-452A-9770-241BCD142629}"/>
            </c:ext>
          </c:extLst>
        </c:ser>
        <c:ser>
          <c:idx val="6"/>
          <c:order val="6"/>
          <c:tx>
            <c:strRef>
              <c:f>工作底稿!$CW$7</c:f>
              <c:strCache>
                <c:ptCount val="1"/>
                <c:pt idx="0">
                  <c:v>60MA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工作底稿!$CW$8:$CW$265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197.03333333333333</c:v>
                </c:pt>
                <c:pt idx="60">
                  <c:v>197.8</c:v>
                </c:pt>
                <c:pt idx="61">
                  <c:v>198.77500000000001</c:v>
                </c:pt>
                <c:pt idx="62">
                  <c:v>199.85</c:v>
                </c:pt>
                <c:pt idx="63">
                  <c:v>200.9</c:v>
                </c:pt>
                <c:pt idx="64">
                  <c:v>201.9</c:v>
                </c:pt>
                <c:pt idx="65">
                  <c:v>203.00833333333333</c:v>
                </c:pt>
                <c:pt idx="66">
                  <c:v>203.92500000000001</c:v>
                </c:pt>
                <c:pt idx="67">
                  <c:v>204.875</c:v>
                </c:pt>
                <c:pt idx="68">
                  <c:v>205.74166666666667</c:v>
                </c:pt>
                <c:pt idx="69">
                  <c:v>206.46666666666667</c:v>
                </c:pt>
                <c:pt idx="70">
                  <c:v>207.10833333333332</c:v>
                </c:pt>
                <c:pt idx="71">
                  <c:v>207.7</c:v>
                </c:pt>
                <c:pt idx="72">
                  <c:v>208.35833333333332</c:v>
                </c:pt>
                <c:pt idx="73">
                  <c:v>209.18333333333334</c:v>
                </c:pt>
                <c:pt idx="74">
                  <c:v>210.17500000000001</c:v>
                </c:pt>
                <c:pt idx="75">
                  <c:v>211.32499999999999</c:v>
                </c:pt>
                <c:pt idx="76">
                  <c:v>212.67500000000001</c:v>
                </c:pt>
                <c:pt idx="77">
                  <c:v>213.93333333333334</c:v>
                </c:pt>
                <c:pt idx="78">
                  <c:v>215.05</c:v>
                </c:pt>
                <c:pt idx="79">
                  <c:v>215.93333333333334</c:v>
                </c:pt>
                <c:pt idx="80">
                  <c:v>216.97499999999999</c:v>
                </c:pt>
                <c:pt idx="81">
                  <c:v>218.07499999999999</c:v>
                </c:pt>
                <c:pt idx="82">
                  <c:v>219.17500000000001</c:v>
                </c:pt>
                <c:pt idx="83">
                  <c:v>220.46666666666667</c:v>
                </c:pt>
                <c:pt idx="84">
                  <c:v>221.61666666666667</c:v>
                </c:pt>
                <c:pt idx="85">
                  <c:v>222.65833333333333</c:v>
                </c:pt>
                <c:pt idx="86">
                  <c:v>223.71666666666667</c:v>
                </c:pt>
                <c:pt idx="87">
                  <c:v>224.69166666666666</c:v>
                </c:pt>
                <c:pt idx="88">
                  <c:v>225.58333333333334</c:v>
                </c:pt>
                <c:pt idx="89">
                  <c:v>226.23333333333332</c:v>
                </c:pt>
                <c:pt idx="90">
                  <c:v>226.9</c:v>
                </c:pt>
                <c:pt idx="91">
                  <c:v>227.60833333333332</c:v>
                </c:pt>
                <c:pt idx="92">
                  <c:v>228.26666666666668</c:v>
                </c:pt>
                <c:pt idx="93">
                  <c:v>228.90833333333333</c:v>
                </c:pt>
                <c:pt idx="94">
                  <c:v>229.52500000000001</c:v>
                </c:pt>
                <c:pt idx="95">
                  <c:v>230.18333333333334</c:v>
                </c:pt>
                <c:pt idx="96">
                  <c:v>230.88333333333333</c:v>
                </c:pt>
                <c:pt idx="97">
                  <c:v>231.44166666666666</c:v>
                </c:pt>
                <c:pt idx="98">
                  <c:v>231.8</c:v>
                </c:pt>
                <c:pt idx="99">
                  <c:v>231.97499999999999</c:v>
                </c:pt>
                <c:pt idx="100">
                  <c:v>232.28333333333333</c:v>
                </c:pt>
                <c:pt idx="101">
                  <c:v>232.79166666666666</c:v>
                </c:pt>
                <c:pt idx="102">
                  <c:v>233.39166666666668</c:v>
                </c:pt>
                <c:pt idx="103">
                  <c:v>233.96666666666667</c:v>
                </c:pt>
                <c:pt idx="104">
                  <c:v>234.56666666666666</c:v>
                </c:pt>
                <c:pt idx="105">
                  <c:v>235.00833333333333</c:v>
                </c:pt>
                <c:pt idx="106">
                  <c:v>235.52500000000001</c:v>
                </c:pt>
                <c:pt idx="107">
                  <c:v>236.50833333333333</c:v>
                </c:pt>
                <c:pt idx="108">
                  <c:v>237.375</c:v>
                </c:pt>
                <c:pt idx="109">
                  <c:v>238.22499999999999</c:v>
                </c:pt>
                <c:pt idx="110">
                  <c:v>239</c:v>
                </c:pt>
                <c:pt idx="111">
                  <c:v>239.83333333333334</c:v>
                </c:pt>
                <c:pt idx="112">
                  <c:v>240.58333333333334</c:v>
                </c:pt>
                <c:pt idx="113">
                  <c:v>241.11666666666667</c:v>
                </c:pt>
                <c:pt idx="114">
                  <c:v>241.54166666666666</c:v>
                </c:pt>
                <c:pt idx="115">
                  <c:v>241.875</c:v>
                </c:pt>
                <c:pt idx="116">
                  <c:v>242.18333333333334</c:v>
                </c:pt>
                <c:pt idx="117">
                  <c:v>242.48333333333332</c:v>
                </c:pt>
                <c:pt idx="118">
                  <c:v>242.67500000000001</c:v>
                </c:pt>
                <c:pt idx="119">
                  <c:v>242.78333333333333</c:v>
                </c:pt>
                <c:pt idx="120">
                  <c:v>242.88333333333333</c:v>
                </c:pt>
                <c:pt idx="121">
                  <c:v>242.84166666666667</c:v>
                </c:pt>
                <c:pt idx="122">
                  <c:v>242.60833333333332</c:v>
                </c:pt>
                <c:pt idx="123">
                  <c:v>242.36666666666667</c:v>
                </c:pt>
                <c:pt idx="124">
                  <c:v>242.04166666666666</c:v>
                </c:pt>
                <c:pt idx="125">
                  <c:v>241.75</c:v>
                </c:pt>
                <c:pt idx="126">
                  <c:v>241.38333333333333</c:v>
                </c:pt>
                <c:pt idx="127">
                  <c:v>240.99166666666667</c:v>
                </c:pt>
                <c:pt idx="128">
                  <c:v>240.77500000000001</c:v>
                </c:pt>
                <c:pt idx="129">
                  <c:v>240.69166666666666</c:v>
                </c:pt>
                <c:pt idx="130">
                  <c:v>240.71666666666667</c:v>
                </c:pt>
                <c:pt idx="131">
                  <c:v>240.85</c:v>
                </c:pt>
                <c:pt idx="132">
                  <c:v>241.01666666666668</c:v>
                </c:pt>
                <c:pt idx="133">
                  <c:v>241.00833333333333</c:v>
                </c:pt>
                <c:pt idx="134">
                  <c:v>240.95833333333334</c:v>
                </c:pt>
                <c:pt idx="135">
                  <c:v>240.84166666666667</c:v>
                </c:pt>
                <c:pt idx="136">
                  <c:v>240.5</c:v>
                </c:pt>
                <c:pt idx="137">
                  <c:v>240.32499999999999</c:v>
                </c:pt>
                <c:pt idx="138">
                  <c:v>240.32499999999999</c:v>
                </c:pt>
                <c:pt idx="139">
                  <c:v>240.85833333333332</c:v>
                </c:pt>
                <c:pt idx="140">
                  <c:v>241.27500000000001</c:v>
                </c:pt>
                <c:pt idx="141">
                  <c:v>241.51666666666668</c:v>
                </c:pt>
                <c:pt idx="142">
                  <c:v>241.70833333333334</c:v>
                </c:pt>
                <c:pt idx="143">
                  <c:v>241.625</c:v>
                </c:pt>
                <c:pt idx="144">
                  <c:v>241.41666666666666</c:v>
                </c:pt>
                <c:pt idx="145">
                  <c:v>241.19166666666666</c:v>
                </c:pt>
                <c:pt idx="146">
                  <c:v>241.01666666666668</c:v>
                </c:pt>
                <c:pt idx="147">
                  <c:v>240.99166666666667</c:v>
                </c:pt>
                <c:pt idx="148">
                  <c:v>241.05833333333334</c:v>
                </c:pt>
                <c:pt idx="149">
                  <c:v>241.3</c:v>
                </c:pt>
                <c:pt idx="150">
                  <c:v>241.66666666666666</c:v>
                </c:pt>
                <c:pt idx="151">
                  <c:v>241.96666666666667</c:v>
                </c:pt>
                <c:pt idx="152">
                  <c:v>242.40833333333333</c:v>
                </c:pt>
                <c:pt idx="153">
                  <c:v>242.95833333333334</c:v>
                </c:pt>
                <c:pt idx="154">
                  <c:v>243.50833333333333</c:v>
                </c:pt>
                <c:pt idx="155">
                  <c:v>243.88333333333333</c:v>
                </c:pt>
                <c:pt idx="156">
                  <c:v>244.25833333333333</c:v>
                </c:pt>
                <c:pt idx="157">
                  <c:v>244.75</c:v>
                </c:pt>
                <c:pt idx="158">
                  <c:v>245.39166666666668</c:v>
                </c:pt>
                <c:pt idx="159">
                  <c:v>246.15833333333333</c:v>
                </c:pt>
                <c:pt idx="160">
                  <c:v>246.85</c:v>
                </c:pt>
                <c:pt idx="161">
                  <c:v>247.38333333333333</c:v>
                </c:pt>
                <c:pt idx="162">
                  <c:v>247.84166666666667</c:v>
                </c:pt>
                <c:pt idx="163">
                  <c:v>248.36666666666667</c:v>
                </c:pt>
                <c:pt idx="164">
                  <c:v>249.00833333333333</c:v>
                </c:pt>
                <c:pt idx="165">
                  <c:v>249.89166666666668</c:v>
                </c:pt>
                <c:pt idx="166">
                  <c:v>250.7</c:v>
                </c:pt>
                <c:pt idx="167">
                  <c:v>251.25833333333333</c:v>
                </c:pt>
                <c:pt idx="168">
                  <c:v>251.98333333333332</c:v>
                </c:pt>
                <c:pt idx="169">
                  <c:v>252.66666666666666</c:v>
                </c:pt>
                <c:pt idx="170">
                  <c:v>253.54166666666666</c:v>
                </c:pt>
                <c:pt idx="171">
                  <c:v>254.30833333333334</c:v>
                </c:pt>
                <c:pt idx="172">
                  <c:v>255.17500000000001</c:v>
                </c:pt>
                <c:pt idx="173">
                  <c:v>256.78333333333336</c:v>
                </c:pt>
                <c:pt idx="174">
                  <c:v>258.48333333333335</c:v>
                </c:pt>
                <c:pt idx="175">
                  <c:v>260.14999999999998</c:v>
                </c:pt>
                <c:pt idx="176">
                  <c:v>261.95</c:v>
                </c:pt>
                <c:pt idx="177">
                  <c:v>263.67500000000001</c:v>
                </c:pt>
                <c:pt idx="178">
                  <c:v>265.53333333333336</c:v>
                </c:pt>
                <c:pt idx="179">
                  <c:v>267.375</c:v>
                </c:pt>
                <c:pt idx="180">
                  <c:v>268.95</c:v>
                </c:pt>
                <c:pt idx="181">
                  <c:v>270.57499999999999</c:v>
                </c:pt>
                <c:pt idx="182">
                  <c:v>272.41666666666669</c:v>
                </c:pt>
                <c:pt idx="183">
                  <c:v>274.20833333333331</c:v>
                </c:pt>
                <c:pt idx="184">
                  <c:v>275.84166666666664</c:v>
                </c:pt>
                <c:pt idx="185">
                  <c:v>277.5</c:v>
                </c:pt>
                <c:pt idx="186">
                  <c:v>279</c:v>
                </c:pt>
                <c:pt idx="187">
                  <c:v>280.16666666666669</c:v>
                </c:pt>
                <c:pt idx="188">
                  <c:v>281.14999999999998</c:v>
                </c:pt>
                <c:pt idx="189">
                  <c:v>281.93333333333334</c:v>
                </c:pt>
                <c:pt idx="190">
                  <c:v>282.86666666666667</c:v>
                </c:pt>
                <c:pt idx="191">
                  <c:v>284.06666666666666</c:v>
                </c:pt>
                <c:pt idx="192">
                  <c:v>285.21666666666664</c:v>
                </c:pt>
                <c:pt idx="193">
                  <c:v>286.30833333333334</c:v>
                </c:pt>
                <c:pt idx="194">
                  <c:v>287.31666666666666</c:v>
                </c:pt>
                <c:pt idx="195">
                  <c:v>288.2</c:v>
                </c:pt>
                <c:pt idx="196">
                  <c:v>289.07499999999999</c:v>
                </c:pt>
                <c:pt idx="197">
                  <c:v>289.86666666666667</c:v>
                </c:pt>
                <c:pt idx="198">
                  <c:v>290.82499999999999</c:v>
                </c:pt>
                <c:pt idx="199">
                  <c:v>291.78333333333336</c:v>
                </c:pt>
                <c:pt idx="200">
                  <c:v>292.57499999999999</c:v>
                </c:pt>
                <c:pt idx="201">
                  <c:v>293.49166666666667</c:v>
                </c:pt>
                <c:pt idx="202">
                  <c:v>294.61666666666667</c:v>
                </c:pt>
                <c:pt idx="203">
                  <c:v>296.26666666666665</c:v>
                </c:pt>
                <c:pt idx="204">
                  <c:v>298.38333333333333</c:v>
                </c:pt>
                <c:pt idx="205">
                  <c:v>301.00833333333333</c:v>
                </c:pt>
                <c:pt idx="206">
                  <c:v>304.80833333333334</c:v>
                </c:pt>
                <c:pt idx="207">
                  <c:v>307.98333333333335</c:v>
                </c:pt>
                <c:pt idx="208">
                  <c:v>311.13333333333333</c:v>
                </c:pt>
                <c:pt idx="209">
                  <c:v>314.44166666666666</c:v>
                </c:pt>
                <c:pt idx="210">
                  <c:v>317.83333333333331</c:v>
                </c:pt>
                <c:pt idx="211">
                  <c:v>320.98333333333335</c:v>
                </c:pt>
                <c:pt idx="212">
                  <c:v>323.90833333333336</c:v>
                </c:pt>
                <c:pt idx="213">
                  <c:v>327.16666666666669</c:v>
                </c:pt>
                <c:pt idx="214">
                  <c:v>330.28333333333336</c:v>
                </c:pt>
                <c:pt idx="215">
                  <c:v>333.3</c:v>
                </c:pt>
                <c:pt idx="216">
                  <c:v>336.625</c:v>
                </c:pt>
                <c:pt idx="217">
                  <c:v>340.08333333333331</c:v>
                </c:pt>
                <c:pt idx="218">
                  <c:v>343.4</c:v>
                </c:pt>
                <c:pt idx="219">
                  <c:v>346.56666666666666</c:v>
                </c:pt>
                <c:pt idx="220">
                  <c:v>349.72500000000002</c:v>
                </c:pt>
                <c:pt idx="221">
                  <c:v>352.95833333333331</c:v>
                </c:pt>
                <c:pt idx="222">
                  <c:v>356.85</c:v>
                </c:pt>
                <c:pt idx="223">
                  <c:v>360.5</c:v>
                </c:pt>
                <c:pt idx="224">
                  <c:v>364.14166666666665</c:v>
                </c:pt>
                <c:pt idx="225">
                  <c:v>367.92500000000001</c:v>
                </c:pt>
                <c:pt idx="226">
                  <c:v>371.6</c:v>
                </c:pt>
                <c:pt idx="227">
                  <c:v>375.19166666666666</c:v>
                </c:pt>
                <c:pt idx="228">
                  <c:v>378.83333333333331</c:v>
                </c:pt>
                <c:pt idx="229">
                  <c:v>383.375</c:v>
                </c:pt>
                <c:pt idx="230">
                  <c:v>388.54166666666669</c:v>
                </c:pt>
                <c:pt idx="231">
                  <c:v>394.65833333333336</c:v>
                </c:pt>
                <c:pt idx="232">
                  <c:v>400.15833333333336</c:v>
                </c:pt>
                <c:pt idx="233">
                  <c:v>405.14166666666665</c:v>
                </c:pt>
                <c:pt idx="234">
                  <c:v>410.52499999999998</c:v>
                </c:pt>
                <c:pt idx="235">
                  <c:v>415.92500000000001</c:v>
                </c:pt>
                <c:pt idx="236">
                  <c:v>420.54166666666669</c:v>
                </c:pt>
                <c:pt idx="237">
                  <c:v>425.15833333333336</c:v>
                </c:pt>
                <c:pt idx="238">
                  <c:v>429.625</c:v>
                </c:pt>
                <c:pt idx="239">
                  <c:v>434.08333333333331</c:v>
                </c:pt>
                <c:pt idx="240">
                  <c:v>438.68333333333334</c:v>
                </c:pt>
                <c:pt idx="241">
                  <c:v>443.44166666666666</c:v>
                </c:pt>
                <c:pt idx="242">
                  <c:v>448.125</c:v>
                </c:pt>
                <c:pt idx="243">
                  <c:v>452.69166666666666</c:v>
                </c:pt>
                <c:pt idx="244">
                  <c:v>457.48333333333335</c:v>
                </c:pt>
                <c:pt idx="245">
                  <c:v>462.05</c:v>
                </c:pt>
                <c:pt idx="246">
                  <c:v>466.82499999999999</c:v>
                </c:pt>
                <c:pt idx="247">
                  <c:v>471.59166666666664</c:v>
                </c:pt>
                <c:pt idx="248">
                  <c:v>476.69166666666666</c:v>
                </c:pt>
                <c:pt idx="249">
                  <c:v>482.08333333333331</c:v>
                </c:pt>
                <c:pt idx="250">
                  <c:v>487.33333333333331</c:v>
                </c:pt>
                <c:pt idx="251">
                  <c:v>492.34166666666664</c:v>
                </c:pt>
                <c:pt idx="252">
                  <c:v>497.15833333333336</c:v>
                </c:pt>
                <c:pt idx="253">
                  <c:v>502.05833333333334</c:v>
                </c:pt>
                <c:pt idx="254">
                  <c:v>507.00833333333333</c:v>
                </c:pt>
                <c:pt idx="255">
                  <c:v>512.23333333333335</c:v>
                </c:pt>
                <c:pt idx="256">
                  <c:v>517.16666666666663</c:v>
                </c:pt>
                <c:pt idx="257">
                  <c:v>522.04166666666663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5F-452A-9770-241BCD14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028304"/>
        <c:axId val="476992944"/>
      </c:stockChart>
      <c:catAx>
        <c:axId val="232866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8960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232868960"/>
        <c:scaling>
          <c:orientation val="minMax"/>
          <c:max val="747"/>
          <c:min val="154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6880"/>
        <c:crosses val="autoZero"/>
        <c:crossBetween val="between"/>
      </c:valAx>
      <c:valAx>
        <c:axId val="476992944"/>
        <c:scaling>
          <c:orientation val="minMax"/>
          <c:max val="747"/>
          <c:min val="154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77028304"/>
        <c:crosses val="max"/>
        <c:crossBetween val="between"/>
      </c:valAx>
      <c:dateAx>
        <c:axId val="477028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76992944"/>
        <c:crosses val="autoZero"/>
        <c:auto val="1"/>
        <c:lblOffset val="100"/>
        <c:baseTimeUnit val="days"/>
      </c:date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914538908442896E-2"/>
          <c:y val="0.27692307692307694"/>
          <c:w val="0.9093023855888982"/>
          <c:h val="0.61025641025641031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工作底稿!$DD$7</c:f>
              <c:strCache>
                <c:ptCount val="1"/>
                <c:pt idx="0">
                  <c:v>OSC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工作底稿!$DD$8:$DD$265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-0.48708972129655748</c:v>
                </c:pt>
                <c:pt idx="34">
                  <c:v>0.13354466951302069</c:v>
                </c:pt>
                <c:pt idx="35">
                  <c:v>0.86623058567365918</c:v>
                </c:pt>
                <c:pt idx="36">
                  <c:v>2.353717303436579</c:v>
                </c:pt>
                <c:pt idx="37">
                  <c:v>2.8027374375105358</c:v>
                </c:pt>
                <c:pt idx="38">
                  <c:v>2.5926151469384231</c:v>
                </c:pt>
                <c:pt idx="39">
                  <c:v>2.0673251138723066</c:v>
                </c:pt>
                <c:pt idx="40">
                  <c:v>1.1372839185769852</c:v>
                </c:pt>
                <c:pt idx="41">
                  <c:v>0.1048435642165626</c:v>
                </c:pt>
                <c:pt idx="42">
                  <c:v>-1.4072894036068218</c:v>
                </c:pt>
                <c:pt idx="43">
                  <c:v>-2.4799737584129895</c:v>
                </c:pt>
                <c:pt idx="44">
                  <c:v>-2.7545585393065659</c:v>
                </c:pt>
                <c:pt idx="45">
                  <c:v>-2.6047996046108954</c:v>
                </c:pt>
                <c:pt idx="46">
                  <c:v>-2.1833151952605161</c:v>
                </c:pt>
                <c:pt idx="47">
                  <c:v>-1.6685598739019964</c:v>
                </c:pt>
                <c:pt idx="48">
                  <c:v>-0.74870217341996681</c:v>
                </c:pt>
                <c:pt idx="49">
                  <c:v>9.5331788889634783E-2</c:v>
                </c:pt>
                <c:pt idx="50">
                  <c:v>1.436778231534908</c:v>
                </c:pt>
                <c:pt idx="51">
                  <c:v>2.7721074272334616</c:v>
                </c:pt>
                <c:pt idx="52">
                  <c:v>3.5800412645153363</c:v>
                </c:pt>
                <c:pt idx="53">
                  <c:v>3.7293765483869064</c:v>
                </c:pt>
                <c:pt idx="54">
                  <c:v>3.1499618829357954</c:v>
                </c:pt>
                <c:pt idx="55">
                  <c:v>2.3079986588847672</c:v>
                </c:pt>
                <c:pt idx="56">
                  <c:v>1.8407386933115184</c:v>
                </c:pt>
                <c:pt idx="57">
                  <c:v>1.0753217551181002</c:v>
                </c:pt>
                <c:pt idx="58">
                  <c:v>0.41964559012504665</c:v>
                </c:pt>
                <c:pt idx="59">
                  <c:v>-8.2441510097301496E-2</c:v>
                </c:pt>
                <c:pt idx="60">
                  <c:v>-0.43769686897246629</c:v>
                </c:pt>
                <c:pt idx="61">
                  <c:v>-0.78977367363629991</c:v>
                </c:pt>
                <c:pt idx="62">
                  <c:v>-1.2862545027886272</c:v>
                </c:pt>
                <c:pt idx="63">
                  <c:v>-1.7819549111620425</c:v>
                </c:pt>
                <c:pt idx="64">
                  <c:v>-2.6038177582409947</c:v>
                </c:pt>
                <c:pt idx="65">
                  <c:v>-3.3350626164947688</c:v>
                </c:pt>
                <c:pt idx="66">
                  <c:v>-3.6753247469108095</c:v>
                </c:pt>
                <c:pt idx="67">
                  <c:v>-3.2297121422545589</c:v>
                </c:pt>
                <c:pt idx="68">
                  <c:v>-2.1800229578146917</c:v>
                </c:pt>
                <c:pt idx="69">
                  <c:v>-1.2124905557982339</c:v>
                </c:pt>
                <c:pt idx="70">
                  <c:v>-0.22630405532361109</c:v>
                </c:pt>
                <c:pt idx="71">
                  <c:v>0.85838797844225057</c:v>
                </c:pt>
                <c:pt idx="72">
                  <c:v>1.1276250523095035</c:v>
                </c:pt>
                <c:pt idx="73">
                  <c:v>1.4569366559619854</c:v>
                </c:pt>
                <c:pt idx="74">
                  <c:v>1.8153483050361894</c:v>
                </c:pt>
                <c:pt idx="75">
                  <c:v>1.9475240861305945</c:v>
                </c:pt>
                <c:pt idx="76">
                  <c:v>3.2372078123439678</c:v>
                </c:pt>
                <c:pt idx="77">
                  <c:v>4.6503421083660008</c:v>
                </c:pt>
                <c:pt idx="78">
                  <c:v>5.6093690684018798</c:v>
                </c:pt>
                <c:pt idx="79">
                  <c:v>5.7828712335257757</c:v>
                </c:pt>
                <c:pt idx="80">
                  <c:v>5.253666863242314</c:v>
                </c:pt>
                <c:pt idx="81">
                  <c:v>5.0088113318943464</c:v>
                </c:pt>
                <c:pt idx="82">
                  <c:v>4.2612556028552966</c:v>
                </c:pt>
                <c:pt idx="83">
                  <c:v>2.9916763590837068</c:v>
                </c:pt>
                <c:pt idx="84">
                  <c:v>1.7660718395327049</c:v>
                </c:pt>
                <c:pt idx="85">
                  <c:v>0.65011762233995007</c:v>
                </c:pt>
                <c:pt idx="86">
                  <c:v>-0.59465474928276763</c:v>
                </c:pt>
                <c:pt idx="87">
                  <c:v>-1.1465051920786458</c:v>
                </c:pt>
                <c:pt idx="88">
                  <c:v>-0.86705193440369399</c:v>
                </c:pt>
                <c:pt idx="89">
                  <c:v>-0.77710113276272175</c:v>
                </c:pt>
                <c:pt idx="90">
                  <c:v>-0.35878863677003103</c:v>
                </c:pt>
                <c:pt idx="91">
                  <c:v>0.60945571856574254</c:v>
                </c:pt>
                <c:pt idx="92">
                  <c:v>1.7361793885840111</c:v>
                </c:pt>
                <c:pt idx="93">
                  <c:v>2.3662384975760915</c:v>
                </c:pt>
                <c:pt idx="94">
                  <c:v>1.9417053886311031</c:v>
                </c:pt>
                <c:pt idx="95">
                  <c:v>1.4251297828604255</c:v>
                </c:pt>
                <c:pt idx="96">
                  <c:v>0.48693940727789276</c:v>
                </c:pt>
                <c:pt idx="97">
                  <c:v>-0.61561105116751058</c:v>
                </c:pt>
                <c:pt idx="98">
                  <c:v>-1.1257773021362336</c:v>
                </c:pt>
                <c:pt idx="99">
                  <c:v>-1.5420885045011108</c:v>
                </c:pt>
                <c:pt idx="100">
                  <c:v>-1.8506974439411383</c:v>
                </c:pt>
                <c:pt idx="101">
                  <c:v>-1.682756898557292</c:v>
                </c:pt>
                <c:pt idx="102">
                  <c:v>-1.7411763040105122</c:v>
                </c:pt>
                <c:pt idx="103">
                  <c:v>-1.916561673289543</c:v>
                </c:pt>
                <c:pt idx="104">
                  <c:v>-1.9245064243902892</c:v>
                </c:pt>
                <c:pt idx="105">
                  <c:v>-1.8141771517394307</c:v>
                </c:pt>
                <c:pt idx="106">
                  <c:v>-1.660628235223669</c:v>
                </c:pt>
                <c:pt idx="107">
                  <c:v>-1.4554493859534308</c:v>
                </c:pt>
                <c:pt idx="108">
                  <c:v>-0.81439176333924479</c:v>
                </c:pt>
                <c:pt idx="109">
                  <c:v>2.6801405210973073E-2</c:v>
                </c:pt>
                <c:pt idx="110">
                  <c:v>1.0174113898814312</c:v>
                </c:pt>
                <c:pt idx="111">
                  <c:v>1.9379745117629454</c:v>
                </c:pt>
                <c:pt idx="112">
                  <c:v>2.940417260808001</c:v>
                </c:pt>
                <c:pt idx="113">
                  <c:v>4.3911777174390263</c:v>
                </c:pt>
                <c:pt idx="114">
                  <c:v>6.0447874459398658</c:v>
                </c:pt>
                <c:pt idx="115">
                  <c:v>6.9703728622063554</c:v>
                </c:pt>
                <c:pt idx="116">
                  <c:v>7.6468802639854196</c:v>
                </c:pt>
                <c:pt idx="117">
                  <c:v>8.318326015773879</c:v>
                </c:pt>
                <c:pt idx="118">
                  <c:v>7.400183438726863</c:v>
                </c:pt>
                <c:pt idx="119">
                  <c:v>7.1503380186618024</c:v>
                </c:pt>
                <c:pt idx="120">
                  <c:v>6.0753266595820925</c:v>
                </c:pt>
                <c:pt idx="121">
                  <c:v>6.1352489218589739</c:v>
                </c:pt>
                <c:pt idx="122">
                  <c:v>6.9078576708137298</c:v>
                </c:pt>
                <c:pt idx="123">
                  <c:v>8.4366236655950182</c:v>
                </c:pt>
                <c:pt idx="124">
                  <c:v>7.8613580071975093</c:v>
                </c:pt>
                <c:pt idx="125">
                  <c:v>5.4683739005837175</c:v>
                </c:pt>
                <c:pt idx="126">
                  <c:v>2.2960827564588584</c:v>
                </c:pt>
                <c:pt idx="127">
                  <c:v>-0.78690767118962412</c:v>
                </c:pt>
                <c:pt idx="128">
                  <c:v>-4.2966519992260146</c:v>
                </c:pt>
                <c:pt idx="129">
                  <c:v>-7.2612170324382141</c:v>
                </c:pt>
                <c:pt idx="130">
                  <c:v>-8.7560965968678559</c:v>
                </c:pt>
                <c:pt idx="131">
                  <c:v>-7.6781321601714971</c:v>
                </c:pt>
                <c:pt idx="132">
                  <c:v>-6.2955345221246404</c:v>
                </c:pt>
                <c:pt idx="133">
                  <c:v>-5.4218696924435932</c:v>
                </c:pt>
                <c:pt idx="134">
                  <c:v>-4.0778044938401017</c:v>
                </c:pt>
                <c:pt idx="135">
                  <c:v>-1.0179107843364754</c:v>
                </c:pt>
                <c:pt idx="136">
                  <c:v>0.74930305525118968</c:v>
                </c:pt>
                <c:pt idx="137">
                  <c:v>1.033059130905233</c:v>
                </c:pt>
                <c:pt idx="138">
                  <c:v>0.83921844034836823</c:v>
                </c:pt>
                <c:pt idx="139">
                  <c:v>-0.69140437477696892</c:v>
                </c:pt>
                <c:pt idx="140">
                  <c:v>-2.783804093024262</c:v>
                </c:pt>
                <c:pt idx="141">
                  <c:v>-3.9408853704264217</c:v>
                </c:pt>
                <c:pt idx="142">
                  <c:v>-6.5870820745210494</c:v>
                </c:pt>
                <c:pt idx="143">
                  <c:v>-8.136910054245984</c:v>
                </c:pt>
                <c:pt idx="144">
                  <c:v>-8.491422997540262</c:v>
                </c:pt>
                <c:pt idx="145">
                  <c:v>-9.2218380360783136</c:v>
                </c:pt>
                <c:pt idx="146">
                  <c:v>-9.667032037687477</c:v>
                </c:pt>
                <c:pt idx="147">
                  <c:v>-9.1913992426971038</c:v>
                </c:pt>
                <c:pt idx="148">
                  <c:v>-8.9733400023241074</c:v>
                </c:pt>
                <c:pt idx="149">
                  <c:v>-8.0738838263169121</c:v>
                </c:pt>
                <c:pt idx="150">
                  <c:v>-6.305773489702422</c:v>
                </c:pt>
                <c:pt idx="151">
                  <c:v>-4.297009726248664</c:v>
                </c:pt>
                <c:pt idx="152">
                  <c:v>-2.8632276228320785</c:v>
                </c:pt>
                <c:pt idx="153">
                  <c:v>-1.6413330674734476</c:v>
                </c:pt>
                <c:pt idx="154">
                  <c:v>-0.98321884938494963</c:v>
                </c:pt>
                <c:pt idx="155">
                  <c:v>-0.66990040419759422</c:v>
                </c:pt>
                <c:pt idx="156">
                  <c:v>-1.2394671764705991</c:v>
                </c:pt>
                <c:pt idx="157">
                  <c:v>-1.7127762752433253</c:v>
                </c:pt>
                <c:pt idx="158">
                  <c:v>-1.7986968113475668</c:v>
                </c:pt>
                <c:pt idx="159">
                  <c:v>-3.1715246814487097</c:v>
                </c:pt>
                <c:pt idx="160">
                  <c:v>-3.9726557640597471</c:v>
                </c:pt>
                <c:pt idx="161">
                  <c:v>-3.3589380438812415</c:v>
                </c:pt>
                <c:pt idx="162">
                  <c:v>-1.8776359144030597</c:v>
                </c:pt>
                <c:pt idx="163">
                  <c:v>-0.81483643248562476</c:v>
                </c:pt>
                <c:pt idx="164">
                  <c:v>-0.4031863124112709</c:v>
                </c:pt>
                <c:pt idx="165">
                  <c:v>0.69407587639238955</c:v>
                </c:pt>
                <c:pt idx="166">
                  <c:v>2.2564096800450919</c:v>
                </c:pt>
                <c:pt idx="167">
                  <c:v>3.2870357058630661</c:v>
                </c:pt>
                <c:pt idx="168">
                  <c:v>3.7547244771478745</c:v>
                </c:pt>
                <c:pt idx="169">
                  <c:v>3.8554796616215423</c:v>
                </c:pt>
                <c:pt idx="170">
                  <c:v>3.310111131629065</c:v>
                </c:pt>
                <c:pt idx="171">
                  <c:v>2.7965567433828431</c:v>
                </c:pt>
                <c:pt idx="172">
                  <c:v>2.4307422597896551</c:v>
                </c:pt>
                <c:pt idx="173">
                  <c:v>2.4386126402119874</c:v>
                </c:pt>
                <c:pt idx="174">
                  <c:v>1.7461440224524647</c:v>
                </c:pt>
                <c:pt idx="175">
                  <c:v>0.85270318238815435</c:v>
                </c:pt>
                <c:pt idx="176">
                  <c:v>-2.4715872288993523E-2</c:v>
                </c:pt>
                <c:pt idx="177">
                  <c:v>-1.0803963056297714</c:v>
                </c:pt>
                <c:pt idx="178">
                  <c:v>-1.8069116919912049</c:v>
                </c:pt>
                <c:pt idx="179">
                  <c:v>-1.7928119643347473</c:v>
                </c:pt>
                <c:pt idx="180">
                  <c:v>-1.0397342002746024</c:v>
                </c:pt>
                <c:pt idx="181">
                  <c:v>-0.37828497670425854</c:v>
                </c:pt>
                <c:pt idx="182">
                  <c:v>-0.19999435071558008</c:v>
                </c:pt>
                <c:pt idx="183">
                  <c:v>-8.2299923381735113E-2</c:v>
                </c:pt>
                <c:pt idx="184">
                  <c:v>-0.8255083738746154</c:v>
                </c:pt>
                <c:pt idx="185">
                  <c:v>-1.3630751397849079</c:v>
                </c:pt>
                <c:pt idx="186">
                  <c:v>-1.8900861687800066</c:v>
                </c:pt>
                <c:pt idx="187">
                  <c:v>-2.3211654010328604</c:v>
                </c:pt>
                <c:pt idx="188">
                  <c:v>-1.7585869412001658</c:v>
                </c:pt>
                <c:pt idx="189">
                  <c:v>-1.6199642701114954</c:v>
                </c:pt>
                <c:pt idx="190">
                  <c:v>-2.5852291246006747</c:v>
                </c:pt>
                <c:pt idx="191">
                  <c:v>-4.5102840997115488</c:v>
                </c:pt>
                <c:pt idx="192">
                  <c:v>-5.7199636298825123</c:v>
                </c:pt>
                <c:pt idx="193">
                  <c:v>-5.713224138428548</c:v>
                </c:pt>
                <c:pt idx="194">
                  <c:v>-5.9032284086622946</c:v>
                </c:pt>
                <c:pt idx="195">
                  <c:v>-4.3253544441533656</c:v>
                </c:pt>
                <c:pt idx="196">
                  <c:v>-2.8986061307160114</c:v>
                </c:pt>
                <c:pt idx="197">
                  <c:v>-1.5976926782109206</c:v>
                </c:pt>
                <c:pt idx="198">
                  <c:v>0.11500840800800205</c:v>
                </c:pt>
                <c:pt idx="199">
                  <c:v>1.157651201836277</c:v>
                </c:pt>
                <c:pt idx="200">
                  <c:v>2.6829440386387535</c:v>
                </c:pt>
                <c:pt idx="201">
                  <c:v>3.8540182664624538</c:v>
                </c:pt>
                <c:pt idx="202">
                  <c:v>4.1295803292262896</c:v>
                </c:pt>
                <c:pt idx="203">
                  <c:v>4.6470824860760764</c:v>
                </c:pt>
                <c:pt idx="204">
                  <c:v>5.2952802602781173</c:v>
                </c:pt>
                <c:pt idx="205">
                  <c:v>5.658922489394917</c:v>
                </c:pt>
                <c:pt idx="206">
                  <c:v>5.4799207506946583</c:v>
                </c:pt>
                <c:pt idx="207">
                  <c:v>5.1624787278051496</c:v>
                </c:pt>
                <c:pt idx="208">
                  <c:v>4.3738687433629675</c:v>
                </c:pt>
                <c:pt idx="209">
                  <c:v>3.3619163893726078</c:v>
                </c:pt>
                <c:pt idx="210">
                  <c:v>2.4623543551391802</c:v>
                </c:pt>
                <c:pt idx="211">
                  <c:v>1.3190558772942167</c:v>
                </c:pt>
                <c:pt idx="212">
                  <c:v>1.1563625109601945</c:v>
                </c:pt>
                <c:pt idx="213">
                  <c:v>1.4151381893169122</c:v>
                </c:pt>
                <c:pt idx="214">
                  <c:v>2.0232423770716346</c:v>
                </c:pt>
                <c:pt idx="215">
                  <c:v>2.1897424844216227</c:v>
                </c:pt>
                <c:pt idx="216">
                  <c:v>2.2714026098574198</c:v>
                </c:pt>
                <c:pt idx="217">
                  <c:v>2.1791707695596187</c:v>
                </c:pt>
                <c:pt idx="218">
                  <c:v>0.6666520128513107</c:v>
                </c:pt>
                <c:pt idx="219">
                  <c:v>-0.87996954312068798</c:v>
                </c:pt>
                <c:pt idx="220">
                  <c:v>-1.2234272029745625</c:v>
                </c:pt>
                <c:pt idx="221">
                  <c:v>-1.5203479781664049</c:v>
                </c:pt>
                <c:pt idx="222">
                  <c:v>-1.6136590865507463</c:v>
                </c:pt>
                <c:pt idx="223">
                  <c:v>-1.7792901299618</c:v>
                </c:pt>
                <c:pt idx="224">
                  <c:v>-1.3547789516660362</c:v>
                </c:pt>
                <c:pt idx="225">
                  <c:v>-0.83612203221621773</c:v>
                </c:pt>
                <c:pt idx="226">
                  <c:v>-0.52881710382167846</c:v>
                </c:pt>
                <c:pt idx="227">
                  <c:v>-0.66980567187679041</c:v>
                </c:pt>
                <c:pt idx="228">
                  <c:v>-0.65297556796706946</c:v>
                </c:pt>
                <c:pt idx="229">
                  <c:v>-0.5924622322204034</c:v>
                </c:pt>
                <c:pt idx="230">
                  <c:v>-0.52722033721152517</c:v>
                </c:pt>
                <c:pt idx="231">
                  <c:v>-0.66731099175840169</c:v>
                </c:pt>
                <c:pt idx="232">
                  <c:v>-1.2370169665288384</c:v>
                </c:pt>
                <c:pt idx="233">
                  <c:v>-0.85825459766584178</c:v>
                </c:pt>
                <c:pt idx="234">
                  <c:v>0.32355421159381126</c:v>
                </c:pt>
                <c:pt idx="235">
                  <c:v>1.6379982924106697</c:v>
                </c:pt>
                <c:pt idx="236">
                  <c:v>2.46081600735066</c:v>
                </c:pt>
                <c:pt idx="237">
                  <c:v>1.3157968456576252</c:v>
                </c:pt>
                <c:pt idx="238">
                  <c:v>-0.19901515549265181</c:v>
                </c:pt>
                <c:pt idx="239">
                  <c:v>-1.303793616160394</c:v>
                </c:pt>
                <c:pt idx="240">
                  <c:v>-1.88416402450831</c:v>
                </c:pt>
                <c:pt idx="241">
                  <c:v>-1.8454134248815484</c:v>
                </c:pt>
                <c:pt idx="242">
                  <c:v>-2.0909523240988568</c:v>
                </c:pt>
                <c:pt idx="243">
                  <c:v>-2.3392696687951937</c:v>
                </c:pt>
                <c:pt idx="244">
                  <c:v>-43.567624122751141</c:v>
                </c:pt>
                <c:pt idx="245">
                  <c:v>-69.943611082270593</c:v>
                </c:pt>
                <c:pt idx="246">
                  <c:v>-84.579761042969793</c:v>
                </c:pt>
                <c:pt idx="247">
                  <c:v>-89.9287954700618</c:v>
                </c:pt>
                <c:pt idx="248">
                  <c:v>-87.942858012046756</c:v>
                </c:pt>
                <c:pt idx="249">
                  <c:v>-80.208404673325319</c:v>
                </c:pt>
                <c:pt idx="250">
                  <c:v>-67.998441209705419</c:v>
                </c:pt>
                <c:pt idx="251">
                  <c:v>-52.461054867189247</c:v>
                </c:pt>
                <c:pt idx="252">
                  <c:v>-34.524799984965</c:v>
                </c:pt>
                <c:pt idx="253">
                  <c:v>-20.078733624419357</c:v>
                </c:pt>
                <c:pt idx="254">
                  <c:v>-8.5317729872463133</c:v>
                </c:pt>
                <c:pt idx="255">
                  <c:v>0.61221922691771624</c:v>
                </c:pt>
                <c:pt idx="256">
                  <c:v>7.7693388337195017</c:v>
                </c:pt>
                <c:pt idx="257">
                  <c:v>13.288229251199908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1-4BC6-9193-022ADD01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32866880"/>
        <c:axId val="232868960"/>
      </c:barChart>
      <c:lineChart>
        <c:grouping val="standard"/>
        <c:varyColors val="0"/>
        <c:ser>
          <c:idx val="0"/>
          <c:order val="0"/>
          <c:tx>
            <c:strRef>
              <c:f>工作底稿!$DB$7</c:f>
              <c:strCache>
                <c:ptCount val="1"/>
                <c:pt idx="0">
                  <c:v>DIF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工作底稿!$DB$8:$DB$265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2.3800527973904764</c:v>
                </c:pt>
                <c:pt idx="26">
                  <c:v>2.3376414421925347</c:v>
                </c:pt>
                <c:pt idx="27">
                  <c:v>2.4245899081520861</c:v>
                </c:pt>
                <c:pt idx="28">
                  <c:v>1.926753351189916</c:v>
                </c:pt>
                <c:pt idx="29">
                  <c:v>1.3581466088270986</c:v>
                </c:pt>
                <c:pt idx="30">
                  <c:v>1.1516624476159905</c:v>
                </c:pt>
                <c:pt idx="31">
                  <c:v>0.63418952988519095</c:v>
                </c:pt>
                <c:pt idx="32">
                  <c:v>0.81858893018284107</c:v>
                </c:pt>
                <c:pt idx="33">
                  <c:v>1.0809771904708896</c:v>
                </c:pt>
                <c:pt idx="34">
                  <c:v>1.6168064292667168</c:v>
                </c:pt>
                <c:pt idx="35">
                  <c:v>2.3509737083317077</c:v>
                </c:pt>
                <c:pt idx="36">
                  <c:v>4.0151942408374452</c:v>
                </c:pt>
                <c:pt idx="37">
                  <c:v>4.781397002876588</c:v>
                </c:pt>
                <c:pt idx="38">
                  <c:v>4.9729157252391474</c:v>
                </c:pt>
                <c:pt idx="39">
                  <c:v>4.8596210977426608</c:v>
                </c:pt>
                <c:pt idx="40">
                  <c:v>4.3415036990176077</c:v>
                </c:pt>
                <c:pt idx="41">
                  <c:v>3.6203726464664783</c:v>
                </c:pt>
                <c:pt idx="42">
                  <c:v>2.2366474896646196</c:v>
                </c:pt>
                <c:pt idx="43">
                  <c:v>1.1073577230574188</c:v>
                </c:pt>
                <c:pt idx="44">
                  <c:v>0.64299784639285917</c:v>
                </c:pt>
                <c:pt idx="45">
                  <c:v>0.38995209861991498</c:v>
                </c:pt>
                <c:pt idx="46">
                  <c:v>0.31519144610700778</c:v>
                </c:pt>
                <c:pt idx="47">
                  <c:v>0.3120756477438249</c:v>
                </c:pt>
                <c:pt idx="48">
                  <c:v>0.77847237953625381</c:v>
                </c:pt>
                <c:pt idx="49">
                  <c:v>1.2826316721993862</c:v>
                </c:pt>
                <c:pt idx="50">
                  <c:v>2.4995412983919323</c:v>
                </c:pt>
                <c:pt idx="51">
                  <c:v>4.034648369643719</c:v>
                </c:pt>
                <c:pt idx="52">
                  <c:v>5.3094852674091157</c:v>
                </c:pt>
                <c:pt idx="53">
                  <c:v>6.0607983893916639</c:v>
                </c:pt>
                <c:pt idx="54">
                  <c:v>6.1178126771056327</c:v>
                </c:pt>
                <c:pt idx="55">
                  <c:v>5.8959317039230541</c:v>
                </c:pt>
                <c:pt idx="56">
                  <c:v>6.0682462496755534</c:v>
                </c:pt>
                <c:pt idx="57">
                  <c:v>5.8683739279753695</c:v>
                </c:pt>
                <c:pt idx="58">
                  <c:v>5.7039560243301821</c:v>
                </c:pt>
                <c:pt idx="59">
                  <c:v>5.5396598773223218</c:v>
                </c:pt>
                <c:pt idx="60">
                  <c:v>5.3281240370475871</c:v>
                </c:pt>
                <c:pt idx="61">
                  <c:v>4.9343674780055835</c:v>
                </c:pt>
                <c:pt idx="62">
                  <c:v>4.2350226812859546</c:v>
                </c:pt>
                <c:pt idx="63">
                  <c:v>3.4420109723884025</c:v>
                </c:pt>
                <c:pt idx="64">
                  <c:v>2.2106751779827505</c:v>
                </c:pt>
                <c:pt idx="65">
                  <c:v>0.90582832848565431</c:v>
                </c:pt>
                <c:pt idx="66">
                  <c:v>-9.7284768168606206E-2</c:v>
                </c:pt>
                <c:pt idx="67">
                  <c:v>-0.32112568699267285</c:v>
                </c:pt>
                <c:pt idx="68">
                  <c:v>0.12717644996280342</c:v>
                </c:pt>
                <c:pt idx="69">
                  <c:v>0.56553195384572064</c:v>
                </c:pt>
                <c:pt idx="70">
                  <c:v>1.1288873263596884</c:v>
                </c:pt>
                <c:pt idx="71">
                  <c:v>1.9608989449804994</c:v>
                </c:pt>
                <c:pt idx="72">
                  <c:v>2.0786516496551712</c:v>
                </c:pt>
                <c:pt idx="73">
                  <c:v>2.4326242627232659</c:v>
                </c:pt>
                <c:pt idx="74">
                  <c:v>3.0266868597114467</c:v>
                </c:pt>
                <c:pt idx="75">
                  <c:v>3.565881066927659</c:v>
                </c:pt>
                <c:pt idx="76">
                  <c:v>5.5026511031577456</c:v>
                </c:pt>
                <c:pt idx="77">
                  <c:v>7.764361517831901</c:v>
                </c:pt>
                <c:pt idx="78">
                  <c:v>9.7431205433705372</c:v>
                </c:pt>
                <c:pt idx="79">
                  <c:v>11.015089631261276</c:v>
                </c:pt>
                <c:pt idx="80">
                  <c:v>11.551508550477479</c:v>
                </c:pt>
                <c:pt idx="81">
                  <c:v>12.460153190313804</c:v>
                </c:pt>
                <c:pt idx="82">
                  <c:v>12.87259411109369</c:v>
                </c:pt>
                <c:pt idx="83">
                  <c:v>12.675055868273432</c:v>
                </c:pt>
                <c:pt idx="84">
                  <c:v>12.434897633946775</c:v>
                </c:pt>
                <c:pt idx="85">
                  <c:v>12.045979955953555</c:v>
                </c:pt>
                <c:pt idx="86">
                  <c:v>11.180813342643205</c:v>
                </c:pt>
                <c:pt idx="87">
                  <c:v>10.739693194406925</c:v>
                </c:pt>
                <c:pt idx="88">
                  <c:v>11.019653554684453</c:v>
                </c:pt>
                <c:pt idx="89">
                  <c:v>11.054366332056418</c:v>
                </c:pt>
                <c:pt idx="90">
                  <c:v>11.349244532766022</c:v>
                </c:pt>
                <c:pt idx="91">
                  <c:v>12.248100735227808</c:v>
                </c:pt>
                <c:pt idx="92">
                  <c:v>13.462295472367657</c:v>
                </c:pt>
                <c:pt idx="93">
                  <c:v>14.299536699786358</c:v>
                </c:pt>
                <c:pt idx="94">
                  <c:v>14.103631545202347</c:v>
                </c:pt>
                <c:pt idx="95">
                  <c:v>13.887836264030227</c:v>
                </c:pt>
                <c:pt idx="96">
                  <c:v>13.22588997520279</c:v>
                </c:pt>
                <c:pt idx="97">
                  <c:v>12.261300262016505</c:v>
                </c:pt>
                <c:pt idx="98">
                  <c:v>11.838229970921702</c:v>
                </c:pt>
                <c:pt idx="99">
                  <c:v>11.431003048030675</c:v>
                </c:pt>
                <c:pt idx="100">
                  <c:v>10.981680780261001</c:v>
                </c:pt>
                <c:pt idx="101">
                  <c:v>10.860537057304498</c:v>
                </c:pt>
                <c:pt idx="102">
                  <c:v>10.364940270859393</c:v>
                </c:pt>
                <c:pt idx="103">
                  <c:v>9.7002953211276122</c:v>
                </c:pt>
                <c:pt idx="104">
                  <c:v>9.1679148582764469</c:v>
                </c:pt>
                <c:pt idx="105">
                  <c:v>8.7847884003928698</c:v>
                </c:pt>
                <c:pt idx="106">
                  <c:v>8.5229669487701472</c:v>
                </c:pt>
                <c:pt idx="107">
                  <c:v>8.339385276430221</c:v>
                </c:pt>
                <c:pt idx="108">
                  <c:v>8.6741228804211232</c:v>
                </c:pt>
                <c:pt idx="109">
                  <c:v>9.3320204575601338</c:v>
                </c:pt>
                <c:pt idx="110">
                  <c:v>10.255392115346353</c:v>
                </c:pt>
                <c:pt idx="111">
                  <c:v>11.277332108023927</c:v>
                </c:pt>
                <c:pt idx="112">
                  <c:v>12.602209799061654</c:v>
                </c:pt>
                <c:pt idx="113">
                  <c:v>14.663602180369708</c:v>
                </c:pt>
                <c:pt idx="114">
                  <c:v>17.258764847430257</c:v>
                </c:pt>
                <c:pt idx="115">
                  <c:v>19.392023178062573</c:v>
                </c:pt>
                <c:pt idx="116">
                  <c:v>21.534673742768064</c:v>
                </c:pt>
                <c:pt idx="117">
                  <c:v>23.897619071323447</c:v>
                </c:pt>
                <c:pt idx="118">
                  <c:v>24.685408498865968</c:v>
                </c:pt>
                <c:pt idx="119">
                  <c:v>26.208084449232729</c:v>
                </c:pt>
                <c:pt idx="120">
                  <c:v>26.865040712919154</c:v>
                </c:pt>
                <c:pt idx="121">
                  <c:v>28.715307122212835</c:v>
                </c:pt>
                <c:pt idx="122">
                  <c:v>31.340955082517326</c:v>
                </c:pt>
                <c:pt idx="123">
                  <c:v>34.821090606032158</c:v>
                </c:pt>
                <c:pt idx="124">
                  <c:v>36.102550168831158</c:v>
                </c:pt>
                <c:pt idx="125">
                  <c:v>35.231427602148528</c:v>
                </c:pt>
                <c:pt idx="126">
                  <c:v>33.079326131361199</c:v>
                </c:pt>
                <c:pt idx="127">
                  <c:v>30.660201604318559</c:v>
                </c:pt>
                <c:pt idx="128">
                  <c:v>27.268253879663348</c:v>
                </c:pt>
                <c:pt idx="129">
                  <c:v>23.983519863142646</c:v>
                </c:pt>
                <c:pt idx="130">
                  <c:v>21.710306945775528</c:v>
                </c:pt>
                <c:pt idx="131">
                  <c:v>21.719185919966208</c:v>
                </c:pt>
                <c:pt idx="132">
                  <c:v>21.636870177010678</c:v>
                </c:pt>
                <c:pt idx="133">
                  <c:v>20.811533111424296</c:v>
                </c:pt>
                <c:pt idx="134">
                  <c:v>20.521119648512695</c:v>
                </c:pt>
                <c:pt idx="135">
                  <c:v>22.393724261348211</c:v>
                </c:pt>
                <c:pt idx="136">
                  <c:v>23.348530163013038</c:v>
                </c:pt>
                <c:pt idx="137">
                  <c:v>23.177790283542549</c:v>
                </c:pt>
                <c:pt idx="138">
                  <c:v>22.859003309216064</c:v>
                </c:pt>
                <c:pt idx="139">
                  <c:v>21.280639687630128</c:v>
                </c:pt>
                <c:pt idx="140">
                  <c:v>18.871871725559913</c:v>
                </c:pt>
                <c:pt idx="141">
                  <c:v>17.224530482051136</c:v>
                </c:pt>
                <c:pt idx="142">
                  <c:v>13.799183861273036</c:v>
                </c:pt>
                <c:pt idx="143">
                  <c:v>11.215385410677527</c:v>
                </c:pt>
                <c:pt idx="144">
                  <c:v>9.4192659931376284</c:v>
                </c:pt>
                <c:pt idx="145">
                  <c:v>6.8563910535478954</c:v>
                </c:pt>
                <c:pt idx="146">
                  <c:v>4.3153728979882544</c:v>
                </c:pt>
                <c:pt idx="147">
                  <c:v>2.5325059909489482</c:v>
                </c:pt>
                <c:pt idx="148">
                  <c:v>0.43430592428342152</c:v>
                </c:pt>
                <c:pt idx="149">
                  <c:v>-0.85850160286804567</c:v>
                </c:pt>
                <c:pt idx="150">
                  <c:v>-1.1297564847916419</c:v>
                </c:pt>
                <c:pt idx="151">
                  <c:v>-0.73601479416424809</c:v>
                </c:pt>
                <c:pt idx="152">
                  <c:v>-0.61693495342581173</c:v>
                </c:pt>
                <c:pt idx="153">
                  <c:v>-0.49682869696778198</c:v>
                </c:pt>
                <c:pt idx="154">
                  <c:v>-0.67560267043268141</c:v>
                </c:pt>
                <c:pt idx="155">
                  <c:v>-0.94699136564952369</c:v>
                </c:pt>
                <c:pt idx="156">
                  <c:v>-2.0226911540314632</c:v>
                </c:pt>
                <c:pt idx="157">
                  <c:v>-2.8622885249401406</c:v>
                </c:pt>
                <c:pt idx="158">
                  <c:v>-3.2094224933164242</c:v>
                </c:pt>
                <c:pt idx="159">
                  <c:v>-5.0138120982458076</c:v>
                </c:pt>
                <c:pt idx="160">
                  <c:v>-6.4498092291934199</c:v>
                </c:pt>
                <c:pt idx="161">
                  <c:v>-6.4884860784635521</c:v>
                </c:pt>
                <c:pt idx="162">
                  <c:v>-5.5709783554875685</c:v>
                </c:pt>
                <c:pt idx="163">
                  <c:v>-4.9872508989623157</c:v>
                </c:pt>
                <c:pt idx="164">
                  <c:v>-5.0291769555427663</c:v>
                </c:pt>
                <c:pt idx="165">
                  <c:v>-4.1705677183275611</c:v>
                </c:pt>
                <c:pt idx="166">
                  <c:v>-2.5764770883916981</c:v>
                </c:pt>
                <c:pt idx="167">
                  <c:v>-1.3379046337308864</c:v>
                </c:pt>
                <c:pt idx="168">
                  <c:v>-0.35226633297111221</c:v>
                </c:pt>
                <c:pt idx="169">
                  <c:v>0.52327611158955278</c:v>
                </c:pt>
                <c:pt idx="170">
                  <c:v>0.78620678910465358</c:v>
                </c:pt>
                <c:pt idx="171">
                  <c:v>1.0031062454016819</c:v>
                </c:pt>
                <c:pt idx="172">
                  <c:v>1.3403595944048448</c:v>
                </c:pt>
                <c:pt idx="173">
                  <c:v>2.14540584112342</c:v>
                </c:pt>
                <c:pt idx="174">
                  <c:v>2.1558753410753297</c:v>
                </c:pt>
                <c:pt idx="175">
                  <c:v>1.7422984496863592</c:v>
                </c:pt>
                <c:pt idx="176">
                  <c:v>1.1402273986017235</c:v>
                </c:pt>
                <c:pt idx="177">
                  <c:v>0.13914862753995294</c:v>
                </c:pt>
                <c:pt idx="178">
                  <c:v>-0.72619711762285988</c:v>
                </c:pt>
                <c:pt idx="179">
                  <c:v>-0.89938541235028424</c:v>
                </c:pt>
                <c:pt idx="180">
                  <c:v>-0.28998438500161683</c:v>
                </c:pt>
                <c:pt idx="181">
                  <c:v>0.25035299408921219</c:v>
                </c:pt>
                <c:pt idx="182">
                  <c:v>0.2140483424471995</c:v>
                </c:pt>
                <c:pt idx="183">
                  <c:v>0.10372619836925878</c:v>
                </c:pt>
                <c:pt idx="184">
                  <c:v>-0.93720483984986913</c:v>
                </c:pt>
                <c:pt idx="185">
                  <c:v>-1.8016464813053972</c:v>
                </c:pt>
                <c:pt idx="186">
                  <c:v>-2.6371332775305518</c:v>
                </c:pt>
                <c:pt idx="187">
                  <c:v>-3.3609644338034741</c:v>
                </c:pt>
                <c:pt idx="188">
                  <c:v>-3.0357610441733414</c:v>
                </c:pt>
                <c:pt idx="189">
                  <c:v>-3.2230326215950527</c:v>
                </c:pt>
                <c:pt idx="190">
                  <c:v>-4.7431287848559123</c:v>
                </c:pt>
                <c:pt idx="191">
                  <c:v>-7.5284627727685347</c:v>
                </c:pt>
                <c:pt idx="192">
                  <c:v>-9.8433758656030932</c:v>
                </c:pt>
                <c:pt idx="193">
                  <c:v>-10.949065315936537</c:v>
                </c:pt>
                <c:pt idx="194">
                  <c:v>-12.306247474278393</c:v>
                </c:pt>
                <c:pt idx="195">
                  <c:v>-11.739778538799328</c:v>
                </c:pt>
                <c:pt idx="196">
                  <c:v>-11.182038449306788</c:v>
                </c:pt>
                <c:pt idx="197">
                  <c:v>-10.73679549088024</c:v>
                </c:pt>
                <c:pt idx="198">
                  <c:v>-9.7492271275446001</c:v>
                </c:pt>
                <c:pt idx="199">
                  <c:v>-9.2020162773238781</c:v>
                </c:pt>
                <c:pt idx="200">
                  <c:v>-7.6952560239905097</c:v>
                </c:pt>
                <c:pt idx="201">
                  <c:v>-6.1092825374872746</c:v>
                </c:pt>
                <c:pt idx="202">
                  <c:v>-5.1943023695718011</c:v>
                </c:pt>
                <c:pt idx="203">
                  <c:v>-3.7231193050274669</c:v>
                </c:pt>
                <c:pt idx="204">
                  <c:v>-1.9918144048286877</c:v>
                </c:pt>
                <c:pt idx="205">
                  <c:v>-0.43393889151252552</c:v>
                </c:pt>
                <c:pt idx="206">
                  <c:v>0.6525412273706479</c:v>
                </c:pt>
                <c:pt idx="207">
                  <c:v>1.5956399959843566</c:v>
                </c:pt>
                <c:pt idx="208">
                  <c:v>2.0581607976504301</c:v>
                </c:pt>
                <c:pt idx="209">
                  <c:v>2.1388915021163939</c:v>
                </c:pt>
                <c:pt idx="210">
                  <c:v>2.1579059685542461</c:v>
                </c:pt>
                <c:pt idx="211">
                  <c:v>1.7907212232444181</c:v>
                </c:pt>
                <c:pt idx="212">
                  <c:v>2.2969212521526288</c:v>
                </c:pt>
                <c:pt idx="213">
                  <c:v>3.1241358474266008</c:v>
                </c:pt>
                <c:pt idx="214">
                  <c:v>4.2530124010180543</c:v>
                </c:pt>
                <c:pt idx="215">
                  <c:v>4.8903839184927165</c:v>
                </c:pt>
                <c:pt idx="216">
                  <c:v>5.3940945499215331</c:v>
                </c:pt>
                <c:pt idx="217">
                  <c:v>5.707325448620395</c:v>
                </c:pt>
                <c:pt idx="218">
                  <c:v>4.4517960906365488</c:v>
                </c:pt>
                <c:pt idx="219">
                  <c:v>2.9985831054283381</c:v>
                </c:pt>
                <c:pt idx="220">
                  <c:v>2.7631759733657191</c:v>
                </c:pt>
                <c:pt idx="221">
                  <c:v>2.4874219414265326</c:v>
                </c:pt>
                <c:pt idx="222">
                  <c:v>2.30285770624414</c:v>
                </c:pt>
                <c:pt idx="223">
                  <c:v>1.8727534455599653</c:v>
                </c:pt>
                <c:pt idx="224">
                  <c:v>1.973124712026106</c:v>
                </c:pt>
                <c:pt idx="225">
                  <c:v>2.1289925166702233</c:v>
                </c:pt>
                <c:pt idx="226">
                  <c:v>2.0274189446203081</c:v>
                </c:pt>
                <c:pt idx="227">
                  <c:v>1.5657596623062773</c:v>
                </c:pt>
                <c:pt idx="228">
                  <c:v>1.4055905988144559</c:v>
                </c:pt>
                <c:pt idx="229">
                  <c:v>1.3039699297105471</c:v>
                </c:pt>
                <c:pt idx="230">
                  <c:v>1.2294355601310372</c:v>
                </c:pt>
                <c:pt idx="231">
                  <c:v>0.93765580550166305</c:v>
                </c:pt>
                <c:pt idx="232">
                  <c:v>0.17984937887763408</c:v>
                </c:pt>
                <c:pt idx="233">
                  <c:v>0.38179762720494637</c:v>
                </c:pt>
                <c:pt idx="234">
                  <c:v>1.4929331764388962</c:v>
                </c:pt>
                <c:pt idx="235">
                  <c:v>2.9048720463351856</c:v>
                </c:pt>
                <c:pt idx="236">
                  <c:v>3.9979310236462879</c:v>
                </c:pt>
                <c:pt idx="237">
                  <c:v>3.033827019845603</c:v>
                </c:pt>
                <c:pt idx="238">
                  <c:v>1.5458956548184233</c:v>
                </c:pt>
                <c:pt idx="239">
                  <c:v>0.34257739840313661</c:v>
                </c:pt>
                <c:pt idx="240">
                  <c:v>-0.38472411187558464</c:v>
                </c:pt>
                <c:pt idx="241">
                  <c:v>-0.41170137363963022</c:v>
                </c:pt>
                <c:pt idx="242">
                  <c:v>-0.78712001036467427</c:v>
                </c:pt>
                <c:pt idx="243">
                  <c:v>-1.3514836714984995</c:v>
                </c:pt>
                <c:pt idx="244">
                  <c:v>-48.265426896928147</c:v>
                </c:pt>
                <c:pt idx="245">
                  <c:v>-84.471331966459331</c:v>
                </c:pt>
                <c:pt idx="246">
                  <c:v>-111.87514554553405</c:v>
                </c:pt>
                <c:pt idx="247">
                  <c:v>-132.07043942605662</c:v>
                </c:pt>
                <c:pt idx="248">
                  <c:v>-146.38788688884716</c:v>
                </c:pt>
                <c:pt idx="249">
                  <c:v>-155.937022229907</c:v>
                </c:pt>
                <c:pt idx="250">
                  <c:v>-161.64147844036805</c:v>
                </c:pt>
                <c:pt idx="251">
                  <c:v>-164.26871360878775</c:v>
                </c:pt>
                <c:pt idx="252">
                  <c:v>-164.45508060844662</c:v>
                </c:pt>
                <c:pt idx="253">
                  <c:v>-162.72696266677258</c:v>
                </c:pt>
                <c:pt idx="254">
                  <c:v>-159.51858578749204</c:v>
                </c:pt>
                <c:pt idx="255">
                  <c:v>-155.18702457680229</c:v>
                </c:pt>
                <c:pt idx="256">
                  <c:v>-150.02483816299349</c:v>
                </c:pt>
                <c:pt idx="257">
                  <c:v>-144.27070535259634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51-4BC6-9193-022ADD0155B3}"/>
            </c:ext>
          </c:extLst>
        </c:ser>
        <c:ser>
          <c:idx val="1"/>
          <c:order val="1"/>
          <c:tx>
            <c:strRef>
              <c:f>工作底稿!$DC$7</c:f>
              <c:strCache>
                <c:ptCount val="1"/>
                <c:pt idx="0">
                  <c:v>MACD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工作底稿!$CE$8:$CE$265</c:f>
              <c:numCache>
                <c:formatCode>m/d/yyyy</c:formatCode>
                <c:ptCount val="258"/>
                <c:pt idx="0">
                  <c:v>42590</c:v>
                </c:pt>
                <c:pt idx="1">
                  <c:v>42597</c:v>
                </c:pt>
                <c:pt idx="2">
                  <c:v>42604</c:v>
                </c:pt>
                <c:pt idx="3">
                  <c:v>42611</c:v>
                </c:pt>
                <c:pt idx="4">
                  <c:v>42618</c:v>
                </c:pt>
                <c:pt idx="5">
                  <c:v>42625</c:v>
                </c:pt>
                <c:pt idx="6">
                  <c:v>42632</c:v>
                </c:pt>
                <c:pt idx="7">
                  <c:v>42639</c:v>
                </c:pt>
                <c:pt idx="8">
                  <c:v>42646</c:v>
                </c:pt>
                <c:pt idx="9">
                  <c:v>42654</c:v>
                </c:pt>
                <c:pt idx="10">
                  <c:v>42660</c:v>
                </c:pt>
                <c:pt idx="11">
                  <c:v>42667</c:v>
                </c:pt>
                <c:pt idx="12">
                  <c:v>42674</c:v>
                </c:pt>
                <c:pt idx="13">
                  <c:v>42681</c:v>
                </c:pt>
                <c:pt idx="14">
                  <c:v>42688</c:v>
                </c:pt>
                <c:pt idx="15">
                  <c:v>42695</c:v>
                </c:pt>
                <c:pt idx="16">
                  <c:v>42702</c:v>
                </c:pt>
                <c:pt idx="17">
                  <c:v>42709</c:v>
                </c:pt>
                <c:pt idx="18">
                  <c:v>42716</c:v>
                </c:pt>
                <c:pt idx="19">
                  <c:v>42723</c:v>
                </c:pt>
                <c:pt idx="20">
                  <c:v>42730</c:v>
                </c:pt>
                <c:pt idx="21">
                  <c:v>42738</c:v>
                </c:pt>
                <c:pt idx="22">
                  <c:v>42744</c:v>
                </c:pt>
                <c:pt idx="23">
                  <c:v>42751</c:v>
                </c:pt>
                <c:pt idx="24">
                  <c:v>42758</c:v>
                </c:pt>
                <c:pt idx="25">
                  <c:v>42768</c:v>
                </c:pt>
                <c:pt idx="26">
                  <c:v>42772</c:v>
                </c:pt>
                <c:pt idx="27">
                  <c:v>42779</c:v>
                </c:pt>
                <c:pt idx="28">
                  <c:v>42786</c:v>
                </c:pt>
                <c:pt idx="29">
                  <c:v>42795</c:v>
                </c:pt>
                <c:pt idx="30">
                  <c:v>42800</c:v>
                </c:pt>
                <c:pt idx="31">
                  <c:v>42807</c:v>
                </c:pt>
                <c:pt idx="32">
                  <c:v>42814</c:v>
                </c:pt>
                <c:pt idx="33">
                  <c:v>42821</c:v>
                </c:pt>
                <c:pt idx="34">
                  <c:v>42830</c:v>
                </c:pt>
                <c:pt idx="35">
                  <c:v>42835</c:v>
                </c:pt>
                <c:pt idx="36">
                  <c:v>42842</c:v>
                </c:pt>
                <c:pt idx="37">
                  <c:v>42849</c:v>
                </c:pt>
                <c:pt idx="38">
                  <c:v>42857</c:v>
                </c:pt>
                <c:pt idx="39">
                  <c:v>42863</c:v>
                </c:pt>
                <c:pt idx="40">
                  <c:v>42870</c:v>
                </c:pt>
                <c:pt idx="41">
                  <c:v>42877</c:v>
                </c:pt>
                <c:pt idx="42">
                  <c:v>42886</c:v>
                </c:pt>
                <c:pt idx="43">
                  <c:v>42891</c:v>
                </c:pt>
                <c:pt idx="44">
                  <c:v>42898</c:v>
                </c:pt>
                <c:pt idx="45">
                  <c:v>42905</c:v>
                </c:pt>
                <c:pt idx="46">
                  <c:v>42912</c:v>
                </c:pt>
                <c:pt idx="47">
                  <c:v>42919</c:v>
                </c:pt>
                <c:pt idx="48">
                  <c:v>42926</c:v>
                </c:pt>
                <c:pt idx="49">
                  <c:v>42933</c:v>
                </c:pt>
                <c:pt idx="50">
                  <c:v>42940</c:v>
                </c:pt>
                <c:pt idx="51">
                  <c:v>42947</c:v>
                </c:pt>
                <c:pt idx="52">
                  <c:v>42954</c:v>
                </c:pt>
                <c:pt idx="53">
                  <c:v>42961</c:v>
                </c:pt>
                <c:pt idx="54">
                  <c:v>42968</c:v>
                </c:pt>
                <c:pt idx="55">
                  <c:v>42975</c:v>
                </c:pt>
                <c:pt idx="56">
                  <c:v>42982</c:v>
                </c:pt>
                <c:pt idx="57">
                  <c:v>42989</c:v>
                </c:pt>
                <c:pt idx="58">
                  <c:v>42996</c:v>
                </c:pt>
                <c:pt idx="59">
                  <c:v>43003</c:v>
                </c:pt>
                <c:pt idx="60">
                  <c:v>43010</c:v>
                </c:pt>
                <c:pt idx="61">
                  <c:v>43019</c:v>
                </c:pt>
                <c:pt idx="62">
                  <c:v>43024</c:v>
                </c:pt>
                <c:pt idx="63">
                  <c:v>43031</c:v>
                </c:pt>
                <c:pt idx="64">
                  <c:v>43038</c:v>
                </c:pt>
                <c:pt idx="65">
                  <c:v>43045</c:v>
                </c:pt>
                <c:pt idx="66">
                  <c:v>43052</c:v>
                </c:pt>
                <c:pt idx="67">
                  <c:v>43059</c:v>
                </c:pt>
                <c:pt idx="68">
                  <c:v>43066</c:v>
                </c:pt>
                <c:pt idx="69">
                  <c:v>43073</c:v>
                </c:pt>
                <c:pt idx="70">
                  <c:v>43080</c:v>
                </c:pt>
                <c:pt idx="71">
                  <c:v>43087</c:v>
                </c:pt>
                <c:pt idx="72">
                  <c:v>43094</c:v>
                </c:pt>
                <c:pt idx="73">
                  <c:v>43102</c:v>
                </c:pt>
                <c:pt idx="74">
                  <c:v>43108</c:v>
                </c:pt>
                <c:pt idx="75">
                  <c:v>43115</c:v>
                </c:pt>
                <c:pt idx="76">
                  <c:v>43122</c:v>
                </c:pt>
                <c:pt idx="77">
                  <c:v>43129</c:v>
                </c:pt>
                <c:pt idx="78">
                  <c:v>43136</c:v>
                </c:pt>
                <c:pt idx="79">
                  <c:v>43143</c:v>
                </c:pt>
                <c:pt idx="80">
                  <c:v>43152</c:v>
                </c:pt>
                <c:pt idx="81">
                  <c:v>43157</c:v>
                </c:pt>
                <c:pt idx="82">
                  <c:v>43164</c:v>
                </c:pt>
                <c:pt idx="83">
                  <c:v>43171</c:v>
                </c:pt>
                <c:pt idx="84">
                  <c:v>43178</c:v>
                </c:pt>
                <c:pt idx="85">
                  <c:v>43185</c:v>
                </c:pt>
                <c:pt idx="86">
                  <c:v>43192</c:v>
                </c:pt>
                <c:pt idx="87">
                  <c:v>43199</c:v>
                </c:pt>
                <c:pt idx="88">
                  <c:v>43206</c:v>
                </c:pt>
                <c:pt idx="89">
                  <c:v>43213</c:v>
                </c:pt>
                <c:pt idx="90">
                  <c:v>43220</c:v>
                </c:pt>
                <c:pt idx="91">
                  <c:v>43227</c:v>
                </c:pt>
                <c:pt idx="92">
                  <c:v>43234</c:v>
                </c:pt>
                <c:pt idx="93">
                  <c:v>43241</c:v>
                </c:pt>
                <c:pt idx="94">
                  <c:v>43248</c:v>
                </c:pt>
                <c:pt idx="95">
                  <c:v>43255</c:v>
                </c:pt>
                <c:pt idx="96">
                  <c:v>43262</c:v>
                </c:pt>
                <c:pt idx="97">
                  <c:v>43270</c:v>
                </c:pt>
                <c:pt idx="98">
                  <c:v>43276</c:v>
                </c:pt>
                <c:pt idx="99">
                  <c:v>43283</c:v>
                </c:pt>
                <c:pt idx="100">
                  <c:v>43290</c:v>
                </c:pt>
                <c:pt idx="101">
                  <c:v>43297</c:v>
                </c:pt>
                <c:pt idx="102">
                  <c:v>43304</c:v>
                </c:pt>
                <c:pt idx="103">
                  <c:v>43311</c:v>
                </c:pt>
                <c:pt idx="104">
                  <c:v>43318</c:v>
                </c:pt>
                <c:pt idx="105">
                  <c:v>43325</c:v>
                </c:pt>
                <c:pt idx="106">
                  <c:v>43332</c:v>
                </c:pt>
                <c:pt idx="107">
                  <c:v>43339</c:v>
                </c:pt>
                <c:pt idx="108">
                  <c:v>43346</c:v>
                </c:pt>
                <c:pt idx="109">
                  <c:v>43353</c:v>
                </c:pt>
                <c:pt idx="110">
                  <c:v>43360</c:v>
                </c:pt>
                <c:pt idx="111">
                  <c:v>43368</c:v>
                </c:pt>
                <c:pt idx="112">
                  <c:v>43374</c:v>
                </c:pt>
                <c:pt idx="113">
                  <c:v>43381</c:v>
                </c:pt>
                <c:pt idx="114">
                  <c:v>43388</c:v>
                </c:pt>
                <c:pt idx="115">
                  <c:v>43395</c:v>
                </c:pt>
                <c:pt idx="116">
                  <c:v>43402</c:v>
                </c:pt>
                <c:pt idx="117">
                  <c:v>43409</c:v>
                </c:pt>
                <c:pt idx="118">
                  <c:v>43416</c:v>
                </c:pt>
                <c:pt idx="119">
                  <c:v>43423</c:v>
                </c:pt>
                <c:pt idx="120">
                  <c:v>43430</c:v>
                </c:pt>
                <c:pt idx="121">
                  <c:v>43437</c:v>
                </c:pt>
                <c:pt idx="122">
                  <c:v>43444</c:v>
                </c:pt>
                <c:pt idx="123">
                  <c:v>43451</c:v>
                </c:pt>
                <c:pt idx="124">
                  <c:v>43458</c:v>
                </c:pt>
                <c:pt idx="125">
                  <c:v>43467</c:v>
                </c:pt>
                <c:pt idx="126">
                  <c:v>43472</c:v>
                </c:pt>
                <c:pt idx="127">
                  <c:v>43479</c:v>
                </c:pt>
                <c:pt idx="128">
                  <c:v>43486</c:v>
                </c:pt>
                <c:pt idx="129">
                  <c:v>43493</c:v>
                </c:pt>
                <c:pt idx="130">
                  <c:v>43507</c:v>
                </c:pt>
                <c:pt idx="131">
                  <c:v>43514</c:v>
                </c:pt>
                <c:pt idx="132">
                  <c:v>43521</c:v>
                </c:pt>
                <c:pt idx="133">
                  <c:v>43528</c:v>
                </c:pt>
                <c:pt idx="134">
                  <c:v>43535</c:v>
                </c:pt>
                <c:pt idx="135">
                  <c:v>43542</c:v>
                </c:pt>
                <c:pt idx="136">
                  <c:v>43549</c:v>
                </c:pt>
                <c:pt idx="137">
                  <c:v>43556</c:v>
                </c:pt>
                <c:pt idx="138">
                  <c:v>43563</c:v>
                </c:pt>
                <c:pt idx="139">
                  <c:v>43570</c:v>
                </c:pt>
                <c:pt idx="140">
                  <c:v>43577</c:v>
                </c:pt>
                <c:pt idx="141">
                  <c:v>43584</c:v>
                </c:pt>
                <c:pt idx="142">
                  <c:v>43591</c:v>
                </c:pt>
                <c:pt idx="143">
                  <c:v>43598</c:v>
                </c:pt>
                <c:pt idx="144">
                  <c:v>43605</c:v>
                </c:pt>
                <c:pt idx="145">
                  <c:v>43612</c:v>
                </c:pt>
                <c:pt idx="146">
                  <c:v>43619</c:v>
                </c:pt>
                <c:pt idx="147">
                  <c:v>43626</c:v>
                </c:pt>
                <c:pt idx="148">
                  <c:v>43633</c:v>
                </c:pt>
                <c:pt idx="149">
                  <c:v>43640</c:v>
                </c:pt>
                <c:pt idx="150">
                  <c:v>43647</c:v>
                </c:pt>
                <c:pt idx="151">
                  <c:v>43654</c:v>
                </c:pt>
                <c:pt idx="152">
                  <c:v>43661</c:v>
                </c:pt>
                <c:pt idx="153">
                  <c:v>43668</c:v>
                </c:pt>
                <c:pt idx="154">
                  <c:v>43675</c:v>
                </c:pt>
                <c:pt idx="155">
                  <c:v>43682</c:v>
                </c:pt>
                <c:pt idx="156">
                  <c:v>43689</c:v>
                </c:pt>
                <c:pt idx="157">
                  <c:v>43696</c:v>
                </c:pt>
                <c:pt idx="158">
                  <c:v>43703</c:v>
                </c:pt>
                <c:pt idx="159">
                  <c:v>43710</c:v>
                </c:pt>
                <c:pt idx="160">
                  <c:v>43717</c:v>
                </c:pt>
                <c:pt idx="161">
                  <c:v>43724</c:v>
                </c:pt>
                <c:pt idx="162">
                  <c:v>43731</c:v>
                </c:pt>
                <c:pt idx="163">
                  <c:v>43739</c:v>
                </c:pt>
                <c:pt idx="164">
                  <c:v>43745</c:v>
                </c:pt>
                <c:pt idx="165">
                  <c:v>43752</c:v>
                </c:pt>
                <c:pt idx="166">
                  <c:v>43759</c:v>
                </c:pt>
                <c:pt idx="167">
                  <c:v>43766</c:v>
                </c:pt>
                <c:pt idx="168">
                  <c:v>43773</c:v>
                </c:pt>
                <c:pt idx="169">
                  <c:v>43780</c:v>
                </c:pt>
                <c:pt idx="170">
                  <c:v>43787</c:v>
                </c:pt>
                <c:pt idx="171">
                  <c:v>43794</c:v>
                </c:pt>
                <c:pt idx="172">
                  <c:v>43801</c:v>
                </c:pt>
                <c:pt idx="173">
                  <c:v>43808</c:v>
                </c:pt>
                <c:pt idx="174">
                  <c:v>43815</c:v>
                </c:pt>
                <c:pt idx="175">
                  <c:v>43822</c:v>
                </c:pt>
                <c:pt idx="176">
                  <c:v>43829</c:v>
                </c:pt>
                <c:pt idx="177">
                  <c:v>43836</c:v>
                </c:pt>
                <c:pt idx="178">
                  <c:v>43843</c:v>
                </c:pt>
                <c:pt idx="179">
                  <c:v>43850</c:v>
                </c:pt>
                <c:pt idx="180">
                  <c:v>43860</c:v>
                </c:pt>
                <c:pt idx="181">
                  <c:v>43864</c:v>
                </c:pt>
                <c:pt idx="182">
                  <c:v>43871</c:v>
                </c:pt>
                <c:pt idx="183">
                  <c:v>43878</c:v>
                </c:pt>
                <c:pt idx="184">
                  <c:v>43885</c:v>
                </c:pt>
                <c:pt idx="185">
                  <c:v>43892</c:v>
                </c:pt>
                <c:pt idx="186">
                  <c:v>43899</c:v>
                </c:pt>
                <c:pt idx="187">
                  <c:v>43906</c:v>
                </c:pt>
                <c:pt idx="188">
                  <c:v>43913</c:v>
                </c:pt>
                <c:pt idx="189">
                  <c:v>43920</c:v>
                </c:pt>
                <c:pt idx="190">
                  <c:v>43927</c:v>
                </c:pt>
                <c:pt idx="191">
                  <c:v>43934</c:v>
                </c:pt>
                <c:pt idx="192">
                  <c:v>43941</c:v>
                </c:pt>
                <c:pt idx="193">
                  <c:v>43948</c:v>
                </c:pt>
                <c:pt idx="194">
                  <c:v>43955</c:v>
                </c:pt>
                <c:pt idx="195">
                  <c:v>43962</c:v>
                </c:pt>
                <c:pt idx="196">
                  <c:v>43969</c:v>
                </c:pt>
                <c:pt idx="197">
                  <c:v>43976</c:v>
                </c:pt>
                <c:pt idx="198">
                  <c:v>43983</c:v>
                </c:pt>
                <c:pt idx="199">
                  <c:v>43990</c:v>
                </c:pt>
                <c:pt idx="200">
                  <c:v>43997</c:v>
                </c:pt>
                <c:pt idx="201">
                  <c:v>44004</c:v>
                </c:pt>
                <c:pt idx="202">
                  <c:v>44011</c:v>
                </c:pt>
                <c:pt idx="203">
                  <c:v>44018</c:v>
                </c:pt>
                <c:pt idx="204">
                  <c:v>44025</c:v>
                </c:pt>
                <c:pt idx="205">
                  <c:v>44032</c:v>
                </c:pt>
                <c:pt idx="206">
                  <c:v>44039</c:v>
                </c:pt>
                <c:pt idx="207">
                  <c:v>44046</c:v>
                </c:pt>
                <c:pt idx="208">
                  <c:v>44053</c:v>
                </c:pt>
                <c:pt idx="209">
                  <c:v>44060</c:v>
                </c:pt>
                <c:pt idx="210">
                  <c:v>44067</c:v>
                </c:pt>
                <c:pt idx="211">
                  <c:v>44074</c:v>
                </c:pt>
                <c:pt idx="212">
                  <c:v>44081</c:v>
                </c:pt>
                <c:pt idx="213">
                  <c:v>44088</c:v>
                </c:pt>
                <c:pt idx="214">
                  <c:v>44095</c:v>
                </c:pt>
                <c:pt idx="215">
                  <c:v>44102</c:v>
                </c:pt>
                <c:pt idx="216">
                  <c:v>44109</c:v>
                </c:pt>
                <c:pt idx="217">
                  <c:v>44116</c:v>
                </c:pt>
                <c:pt idx="218">
                  <c:v>44123</c:v>
                </c:pt>
                <c:pt idx="219">
                  <c:v>44130</c:v>
                </c:pt>
                <c:pt idx="220">
                  <c:v>44137</c:v>
                </c:pt>
                <c:pt idx="221">
                  <c:v>44144</c:v>
                </c:pt>
                <c:pt idx="222">
                  <c:v>44151</c:v>
                </c:pt>
                <c:pt idx="223">
                  <c:v>44158</c:v>
                </c:pt>
                <c:pt idx="224">
                  <c:v>44165</c:v>
                </c:pt>
                <c:pt idx="225">
                  <c:v>44172</c:v>
                </c:pt>
                <c:pt idx="226">
                  <c:v>44179</c:v>
                </c:pt>
                <c:pt idx="227">
                  <c:v>44186</c:v>
                </c:pt>
                <c:pt idx="228">
                  <c:v>44193</c:v>
                </c:pt>
                <c:pt idx="229">
                  <c:v>44200</c:v>
                </c:pt>
                <c:pt idx="230">
                  <c:v>44207</c:v>
                </c:pt>
                <c:pt idx="231">
                  <c:v>44214</c:v>
                </c:pt>
                <c:pt idx="232">
                  <c:v>44221</c:v>
                </c:pt>
                <c:pt idx="233">
                  <c:v>44228</c:v>
                </c:pt>
                <c:pt idx="234">
                  <c:v>44244</c:v>
                </c:pt>
                <c:pt idx="235">
                  <c:v>44249</c:v>
                </c:pt>
                <c:pt idx="236">
                  <c:v>44257</c:v>
                </c:pt>
                <c:pt idx="237">
                  <c:v>44263</c:v>
                </c:pt>
                <c:pt idx="238">
                  <c:v>44270</c:v>
                </c:pt>
                <c:pt idx="239">
                  <c:v>44277</c:v>
                </c:pt>
                <c:pt idx="240">
                  <c:v>44284</c:v>
                </c:pt>
                <c:pt idx="241">
                  <c:v>44292</c:v>
                </c:pt>
                <c:pt idx="242">
                  <c:v>44298</c:v>
                </c:pt>
                <c:pt idx="243">
                  <c:v>44305</c:v>
                </c:pt>
                <c:pt idx="244">
                  <c:v>44312</c:v>
                </c:pt>
                <c:pt idx="245">
                  <c:v>44319</c:v>
                </c:pt>
                <c:pt idx="246">
                  <c:v>44326</c:v>
                </c:pt>
                <c:pt idx="247">
                  <c:v>44333</c:v>
                </c:pt>
                <c:pt idx="248">
                  <c:v>44340</c:v>
                </c:pt>
                <c:pt idx="249">
                  <c:v>44347</c:v>
                </c:pt>
                <c:pt idx="250">
                  <c:v>44354</c:v>
                </c:pt>
                <c:pt idx="251">
                  <c:v>44362</c:v>
                </c:pt>
                <c:pt idx="252">
                  <c:v>44368</c:v>
                </c:pt>
                <c:pt idx="253">
                  <c:v>44375</c:v>
                </c:pt>
                <c:pt idx="254">
                  <c:v>44382</c:v>
                </c:pt>
                <c:pt idx="255">
                  <c:v>44389</c:v>
                </c:pt>
                <c:pt idx="256">
                  <c:v>44396</c:v>
                </c:pt>
                <c:pt idx="257">
                  <c:v>44403</c:v>
                </c:pt>
              </c:numCache>
            </c:numRef>
          </c:cat>
          <c:val>
            <c:numRef>
              <c:f>工作底稿!$DC$8:$DC$265</c:f>
              <c:numCache>
                <c:formatCode>General</c:formatCode>
                <c:ptCount val="25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1.5680669117674471</c:v>
                </c:pt>
                <c:pt idx="34">
                  <c:v>1.4832617597536961</c:v>
                </c:pt>
                <c:pt idx="35">
                  <c:v>1.4847431226580485</c:v>
                </c:pt>
                <c:pt idx="36">
                  <c:v>1.6614769374008662</c:v>
                </c:pt>
                <c:pt idx="37">
                  <c:v>1.9786595653660521</c:v>
                </c:pt>
                <c:pt idx="38">
                  <c:v>2.3803005783007243</c:v>
                </c:pt>
                <c:pt idx="39">
                  <c:v>2.7922959838703543</c:v>
                </c:pt>
                <c:pt idx="40">
                  <c:v>3.2042197804406225</c:v>
                </c:pt>
                <c:pt idx="41">
                  <c:v>3.5155290822499157</c:v>
                </c:pt>
                <c:pt idx="42">
                  <c:v>3.6439368932714413</c:v>
                </c:pt>
                <c:pt idx="43">
                  <c:v>3.5873314814704083</c:v>
                </c:pt>
                <c:pt idx="44">
                  <c:v>3.3975563856994251</c:v>
                </c:pt>
                <c:pt idx="45">
                  <c:v>2.9947517032308104</c:v>
                </c:pt>
                <c:pt idx="46">
                  <c:v>2.4985066413675239</c:v>
                </c:pt>
                <c:pt idx="47">
                  <c:v>1.9806355216458214</c:v>
                </c:pt>
                <c:pt idx="48">
                  <c:v>1.5271745529562206</c:v>
                </c:pt>
                <c:pt idx="49">
                  <c:v>1.1872998833097514</c:v>
                </c:pt>
                <c:pt idx="50">
                  <c:v>1.0627630668570243</c:v>
                </c:pt>
                <c:pt idx="51">
                  <c:v>1.2625409424102574</c:v>
                </c:pt>
                <c:pt idx="52">
                  <c:v>1.7294440028937794</c:v>
                </c:pt>
                <c:pt idx="53">
                  <c:v>2.3314218410047576</c:v>
                </c:pt>
                <c:pt idx="54">
                  <c:v>2.9678507941698373</c:v>
                </c:pt>
                <c:pt idx="55">
                  <c:v>3.5879330450382869</c:v>
                </c:pt>
                <c:pt idx="56">
                  <c:v>4.227507556364035</c:v>
                </c:pt>
                <c:pt idx="57">
                  <c:v>4.7930521728572693</c:v>
                </c:pt>
                <c:pt idx="58">
                  <c:v>5.2843104342051355</c:v>
                </c:pt>
                <c:pt idx="59">
                  <c:v>5.6221013874196233</c:v>
                </c:pt>
                <c:pt idx="60">
                  <c:v>5.7658209060200534</c:v>
                </c:pt>
                <c:pt idx="61">
                  <c:v>5.7241411516418834</c:v>
                </c:pt>
                <c:pt idx="62">
                  <c:v>5.5212771840745818</c:v>
                </c:pt>
                <c:pt idx="63">
                  <c:v>5.223965883550445</c:v>
                </c:pt>
                <c:pt idx="64">
                  <c:v>4.8144929362237452</c:v>
                </c:pt>
                <c:pt idx="65">
                  <c:v>4.2408909449804231</c:v>
                </c:pt>
                <c:pt idx="66">
                  <c:v>3.5780399787422033</c:v>
                </c:pt>
                <c:pt idx="67">
                  <c:v>2.9085864552618861</c:v>
                </c:pt>
                <c:pt idx="68">
                  <c:v>2.3071994077774951</c:v>
                </c:pt>
                <c:pt idx="69">
                  <c:v>1.7780225096439546</c:v>
                </c:pt>
                <c:pt idx="70">
                  <c:v>1.3551913816832994</c:v>
                </c:pt>
                <c:pt idx="71">
                  <c:v>1.1025109665382489</c:v>
                </c:pt>
                <c:pt idx="72">
                  <c:v>0.95102659734566763</c:v>
                </c:pt>
                <c:pt idx="73">
                  <c:v>0.97568760676128052</c:v>
                </c:pt>
                <c:pt idx="74">
                  <c:v>1.2113385546752573</c:v>
                </c:pt>
                <c:pt idx="75">
                  <c:v>1.6183569807970646</c:v>
                </c:pt>
                <c:pt idx="76">
                  <c:v>2.2654432908137778</c:v>
                </c:pt>
                <c:pt idx="77">
                  <c:v>3.1140194094658997</c:v>
                </c:pt>
                <c:pt idx="78">
                  <c:v>4.1337514749686575</c:v>
                </c:pt>
                <c:pt idx="79">
                  <c:v>5.2322183977355001</c:v>
                </c:pt>
                <c:pt idx="80">
                  <c:v>6.2978416872351648</c:v>
                </c:pt>
                <c:pt idx="81">
                  <c:v>7.4513418584194575</c:v>
                </c:pt>
                <c:pt idx="82">
                  <c:v>8.6113385082383935</c:v>
                </c:pt>
                <c:pt idx="83">
                  <c:v>9.6833795091897255</c:v>
                </c:pt>
                <c:pt idx="84">
                  <c:v>10.668825794414071</c:v>
                </c:pt>
                <c:pt idx="85">
                  <c:v>11.395862333613605</c:v>
                </c:pt>
                <c:pt idx="86">
                  <c:v>11.775468091925973</c:v>
                </c:pt>
                <c:pt idx="87">
                  <c:v>11.886198386485571</c:v>
                </c:pt>
                <c:pt idx="88">
                  <c:v>11.886705489088147</c:v>
                </c:pt>
                <c:pt idx="89">
                  <c:v>11.83146746481914</c:v>
                </c:pt>
                <c:pt idx="90">
                  <c:v>11.708033169536053</c:v>
                </c:pt>
                <c:pt idx="91">
                  <c:v>11.638645016662066</c:v>
                </c:pt>
                <c:pt idx="92">
                  <c:v>11.726116083783646</c:v>
                </c:pt>
                <c:pt idx="93">
                  <c:v>11.933298202210267</c:v>
                </c:pt>
                <c:pt idx="94">
                  <c:v>12.161926156571244</c:v>
                </c:pt>
                <c:pt idx="95">
                  <c:v>12.462706481169802</c:v>
                </c:pt>
                <c:pt idx="96">
                  <c:v>12.738950567924897</c:v>
                </c:pt>
                <c:pt idx="97">
                  <c:v>12.876911313184015</c:v>
                </c:pt>
                <c:pt idx="98">
                  <c:v>12.964007273057936</c:v>
                </c:pt>
                <c:pt idx="99">
                  <c:v>12.973091552531786</c:v>
                </c:pt>
                <c:pt idx="100">
                  <c:v>12.83237822420214</c:v>
                </c:pt>
                <c:pt idx="101">
                  <c:v>12.54329395586179</c:v>
                </c:pt>
                <c:pt idx="102">
                  <c:v>12.106116574869905</c:v>
                </c:pt>
                <c:pt idx="103">
                  <c:v>11.616856994417155</c:v>
                </c:pt>
                <c:pt idx="104">
                  <c:v>11.092421282666736</c:v>
                </c:pt>
                <c:pt idx="105">
                  <c:v>10.598965552132301</c:v>
                </c:pt>
                <c:pt idx="106">
                  <c:v>10.183595183993816</c:v>
                </c:pt>
                <c:pt idx="107">
                  <c:v>9.7948346623836517</c:v>
                </c:pt>
                <c:pt idx="108">
                  <c:v>9.488514643760368</c:v>
                </c:pt>
                <c:pt idx="109">
                  <c:v>9.3052190523491607</c:v>
                </c:pt>
                <c:pt idx="110">
                  <c:v>9.2379807254649222</c:v>
                </c:pt>
                <c:pt idx="111">
                  <c:v>9.3393575962609816</c:v>
                </c:pt>
                <c:pt idx="112">
                  <c:v>9.6617925382536534</c:v>
                </c:pt>
                <c:pt idx="113">
                  <c:v>10.272424462930681</c:v>
                </c:pt>
                <c:pt idx="114">
                  <c:v>11.213977401490391</c:v>
                </c:pt>
                <c:pt idx="115">
                  <c:v>12.421650315856217</c:v>
                </c:pt>
                <c:pt idx="116">
                  <c:v>13.887793478782644</c:v>
                </c:pt>
                <c:pt idx="117">
                  <c:v>15.579293055549568</c:v>
                </c:pt>
                <c:pt idx="118">
                  <c:v>17.285225060139105</c:v>
                </c:pt>
                <c:pt idx="119">
                  <c:v>19.057746430570926</c:v>
                </c:pt>
                <c:pt idx="120">
                  <c:v>20.789714053337061</c:v>
                </c:pt>
                <c:pt idx="121">
                  <c:v>22.580058200353861</c:v>
                </c:pt>
                <c:pt idx="122">
                  <c:v>24.433097411703596</c:v>
                </c:pt>
                <c:pt idx="123">
                  <c:v>26.384466940437139</c:v>
                </c:pt>
                <c:pt idx="124">
                  <c:v>28.241192161633649</c:v>
                </c:pt>
                <c:pt idx="125">
                  <c:v>29.763053701564811</c:v>
                </c:pt>
                <c:pt idx="126">
                  <c:v>30.783243374902341</c:v>
                </c:pt>
                <c:pt idx="127">
                  <c:v>31.447109275508183</c:v>
                </c:pt>
                <c:pt idx="128">
                  <c:v>31.564905878889363</c:v>
                </c:pt>
                <c:pt idx="129">
                  <c:v>31.244736895580861</c:v>
                </c:pt>
                <c:pt idx="130">
                  <c:v>30.466403542643384</c:v>
                </c:pt>
                <c:pt idx="131">
                  <c:v>29.397318080137705</c:v>
                </c:pt>
                <c:pt idx="132">
                  <c:v>27.932404699135319</c:v>
                </c:pt>
                <c:pt idx="133">
                  <c:v>26.233402803867889</c:v>
                </c:pt>
                <c:pt idx="134">
                  <c:v>24.598924142352796</c:v>
                </c:pt>
                <c:pt idx="135">
                  <c:v>23.411635045684687</c:v>
                </c:pt>
                <c:pt idx="136">
                  <c:v>22.599227107761848</c:v>
                </c:pt>
                <c:pt idx="137">
                  <c:v>22.144731152637316</c:v>
                </c:pt>
                <c:pt idx="138">
                  <c:v>22.019784868867696</c:v>
                </c:pt>
                <c:pt idx="139">
                  <c:v>21.972044062407097</c:v>
                </c:pt>
                <c:pt idx="140">
                  <c:v>21.655675818584175</c:v>
                </c:pt>
                <c:pt idx="141">
                  <c:v>21.165415852477558</c:v>
                </c:pt>
                <c:pt idx="142">
                  <c:v>20.386265935794086</c:v>
                </c:pt>
                <c:pt idx="143">
                  <c:v>19.352295464923511</c:v>
                </c:pt>
                <c:pt idx="144">
                  <c:v>17.91068899067789</c:v>
                </c:pt>
                <c:pt idx="145">
                  <c:v>16.078229089626209</c:v>
                </c:pt>
                <c:pt idx="146">
                  <c:v>13.982404935675731</c:v>
                </c:pt>
                <c:pt idx="147">
                  <c:v>11.723905233646052</c:v>
                </c:pt>
                <c:pt idx="148">
                  <c:v>9.407645926607529</c:v>
                </c:pt>
                <c:pt idx="149">
                  <c:v>7.2153822234488665</c:v>
                </c:pt>
                <c:pt idx="150">
                  <c:v>5.1760170049107801</c:v>
                </c:pt>
                <c:pt idx="151">
                  <c:v>3.5609949320844154</c:v>
                </c:pt>
                <c:pt idx="152">
                  <c:v>2.2462926694062668</c:v>
                </c:pt>
                <c:pt idx="153">
                  <c:v>1.1445043705056657</c:v>
                </c:pt>
                <c:pt idx="154">
                  <c:v>0.30761617895226817</c:v>
                </c:pt>
                <c:pt idx="155">
                  <c:v>-0.27709096145192941</c:v>
                </c:pt>
                <c:pt idx="156">
                  <c:v>-0.78322397756086404</c:v>
                </c:pt>
                <c:pt idx="157">
                  <c:v>-1.1495122496968153</c:v>
                </c:pt>
                <c:pt idx="158">
                  <c:v>-1.4107256819688574</c:v>
                </c:pt>
                <c:pt idx="159">
                  <c:v>-1.842287416797098</c:v>
                </c:pt>
                <c:pt idx="160">
                  <c:v>-2.4771534651336728</c:v>
                </c:pt>
                <c:pt idx="161">
                  <c:v>-3.1295480345823106</c:v>
                </c:pt>
                <c:pt idx="162">
                  <c:v>-3.6933424410845088</c:v>
                </c:pt>
                <c:pt idx="163">
                  <c:v>-4.1724144664766909</c:v>
                </c:pt>
                <c:pt idx="164">
                  <c:v>-4.6259906431314954</c:v>
                </c:pt>
                <c:pt idx="165">
                  <c:v>-4.8646435947199507</c:v>
                </c:pt>
                <c:pt idx="166">
                  <c:v>-4.83288676843679</c:v>
                </c:pt>
                <c:pt idx="167">
                  <c:v>-4.6249403395939526</c:v>
                </c:pt>
                <c:pt idx="168">
                  <c:v>-4.1069908101189867</c:v>
                </c:pt>
                <c:pt idx="169">
                  <c:v>-3.3322035500319895</c:v>
                </c:pt>
                <c:pt idx="170">
                  <c:v>-2.5239043425244114</c:v>
                </c:pt>
                <c:pt idx="171">
                  <c:v>-1.7934504979811612</c:v>
                </c:pt>
                <c:pt idx="172">
                  <c:v>-1.0903826653848101</c:v>
                </c:pt>
                <c:pt idx="173">
                  <c:v>-0.29320679908856717</c:v>
                </c:pt>
                <c:pt idx="174">
                  <c:v>0.4097313186228651</c:v>
                </c:pt>
                <c:pt idx="175">
                  <c:v>0.88959526729820482</c:v>
                </c:pt>
                <c:pt idx="176">
                  <c:v>1.164943270890717</c:v>
                </c:pt>
                <c:pt idx="177">
                  <c:v>1.2195449331697243</c:v>
                </c:pt>
                <c:pt idx="178">
                  <c:v>1.0807145743683451</c:v>
                </c:pt>
                <c:pt idx="179">
                  <c:v>0.89342655198446308</c:v>
                </c:pt>
                <c:pt idx="180">
                  <c:v>0.74974981527298545</c:v>
                </c:pt>
                <c:pt idx="181">
                  <c:v>0.62863797079347072</c:v>
                </c:pt>
                <c:pt idx="182">
                  <c:v>0.41404269316277958</c:v>
                </c:pt>
                <c:pt idx="183">
                  <c:v>0.18602612175099389</c:v>
                </c:pt>
                <c:pt idx="184">
                  <c:v>-0.11169646597525368</c:v>
                </c:pt>
                <c:pt idx="185">
                  <c:v>-0.43857134152048932</c:v>
                </c:pt>
                <c:pt idx="186">
                  <c:v>-0.74704710875054536</c:v>
                </c:pt>
                <c:pt idx="187">
                  <c:v>-1.0397990327706137</c:v>
                </c:pt>
                <c:pt idx="188">
                  <c:v>-1.2771741029731756</c:v>
                </c:pt>
                <c:pt idx="189">
                  <c:v>-1.6030683514835573</c:v>
                </c:pt>
                <c:pt idx="190">
                  <c:v>-2.1578996602552376</c:v>
                </c:pt>
                <c:pt idx="191">
                  <c:v>-3.018178673056986</c:v>
                </c:pt>
                <c:pt idx="192">
                  <c:v>-4.1234122357205809</c:v>
                </c:pt>
                <c:pt idx="193">
                  <c:v>-5.2358411775079885</c:v>
                </c:pt>
                <c:pt idx="194">
                  <c:v>-6.4030190656160988</c:v>
                </c:pt>
                <c:pt idx="195">
                  <c:v>-7.4144240946459625</c:v>
                </c:pt>
                <c:pt idx="196">
                  <c:v>-8.2834323185907763</c:v>
                </c:pt>
                <c:pt idx="197">
                  <c:v>-9.1391028126693197</c:v>
                </c:pt>
                <c:pt idx="198">
                  <c:v>-9.8642355355526021</c:v>
                </c:pt>
                <c:pt idx="199">
                  <c:v>-10.359667479160155</c:v>
                </c:pt>
                <c:pt idx="200">
                  <c:v>-10.378200062629263</c:v>
                </c:pt>
                <c:pt idx="201">
                  <c:v>-9.9633008039497284</c:v>
                </c:pt>
                <c:pt idx="202">
                  <c:v>-9.3238826987980907</c:v>
                </c:pt>
                <c:pt idx="203">
                  <c:v>-8.3702017911035433</c:v>
                </c:pt>
                <c:pt idx="204">
                  <c:v>-7.2870946651068049</c:v>
                </c:pt>
                <c:pt idx="205">
                  <c:v>-6.0928613809074426</c:v>
                </c:pt>
                <c:pt idx="206">
                  <c:v>-4.8273795233240104</c:v>
                </c:pt>
                <c:pt idx="207">
                  <c:v>-3.566838731820793</c:v>
                </c:pt>
                <c:pt idx="208">
                  <c:v>-2.3157079457125369</c:v>
                </c:pt>
                <c:pt idx="209">
                  <c:v>-1.2230248872562142</c:v>
                </c:pt>
                <c:pt idx="210">
                  <c:v>-0.30444838658493406</c:v>
                </c:pt>
                <c:pt idx="211">
                  <c:v>0.47166534595020138</c:v>
                </c:pt>
                <c:pt idx="212">
                  <c:v>1.1405587411924343</c:v>
                </c:pt>
                <c:pt idx="213">
                  <c:v>1.7089976581096886</c:v>
                </c:pt>
                <c:pt idx="214">
                  <c:v>2.2297700239464198</c:v>
                </c:pt>
                <c:pt idx="215">
                  <c:v>2.7006414340710938</c:v>
                </c:pt>
                <c:pt idx="216">
                  <c:v>3.1226919400641133</c:v>
                </c:pt>
                <c:pt idx="217">
                  <c:v>3.5281546790607763</c:v>
                </c:pt>
                <c:pt idx="218">
                  <c:v>3.7851440777852381</c:v>
                </c:pt>
                <c:pt idx="219">
                  <c:v>3.878552648549026</c:v>
                </c:pt>
                <c:pt idx="220">
                  <c:v>3.9866031763402816</c:v>
                </c:pt>
                <c:pt idx="221">
                  <c:v>4.0077699195929375</c:v>
                </c:pt>
                <c:pt idx="222">
                  <c:v>3.9165167927948863</c:v>
                </c:pt>
                <c:pt idx="223">
                  <c:v>3.6520435755217653</c:v>
                </c:pt>
                <c:pt idx="224">
                  <c:v>3.3279036636921422</c:v>
                </c:pt>
                <c:pt idx="225">
                  <c:v>2.965114548886441</c:v>
                </c:pt>
                <c:pt idx="226">
                  <c:v>2.5562360484419866</c:v>
                </c:pt>
                <c:pt idx="227">
                  <c:v>2.2355653341830677</c:v>
                </c:pt>
                <c:pt idx="228">
                  <c:v>2.0585661667815254</c:v>
                </c:pt>
                <c:pt idx="229">
                  <c:v>1.8964321619309505</c:v>
                </c:pt>
                <c:pt idx="230">
                  <c:v>1.7566558973425623</c:v>
                </c:pt>
                <c:pt idx="231">
                  <c:v>1.6049667972600647</c:v>
                </c:pt>
                <c:pt idx="232">
                  <c:v>1.4168663454064725</c:v>
                </c:pt>
                <c:pt idx="233">
                  <c:v>1.2400522248707881</c:v>
                </c:pt>
                <c:pt idx="234">
                  <c:v>1.169378964845085</c:v>
                </c:pt>
                <c:pt idx="235">
                  <c:v>1.2668737539245158</c:v>
                </c:pt>
                <c:pt idx="236">
                  <c:v>1.5371150162956282</c:v>
                </c:pt>
                <c:pt idx="237">
                  <c:v>1.7180301741879778</c:v>
                </c:pt>
                <c:pt idx="238">
                  <c:v>1.7449108103110751</c:v>
                </c:pt>
                <c:pt idx="239">
                  <c:v>1.6463710145635306</c:v>
                </c:pt>
                <c:pt idx="240">
                  <c:v>1.4994399126327254</c:v>
                </c:pt>
                <c:pt idx="241">
                  <c:v>1.4337120512419181</c:v>
                </c:pt>
                <c:pt idx="242">
                  <c:v>1.3038323137341825</c:v>
                </c:pt>
                <c:pt idx="243">
                  <c:v>0.98778599729669425</c:v>
                </c:pt>
                <c:pt idx="244">
                  <c:v>-4.6978027741770099</c:v>
                </c:pt>
                <c:pt idx="245">
                  <c:v>-14.527720884188746</c:v>
                </c:pt>
                <c:pt idx="246">
                  <c:v>-27.295384502564261</c:v>
                </c:pt>
                <c:pt idx="247">
                  <c:v>-42.141643955994823</c:v>
                </c:pt>
                <c:pt idx="248">
                  <c:v>-58.445028876800407</c:v>
                </c:pt>
                <c:pt idx="249">
                  <c:v>-75.728617556581682</c:v>
                </c:pt>
                <c:pt idx="250">
                  <c:v>-93.643037230662628</c:v>
                </c:pt>
                <c:pt idx="251">
                  <c:v>-111.8076587415985</c:v>
                </c:pt>
                <c:pt idx="252">
                  <c:v>-129.93028062348162</c:v>
                </c:pt>
                <c:pt idx="253">
                  <c:v>-142.64822904235322</c:v>
                </c:pt>
                <c:pt idx="254">
                  <c:v>-150.98681280024573</c:v>
                </c:pt>
                <c:pt idx="255">
                  <c:v>-155.79924380372</c:v>
                </c:pt>
                <c:pt idx="256">
                  <c:v>-157.79417699671299</c:v>
                </c:pt>
                <c:pt idx="257">
                  <c:v>-157.55893460379625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51-4BC6-9193-022ADD015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866880"/>
        <c:axId val="232868960"/>
      </c:lineChart>
      <c:catAx>
        <c:axId val="23286688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232868960"/>
        <c:crosses val="autoZero"/>
        <c:auto val="0"/>
        <c:lblAlgn val="ctr"/>
        <c:lblOffset val="100"/>
        <c:tickLblSkip val="20"/>
        <c:tickMarkSkip val="20"/>
        <c:noMultiLvlLbl val="0"/>
      </c:catAx>
      <c:valAx>
        <c:axId val="232868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32866880"/>
        <c:crosses val="max"/>
        <c:crossBetween val="between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7829480992295319"/>
          <c:y val="5.128205128205128E-2"/>
          <c:w val="0.15001560288834864"/>
          <c:h val="0.17307813446396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工作底稿!$BY$5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5</xdr:row>
      <xdr:rowOff>0</xdr:rowOff>
    </xdr:from>
    <xdr:to>
      <xdr:col>8</xdr:col>
      <xdr:colOff>0</xdr:colOff>
      <xdr:row>17</xdr:row>
      <xdr:rowOff>180976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5</xdr:row>
      <xdr:rowOff>0</xdr:rowOff>
    </xdr:from>
    <xdr:to>
      <xdr:col>14</xdr:col>
      <xdr:colOff>666750</xdr:colOff>
      <xdr:row>18</xdr:row>
      <xdr:rowOff>19050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23</xdr:col>
      <xdr:colOff>0</xdr:colOff>
      <xdr:row>18</xdr:row>
      <xdr:rowOff>9525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34</xdr:row>
      <xdr:rowOff>0</xdr:rowOff>
    </xdr:from>
    <xdr:to>
      <xdr:col>7</xdr:col>
      <xdr:colOff>0</xdr:colOff>
      <xdr:row>47</xdr:row>
      <xdr:rowOff>9525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685799</xdr:colOff>
      <xdr:row>34</xdr:row>
      <xdr:rowOff>0</xdr:rowOff>
    </xdr:from>
    <xdr:to>
      <xdr:col>13</xdr:col>
      <xdr:colOff>657224</xdr:colOff>
      <xdr:row>47</xdr:row>
      <xdr:rowOff>9525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18</xdr:row>
      <xdr:rowOff>209549</xdr:rowOff>
    </xdr:from>
    <xdr:to>
      <xdr:col>22</xdr:col>
      <xdr:colOff>676275</xdr:colOff>
      <xdr:row>32</xdr:row>
      <xdr:rowOff>180974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1</xdr:rowOff>
    </xdr:from>
    <xdr:to>
      <xdr:col>18</xdr:col>
      <xdr:colOff>0</xdr:colOff>
      <xdr:row>72</xdr:row>
      <xdr:rowOff>200025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51</xdr:row>
          <xdr:rowOff>200025</xdr:rowOff>
        </xdr:from>
        <xdr:to>
          <xdr:col>1</xdr:col>
          <xdr:colOff>276225</xdr:colOff>
          <xdr:row>53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51</xdr:row>
          <xdr:rowOff>180975</xdr:rowOff>
        </xdr:from>
        <xdr:to>
          <xdr:col>9</xdr:col>
          <xdr:colOff>123825</xdr:colOff>
          <xdr:row>52</xdr:row>
          <xdr:rowOff>209550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73</xdr:row>
      <xdr:rowOff>0</xdr:rowOff>
    </xdr:from>
    <xdr:to>
      <xdr:col>17</xdr:col>
      <xdr:colOff>657224</xdr:colOff>
      <xdr:row>79</xdr:row>
      <xdr:rowOff>200025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96</xdr:row>
      <xdr:rowOff>19050</xdr:rowOff>
    </xdr:from>
    <xdr:to>
      <xdr:col>17</xdr:col>
      <xdr:colOff>571500</xdr:colOff>
      <xdr:row>115</xdr:row>
      <xdr:rowOff>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79</xdr:row>
      <xdr:rowOff>209549</xdr:rowOff>
    </xdr:from>
    <xdr:to>
      <xdr:col>17</xdr:col>
      <xdr:colOff>666750</xdr:colOff>
      <xdr:row>90</xdr:row>
      <xdr:rowOff>200024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1</xdr:row>
          <xdr:rowOff>76200</xdr:rowOff>
        </xdr:from>
        <xdr:to>
          <xdr:col>12</xdr:col>
          <xdr:colOff>276225</xdr:colOff>
          <xdr:row>3</xdr:row>
          <xdr:rowOff>114300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jdata.yuanta.com.tw/" TargetMode="External"/><Relationship Id="rId7" Type="http://schemas.openxmlformats.org/officeDocument/2006/relationships/hyperlink" Target="http://newjust.masterlink.com.tw/" TargetMode="External"/><Relationship Id="rId2" Type="http://schemas.openxmlformats.org/officeDocument/2006/relationships/hyperlink" Target="http://justdata.moneydj.com/" TargetMode="External"/><Relationship Id="rId1" Type="http://schemas.openxmlformats.org/officeDocument/2006/relationships/hyperlink" Target="http://fubon-ebrokerdj.fbs.com.tw/" TargetMode="External"/><Relationship Id="rId6" Type="http://schemas.openxmlformats.org/officeDocument/2006/relationships/hyperlink" Target="http://kgieworld.moneydj.com/" TargetMode="External"/><Relationship Id="rId5" Type="http://schemas.openxmlformats.org/officeDocument/2006/relationships/hyperlink" Target="http://djfubonholdingfund.fbs.com.tw/" TargetMode="External"/><Relationship Id="rId4" Type="http://schemas.openxmlformats.org/officeDocument/2006/relationships/hyperlink" Target="http://moneydj.emega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9C9B-3358-4E20-915E-3DDC6A9CB1E2}">
  <sheetPr codeName="工作表1"/>
  <dimension ref="A1:W95"/>
  <sheetViews>
    <sheetView tabSelected="1" workbookViewId="0">
      <selection activeCell="A2" sqref="A2"/>
    </sheetView>
  </sheetViews>
  <sheetFormatPr defaultRowHeight="16.5" x14ac:dyDescent="0.25"/>
  <cols>
    <col min="1" max="2" width="9.5" bestFit="1" customWidth="1"/>
  </cols>
  <sheetData>
    <row r="1" spans="1:23" x14ac:dyDescent="0.25">
      <c r="A1" s="5" t="s">
        <v>0</v>
      </c>
      <c r="B1" s="24" t="s">
        <v>3882</v>
      </c>
      <c r="C1" s="24" t="s">
        <v>3883</v>
      </c>
      <c r="D1" s="25" t="s">
        <v>3884</v>
      </c>
      <c r="E1" s="25"/>
      <c r="F1" s="25" t="s">
        <v>3833</v>
      </c>
      <c r="G1" s="25"/>
      <c r="H1" s="25" t="s">
        <v>3834</v>
      </c>
      <c r="I1" s="25"/>
      <c r="J1" s="25" t="s">
        <v>3835</v>
      </c>
      <c r="K1" s="25"/>
      <c r="L1" s="25" t="s">
        <v>3836</v>
      </c>
      <c r="M1" s="25"/>
      <c r="N1" s="25"/>
      <c r="O1" s="25" t="s">
        <v>3837</v>
      </c>
      <c r="P1" s="25"/>
      <c r="Q1" s="25" t="s">
        <v>3838</v>
      </c>
      <c r="R1" s="25"/>
      <c r="S1" s="25"/>
    </row>
    <row r="2" spans="1:23" x14ac:dyDescent="0.25">
      <c r="A2">
        <v>2330</v>
      </c>
      <c r="B2" t="str">
        <f>VLOOKUP($A$2,股票代號!$C$1:$G$1741,2,0)</f>
        <v>台積電</v>
      </c>
      <c r="C2" t="str">
        <f>VLOOKUP($A$2,股票代號!$C$1:$G$1741,3,0)</f>
        <v xml:space="preserve">上市 </v>
      </c>
      <c r="D2" s="28" t="str">
        <f>VLOOKUP($A$2,股票代號!$C$1:$G$1741,5,0)</f>
        <v>半導體業</v>
      </c>
      <c r="E2" s="28"/>
      <c r="F2" s="26">
        <f>工作底稿!AQ8</f>
        <v>29192</v>
      </c>
      <c r="G2" s="26"/>
      <c r="H2" s="26">
        <f>工作底稿!AR8</f>
        <v>3.0001592986747379E-2</v>
      </c>
      <c r="I2" s="26"/>
      <c r="J2" s="26">
        <f>工作底稿!AS8</f>
        <v>90.53</v>
      </c>
      <c r="K2" s="26"/>
      <c r="L2" s="26">
        <f>工作底稿!AT8</f>
        <v>-0.17999999999999261</v>
      </c>
      <c r="M2" s="26"/>
      <c r="N2" s="26"/>
      <c r="O2" s="26">
        <f>工作底稿!AU8</f>
        <v>88.2</v>
      </c>
      <c r="P2" s="26"/>
      <c r="Q2" s="26">
        <f>工作底稿!AV8</f>
        <v>-0.14999999999999147</v>
      </c>
      <c r="R2" s="26"/>
      <c r="S2" s="26"/>
    </row>
    <row r="5" spans="1:23" x14ac:dyDescent="0.25">
      <c r="A5" s="27" t="s">
        <v>3870</v>
      </c>
      <c r="B5" s="27"/>
      <c r="C5" s="27"/>
      <c r="D5" s="27"/>
      <c r="E5" s="27"/>
      <c r="F5" s="27"/>
      <c r="G5" s="27"/>
      <c r="H5" s="27"/>
      <c r="I5" s="27" t="s">
        <v>3826</v>
      </c>
      <c r="J5" s="27"/>
      <c r="K5" s="27"/>
      <c r="L5" s="27"/>
      <c r="M5" s="27"/>
      <c r="N5" s="27"/>
      <c r="O5" s="27"/>
      <c r="P5" s="27" t="s">
        <v>3871</v>
      </c>
      <c r="Q5" s="27"/>
      <c r="R5" s="27"/>
      <c r="S5" s="27"/>
      <c r="T5" s="27"/>
      <c r="U5" s="27"/>
      <c r="V5" s="27"/>
      <c r="W5" s="27"/>
    </row>
    <row r="19" spans="1:23" x14ac:dyDescent="0.25">
      <c r="A19" s="27" t="s">
        <v>3765</v>
      </c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5" t="s">
        <v>3869</v>
      </c>
      <c r="W19" s="14">
        <v>0.1</v>
      </c>
    </row>
    <row r="34" spans="1:14" x14ac:dyDescent="0.25">
      <c r="A34" s="27" t="s">
        <v>3872</v>
      </c>
      <c r="B34" s="27"/>
      <c r="C34" s="27"/>
      <c r="D34" s="27"/>
      <c r="E34" s="27"/>
      <c r="F34" s="27"/>
      <c r="G34" s="27"/>
      <c r="H34" s="27" t="s">
        <v>3873</v>
      </c>
      <c r="I34" s="27"/>
      <c r="J34" s="27"/>
      <c r="K34" s="27"/>
      <c r="L34" s="27"/>
      <c r="M34" s="27"/>
      <c r="N34" s="27"/>
    </row>
    <row r="49" spans="1:18" ht="17.25" thickBot="1" x14ac:dyDescent="0.3">
      <c r="A49" s="27" t="s">
        <v>3874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</row>
    <row r="50" spans="1:18" ht="17.25" thickBot="1" x14ac:dyDescent="0.3">
      <c r="A50" s="17" t="s">
        <v>3840</v>
      </c>
      <c r="B50" s="18">
        <f ca="1">工作底稿!AZ251</f>
        <v>44403</v>
      </c>
      <c r="C50" s="19" t="s">
        <v>3841</v>
      </c>
      <c r="D50" s="20">
        <f ca="1">工作底稿!BA251</f>
        <v>591</v>
      </c>
      <c r="E50" s="19" t="s">
        <v>3842</v>
      </c>
      <c r="F50" s="20">
        <f ca="1">工作底稿!BB251</f>
        <v>591</v>
      </c>
      <c r="G50" s="19" t="s">
        <v>3843</v>
      </c>
      <c r="H50" s="20">
        <f ca="1">工作底稿!BC251</f>
        <v>580</v>
      </c>
      <c r="I50" s="19" t="s">
        <v>3844</v>
      </c>
      <c r="J50" s="20">
        <f ca="1">工作底稿!BD251</f>
        <v>580</v>
      </c>
      <c r="K50" s="19" t="s">
        <v>3875</v>
      </c>
      <c r="L50" s="20">
        <f ca="1">J50-工作底稿!BD250</f>
        <v>-5</v>
      </c>
      <c r="M50" s="19" t="s">
        <v>3876</v>
      </c>
      <c r="N50" s="21">
        <f ca="1">L50/工作底稿!BD250</f>
        <v>-8.5470085470085479E-3</v>
      </c>
      <c r="O50" s="19" t="s">
        <v>3845</v>
      </c>
      <c r="P50" s="20">
        <f ca="1">工作底稿!BE251</f>
        <v>22443</v>
      </c>
      <c r="Q50" s="19"/>
      <c r="R50" s="22"/>
    </row>
    <row r="51" spans="1:18" x14ac:dyDescent="0.25">
      <c r="H51" s="16"/>
      <c r="I51" s="16"/>
      <c r="O51" s="16"/>
    </row>
    <row r="52" spans="1:18" ht="17.25" thickBot="1" x14ac:dyDescent="0.3"/>
    <row r="53" spans="1:18" ht="17.25" thickBot="1" x14ac:dyDescent="0.3">
      <c r="B53" t="s">
        <v>3877</v>
      </c>
      <c r="C53" s="23" t="s">
        <v>3878</v>
      </c>
      <c r="D53" s="17">
        <v>5</v>
      </c>
      <c r="E53" s="19">
        <v>20</v>
      </c>
      <c r="F53" s="22">
        <v>60</v>
      </c>
      <c r="J53" t="s">
        <v>3851</v>
      </c>
      <c r="L53" s="23" t="s">
        <v>3879</v>
      </c>
      <c r="M53" s="23">
        <v>2</v>
      </c>
    </row>
    <row r="92" spans="1:18" x14ac:dyDescent="0.25">
      <c r="A92" s="27" t="s">
        <v>3880</v>
      </c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</row>
    <row r="93" spans="1:18" x14ac:dyDescent="0.25">
      <c r="A93" t="s">
        <v>3881</v>
      </c>
      <c r="B93" s="4">
        <f ca="1">工作底稿!CE265</f>
        <v>44403</v>
      </c>
      <c r="C93" t="s">
        <v>3841</v>
      </c>
      <c r="D93" s="15">
        <f ca="1">工作底稿!CF265</f>
        <v>591</v>
      </c>
      <c r="E93" t="s">
        <v>3842</v>
      </c>
      <c r="F93" s="15">
        <f ca="1">工作底稿!CG265</f>
        <v>591</v>
      </c>
      <c r="G93" t="s">
        <v>3843</v>
      </c>
      <c r="H93" s="15">
        <f ca="1">工作底稿!CH265</f>
        <v>580</v>
      </c>
      <c r="I93" t="s">
        <v>3844</v>
      </c>
      <c r="J93" s="15">
        <f ca="1">工作底稿!CI265</f>
        <v>580</v>
      </c>
      <c r="K93" t="s">
        <v>3875</v>
      </c>
      <c r="L93">
        <f ca="1">工作底稿!CI265-工作底稿!CI264</f>
        <v>-5</v>
      </c>
      <c r="M93" t="s">
        <v>3876</v>
      </c>
      <c r="N93" s="11">
        <f ca="1">L93/工作底稿!CI264</f>
        <v>-8.5470085470085479E-3</v>
      </c>
      <c r="O93" t="s">
        <v>3845</v>
      </c>
      <c r="P93" s="15">
        <f ca="1">工作底稿!CJ265</f>
        <v>22443</v>
      </c>
    </row>
    <row r="94" spans="1:18" x14ac:dyDescent="0.25">
      <c r="G94" s="15"/>
      <c r="H94" s="15"/>
      <c r="I94" s="15"/>
      <c r="J94" s="15"/>
    </row>
    <row r="95" spans="1:18" x14ac:dyDescent="0.25">
      <c r="A95" t="s">
        <v>3878</v>
      </c>
      <c r="B95">
        <v>5</v>
      </c>
      <c r="C95">
        <v>20</v>
      </c>
      <c r="D95">
        <v>60</v>
      </c>
    </row>
  </sheetData>
  <mergeCells count="22">
    <mergeCell ref="A49:R49"/>
    <mergeCell ref="A92:R92"/>
    <mergeCell ref="D1:E1"/>
    <mergeCell ref="D2:E2"/>
    <mergeCell ref="F1:G1"/>
    <mergeCell ref="F2:G2"/>
    <mergeCell ref="H1:I1"/>
    <mergeCell ref="H2:I2"/>
    <mergeCell ref="J1:K1"/>
    <mergeCell ref="J2:K2"/>
    <mergeCell ref="A5:H5"/>
    <mergeCell ref="I5:O5"/>
    <mergeCell ref="P5:W5"/>
    <mergeCell ref="A19:U19"/>
    <mergeCell ref="A34:G34"/>
    <mergeCell ref="H34:N34"/>
    <mergeCell ref="O1:P1"/>
    <mergeCell ref="O2:P2"/>
    <mergeCell ref="Q1:S1"/>
    <mergeCell ref="Q2:S2"/>
    <mergeCell ref="L1:N1"/>
    <mergeCell ref="L2:N2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0</xdr:col>
                    <xdr:colOff>533400</xdr:colOff>
                    <xdr:row>51</xdr:row>
                    <xdr:rowOff>200025</xdr:rowOff>
                  </from>
                  <to>
                    <xdr:col>1</xdr:col>
                    <xdr:colOff>276225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8</xdr:col>
                    <xdr:colOff>342900</xdr:colOff>
                    <xdr:row>51</xdr:row>
                    <xdr:rowOff>180975</xdr:rowOff>
                  </from>
                  <to>
                    <xdr:col>9</xdr:col>
                    <xdr:colOff>123825</xdr:colOff>
                    <xdr:row>52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D8E84-D1AE-4448-9AEC-8DD1374D10A5}">
  <sheetPr codeName="工作表11"/>
  <dimension ref="A1:DD349"/>
  <sheetViews>
    <sheetView workbookViewId="0">
      <selection activeCell="CE7" sqref="CE7"/>
    </sheetView>
  </sheetViews>
  <sheetFormatPr defaultRowHeight="16.5" x14ac:dyDescent="0.25"/>
  <cols>
    <col min="1" max="1" width="11.625" bestFit="1" customWidth="1"/>
    <col min="12" max="12" width="20.5" bestFit="1" customWidth="1"/>
    <col min="45" max="45" width="15" bestFit="1" customWidth="1"/>
    <col min="46" max="46" width="19.375" bestFit="1" customWidth="1"/>
    <col min="47" max="47" width="15" bestFit="1" customWidth="1"/>
    <col min="48" max="48" width="19.375" bestFit="1" customWidth="1"/>
    <col min="51" max="51" width="17.125" bestFit="1" customWidth="1"/>
    <col min="52" max="52" width="10.5" bestFit="1" customWidth="1"/>
    <col min="82" max="82" width="9.875" bestFit="1" customWidth="1"/>
    <col min="83" max="83" width="10.5" bestFit="1" customWidth="1"/>
  </cols>
  <sheetData>
    <row r="1" spans="1:108" x14ac:dyDescent="0.25">
      <c r="A1">
        <f>COLUMN()</f>
        <v>1</v>
      </c>
      <c r="B1">
        <f>COLUMN()</f>
        <v>2</v>
      </c>
      <c r="C1">
        <f>COLUMN()</f>
        <v>3</v>
      </c>
      <c r="D1">
        <f>COLUMN()</f>
        <v>4</v>
      </c>
      <c r="E1">
        <f>COLUMN()</f>
        <v>5</v>
      </c>
      <c r="F1">
        <f>COLUMN()</f>
        <v>6</v>
      </c>
      <c r="G1">
        <f>COLUMN()</f>
        <v>7</v>
      </c>
      <c r="H1">
        <f>COLUMN()</f>
        <v>8</v>
      </c>
      <c r="I1">
        <f>COLUMN()</f>
        <v>9</v>
      </c>
      <c r="L1">
        <f>COLUMN()</f>
        <v>12</v>
      </c>
      <c r="M1">
        <f>COLUMN()</f>
        <v>13</v>
      </c>
      <c r="N1">
        <f>COLUMN()</f>
        <v>14</v>
      </c>
      <c r="O1">
        <f>COLUMN()</f>
        <v>15</v>
      </c>
      <c r="P1">
        <f>COLUMN()</f>
        <v>16</v>
      </c>
      <c r="Q1">
        <f>COLUMN()</f>
        <v>17</v>
      </c>
      <c r="R1">
        <f>COLUMN()</f>
        <v>18</v>
      </c>
      <c r="S1">
        <f>COLUMN()</f>
        <v>19</v>
      </c>
      <c r="T1">
        <f>COLUMN()</f>
        <v>20</v>
      </c>
    </row>
    <row r="2" spans="1:108" x14ac:dyDescent="0.25">
      <c r="B2">
        <f t="shared" ref="B2:I2" si="0">11-B1</f>
        <v>9</v>
      </c>
      <c r="C2">
        <f t="shared" si="0"/>
        <v>8</v>
      </c>
      <c r="D2">
        <f t="shared" si="0"/>
        <v>7</v>
      </c>
      <c r="E2">
        <f t="shared" si="0"/>
        <v>6</v>
      </c>
      <c r="F2">
        <f t="shared" si="0"/>
        <v>5</v>
      </c>
      <c r="G2">
        <f t="shared" si="0"/>
        <v>4</v>
      </c>
      <c r="H2">
        <f t="shared" si="0"/>
        <v>3</v>
      </c>
      <c r="I2">
        <f t="shared" si="0"/>
        <v>2</v>
      </c>
      <c r="M2">
        <f>22-M1</f>
        <v>9</v>
      </c>
      <c r="N2">
        <f t="shared" ref="N2:T2" si="1">22-N1</f>
        <v>8</v>
      </c>
      <c r="O2">
        <f t="shared" si="1"/>
        <v>7</v>
      </c>
      <c r="P2">
        <f t="shared" si="1"/>
        <v>6</v>
      </c>
      <c r="Q2">
        <f t="shared" si="1"/>
        <v>5</v>
      </c>
      <c r="R2">
        <f t="shared" si="1"/>
        <v>4</v>
      </c>
      <c r="S2">
        <f t="shared" si="1"/>
        <v>3</v>
      </c>
      <c r="T2">
        <f t="shared" si="1"/>
        <v>2</v>
      </c>
    </row>
    <row r="5" spans="1:108" x14ac:dyDescent="0.25">
      <c r="Z5" t="s">
        <v>3869</v>
      </c>
      <c r="AA5" s="9">
        <f>總表!W19</f>
        <v>0.1</v>
      </c>
      <c r="BB5">
        <f ca="1">ROUND(MAX(BB8:BB251)*1.1,0)</f>
        <v>741</v>
      </c>
      <c r="BC5">
        <f ca="1">ROUND(MIN(BC8:BC251)*0.9,0)</f>
        <v>354</v>
      </c>
      <c r="BI5" t="s">
        <v>3847</v>
      </c>
      <c r="BJ5">
        <f>總表!D53</f>
        <v>5</v>
      </c>
      <c r="BM5" t="s">
        <v>3847</v>
      </c>
      <c r="BN5">
        <f>總表!E53</f>
        <v>20</v>
      </c>
      <c r="BQ5" t="s">
        <v>3847</v>
      </c>
      <c r="BR5">
        <f>總表!F53</f>
        <v>60</v>
      </c>
      <c r="BV5" t="s">
        <v>3856</v>
      </c>
      <c r="BW5">
        <f>總表!M53</f>
        <v>2</v>
      </c>
      <c r="BY5">
        <v>1</v>
      </c>
      <c r="BZ5" t="str">
        <f>IF(BY5=1,"MA","布林通道")</f>
        <v>MA</v>
      </c>
      <c r="CD5" t="s">
        <v>3886</v>
      </c>
      <c r="CE5">
        <v>253</v>
      </c>
      <c r="CG5">
        <f ca="1">ROUND(MAX(CG8:CG265)*1.1,0)</f>
        <v>747</v>
      </c>
      <c r="CH5">
        <f ca="1">ROUND(MIN(CH8:CH265)*0.9,0)</f>
        <v>154</v>
      </c>
      <c r="CN5" t="s">
        <v>3847</v>
      </c>
      <c r="CO5">
        <f>總表!B95</f>
        <v>5</v>
      </c>
      <c r="CR5" t="s">
        <v>3847</v>
      </c>
      <c r="CS5">
        <f>總表!C95</f>
        <v>20</v>
      </c>
      <c r="CV5" t="s">
        <v>3847</v>
      </c>
      <c r="CW5">
        <f>總表!D95</f>
        <v>60</v>
      </c>
    </row>
    <row r="6" spans="1:108" x14ac:dyDescent="0.25">
      <c r="A6" s="27" t="s">
        <v>3763</v>
      </c>
      <c r="B6" s="27"/>
      <c r="C6" s="27"/>
      <c r="D6" s="27"/>
      <c r="E6" s="27"/>
      <c r="F6" s="27"/>
      <c r="G6" s="27"/>
      <c r="H6" s="27"/>
      <c r="I6" s="27"/>
      <c r="L6" s="25" t="s">
        <v>3764</v>
      </c>
      <c r="M6" s="25"/>
      <c r="N6" s="25"/>
      <c r="O6" s="25"/>
      <c r="P6" s="25"/>
      <c r="Q6" s="25"/>
      <c r="R6" s="25"/>
      <c r="S6" s="25"/>
      <c r="T6" s="25"/>
      <c r="W6" s="27" t="s">
        <v>3765</v>
      </c>
      <c r="X6" s="27"/>
      <c r="Y6" s="27"/>
      <c r="Z6" s="27"/>
      <c r="AA6" s="27"/>
      <c r="AD6" s="27" t="s">
        <v>3820</v>
      </c>
      <c r="AE6" s="27"/>
      <c r="AF6" s="27"/>
      <c r="AG6" s="27"/>
      <c r="AH6" s="27"/>
      <c r="AI6" s="27"/>
      <c r="AJ6" s="27"/>
      <c r="AK6" s="27"/>
      <c r="AL6" s="27"/>
      <c r="AM6" s="27"/>
      <c r="AN6" s="27"/>
      <c r="AQ6" s="27" t="s">
        <v>3832</v>
      </c>
      <c r="AR6" s="27"/>
      <c r="AS6" s="27"/>
      <c r="AT6" s="27"/>
      <c r="AU6" s="27"/>
      <c r="AV6" s="27"/>
      <c r="AY6" s="27" t="s">
        <v>3839</v>
      </c>
      <c r="AZ6" s="27"/>
      <c r="BA6" s="27"/>
      <c r="BB6" s="27"/>
      <c r="BC6" s="27"/>
      <c r="BD6" s="27"/>
      <c r="BE6" s="27"/>
      <c r="BF6" s="27"/>
      <c r="BH6" s="27" t="s">
        <v>3846</v>
      </c>
      <c r="BI6" s="27"/>
      <c r="BJ6" s="27"/>
      <c r="BL6" s="27" t="s">
        <v>3849</v>
      </c>
      <c r="BM6" s="27"/>
      <c r="BN6" s="27"/>
      <c r="BP6" s="27" t="s">
        <v>3850</v>
      </c>
      <c r="BQ6" s="27"/>
      <c r="BR6" s="27"/>
      <c r="BT6" s="27" t="s">
        <v>3851</v>
      </c>
      <c r="BU6" s="27"/>
      <c r="BV6" s="27"/>
      <c r="BW6" s="27"/>
      <c r="BY6" s="27" t="s">
        <v>3857</v>
      </c>
      <c r="BZ6" s="27"/>
      <c r="CA6" s="27"/>
      <c r="CD6" s="27" t="s">
        <v>3858</v>
      </c>
      <c r="CE6" s="27"/>
      <c r="CF6" s="27"/>
      <c r="CG6" s="27"/>
      <c r="CH6" s="27"/>
      <c r="CI6" s="27"/>
      <c r="CJ6" s="27"/>
      <c r="CK6" s="27"/>
      <c r="CM6" s="27" t="s">
        <v>3846</v>
      </c>
      <c r="CN6" s="27"/>
      <c r="CO6" s="27"/>
      <c r="CQ6" s="27" t="s">
        <v>3846</v>
      </c>
      <c r="CR6" s="27"/>
      <c r="CS6" s="27"/>
      <c r="CU6" s="27" t="s">
        <v>3846</v>
      </c>
      <c r="CV6" s="27"/>
      <c r="CW6" s="27"/>
      <c r="CY6" s="27" t="s">
        <v>3859</v>
      </c>
      <c r="CZ6" s="27"/>
      <c r="DA6" s="27"/>
      <c r="DB6" s="27"/>
      <c r="DC6" s="27"/>
      <c r="DD6" s="27"/>
    </row>
    <row r="7" spans="1:108" x14ac:dyDescent="0.25">
      <c r="A7" t="s">
        <v>21</v>
      </c>
      <c r="B7" t="str">
        <f>VLOOKUP($A7,財務比率季表!$A$6:$I$96,B$2,0)</f>
        <v>2019.2Q</v>
      </c>
      <c r="C7" t="str">
        <f>VLOOKUP($A7,財務比率季表!$A$6:$I$96,C$2,0)</f>
        <v>2019.3Q</v>
      </c>
      <c r="D7" t="str">
        <f>VLOOKUP($A7,財務比率季表!$A$6:$I$96,D$2,0)</f>
        <v>2019.4Q</v>
      </c>
      <c r="E7" t="str">
        <f>VLOOKUP($A7,財務比率季表!$A$6:$I$96,E$2,0)</f>
        <v>2020.1Q</v>
      </c>
      <c r="F7" t="str">
        <f>VLOOKUP($A7,財務比率季表!$A$6:$I$96,F$2,0)</f>
        <v>2020.2Q</v>
      </c>
      <c r="G7" t="str">
        <f>VLOOKUP($A7,財務比率季表!$A$6:$I$96,G$2,0)</f>
        <v>2020.3Q</v>
      </c>
      <c r="H7" t="str">
        <f>VLOOKUP($A7,財務比率季表!$A$6:$I$96,H$2,0)</f>
        <v>2020.4Q</v>
      </c>
      <c r="I7" t="str">
        <f>VLOOKUP($A7,財務比率季表!$A$6:$I$96,I$2,0)</f>
        <v>2021.1Q</v>
      </c>
      <c r="L7" t="str">
        <f>A7</f>
        <v>期別</v>
      </c>
      <c r="M7" t="str">
        <f t="shared" ref="M7:T7" si="2">B7</f>
        <v>2019.2Q</v>
      </c>
      <c r="N7" t="str">
        <f t="shared" si="2"/>
        <v>2019.3Q</v>
      </c>
      <c r="O7" t="str">
        <f t="shared" si="2"/>
        <v>2019.4Q</v>
      </c>
      <c r="P7" t="str">
        <f t="shared" si="2"/>
        <v>2020.1Q</v>
      </c>
      <c r="Q7" t="str">
        <f t="shared" si="2"/>
        <v>2020.2Q</v>
      </c>
      <c r="R7" t="str">
        <f t="shared" si="2"/>
        <v>2020.3Q</v>
      </c>
      <c r="S7" t="str">
        <f t="shared" si="2"/>
        <v>2020.4Q</v>
      </c>
      <c r="T7" t="str">
        <f t="shared" si="2"/>
        <v>2021.1Q</v>
      </c>
      <c r="W7" t="s">
        <v>3766</v>
      </c>
      <c r="X7" t="s">
        <v>3767</v>
      </c>
      <c r="Y7" t="s">
        <v>3770</v>
      </c>
      <c r="Z7" t="s">
        <v>3867</v>
      </c>
      <c r="AA7" t="s">
        <v>3868</v>
      </c>
      <c r="AD7" t="s">
        <v>3821</v>
      </c>
      <c r="AE7" t="s">
        <v>3822</v>
      </c>
      <c r="AF7" t="s">
        <v>3823</v>
      </c>
      <c r="AG7" t="s">
        <v>3824</v>
      </c>
      <c r="AH7" t="s">
        <v>3825</v>
      </c>
      <c r="AI7" t="s">
        <v>3826</v>
      </c>
      <c r="AJ7" t="s">
        <v>3827</v>
      </c>
      <c r="AK7" t="s">
        <v>3828</v>
      </c>
      <c r="AL7" t="s">
        <v>3829</v>
      </c>
      <c r="AM7" t="s">
        <v>3830</v>
      </c>
      <c r="AN7" t="s">
        <v>3831</v>
      </c>
      <c r="AQ7" t="s">
        <v>3833</v>
      </c>
      <c r="AR7" t="s">
        <v>3834</v>
      </c>
      <c r="AS7" t="s">
        <v>3835</v>
      </c>
      <c r="AT7" t="s">
        <v>3836</v>
      </c>
      <c r="AU7" t="s">
        <v>3837</v>
      </c>
      <c r="AV7" t="s">
        <v>3838</v>
      </c>
      <c r="AY7" t="str">
        <f>"日K!$A$6:$F$"&amp;日K!$E$3+5</f>
        <v>日K!$A$6:$F$6843</v>
      </c>
      <c r="AZ7" t="s">
        <v>3840</v>
      </c>
      <c r="BA7" t="s">
        <v>3841</v>
      </c>
      <c r="BB7" t="s">
        <v>3842</v>
      </c>
      <c r="BC7" t="s">
        <v>3843</v>
      </c>
      <c r="BD7" t="s">
        <v>3844</v>
      </c>
      <c r="BE7" t="s">
        <v>3845</v>
      </c>
      <c r="BF7" t="s">
        <v>3848</v>
      </c>
      <c r="BJ7" t="str">
        <f>BJ5&amp;"MA"</f>
        <v>5MA</v>
      </c>
      <c r="BN7" t="str">
        <f>BN5&amp;"MA"</f>
        <v>20MA</v>
      </c>
      <c r="BR7" t="str">
        <f>BR5&amp;"MA"</f>
        <v>60MA</v>
      </c>
      <c r="BT7" t="s">
        <v>3852</v>
      </c>
      <c r="BU7" t="s">
        <v>3853</v>
      </c>
      <c r="BV7" t="s">
        <v>3854</v>
      </c>
      <c r="BW7" t="s">
        <v>3855</v>
      </c>
      <c r="BY7" t="str">
        <f>IF($BZ$5="MA",BJ7,BT7)</f>
        <v>5MA</v>
      </c>
      <c r="BZ7" t="str">
        <f>IF($BZ$5="MA",BN7,BV7)</f>
        <v>20MA</v>
      </c>
      <c r="CA7" t="str">
        <f>IF($BZ$5="MA",BR7,BW7)</f>
        <v>60MA</v>
      </c>
      <c r="CD7" t="str">
        <f>"周K!$A$6:$F$"&amp;周K!$E$3+5</f>
        <v>周K!$A$6:$F$425</v>
      </c>
      <c r="CE7" t="s">
        <v>3840</v>
      </c>
      <c r="CF7" t="s">
        <v>3841</v>
      </c>
      <c r="CG7" t="s">
        <v>3842</v>
      </c>
      <c r="CH7" t="s">
        <v>3843</v>
      </c>
      <c r="CI7" t="s">
        <v>3844</v>
      </c>
      <c r="CJ7" t="s">
        <v>3845</v>
      </c>
      <c r="CK7" t="s">
        <v>3848</v>
      </c>
      <c r="CO7" t="str">
        <f>CO5&amp;"MA"</f>
        <v>5MA</v>
      </c>
      <c r="CS7" t="str">
        <f>CS5&amp;"MA"</f>
        <v>20MA</v>
      </c>
      <c r="CW7" t="str">
        <f>CW5&amp;"MA"</f>
        <v>60MA</v>
      </c>
      <c r="CY7" t="s">
        <v>3860</v>
      </c>
      <c r="CZ7" t="s">
        <v>3861</v>
      </c>
      <c r="DA7" t="s">
        <v>3862</v>
      </c>
      <c r="DB7" t="s">
        <v>3863</v>
      </c>
      <c r="DC7" t="s">
        <v>3859</v>
      </c>
      <c r="DD7" t="s">
        <v>3864</v>
      </c>
    </row>
    <row r="8" spans="1:108" x14ac:dyDescent="0.25">
      <c r="A8" t="s">
        <v>29</v>
      </c>
      <c r="B8">
        <f>VLOOKUP($A8,財務比率季表!$A$6:$I$96,B$2,0)</f>
        <v>43.02</v>
      </c>
      <c r="C8">
        <f>VLOOKUP($A8,財務比率季表!$A$6:$I$96,C$2,0)</f>
        <v>47.58</v>
      </c>
      <c r="D8">
        <f>VLOOKUP($A8,財務比率季表!$A$6:$I$96,D$2,0)</f>
        <v>50.2</v>
      </c>
      <c r="E8">
        <f>VLOOKUP($A8,財務比率季表!$A$6:$I$96,E$2,0)</f>
        <v>51.77</v>
      </c>
      <c r="F8">
        <f>VLOOKUP($A8,財務比率季表!$A$6:$I$96,F$2,0)</f>
        <v>53.01</v>
      </c>
      <c r="G8">
        <f>VLOOKUP($A8,財務比率季表!$A$6:$I$96,G$2,0)</f>
        <v>53.44</v>
      </c>
      <c r="H8">
        <f>VLOOKUP($A8,財務比率季表!$A$6:$I$96,H$2,0)</f>
        <v>53.99</v>
      </c>
      <c r="I8">
        <f>VLOOKUP($A8,財務比率季表!$A$6:$I$96,I$2,0)</f>
        <v>52.36</v>
      </c>
      <c r="L8" t="s">
        <v>151</v>
      </c>
      <c r="M8">
        <f>VLOOKUP($L8,現金流量季表!$A$6:$I$103,M$2,0)</f>
        <v>117761</v>
      </c>
      <c r="N8">
        <f>VLOOKUP($L8,現金流量季表!$A$6:$I$103,N$2,0)</f>
        <v>141753</v>
      </c>
      <c r="O8">
        <f>VLOOKUP($L8,現金流量季表!$A$6:$I$103,O$2,0)</f>
        <v>202954</v>
      </c>
      <c r="P8">
        <f>VLOOKUP($L8,現金流量季表!$A$6:$I$103,P$2,0)</f>
        <v>203029</v>
      </c>
      <c r="Q8">
        <f>VLOOKUP($L8,現金流量季表!$A$6:$I$103,Q$2,0)</f>
        <v>170335</v>
      </c>
      <c r="R8">
        <f>VLOOKUP($L8,現金流量季表!$A$6:$I$103,R$2,0)</f>
        <v>190171</v>
      </c>
      <c r="S8">
        <f>VLOOKUP($L8,現金流量季表!$A$6:$I$103,S$2,0)</f>
        <v>259131</v>
      </c>
      <c r="T8">
        <f>VLOOKUP($L8,現金流量季表!$A$6:$I$103,T$2,0)</f>
        <v>227816</v>
      </c>
      <c r="V8">
        <f>ROW()</f>
        <v>8</v>
      </c>
      <c r="W8" t="str">
        <f>HLOOKUP(W$7,月營收!$A$11:$G$48,38-$V8+8,0)</f>
        <v>107/06</v>
      </c>
      <c r="X8" s="8">
        <f>HLOOKUP(X$7,月營收!$A$11:$G$48,38-$V8+8,0)/1000</f>
        <v>70438.297999999995</v>
      </c>
      <c r="Y8" s="11">
        <f>HLOOKUP(Y$7,月營收!$A$11:$G$48,38-$V8+8,0)</f>
        <v>-0.1633</v>
      </c>
      <c r="Z8" t="e">
        <f>IF(Y8&gt;=$AA$5,Y8,NA())</f>
        <v>#N/A</v>
      </c>
      <c r="AA8">
        <f>IF(Y8&lt;$AA$5,Y8,NA())</f>
        <v>-0.1633</v>
      </c>
      <c r="AC8">
        <v>4</v>
      </c>
      <c r="AD8" t="str">
        <f ca="1">OFFSET(股利政策與本益比!A$11,$AC8,0)</f>
        <v>∟</v>
      </c>
      <c r="AE8">
        <f ca="1">OFFSET(股利政策與本益比!D$11,$AC8,0)</f>
        <v>2.5</v>
      </c>
      <c r="AF8">
        <f ca="1">OFFSET(股利政策與本益比!G$11,$AC8,0)</f>
        <v>0</v>
      </c>
      <c r="AG8" t="str">
        <f ca="1">OFFSET(股利政策與本益比!N$11,$AC8,0)</f>
        <v>-</v>
      </c>
      <c r="AH8" t="str">
        <f ca="1">OFFSET(股利政策與本益比!O$11,$AC8,0)</f>
        <v>-</v>
      </c>
      <c r="AI8">
        <f ca="1">OFFSET(股利政策與本益比!U$10,$AC8,0)</f>
        <v>17.55</v>
      </c>
      <c r="AJ8">
        <f ca="1">AE8+AF8</f>
        <v>2.5</v>
      </c>
      <c r="AK8" s="11" t="e">
        <f ca="1">AJ8/AH8</f>
        <v>#VALUE!</v>
      </c>
      <c r="AL8" s="11" t="e">
        <f ca="1">AJ8/AG8</f>
        <v>#VALUE!</v>
      </c>
      <c r="AM8" s="7" t="e">
        <f ca="1">AG8/AI8</f>
        <v>#VALUE!</v>
      </c>
      <c r="AN8" s="7" t="e">
        <f ca="1">AH8/AI8</f>
        <v>#VALUE!</v>
      </c>
      <c r="AQ8" s="3">
        <f>神秘金字塔!E7-神秘金字塔!E9</f>
        <v>29192</v>
      </c>
      <c r="AR8" s="10">
        <f>AQ8/神秘金字塔!E9</f>
        <v>3.0001592986747379E-2</v>
      </c>
      <c r="AS8">
        <f>神秘金字塔!H7</f>
        <v>90.53</v>
      </c>
      <c r="AT8" s="12">
        <f>神秘金字塔!H7-神秘金字塔!H9</f>
        <v>-0.17999999999999261</v>
      </c>
      <c r="AU8">
        <f>神秘金字塔!N7</f>
        <v>88.2</v>
      </c>
      <c r="AV8" s="12">
        <f>神秘金字塔!N7-神秘金字塔!N9</f>
        <v>-0.14999999999999147</v>
      </c>
      <c r="AY8" t="str">
        <f>"日K!A"&amp;日K!$E$3-239+1+BF8-8</f>
        <v>日K!A6600</v>
      </c>
      <c r="AZ8" s="4">
        <f ca="1">INDIRECT($AY$8)</f>
        <v>44040</v>
      </c>
      <c r="BA8" s="13">
        <f ca="1">VLOOKUP($AZ8,INDIRECT($AY$7),2,0)</f>
        <v>455.4513</v>
      </c>
      <c r="BB8" s="13">
        <f ca="1">VLOOKUP($AZ8,INDIRECT($AY$7),3,0)</f>
        <v>457.90530000000001</v>
      </c>
      <c r="BC8" s="13">
        <f ca="1">VLOOKUP($AZ8,INDIRECT($AY$7),4,0)</f>
        <v>420.60539999999997</v>
      </c>
      <c r="BD8" s="13">
        <f ca="1">VLOOKUP($AZ8,INDIRECT($AY$7),5,0)</f>
        <v>426.98559999999998</v>
      </c>
      <c r="BE8" s="13">
        <f ca="1">VLOOKUP($AZ8,INDIRECT($AY$7),6,0)</f>
        <v>172158</v>
      </c>
      <c r="BF8">
        <f>ROW()</f>
        <v>8</v>
      </c>
      <c r="BH8" t="str">
        <f>"BC"&amp;$BF8-BJ$5+1&amp;":"&amp;"BC"&amp;$BF8</f>
        <v>BC4:BC8</v>
      </c>
      <c r="BI8">
        <f t="shared" ref="BI8:BI11" si="3">$BF8-BJ$5-7</f>
        <v>-4</v>
      </c>
      <c r="BJ8" t="e">
        <f ca="1">IF(BI8&gt;=0,AVERAGE(INDIRECT(BH8)),NA())</f>
        <v>#N/A</v>
      </c>
      <c r="BL8" t="str">
        <f>"BC"&amp;$BF8-BN$5+1&amp;":"&amp;"BC"&amp;$BF8</f>
        <v>BC-11:BC8</v>
      </c>
      <c r="BM8">
        <f t="shared" ref="BM8:BM11" si="4">$BF8-BN$5-7</f>
        <v>-19</v>
      </c>
      <c r="BN8" t="e">
        <f ca="1">IF(BM8&gt;=0,AVERAGE(INDIRECT(BL8)),NA())</f>
        <v>#N/A</v>
      </c>
      <c r="BP8" t="str">
        <f>"BC"&amp;$BF8-BR$5+1&amp;":"&amp;"BC"&amp;$BF8</f>
        <v>BC-51:BC8</v>
      </c>
      <c r="BQ8">
        <f t="shared" ref="BQ8:BQ11" si="5">$BF8-BR$5-7</f>
        <v>-59</v>
      </c>
      <c r="BR8" t="e">
        <f ca="1">IF(BQ8&gt;=0,AVERAGE(INDIRECT(BP8)),NA())</f>
        <v>#N/A</v>
      </c>
      <c r="BT8" t="e">
        <f>NA()</f>
        <v>#N/A</v>
      </c>
      <c r="BU8" t="e">
        <f>NA()</f>
        <v>#N/A</v>
      </c>
      <c r="BV8" t="e">
        <f>NA()</f>
        <v>#N/A</v>
      </c>
      <c r="BW8" t="e">
        <f>NA()</f>
        <v>#N/A</v>
      </c>
      <c r="BY8" t="e">
        <f t="shared" ref="BY8:BY71" ca="1" si="6">IF($BZ$5="MA",BJ8,BT8)</f>
        <v>#N/A</v>
      </c>
      <c r="BZ8" t="e">
        <f t="shared" ref="BZ8:BZ71" ca="1" si="7">IF($BZ$5="MA",BN8,BV8)</f>
        <v>#N/A</v>
      </c>
      <c r="CA8" t="e">
        <f t="shared" ref="CA8:CA71" ca="1" si="8">IF($BZ$5="MA",BR8,BW8)</f>
        <v>#N/A</v>
      </c>
      <c r="CD8" t="str">
        <f>IF(周K!$E$3+CK8-12&gt;工作底稿!$CE$5,"周K!A"&amp;周K!$E$3-$CE$5+1+CK8-8,0)</f>
        <v>周K!A168</v>
      </c>
      <c r="CE8" s="4">
        <f ca="1">IF($CD8=0,"",INDIRECT(CD8))</f>
        <v>42590</v>
      </c>
      <c r="CF8" s="13">
        <f ca="1">IF($CD8=0,"",VLOOKUP($CE8,周K!$A$6:$F$6842,2,0))</f>
        <v>178</v>
      </c>
      <c r="CG8" s="13">
        <f ca="1">IF($CD8=0,"",VLOOKUP($CE8,周K!$A$6:$F$6842,3,0))</f>
        <v>179.5</v>
      </c>
      <c r="CH8" s="13">
        <f ca="1">IF($CD8=0,"",VLOOKUP($CE8,周K!$A$6:$F$6842,4,0))</f>
        <v>175.5</v>
      </c>
      <c r="CI8" s="13">
        <f ca="1">IF($CD8=0,"",VLOOKUP($CE8,周K!$A$6:$F$6842,5,0))</f>
        <v>177.5</v>
      </c>
      <c r="CJ8" s="13">
        <f ca="1">IF($CD8=0,"",VLOOKUP($CE8,周K!$A$6:$F$6842,6,0))</f>
        <v>104196</v>
      </c>
      <c r="CK8">
        <f>ROW()</f>
        <v>8</v>
      </c>
      <c r="CM8" t="str">
        <f>"CG"&amp;$CK8-CO$5+1&amp;":"&amp;"CG"&amp;$CK8</f>
        <v>CG4:CG8</v>
      </c>
      <c r="CN8">
        <f>$CK8-CO$5-7</f>
        <v>-4</v>
      </c>
      <c r="CO8" t="e">
        <f ca="1">IF(CN8&gt;=0,AVERAGE(INDIRECT(CM8)),NA())</f>
        <v>#N/A</v>
      </c>
      <c r="CQ8" t="str">
        <f>"CG"&amp;$CK8-CS$5+1&amp;":"&amp;"CG"&amp;$CK8</f>
        <v>CG-11:CG8</v>
      </c>
      <c r="CR8">
        <f>$CK8-CS$5-7</f>
        <v>-19</v>
      </c>
      <c r="CS8" t="e">
        <f ca="1">IF(CR8&gt;=0,AVERAGE(INDIRECT(CQ8)),NA())</f>
        <v>#N/A</v>
      </c>
      <c r="CU8" t="str">
        <f>"CG"&amp;$CK8-CW$5+1&amp;":"&amp;"CG"&amp;$CK8</f>
        <v>CG-51:CG8</v>
      </c>
      <c r="CV8">
        <f>$CK8-CW$5-7</f>
        <v>-59</v>
      </c>
      <c r="CW8" t="e">
        <f ca="1">IF(CV8&gt;=0,AVERAGE(INDIRECT(CU8)),NA())</f>
        <v>#N/A</v>
      </c>
      <c r="CY8">
        <f ca="1">(BB8+BC8+2*BD8)/4</f>
        <v>433.120475</v>
      </c>
      <c r="CZ8" t="e">
        <f>NA()</f>
        <v>#N/A</v>
      </c>
      <c r="DA8" t="e">
        <f>NA()</f>
        <v>#N/A</v>
      </c>
      <c r="DB8" t="e">
        <f>NA()</f>
        <v>#N/A</v>
      </c>
      <c r="DC8" t="e">
        <f>NA()</f>
        <v>#N/A</v>
      </c>
      <c r="DD8" t="e">
        <f>NA()</f>
        <v>#N/A</v>
      </c>
    </row>
    <row r="9" spans="1:108" x14ac:dyDescent="0.25">
      <c r="A9" t="s">
        <v>31</v>
      </c>
      <c r="B9">
        <f>VLOOKUP($A9,財務比率季表!$A$6:$I$96,B$2,0)</f>
        <v>31.66</v>
      </c>
      <c r="C9">
        <f>VLOOKUP($A9,財務比率季表!$A$6:$I$96,C$2,0)</f>
        <v>36.82</v>
      </c>
      <c r="D9">
        <f>VLOOKUP($A9,財務比率季表!$A$6:$I$96,D$2,0)</f>
        <v>39.159999999999997</v>
      </c>
      <c r="E9">
        <f>VLOOKUP($A9,財務比率季表!$A$6:$I$96,E$2,0)</f>
        <v>41.38</v>
      </c>
      <c r="F9">
        <f>VLOOKUP($A9,財務比率季表!$A$6:$I$96,F$2,0)</f>
        <v>42.19</v>
      </c>
      <c r="G9">
        <f>VLOOKUP($A9,財務比率季表!$A$6:$I$96,G$2,0)</f>
        <v>42.1</v>
      </c>
      <c r="H9">
        <f>VLOOKUP($A9,財務比率季表!$A$6:$I$96,H$2,0)</f>
        <v>43.46</v>
      </c>
      <c r="I9">
        <f>VLOOKUP($A9,財務比率季表!$A$6:$I$96,I$2,0)</f>
        <v>41.54</v>
      </c>
      <c r="L9" t="s">
        <v>167</v>
      </c>
      <c r="M9">
        <f>VLOOKUP($L9,現金流量季表!$A$6:$I$103,M$2,0)</f>
        <v>-114718</v>
      </c>
      <c r="N9">
        <f>VLOOKUP($L9,現金流量季表!$A$6:$I$103,N$2,0)</f>
        <v>-108290</v>
      </c>
      <c r="O9">
        <f>VLOOKUP($L9,現金流量季表!$A$6:$I$103,O$2,0)</f>
        <v>-171605</v>
      </c>
      <c r="P9">
        <f>VLOOKUP($L9,現金流量季表!$A$6:$I$103,P$2,0)</f>
        <v>-188993</v>
      </c>
      <c r="Q9">
        <f>VLOOKUP($L9,現金流量季表!$A$6:$I$103,Q$2,0)</f>
        <v>-129750</v>
      </c>
      <c r="R9">
        <f>VLOOKUP($L9,現金流量季表!$A$6:$I$103,R$2,0)</f>
        <v>-96080</v>
      </c>
      <c r="S9">
        <f>VLOOKUP($L9,現金流量季表!$A$6:$I$103,S$2,0)</f>
        <v>-90959</v>
      </c>
      <c r="T9">
        <f>VLOOKUP($L9,現金流量季表!$A$6:$I$103,T$2,0)</f>
        <v>-244251</v>
      </c>
      <c r="V9">
        <f>ROW()</f>
        <v>9</v>
      </c>
      <c r="W9" t="str">
        <f>HLOOKUP(W$7,月營收!$A$11:$G$48,38-$V9+8,0)</f>
        <v>107/07</v>
      </c>
      <c r="X9" s="8">
        <f>HLOOKUP(X$7,月營收!$A$11:$G$48,38-$V9+8,0)/1000</f>
        <v>74370.923999999999</v>
      </c>
      <c r="Y9" s="11">
        <f>HLOOKUP(Y$7,月營收!$A$11:$G$48,38-$V9+8,0)</f>
        <v>3.85E-2</v>
      </c>
      <c r="Z9" t="e">
        <f t="shared" ref="Z9:Z44" si="9">IF(Y9&gt;=$AA$5,Y9,NA())</f>
        <v>#N/A</v>
      </c>
      <c r="AA9">
        <f t="shared" ref="AA9:AA44" si="10">IF(Y9&lt;$AA$5,Y9,NA())</f>
        <v>3.85E-2</v>
      </c>
      <c r="AC9">
        <v>3</v>
      </c>
      <c r="AD9">
        <f ca="1">OFFSET(股利政策與本益比!A$11,$AC9,0)</f>
        <v>2020</v>
      </c>
      <c r="AE9">
        <f ca="1">OFFSET(股利政策與本益比!D$11,$AC9,0)</f>
        <v>10</v>
      </c>
      <c r="AF9">
        <f ca="1">OFFSET(股利政策與本益比!G$11,$AC9,0)</f>
        <v>0</v>
      </c>
      <c r="AG9">
        <f ca="1">OFFSET(股利政策與本益比!N$11,$AC9,0)</f>
        <v>530</v>
      </c>
      <c r="AH9">
        <f ca="1">OFFSET(股利政策與本益比!O$11,$AC9,0)</f>
        <v>235.5</v>
      </c>
      <c r="AI9">
        <f ca="1">OFFSET(股利政策與本益比!U$10,$AC9,0)</f>
        <v>5.3</v>
      </c>
      <c r="AJ9">
        <f t="shared" ref="AJ9:AJ12" ca="1" si="11">AE9+AF9</f>
        <v>10</v>
      </c>
      <c r="AK9" s="11">
        <f t="shared" ref="AK9:AK12" ca="1" si="12">AJ9/AH9</f>
        <v>4.2462845010615709E-2</v>
      </c>
      <c r="AL9" s="11">
        <f t="shared" ref="AL9:AL12" ca="1" si="13">AJ9/AG9</f>
        <v>1.8867924528301886E-2</v>
      </c>
      <c r="AM9" s="7">
        <f t="shared" ref="AM9:AM12" ca="1" si="14">AG9/AI9</f>
        <v>100</v>
      </c>
      <c r="AN9" s="7">
        <f t="shared" ref="AN9:AN12" ca="1" si="15">AH9/AI9</f>
        <v>44.433962264150942</v>
      </c>
      <c r="AY9" t="str">
        <f>"日K!A"&amp;日K!$E$3-239+1+BF9-8</f>
        <v>日K!A6601</v>
      </c>
      <c r="AZ9" s="4">
        <f t="shared" ref="AZ9:AZ72" ca="1" si="16">INDIRECT(AY9)</f>
        <v>44041</v>
      </c>
      <c r="BA9" s="13">
        <f t="shared" ref="BA9:BA72" ca="1" si="17">VLOOKUP($AZ9,INDIRECT($AY$7),2,0)</f>
        <v>420.1146</v>
      </c>
      <c r="BB9" s="13">
        <f t="shared" ref="BB9:BB72" ca="1" si="18">VLOOKUP($AZ9,INDIRECT($AY$7),3,0)</f>
        <v>423.55009999999999</v>
      </c>
      <c r="BC9" s="13">
        <f t="shared" ref="BC9:BC72" ca="1" si="19">VLOOKUP($AZ9,INDIRECT($AY$7),4,0)</f>
        <v>411.77120000000002</v>
      </c>
      <c r="BD9" s="13">
        <f t="shared" ref="BD9:BD72" ca="1" si="20">VLOOKUP($AZ9,INDIRECT($AY$7),5,0)</f>
        <v>414.2251</v>
      </c>
      <c r="BE9" s="13">
        <f t="shared" ref="BE9:BE72" ca="1" si="21">VLOOKUP($AZ9,INDIRECT($AY$7),6,0)</f>
        <v>88641</v>
      </c>
      <c r="BF9">
        <f>ROW()</f>
        <v>9</v>
      </c>
      <c r="BH9" t="str">
        <f t="shared" ref="BH9:BH72" si="22">"BC"&amp;$BF9-BJ$5+1&amp;":"&amp;"BC"&amp;$BF9</f>
        <v>BC5:BC9</v>
      </c>
      <c r="BI9">
        <f t="shared" si="3"/>
        <v>-3</v>
      </c>
      <c r="BJ9" t="e">
        <f t="shared" ref="BJ9:BJ72" ca="1" si="23">IF(BI9&gt;=0,AVERAGE(INDIRECT(BH9)),NA())</f>
        <v>#N/A</v>
      </c>
      <c r="BL9" t="str">
        <f t="shared" ref="BL9:BL72" si="24">"BC"&amp;$BF9-BN$5+1&amp;":"&amp;"BC"&amp;$BF9</f>
        <v>BC-10:BC9</v>
      </c>
      <c r="BM9">
        <f t="shared" si="4"/>
        <v>-18</v>
      </c>
      <c r="BN9" t="e">
        <f t="shared" ref="BN9:BN72" ca="1" si="25">IF(BM9&gt;=0,AVERAGE(INDIRECT(BL9)),NA())</f>
        <v>#N/A</v>
      </c>
      <c r="BP9" t="str">
        <f t="shared" ref="BP9:BP72" si="26">"BC"&amp;$BF9-BR$5+1&amp;":"&amp;"BC"&amp;$BF9</f>
        <v>BC-50:BC9</v>
      </c>
      <c r="BQ9">
        <f t="shared" si="5"/>
        <v>-58</v>
      </c>
      <c r="BR9" t="e">
        <f t="shared" ref="BR9:BR72" ca="1" si="27">IF(BQ9&gt;=0,AVERAGE(INDIRECT(BP9)),NA())</f>
        <v>#N/A</v>
      </c>
      <c r="BT9" t="e">
        <f>NA()</f>
        <v>#N/A</v>
      </c>
      <c r="BU9" t="e">
        <f>NA()</f>
        <v>#N/A</v>
      </c>
      <c r="BV9" t="e">
        <f>NA()</f>
        <v>#N/A</v>
      </c>
      <c r="BW9" t="e">
        <f>NA()</f>
        <v>#N/A</v>
      </c>
      <c r="BY9" t="e">
        <f t="shared" ca="1" si="6"/>
        <v>#N/A</v>
      </c>
      <c r="BZ9" t="e">
        <f t="shared" ca="1" si="7"/>
        <v>#N/A</v>
      </c>
      <c r="CA9" t="e">
        <f t="shared" ca="1" si="8"/>
        <v>#N/A</v>
      </c>
      <c r="CD9" t="str">
        <f>IF(周K!$E$3+CK9-12&gt;工作底稿!$CE$5,"周K!A"&amp;周K!$E$3-$CE$5+1+CK9-8,0)</f>
        <v>周K!A169</v>
      </c>
      <c r="CE9" s="4">
        <f t="shared" ref="CE9:CE72" ca="1" si="28">IF($CD9=0,"",INDIRECT(CD9))</f>
        <v>42597</v>
      </c>
      <c r="CF9" s="13">
        <f ca="1">IF($CD9=0,"",VLOOKUP($CE9,周K!$A$6:$F$6842,2,0))</f>
        <v>178.5</v>
      </c>
      <c r="CG9" s="13">
        <f ca="1">IF($CD9=0,"",VLOOKUP($CE9,周K!$A$6:$F$6842,3,0))</f>
        <v>179</v>
      </c>
      <c r="CH9" s="13">
        <f ca="1">IF($CD9=0,"",VLOOKUP($CE9,周K!$A$6:$F$6842,4,0))</f>
        <v>174</v>
      </c>
      <c r="CI9" s="13">
        <f ca="1">IF($CD9=0,"",VLOOKUP($CE9,周K!$A$6:$F$6842,5,0))</f>
        <v>174.5</v>
      </c>
      <c r="CJ9" s="13">
        <f ca="1">IF($CD9=0,"",VLOOKUP($CE9,周K!$A$6:$F$6842,6,0))</f>
        <v>123511</v>
      </c>
      <c r="CK9">
        <f>ROW()</f>
        <v>9</v>
      </c>
      <c r="CM9" t="str">
        <f t="shared" ref="CM9:CM72" si="29">"CG"&amp;$CK9-CO$5+1&amp;":"&amp;"CG"&amp;$CK9</f>
        <v>CG5:CG9</v>
      </c>
      <c r="CN9">
        <f t="shared" ref="CN9:CN72" si="30">$CK9-CO$5-7</f>
        <v>-3</v>
      </c>
      <c r="CO9" t="e">
        <f t="shared" ref="CO9:CO72" ca="1" si="31">IF(CN9&gt;=0,AVERAGE(INDIRECT(CM9)),NA())</f>
        <v>#N/A</v>
      </c>
      <c r="CQ9" t="str">
        <f t="shared" ref="CQ9:CQ72" si="32">"CG"&amp;$CK9-CS$5+1&amp;":"&amp;"CG"&amp;$CK9</f>
        <v>CG-10:CG9</v>
      </c>
      <c r="CR9">
        <f t="shared" ref="CR9:CR72" si="33">$CK9-CS$5-7</f>
        <v>-18</v>
      </c>
      <c r="CS9" t="e">
        <f t="shared" ref="CS9:CS72" ca="1" si="34">IF(CR9&gt;=0,AVERAGE(INDIRECT(CQ9)),NA())</f>
        <v>#N/A</v>
      </c>
      <c r="CU9" t="str">
        <f t="shared" ref="CU9:CU72" si="35">"CG"&amp;$CK9-CW$5+1&amp;":"&amp;"CG"&amp;$CK9</f>
        <v>CG-50:CG9</v>
      </c>
      <c r="CV9">
        <f t="shared" ref="CV9:CV72" si="36">$CK9-CW$5-7</f>
        <v>-58</v>
      </c>
      <c r="CW9" t="e">
        <f t="shared" ref="CW9:CW72" ca="1" si="37">IF(CV9&gt;=0,AVERAGE(INDIRECT(CU9)),NA())</f>
        <v>#N/A</v>
      </c>
      <c r="CY9">
        <f t="shared" ref="CY9:CY72" ca="1" si="38">(BB9+BC9+2*BD9)/4</f>
        <v>415.94287500000002</v>
      </c>
      <c r="CZ9" t="e">
        <f>NA()</f>
        <v>#N/A</v>
      </c>
      <c r="DA9" t="e">
        <f>NA()</f>
        <v>#N/A</v>
      </c>
      <c r="DB9" t="e">
        <f>NA()</f>
        <v>#N/A</v>
      </c>
      <c r="DC9" t="e">
        <f>NA()</f>
        <v>#N/A</v>
      </c>
      <c r="DD9" t="e">
        <f>NA()</f>
        <v>#N/A</v>
      </c>
    </row>
    <row r="10" spans="1:108" x14ac:dyDescent="0.25">
      <c r="A10" t="s">
        <v>32</v>
      </c>
      <c r="B10">
        <f>VLOOKUP($A10,財務比率季表!$A$6:$I$96,B$2,0)</f>
        <v>33.42</v>
      </c>
      <c r="C10">
        <f>VLOOKUP($A10,財務比率季表!$A$6:$I$96,C$2,0)</f>
        <v>38.33</v>
      </c>
      <c r="D10">
        <f>VLOOKUP($A10,財務比率季表!$A$6:$I$96,D$2,0)</f>
        <v>40.590000000000003</v>
      </c>
      <c r="E10">
        <f>VLOOKUP($A10,財務比率季表!$A$6:$I$96,E$2,0)</f>
        <v>42.55</v>
      </c>
      <c r="F10">
        <f>VLOOKUP($A10,財務比率季表!$A$6:$I$96,F$2,0)</f>
        <v>43.9</v>
      </c>
      <c r="G10">
        <f>VLOOKUP($A10,財務比率季表!$A$6:$I$96,G$2,0)</f>
        <v>43.52</v>
      </c>
      <c r="H10">
        <f>VLOOKUP($A10,財務比率季表!$A$6:$I$96,H$2,0)</f>
        <v>44.56</v>
      </c>
      <c r="I10">
        <f>VLOOKUP($A10,財務比率季表!$A$6:$I$96,I$2,0)</f>
        <v>42.79</v>
      </c>
      <c r="L10" t="s">
        <v>3866</v>
      </c>
      <c r="M10">
        <f>M8+M9</f>
        <v>3043</v>
      </c>
      <c r="N10">
        <f t="shared" ref="N10:T10" si="39">N8+N9</f>
        <v>33463</v>
      </c>
      <c r="O10">
        <f t="shared" si="39"/>
        <v>31349</v>
      </c>
      <c r="P10">
        <f t="shared" si="39"/>
        <v>14036</v>
      </c>
      <c r="Q10">
        <f t="shared" si="39"/>
        <v>40585</v>
      </c>
      <c r="R10">
        <f t="shared" si="39"/>
        <v>94091</v>
      </c>
      <c r="S10">
        <f t="shared" si="39"/>
        <v>168172</v>
      </c>
      <c r="T10">
        <f t="shared" si="39"/>
        <v>-16435</v>
      </c>
      <c r="V10">
        <f>ROW()</f>
        <v>10</v>
      </c>
      <c r="W10" t="str">
        <f>HLOOKUP(W$7,月營收!$A$11:$G$48,38-$V10+8,0)</f>
        <v>107/08</v>
      </c>
      <c r="X10" s="8">
        <f>HLOOKUP(X$7,月營收!$A$11:$G$48,38-$V10+8,0)/1000</f>
        <v>91055.038</v>
      </c>
      <c r="Y10" s="11">
        <f>HLOOKUP(Y$7,月營收!$A$11:$G$48,38-$V10+8,0)</f>
        <v>-9.4000000000000004E-3</v>
      </c>
      <c r="Z10" t="e">
        <f t="shared" si="9"/>
        <v>#N/A</v>
      </c>
      <c r="AA10">
        <f t="shared" si="10"/>
        <v>-9.4000000000000004E-3</v>
      </c>
      <c r="AC10">
        <v>2</v>
      </c>
      <c r="AD10" t="str">
        <f ca="1">OFFSET(股利政策與本益比!A$11,$AC10,0)</f>
        <v>∟</v>
      </c>
      <c r="AE10">
        <f ca="1">OFFSET(股利政策與本益比!D$11,$AC10,0)</f>
        <v>2.5</v>
      </c>
      <c r="AF10">
        <f ca="1">OFFSET(股利政策與本益比!G$11,$AC10,0)</f>
        <v>0</v>
      </c>
      <c r="AG10" t="str">
        <f ca="1">OFFSET(股利政策與本益比!N$11,$AC10,0)</f>
        <v>-</v>
      </c>
      <c r="AH10" t="str">
        <f ca="1">OFFSET(股利政策與本益比!O$11,$AC10,0)</f>
        <v>-</v>
      </c>
      <c r="AI10">
        <f ca="1">OFFSET(股利政策與本益比!U$10,$AC10,0)</f>
        <v>5.51</v>
      </c>
      <c r="AJ10">
        <f t="shared" ca="1" si="11"/>
        <v>2.5</v>
      </c>
      <c r="AK10" s="11" t="e">
        <f t="shared" ca="1" si="12"/>
        <v>#VALUE!</v>
      </c>
      <c r="AL10" s="11" t="e">
        <f t="shared" ca="1" si="13"/>
        <v>#VALUE!</v>
      </c>
      <c r="AM10" s="7" t="e">
        <f t="shared" ca="1" si="14"/>
        <v>#VALUE!</v>
      </c>
      <c r="AN10" s="7" t="e">
        <f t="shared" ca="1" si="15"/>
        <v>#VALUE!</v>
      </c>
      <c r="AY10" t="str">
        <f>"日K!A"&amp;日K!$E$3-239+1+BF10-8</f>
        <v>日K!A6602</v>
      </c>
      <c r="AZ10" s="4">
        <f t="shared" ca="1" si="16"/>
        <v>44042</v>
      </c>
      <c r="BA10" s="13">
        <f t="shared" ca="1" si="17"/>
        <v>428.45800000000003</v>
      </c>
      <c r="BB10" s="13">
        <f t="shared" ca="1" si="18"/>
        <v>432.87509999999997</v>
      </c>
      <c r="BC10" s="13">
        <f t="shared" ca="1" si="19"/>
        <v>420.60539999999997</v>
      </c>
      <c r="BD10" s="13">
        <f t="shared" ca="1" si="20"/>
        <v>426.00409999999999</v>
      </c>
      <c r="BE10" s="13">
        <f t="shared" ca="1" si="21"/>
        <v>69937</v>
      </c>
      <c r="BF10">
        <f>ROW()</f>
        <v>10</v>
      </c>
      <c r="BH10" t="str">
        <f t="shared" si="22"/>
        <v>BC6:BC10</v>
      </c>
      <c r="BI10">
        <f t="shared" si="3"/>
        <v>-2</v>
      </c>
      <c r="BJ10" t="e">
        <f t="shared" ca="1" si="23"/>
        <v>#N/A</v>
      </c>
      <c r="BL10" t="str">
        <f t="shared" si="24"/>
        <v>BC-9:BC10</v>
      </c>
      <c r="BM10">
        <f t="shared" si="4"/>
        <v>-17</v>
      </c>
      <c r="BN10" t="e">
        <f t="shared" ca="1" si="25"/>
        <v>#N/A</v>
      </c>
      <c r="BP10" t="str">
        <f t="shared" si="26"/>
        <v>BC-49:BC10</v>
      </c>
      <c r="BQ10">
        <f t="shared" si="5"/>
        <v>-57</v>
      </c>
      <c r="BR10" t="e">
        <f t="shared" ca="1" si="27"/>
        <v>#N/A</v>
      </c>
      <c r="BT10" t="e">
        <f>NA()</f>
        <v>#N/A</v>
      </c>
      <c r="BU10" t="e">
        <f>NA()</f>
        <v>#N/A</v>
      </c>
      <c r="BV10" t="e">
        <f>NA()</f>
        <v>#N/A</v>
      </c>
      <c r="BW10" t="e">
        <f>NA()</f>
        <v>#N/A</v>
      </c>
      <c r="BY10" t="e">
        <f t="shared" ca="1" si="6"/>
        <v>#N/A</v>
      </c>
      <c r="BZ10" t="e">
        <f t="shared" ca="1" si="7"/>
        <v>#N/A</v>
      </c>
      <c r="CA10" t="e">
        <f t="shared" ca="1" si="8"/>
        <v>#N/A</v>
      </c>
      <c r="CD10" t="str">
        <f>IF(周K!$E$3+CK10-12&gt;工作底稿!$CE$5,"周K!A"&amp;周K!$E$3-$CE$5+1+CK10-8,0)</f>
        <v>周K!A170</v>
      </c>
      <c r="CE10" s="4">
        <f t="shared" ca="1" si="28"/>
        <v>42604</v>
      </c>
      <c r="CF10" s="13">
        <f ca="1">IF($CD10=0,"",VLOOKUP($CE10,周K!$A$6:$F$6842,2,0))</f>
        <v>173</v>
      </c>
      <c r="CG10" s="13">
        <f ca="1">IF($CD10=0,"",VLOOKUP($CE10,周K!$A$6:$F$6842,3,0))</f>
        <v>177</v>
      </c>
      <c r="CH10" s="13">
        <f ca="1">IF($CD10=0,"",VLOOKUP($CE10,周K!$A$6:$F$6842,4,0))</f>
        <v>171.5</v>
      </c>
      <c r="CI10" s="13">
        <f ca="1">IF($CD10=0,"",VLOOKUP($CE10,周K!$A$6:$F$6842,5,0))</f>
        <v>177</v>
      </c>
      <c r="CJ10" s="13">
        <f ca="1">IF($CD10=0,"",VLOOKUP($CE10,周K!$A$6:$F$6842,6,0))</f>
        <v>95601</v>
      </c>
      <c r="CK10">
        <f>ROW()</f>
        <v>10</v>
      </c>
      <c r="CM10" t="str">
        <f t="shared" si="29"/>
        <v>CG6:CG10</v>
      </c>
      <c r="CN10">
        <f t="shared" si="30"/>
        <v>-2</v>
      </c>
      <c r="CO10" t="e">
        <f t="shared" ca="1" si="31"/>
        <v>#N/A</v>
      </c>
      <c r="CQ10" t="str">
        <f t="shared" si="32"/>
        <v>CG-9:CG10</v>
      </c>
      <c r="CR10">
        <f t="shared" si="33"/>
        <v>-17</v>
      </c>
      <c r="CS10" t="e">
        <f t="shared" ca="1" si="34"/>
        <v>#N/A</v>
      </c>
      <c r="CU10" t="str">
        <f t="shared" si="35"/>
        <v>CG-49:CG10</v>
      </c>
      <c r="CV10">
        <f t="shared" si="36"/>
        <v>-57</v>
      </c>
      <c r="CW10" t="e">
        <f t="shared" ca="1" si="37"/>
        <v>#N/A</v>
      </c>
      <c r="CY10">
        <f t="shared" ca="1" si="38"/>
        <v>426.37217499999997</v>
      </c>
      <c r="CZ10" t="e">
        <f>NA()</f>
        <v>#N/A</v>
      </c>
      <c r="DA10" t="e">
        <f>NA()</f>
        <v>#N/A</v>
      </c>
      <c r="DB10" t="e">
        <f>NA()</f>
        <v>#N/A</v>
      </c>
      <c r="DC10" t="e">
        <f>NA()</f>
        <v>#N/A</v>
      </c>
      <c r="DD10" t="e">
        <f>NA()</f>
        <v>#N/A</v>
      </c>
    </row>
    <row r="11" spans="1:108" x14ac:dyDescent="0.25">
      <c r="A11" t="s">
        <v>44</v>
      </c>
      <c r="B11">
        <f>VLOOKUP($A11,財務比率季表!$A$6:$I$96,B$2,0)</f>
        <v>2.57</v>
      </c>
      <c r="C11">
        <f>VLOOKUP($A11,財務比率季表!$A$6:$I$96,C$2,0)</f>
        <v>3.9</v>
      </c>
      <c r="D11">
        <f>VLOOKUP($A11,財務比率季表!$A$6:$I$96,D$2,0)</f>
        <v>4.47</v>
      </c>
      <c r="E11">
        <f>VLOOKUP($A11,財務比率季表!$A$6:$I$96,E$2,0)</f>
        <v>4.51</v>
      </c>
      <c r="F11">
        <f>VLOOKUP($A11,財務比率季表!$A$6:$I$96,F$2,0)</f>
        <v>4.66</v>
      </c>
      <c r="G11">
        <f>VLOOKUP($A11,財務比率季表!$A$6:$I$96,G$2,0)</f>
        <v>5.3</v>
      </c>
      <c r="H11">
        <f>VLOOKUP($A11,財務比率季表!$A$6:$I$96,H$2,0)</f>
        <v>5.51</v>
      </c>
      <c r="I11">
        <f>VLOOKUP($A11,財務比率季表!$A$6:$I$96,I$2,0)</f>
        <v>5.39</v>
      </c>
      <c r="V11">
        <f>ROW()</f>
        <v>11</v>
      </c>
      <c r="W11" t="str">
        <f>HLOOKUP(W$7,月營收!$A$11:$G$48,38-$V11+8,0)</f>
        <v>107/09</v>
      </c>
      <c r="X11" s="8">
        <f>HLOOKUP(X$7,月營收!$A$11:$G$48,38-$V11+8,0)/1000</f>
        <v>94921.919999999998</v>
      </c>
      <c r="Y11" s="11">
        <f>HLOOKUP(Y$7,月營收!$A$11:$G$48,38-$V11+8,0)</f>
        <v>7.1599999999999997E-2</v>
      </c>
      <c r="Z11" t="e">
        <f t="shared" si="9"/>
        <v>#N/A</v>
      </c>
      <c r="AA11">
        <f t="shared" si="10"/>
        <v>7.1599999999999997E-2</v>
      </c>
      <c r="AC11">
        <v>1</v>
      </c>
      <c r="AD11" t="str">
        <f ca="1">OFFSET(股利政策與本益比!A$11,$AC11,0)</f>
        <v>∟</v>
      </c>
      <c r="AE11">
        <f ca="1">OFFSET(股利政策與本益比!D$11,$AC11,0)</f>
        <v>2.5</v>
      </c>
      <c r="AF11">
        <f ca="1">OFFSET(股利政策與本益比!G$11,$AC11,0)</f>
        <v>0</v>
      </c>
      <c r="AG11" t="str">
        <f ca="1">OFFSET(股利政策與本益比!N$11,$AC11,0)</f>
        <v>-</v>
      </c>
      <c r="AH11" t="str">
        <f ca="1">OFFSET(股利政策與本益比!O$11,$AC11,0)</f>
        <v>-</v>
      </c>
      <c r="AI11">
        <f ca="1">OFFSET(股利政策與本益比!U$10,$AC11,0)</f>
        <v>5.39</v>
      </c>
      <c r="AJ11">
        <f t="shared" ca="1" si="11"/>
        <v>2.5</v>
      </c>
      <c r="AK11" s="11" t="e">
        <f t="shared" ca="1" si="12"/>
        <v>#VALUE!</v>
      </c>
      <c r="AL11" s="11" t="e">
        <f t="shared" ca="1" si="13"/>
        <v>#VALUE!</v>
      </c>
      <c r="AM11" s="7" t="e">
        <f t="shared" ca="1" si="14"/>
        <v>#VALUE!</v>
      </c>
      <c r="AN11" s="7" t="e">
        <f t="shared" ca="1" si="15"/>
        <v>#VALUE!</v>
      </c>
      <c r="AY11" t="str">
        <f>"日K!A"&amp;日K!$E$3-239+1+BF11-8</f>
        <v>日K!A6603</v>
      </c>
      <c r="AZ11" s="4">
        <f t="shared" ca="1" si="16"/>
        <v>44043</v>
      </c>
      <c r="BA11" s="13">
        <f t="shared" ca="1" si="17"/>
        <v>418.15140000000002</v>
      </c>
      <c r="BB11" s="13">
        <f t="shared" ca="1" si="18"/>
        <v>424.04090000000002</v>
      </c>
      <c r="BC11" s="13">
        <f t="shared" ca="1" si="19"/>
        <v>417.66070000000002</v>
      </c>
      <c r="BD11" s="13">
        <f t="shared" ca="1" si="20"/>
        <v>417.66070000000002</v>
      </c>
      <c r="BE11" s="13">
        <f t="shared" ca="1" si="21"/>
        <v>50485</v>
      </c>
      <c r="BF11">
        <f>ROW()</f>
        <v>11</v>
      </c>
      <c r="BH11" t="str">
        <f t="shared" si="22"/>
        <v>BC7:BC11</v>
      </c>
      <c r="BI11">
        <f t="shared" si="3"/>
        <v>-1</v>
      </c>
      <c r="BJ11" t="e">
        <f t="shared" ca="1" si="23"/>
        <v>#N/A</v>
      </c>
      <c r="BL11" t="str">
        <f t="shared" si="24"/>
        <v>BC-8:BC11</v>
      </c>
      <c r="BM11">
        <f t="shared" si="4"/>
        <v>-16</v>
      </c>
      <c r="BN11" t="e">
        <f t="shared" ca="1" si="25"/>
        <v>#N/A</v>
      </c>
      <c r="BP11" t="str">
        <f t="shared" si="26"/>
        <v>BC-48:BC11</v>
      </c>
      <c r="BQ11">
        <f t="shared" si="5"/>
        <v>-56</v>
      </c>
      <c r="BR11" t="e">
        <f t="shared" ca="1" si="27"/>
        <v>#N/A</v>
      </c>
      <c r="BT11" t="e">
        <f>NA()</f>
        <v>#N/A</v>
      </c>
      <c r="BU11" t="e">
        <f>NA()</f>
        <v>#N/A</v>
      </c>
      <c r="BV11" t="e">
        <f>NA()</f>
        <v>#N/A</v>
      </c>
      <c r="BW11" t="e">
        <f>NA()</f>
        <v>#N/A</v>
      </c>
      <c r="BY11" t="e">
        <f t="shared" ca="1" si="6"/>
        <v>#N/A</v>
      </c>
      <c r="BZ11" t="e">
        <f t="shared" ca="1" si="7"/>
        <v>#N/A</v>
      </c>
      <c r="CA11" t="e">
        <f t="shared" ca="1" si="8"/>
        <v>#N/A</v>
      </c>
      <c r="CD11" t="str">
        <f>IF(周K!$E$3+CK11-12&gt;工作底稿!$CE$5,"周K!A"&amp;周K!$E$3-$CE$5+1+CK11-8,0)</f>
        <v>周K!A171</v>
      </c>
      <c r="CE11" s="4">
        <f t="shared" ca="1" si="28"/>
        <v>42611</v>
      </c>
      <c r="CF11" s="13">
        <f ca="1">IF($CD11=0,"",VLOOKUP($CE11,周K!$A$6:$F$6842,2,0))</f>
        <v>175</v>
      </c>
      <c r="CG11" s="13">
        <f ca="1">IF($CD11=0,"",VLOOKUP($CE11,周K!$A$6:$F$6842,3,0))</f>
        <v>177</v>
      </c>
      <c r="CH11" s="13">
        <f ca="1">IF($CD11=0,"",VLOOKUP($CE11,周K!$A$6:$F$6842,4,0))</f>
        <v>173</v>
      </c>
      <c r="CI11" s="13">
        <f ca="1">IF($CD11=0,"",VLOOKUP($CE11,周K!$A$6:$F$6842,5,0))</f>
        <v>174.5</v>
      </c>
      <c r="CJ11" s="13">
        <f ca="1">IF($CD11=0,"",VLOOKUP($CE11,周K!$A$6:$F$6842,6,0))</f>
        <v>124771</v>
      </c>
      <c r="CK11">
        <f>ROW()</f>
        <v>11</v>
      </c>
      <c r="CM11" t="str">
        <f t="shared" si="29"/>
        <v>CG7:CG11</v>
      </c>
      <c r="CN11">
        <f t="shared" si="30"/>
        <v>-1</v>
      </c>
      <c r="CO11" t="e">
        <f t="shared" ca="1" si="31"/>
        <v>#N/A</v>
      </c>
      <c r="CQ11" t="str">
        <f t="shared" si="32"/>
        <v>CG-8:CG11</v>
      </c>
      <c r="CR11">
        <f t="shared" si="33"/>
        <v>-16</v>
      </c>
      <c r="CS11" t="e">
        <f t="shared" ca="1" si="34"/>
        <v>#N/A</v>
      </c>
      <c r="CU11" t="str">
        <f t="shared" si="35"/>
        <v>CG-48:CG11</v>
      </c>
      <c r="CV11">
        <f t="shared" si="36"/>
        <v>-56</v>
      </c>
      <c r="CW11" t="e">
        <f t="shared" ca="1" si="37"/>
        <v>#N/A</v>
      </c>
      <c r="CY11">
        <f t="shared" ca="1" si="38"/>
        <v>419.25575000000003</v>
      </c>
      <c r="CZ11" t="e">
        <f>NA()</f>
        <v>#N/A</v>
      </c>
      <c r="DA11" t="e">
        <f>NA()</f>
        <v>#N/A</v>
      </c>
      <c r="DB11" t="e">
        <f>NA()</f>
        <v>#N/A</v>
      </c>
      <c r="DC11" t="e">
        <f>NA()</f>
        <v>#N/A</v>
      </c>
      <c r="DD11" t="e">
        <f>NA()</f>
        <v>#N/A</v>
      </c>
    </row>
    <row r="12" spans="1:108" x14ac:dyDescent="0.25">
      <c r="A12" t="s">
        <v>3865</v>
      </c>
      <c r="F12" s="11">
        <f>(F11-B11)/B11</f>
        <v>0.81322957198443602</v>
      </c>
      <c r="G12" s="11">
        <f t="shared" ref="G12:I12" si="40">(G11-C11)/C11</f>
        <v>0.35897435897435898</v>
      </c>
      <c r="H12" s="11">
        <f t="shared" si="40"/>
        <v>0.23266219239373603</v>
      </c>
      <c r="I12" s="11">
        <f t="shared" si="40"/>
        <v>0.19512195121951217</v>
      </c>
      <c r="V12">
        <f>ROW()</f>
        <v>12</v>
      </c>
      <c r="W12" t="str">
        <f>HLOOKUP(W$7,月營收!$A$11:$G$48,38-$V12+8,0)</f>
        <v>107/10</v>
      </c>
      <c r="X12" s="8">
        <f>HLOOKUP(X$7,月營收!$A$11:$G$48,38-$V12+8,0)/1000</f>
        <v>101550.181</v>
      </c>
      <c r="Y12" s="11">
        <f>HLOOKUP(Y$7,月營收!$A$11:$G$48,38-$V12+8,0)</f>
        <v>7.4399999999999994E-2</v>
      </c>
      <c r="Z12" t="e">
        <f t="shared" si="9"/>
        <v>#N/A</v>
      </c>
      <c r="AA12">
        <f t="shared" si="10"/>
        <v>7.4399999999999994E-2</v>
      </c>
      <c r="AC12">
        <v>0</v>
      </c>
      <c r="AD12" t="str">
        <f ca="1">OFFSET(股利政策與本益比!A$11,$AC12,0)</f>
        <v>∟</v>
      </c>
      <c r="AE12">
        <f ca="1">OFFSET(股利政策與本益比!D$11,$AC12,0)</f>
        <v>2.75</v>
      </c>
      <c r="AF12">
        <f ca="1">OFFSET(股利政策與本益比!G$11,$AC12,0)</f>
        <v>0</v>
      </c>
      <c r="AG12" t="str">
        <f ca="1">OFFSET(股利政策與本益比!N$11,$AC12,0)</f>
        <v>-</v>
      </c>
      <c r="AH12" t="str">
        <f ca="1">OFFSET(股利政策與本益比!O$11,$AC12,0)</f>
        <v>-</v>
      </c>
      <c r="AI12">
        <f ca="1">OFFSET(股利政策與本益比!U$10,$AC12,0)</f>
        <v>16.190000000000001</v>
      </c>
      <c r="AJ12">
        <f t="shared" ca="1" si="11"/>
        <v>2.75</v>
      </c>
      <c r="AK12" s="11" t="e">
        <f t="shared" ca="1" si="12"/>
        <v>#VALUE!</v>
      </c>
      <c r="AL12" s="11" t="e">
        <f t="shared" ca="1" si="13"/>
        <v>#VALUE!</v>
      </c>
      <c r="AM12" s="7" t="e">
        <f t="shared" ca="1" si="14"/>
        <v>#VALUE!</v>
      </c>
      <c r="AN12" s="7" t="e">
        <f t="shared" ca="1" si="15"/>
        <v>#VALUE!</v>
      </c>
      <c r="AY12" t="str">
        <f>"日K!A"&amp;日K!$E$3-239+1+BF12-8</f>
        <v>日K!A6604</v>
      </c>
      <c r="AZ12" s="4">
        <f t="shared" ca="1" si="16"/>
        <v>44046</v>
      </c>
      <c r="BA12" s="13">
        <f t="shared" ca="1" si="17"/>
        <v>412.75279999999998</v>
      </c>
      <c r="BB12" s="13">
        <f t="shared" ca="1" si="18"/>
        <v>416.18830000000003</v>
      </c>
      <c r="BC12" s="13">
        <f t="shared" ca="1" si="19"/>
        <v>407.35410000000002</v>
      </c>
      <c r="BD12" s="13">
        <f t="shared" ca="1" si="20"/>
        <v>408.33569999999997</v>
      </c>
      <c r="BE12" s="13">
        <f t="shared" ca="1" si="21"/>
        <v>77289</v>
      </c>
      <c r="BF12">
        <f>ROW()</f>
        <v>12</v>
      </c>
      <c r="BH12" t="str">
        <f t="shared" si="22"/>
        <v>BC8:BC12</v>
      </c>
      <c r="BI12">
        <f>$BF12-BJ$5-7</f>
        <v>0</v>
      </c>
      <c r="BJ12">
        <f t="shared" ca="1" si="23"/>
        <v>415.59935999999999</v>
      </c>
      <c r="BL12" t="str">
        <f t="shared" si="24"/>
        <v>BC-7:BC12</v>
      </c>
      <c r="BM12">
        <f>$BF12-BN$5-7</f>
        <v>-15</v>
      </c>
      <c r="BN12" t="e">
        <f t="shared" ca="1" si="25"/>
        <v>#N/A</v>
      </c>
      <c r="BP12" t="str">
        <f t="shared" si="26"/>
        <v>BC-47:BC12</v>
      </c>
      <c r="BQ12">
        <f>$BF12-BR$5-7</f>
        <v>-55</v>
      </c>
      <c r="BR12" t="e">
        <f t="shared" ca="1" si="27"/>
        <v>#N/A</v>
      </c>
      <c r="BT12" t="e">
        <f>NA()</f>
        <v>#N/A</v>
      </c>
      <c r="BU12" t="e">
        <f>NA()</f>
        <v>#N/A</v>
      </c>
      <c r="BV12" t="e">
        <f>NA()</f>
        <v>#N/A</v>
      </c>
      <c r="BW12" t="e">
        <f>NA()</f>
        <v>#N/A</v>
      </c>
      <c r="BY12">
        <f t="shared" ca="1" si="6"/>
        <v>415.59935999999999</v>
      </c>
      <c r="BZ12" t="e">
        <f t="shared" ca="1" si="7"/>
        <v>#N/A</v>
      </c>
      <c r="CA12" t="e">
        <f t="shared" ca="1" si="8"/>
        <v>#N/A</v>
      </c>
      <c r="CD12" t="str">
        <f>IF(周K!$E$3+CK12-12&gt;工作底稿!$CE$5,"周K!A"&amp;周K!$E$3-$CE$5+1+CK12-8,0)</f>
        <v>周K!A172</v>
      </c>
      <c r="CE12" s="4">
        <f t="shared" ca="1" si="28"/>
        <v>42618</v>
      </c>
      <c r="CF12" s="13">
        <f ca="1">IF($CD12=0,"",VLOOKUP($CE12,周K!$A$6:$F$6842,2,0))</f>
        <v>176.5</v>
      </c>
      <c r="CG12" s="13">
        <f ca="1">IF($CD12=0,"",VLOOKUP($CE12,周K!$A$6:$F$6842,3,0))</f>
        <v>185</v>
      </c>
      <c r="CH12" s="13">
        <f ca="1">IF($CD12=0,"",VLOOKUP($CE12,周K!$A$6:$F$6842,4,0))</f>
        <v>176</v>
      </c>
      <c r="CI12" s="13">
        <f ca="1">IF($CD12=0,"",VLOOKUP($CE12,周K!$A$6:$F$6842,5,0))</f>
        <v>178</v>
      </c>
      <c r="CJ12" s="13">
        <f ca="1">IF($CD12=0,"",VLOOKUP($CE12,周K!$A$6:$F$6842,6,0))</f>
        <v>184895</v>
      </c>
      <c r="CK12">
        <f>ROW()</f>
        <v>12</v>
      </c>
      <c r="CM12" t="str">
        <f t="shared" si="29"/>
        <v>CG8:CG12</v>
      </c>
      <c r="CN12">
        <f t="shared" si="30"/>
        <v>0</v>
      </c>
      <c r="CO12">
        <f t="shared" ca="1" si="31"/>
        <v>179.5</v>
      </c>
      <c r="CQ12" t="str">
        <f t="shared" si="32"/>
        <v>CG-7:CG12</v>
      </c>
      <c r="CR12">
        <f t="shared" si="33"/>
        <v>-15</v>
      </c>
      <c r="CS12" t="e">
        <f t="shared" ca="1" si="34"/>
        <v>#N/A</v>
      </c>
      <c r="CU12" t="str">
        <f t="shared" si="35"/>
        <v>CG-47:CG12</v>
      </c>
      <c r="CV12">
        <f t="shared" si="36"/>
        <v>-55</v>
      </c>
      <c r="CW12" t="e">
        <f t="shared" ca="1" si="37"/>
        <v>#N/A</v>
      </c>
      <c r="CY12">
        <f t="shared" ca="1" si="38"/>
        <v>410.05345</v>
      </c>
      <c r="CZ12" t="e">
        <f>NA()</f>
        <v>#N/A</v>
      </c>
      <c r="DA12" t="e">
        <f>NA()</f>
        <v>#N/A</v>
      </c>
      <c r="DB12" t="e">
        <f>NA()</f>
        <v>#N/A</v>
      </c>
      <c r="DC12" t="e">
        <f>NA()</f>
        <v>#N/A</v>
      </c>
      <c r="DD12" t="e">
        <f>NA()</f>
        <v>#N/A</v>
      </c>
    </row>
    <row r="13" spans="1:108" x14ac:dyDescent="0.25">
      <c r="V13">
        <f>ROW()</f>
        <v>13</v>
      </c>
      <c r="W13" t="str">
        <f>HLOOKUP(W$7,月營收!$A$11:$G$48,38-$V13+8,0)</f>
        <v>107/11</v>
      </c>
      <c r="X13" s="8">
        <f>HLOOKUP(X$7,月營收!$A$11:$G$48,38-$V13+8,0)/1000</f>
        <v>98389.414000000004</v>
      </c>
      <c r="Y13" s="11">
        <f>HLOOKUP(Y$7,月營收!$A$11:$G$48,38-$V13+8,0)</f>
        <v>5.62E-2</v>
      </c>
      <c r="Z13" t="e">
        <f t="shared" si="9"/>
        <v>#N/A</v>
      </c>
      <c r="AA13">
        <f t="shared" si="10"/>
        <v>5.62E-2</v>
      </c>
      <c r="AY13" t="str">
        <f>"日K!A"&amp;日K!$E$3-239+1+BF13-8</f>
        <v>日K!A6605</v>
      </c>
      <c r="AZ13" s="4">
        <f t="shared" ca="1" si="16"/>
        <v>44047</v>
      </c>
      <c r="BA13" s="13">
        <f t="shared" ca="1" si="17"/>
        <v>413.73439999999999</v>
      </c>
      <c r="BB13" s="13">
        <f t="shared" ca="1" si="18"/>
        <v>417.66070000000002</v>
      </c>
      <c r="BC13" s="13">
        <f t="shared" ca="1" si="19"/>
        <v>410.78960000000001</v>
      </c>
      <c r="BD13" s="13">
        <f t="shared" ca="1" si="20"/>
        <v>417.66070000000002</v>
      </c>
      <c r="BE13" s="13">
        <f t="shared" ca="1" si="21"/>
        <v>41697</v>
      </c>
      <c r="BF13">
        <f>ROW()</f>
        <v>13</v>
      </c>
      <c r="BH13" t="str">
        <f t="shared" si="22"/>
        <v>BC9:BC13</v>
      </c>
      <c r="BI13">
        <f t="shared" ref="BI13:BI76" si="41">$BF13-BJ$5-7</f>
        <v>1</v>
      </c>
      <c r="BJ13">
        <f t="shared" ca="1" si="23"/>
        <v>413.63620000000003</v>
      </c>
      <c r="BL13" t="str">
        <f t="shared" si="24"/>
        <v>BC-6:BC13</v>
      </c>
      <c r="BM13">
        <f t="shared" ref="BM13:BM76" si="42">$BF13-BN$5-7</f>
        <v>-14</v>
      </c>
      <c r="BN13" t="e">
        <f t="shared" ca="1" si="25"/>
        <v>#N/A</v>
      </c>
      <c r="BP13" t="str">
        <f t="shared" si="26"/>
        <v>BC-46:BC13</v>
      </c>
      <c r="BQ13">
        <f t="shared" ref="BQ13:BQ76" si="43">$BF13-BR$5-7</f>
        <v>-54</v>
      </c>
      <c r="BR13" t="e">
        <f t="shared" ca="1" si="27"/>
        <v>#N/A</v>
      </c>
      <c r="BT13" t="e">
        <f>NA()</f>
        <v>#N/A</v>
      </c>
      <c r="BU13" t="e">
        <f>NA()</f>
        <v>#N/A</v>
      </c>
      <c r="BV13" t="e">
        <f>NA()</f>
        <v>#N/A</v>
      </c>
      <c r="BW13" t="e">
        <f>NA()</f>
        <v>#N/A</v>
      </c>
      <c r="BY13">
        <f t="shared" ca="1" si="6"/>
        <v>413.63620000000003</v>
      </c>
      <c r="BZ13" t="e">
        <f t="shared" ca="1" si="7"/>
        <v>#N/A</v>
      </c>
      <c r="CA13" t="e">
        <f t="shared" ca="1" si="8"/>
        <v>#N/A</v>
      </c>
      <c r="CD13" t="str">
        <f>IF(周K!$E$3+CK13-12&gt;工作底稿!$CE$5,"周K!A"&amp;周K!$E$3-$CE$5+1+CK13-8,0)</f>
        <v>周K!A173</v>
      </c>
      <c r="CE13" s="4">
        <f t="shared" ca="1" si="28"/>
        <v>42625</v>
      </c>
      <c r="CF13" s="13">
        <f ca="1">IF($CD13=0,"",VLOOKUP($CE13,周K!$A$6:$F$6842,2,0))</f>
        <v>177.5</v>
      </c>
      <c r="CG13" s="13">
        <f ca="1">IF($CD13=0,"",VLOOKUP($CE13,周K!$A$6:$F$6842,3,0))</f>
        <v>177.5</v>
      </c>
      <c r="CH13" s="13">
        <f ca="1">IF($CD13=0,"",VLOOKUP($CE13,周K!$A$6:$F$6842,4,0))</f>
        <v>173.5</v>
      </c>
      <c r="CI13" s="13">
        <f ca="1">IF($CD13=0,"",VLOOKUP($CE13,周K!$A$6:$F$6842,5,0))</f>
        <v>173.5</v>
      </c>
      <c r="CJ13" s="13">
        <f ca="1">IF($CD13=0,"",VLOOKUP($CE13,周K!$A$6:$F$6842,6,0))</f>
        <v>134157</v>
      </c>
      <c r="CK13">
        <f>ROW()</f>
        <v>13</v>
      </c>
      <c r="CM13" t="str">
        <f t="shared" si="29"/>
        <v>CG9:CG13</v>
      </c>
      <c r="CN13">
        <f t="shared" si="30"/>
        <v>1</v>
      </c>
      <c r="CO13">
        <f t="shared" ca="1" si="31"/>
        <v>179.1</v>
      </c>
      <c r="CQ13" t="str">
        <f t="shared" si="32"/>
        <v>CG-6:CG13</v>
      </c>
      <c r="CR13">
        <f t="shared" si="33"/>
        <v>-14</v>
      </c>
      <c r="CS13" t="e">
        <f t="shared" ca="1" si="34"/>
        <v>#N/A</v>
      </c>
      <c r="CU13" t="str">
        <f t="shared" si="35"/>
        <v>CG-46:CG13</v>
      </c>
      <c r="CV13">
        <f t="shared" si="36"/>
        <v>-54</v>
      </c>
      <c r="CW13" t="e">
        <f t="shared" ca="1" si="37"/>
        <v>#N/A</v>
      </c>
      <c r="CY13">
        <f t="shared" ca="1" si="38"/>
        <v>415.942925</v>
      </c>
      <c r="CZ13" t="e">
        <f>NA()</f>
        <v>#N/A</v>
      </c>
      <c r="DA13" t="e">
        <f>NA()</f>
        <v>#N/A</v>
      </c>
      <c r="DB13" t="e">
        <f>NA()</f>
        <v>#N/A</v>
      </c>
      <c r="DC13" t="e">
        <f>NA()</f>
        <v>#N/A</v>
      </c>
      <c r="DD13" t="e">
        <f>NA()</f>
        <v>#N/A</v>
      </c>
    </row>
    <row r="14" spans="1:108" x14ac:dyDescent="0.25">
      <c r="V14">
        <f>ROW()</f>
        <v>14</v>
      </c>
      <c r="W14" t="str">
        <f>HLOOKUP(W$7,月營收!$A$11:$G$48,38-$V14+8,0)</f>
        <v>107/12</v>
      </c>
      <c r="X14" s="8">
        <f>HLOOKUP(X$7,月營收!$A$11:$G$48,38-$V14+8,0)/1000</f>
        <v>89830.597999999998</v>
      </c>
      <c r="Y14" s="11">
        <f>HLOOKUP(Y$7,月營收!$A$11:$G$48,38-$V14+8,0)</f>
        <v>-6.9999999999999999E-4</v>
      </c>
      <c r="Z14" t="e">
        <f t="shared" si="9"/>
        <v>#N/A</v>
      </c>
      <c r="AA14">
        <f t="shared" si="10"/>
        <v>-6.9999999999999999E-4</v>
      </c>
      <c r="AY14" t="str">
        <f>"日K!A"&amp;日K!$E$3-239+1+BF14-8</f>
        <v>日K!A6606</v>
      </c>
      <c r="AZ14" s="4">
        <f t="shared" ca="1" si="16"/>
        <v>44048</v>
      </c>
      <c r="BA14" s="13">
        <f t="shared" ca="1" si="17"/>
        <v>422.56849999999997</v>
      </c>
      <c r="BB14" s="13">
        <f t="shared" ca="1" si="18"/>
        <v>425.51330000000002</v>
      </c>
      <c r="BC14" s="13">
        <f t="shared" ca="1" si="19"/>
        <v>418.15140000000002</v>
      </c>
      <c r="BD14" s="13">
        <f t="shared" ca="1" si="20"/>
        <v>421.09620000000001</v>
      </c>
      <c r="BE14" s="13">
        <f t="shared" ca="1" si="21"/>
        <v>47461</v>
      </c>
      <c r="BF14">
        <f>ROW()</f>
        <v>14</v>
      </c>
      <c r="BH14" t="str">
        <f t="shared" si="22"/>
        <v>BC10:BC14</v>
      </c>
      <c r="BI14">
        <f t="shared" si="41"/>
        <v>2</v>
      </c>
      <c r="BJ14">
        <f t="shared" ca="1" si="23"/>
        <v>414.91224</v>
      </c>
      <c r="BL14" t="str">
        <f t="shared" si="24"/>
        <v>BC-5:BC14</v>
      </c>
      <c r="BM14">
        <f t="shared" si="42"/>
        <v>-13</v>
      </c>
      <c r="BN14" t="e">
        <f t="shared" ca="1" si="25"/>
        <v>#N/A</v>
      </c>
      <c r="BP14" t="str">
        <f t="shared" si="26"/>
        <v>BC-45:BC14</v>
      </c>
      <c r="BQ14">
        <f t="shared" si="43"/>
        <v>-53</v>
      </c>
      <c r="BR14" t="e">
        <f t="shared" ca="1" si="27"/>
        <v>#N/A</v>
      </c>
      <c r="BT14" t="e">
        <f>NA()</f>
        <v>#N/A</v>
      </c>
      <c r="BU14" t="e">
        <f>NA()</f>
        <v>#N/A</v>
      </c>
      <c r="BV14" t="e">
        <f>NA()</f>
        <v>#N/A</v>
      </c>
      <c r="BW14" t="e">
        <f>NA()</f>
        <v>#N/A</v>
      </c>
      <c r="BY14">
        <f t="shared" ca="1" si="6"/>
        <v>414.91224</v>
      </c>
      <c r="BZ14" t="e">
        <f t="shared" ca="1" si="7"/>
        <v>#N/A</v>
      </c>
      <c r="CA14" t="e">
        <f t="shared" ca="1" si="8"/>
        <v>#N/A</v>
      </c>
      <c r="CD14" t="str">
        <f>IF(周K!$E$3+CK14-12&gt;工作底稿!$CE$5,"周K!A"&amp;周K!$E$3-$CE$5+1+CK14-8,0)</f>
        <v>周K!A174</v>
      </c>
      <c r="CE14" s="4">
        <f t="shared" ca="1" si="28"/>
        <v>42632</v>
      </c>
      <c r="CF14" s="13">
        <f ca="1">IF($CD14=0,"",VLOOKUP($CE14,周K!$A$6:$F$6842,2,0))</f>
        <v>179.5</v>
      </c>
      <c r="CG14" s="13">
        <f ca="1">IF($CD14=0,"",VLOOKUP($CE14,周K!$A$6:$F$6842,3,0))</f>
        <v>187.5</v>
      </c>
      <c r="CH14" s="13">
        <f ca="1">IF($CD14=0,"",VLOOKUP($CE14,周K!$A$6:$F$6842,4,0))</f>
        <v>178.5</v>
      </c>
      <c r="CI14" s="13">
        <f ca="1">IF($CD14=0,"",VLOOKUP($CE14,周K!$A$6:$F$6842,5,0))</f>
        <v>187.5</v>
      </c>
      <c r="CJ14" s="13">
        <f ca="1">IF($CD14=0,"",VLOOKUP($CE14,周K!$A$6:$F$6842,6,0))</f>
        <v>151561</v>
      </c>
      <c r="CK14">
        <f>ROW()</f>
        <v>14</v>
      </c>
      <c r="CM14" t="str">
        <f t="shared" si="29"/>
        <v>CG10:CG14</v>
      </c>
      <c r="CN14">
        <f t="shared" si="30"/>
        <v>2</v>
      </c>
      <c r="CO14">
        <f t="shared" ca="1" si="31"/>
        <v>180.8</v>
      </c>
      <c r="CQ14" t="str">
        <f t="shared" si="32"/>
        <v>CG-5:CG14</v>
      </c>
      <c r="CR14">
        <f t="shared" si="33"/>
        <v>-13</v>
      </c>
      <c r="CS14" t="e">
        <f t="shared" ca="1" si="34"/>
        <v>#N/A</v>
      </c>
      <c r="CU14" t="str">
        <f t="shared" si="35"/>
        <v>CG-45:CG14</v>
      </c>
      <c r="CV14">
        <f t="shared" si="36"/>
        <v>-53</v>
      </c>
      <c r="CW14" t="e">
        <f t="shared" ca="1" si="37"/>
        <v>#N/A</v>
      </c>
      <c r="CY14">
        <f t="shared" ca="1" si="38"/>
        <v>421.46427500000004</v>
      </c>
      <c r="CZ14" t="e">
        <f>NA()</f>
        <v>#N/A</v>
      </c>
      <c r="DA14" t="e">
        <f>NA()</f>
        <v>#N/A</v>
      </c>
      <c r="DB14" t="e">
        <f>NA()</f>
        <v>#N/A</v>
      </c>
      <c r="DC14" t="e">
        <f>NA()</f>
        <v>#N/A</v>
      </c>
      <c r="DD14" t="e">
        <f>NA()</f>
        <v>#N/A</v>
      </c>
    </row>
    <row r="15" spans="1:108" x14ac:dyDescent="0.25">
      <c r="V15">
        <f>ROW()</f>
        <v>15</v>
      </c>
      <c r="W15" t="str">
        <f>HLOOKUP(W$7,月營收!$A$11:$G$48,38-$V15+8,0)</f>
        <v>108/01</v>
      </c>
      <c r="X15" s="8">
        <f>HLOOKUP(X$7,月營收!$A$11:$G$48,38-$V15+8,0)/1000</f>
        <v>78093.827000000005</v>
      </c>
      <c r="Y15" s="11">
        <f>HLOOKUP(Y$7,月營收!$A$11:$G$48,38-$V15+8,0)</f>
        <v>-2.07E-2</v>
      </c>
      <c r="Z15" t="e">
        <f t="shared" si="9"/>
        <v>#N/A</v>
      </c>
      <c r="AA15">
        <f t="shared" si="10"/>
        <v>-2.07E-2</v>
      </c>
      <c r="AY15" t="str">
        <f>"日K!A"&amp;日K!$E$3-239+1+BF15-8</f>
        <v>日K!A6607</v>
      </c>
      <c r="AZ15" s="4">
        <f t="shared" ca="1" si="16"/>
        <v>44049</v>
      </c>
      <c r="BA15" s="13">
        <f t="shared" ca="1" si="17"/>
        <v>429.43959999999998</v>
      </c>
      <c r="BB15" s="13">
        <f t="shared" ca="1" si="18"/>
        <v>429.93040000000002</v>
      </c>
      <c r="BC15" s="13">
        <f t="shared" ca="1" si="19"/>
        <v>423.05930000000001</v>
      </c>
      <c r="BD15" s="13">
        <f t="shared" ca="1" si="20"/>
        <v>426.98559999999998</v>
      </c>
      <c r="BE15" s="13">
        <f t="shared" ca="1" si="21"/>
        <v>43444</v>
      </c>
      <c r="BF15">
        <f>ROW()</f>
        <v>15</v>
      </c>
      <c r="BH15" t="str">
        <f t="shared" si="22"/>
        <v>BC11:BC15</v>
      </c>
      <c r="BI15">
        <f t="shared" si="41"/>
        <v>3</v>
      </c>
      <c r="BJ15">
        <f t="shared" ca="1" si="23"/>
        <v>415.40302000000003</v>
      </c>
      <c r="BL15" t="str">
        <f t="shared" si="24"/>
        <v>BC-4:BC15</v>
      </c>
      <c r="BM15">
        <f t="shared" si="42"/>
        <v>-12</v>
      </c>
      <c r="BN15" t="e">
        <f t="shared" ca="1" si="25"/>
        <v>#N/A</v>
      </c>
      <c r="BP15" t="str">
        <f t="shared" si="26"/>
        <v>BC-44:BC15</v>
      </c>
      <c r="BQ15">
        <f t="shared" si="43"/>
        <v>-52</v>
      </c>
      <c r="BR15" t="e">
        <f t="shared" ca="1" si="27"/>
        <v>#N/A</v>
      </c>
      <c r="BT15" t="e">
        <f>NA()</f>
        <v>#N/A</v>
      </c>
      <c r="BU15" t="e">
        <f>NA()</f>
        <v>#N/A</v>
      </c>
      <c r="BV15" t="e">
        <f>NA()</f>
        <v>#N/A</v>
      </c>
      <c r="BW15" t="e">
        <f>NA()</f>
        <v>#N/A</v>
      </c>
      <c r="BY15">
        <f t="shared" ca="1" si="6"/>
        <v>415.40302000000003</v>
      </c>
      <c r="BZ15" t="e">
        <f t="shared" ca="1" si="7"/>
        <v>#N/A</v>
      </c>
      <c r="CA15" t="e">
        <f t="shared" ca="1" si="8"/>
        <v>#N/A</v>
      </c>
      <c r="CD15" t="str">
        <f>IF(周K!$E$3+CK15-12&gt;工作底稿!$CE$5,"周K!A"&amp;周K!$E$3-$CE$5+1+CK15-8,0)</f>
        <v>周K!A175</v>
      </c>
      <c r="CE15" s="4">
        <f t="shared" ca="1" si="28"/>
        <v>42639</v>
      </c>
      <c r="CF15" s="13">
        <f ca="1">IF($CD15=0,"",VLOOKUP($CE15,周K!$A$6:$F$6842,2,0))</f>
        <v>183.5</v>
      </c>
      <c r="CG15" s="13">
        <f ca="1">IF($CD15=0,"",VLOOKUP($CE15,周K!$A$6:$F$6842,3,0))</f>
        <v>187.5</v>
      </c>
      <c r="CH15" s="13">
        <f ca="1">IF($CD15=0,"",VLOOKUP($CE15,周K!$A$6:$F$6842,4,0))</f>
        <v>182.5</v>
      </c>
      <c r="CI15" s="13">
        <f ca="1">IF($CD15=0,"",VLOOKUP($CE15,周K!$A$6:$F$6842,5,0))</f>
        <v>182.5</v>
      </c>
      <c r="CJ15" s="13">
        <f ca="1">IF($CD15=0,"",VLOOKUP($CE15,周K!$A$6:$F$6842,6,0))</f>
        <v>128161</v>
      </c>
      <c r="CK15">
        <f>ROW()</f>
        <v>15</v>
      </c>
      <c r="CM15" t="str">
        <f t="shared" si="29"/>
        <v>CG11:CG15</v>
      </c>
      <c r="CN15">
        <f t="shared" si="30"/>
        <v>3</v>
      </c>
      <c r="CO15">
        <f t="shared" ca="1" si="31"/>
        <v>182.9</v>
      </c>
      <c r="CQ15" t="str">
        <f t="shared" si="32"/>
        <v>CG-4:CG15</v>
      </c>
      <c r="CR15">
        <f t="shared" si="33"/>
        <v>-12</v>
      </c>
      <c r="CS15" t="e">
        <f t="shared" ca="1" si="34"/>
        <v>#N/A</v>
      </c>
      <c r="CU15" t="str">
        <f t="shared" si="35"/>
        <v>CG-44:CG15</v>
      </c>
      <c r="CV15">
        <f t="shared" si="36"/>
        <v>-52</v>
      </c>
      <c r="CW15" t="e">
        <f t="shared" ca="1" si="37"/>
        <v>#N/A</v>
      </c>
      <c r="CY15">
        <f t="shared" ca="1" si="38"/>
        <v>426.74022500000001</v>
      </c>
      <c r="CZ15" t="e">
        <f>NA()</f>
        <v>#N/A</v>
      </c>
      <c r="DA15" t="e">
        <f>NA()</f>
        <v>#N/A</v>
      </c>
      <c r="DB15" t="e">
        <f>NA()</f>
        <v>#N/A</v>
      </c>
      <c r="DC15" t="e">
        <f>NA()</f>
        <v>#N/A</v>
      </c>
      <c r="DD15" t="e">
        <f>NA()</f>
        <v>#N/A</v>
      </c>
    </row>
    <row r="16" spans="1:108" x14ac:dyDescent="0.25">
      <c r="V16">
        <f>ROW()</f>
        <v>16</v>
      </c>
      <c r="W16" t="str">
        <f>HLOOKUP(W$7,月營收!$A$11:$G$48,38-$V16+8,0)</f>
        <v>108/02</v>
      </c>
      <c r="X16" s="8">
        <f>HLOOKUP(X$7,月營收!$A$11:$G$48,38-$V16+8,0)/1000</f>
        <v>60889.055</v>
      </c>
      <c r="Y16" s="11">
        <f>HLOOKUP(Y$7,月營收!$A$11:$G$48,38-$V16+8,0)</f>
        <v>-5.8000000000000003E-2</v>
      </c>
      <c r="Z16" t="e">
        <f t="shared" si="9"/>
        <v>#N/A</v>
      </c>
      <c r="AA16">
        <f t="shared" si="10"/>
        <v>-5.8000000000000003E-2</v>
      </c>
      <c r="AY16" t="str">
        <f>"日K!A"&amp;日K!$E$3-239+1+BF16-8</f>
        <v>日K!A6608</v>
      </c>
      <c r="AZ16" s="4">
        <f t="shared" ca="1" si="16"/>
        <v>44050</v>
      </c>
      <c r="BA16" s="13">
        <f t="shared" ca="1" si="17"/>
        <v>425.51330000000002</v>
      </c>
      <c r="BB16" s="13">
        <f t="shared" ca="1" si="18"/>
        <v>426.00409999999999</v>
      </c>
      <c r="BC16" s="13">
        <f t="shared" ca="1" si="19"/>
        <v>420.1146</v>
      </c>
      <c r="BD16" s="13">
        <f t="shared" ca="1" si="20"/>
        <v>425.02249999999998</v>
      </c>
      <c r="BE16" s="13">
        <f t="shared" ca="1" si="21"/>
        <v>37611</v>
      </c>
      <c r="BF16">
        <f>ROW()</f>
        <v>16</v>
      </c>
      <c r="BH16" t="str">
        <f t="shared" si="22"/>
        <v>BC12:BC16</v>
      </c>
      <c r="BI16">
        <f t="shared" si="41"/>
        <v>4</v>
      </c>
      <c r="BJ16">
        <f t="shared" ca="1" si="23"/>
        <v>415.8938</v>
      </c>
      <c r="BL16" t="str">
        <f t="shared" si="24"/>
        <v>BC-3:BC16</v>
      </c>
      <c r="BM16">
        <f t="shared" si="42"/>
        <v>-11</v>
      </c>
      <c r="BN16" t="e">
        <f t="shared" ca="1" si="25"/>
        <v>#N/A</v>
      </c>
      <c r="BP16" t="str">
        <f t="shared" si="26"/>
        <v>BC-43:BC16</v>
      </c>
      <c r="BQ16">
        <f t="shared" si="43"/>
        <v>-51</v>
      </c>
      <c r="BR16" t="e">
        <f t="shared" ca="1" si="27"/>
        <v>#N/A</v>
      </c>
      <c r="BT16" t="e">
        <f>NA()</f>
        <v>#N/A</v>
      </c>
      <c r="BU16" t="e">
        <f>NA()</f>
        <v>#N/A</v>
      </c>
      <c r="BV16" t="e">
        <f>NA()</f>
        <v>#N/A</v>
      </c>
      <c r="BW16" t="e">
        <f>NA()</f>
        <v>#N/A</v>
      </c>
      <c r="BY16">
        <f t="shared" ca="1" si="6"/>
        <v>415.8938</v>
      </c>
      <c r="BZ16" t="e">
        <f t="shared" ca="1" si="7"/>
        <v>#N/A</v>
      </c>
      <c r="CA16" t="e">
        <f t="shared" ca="1" si="8"/>
        <v>#N/A</v>
      </c>
      <c r="CD16" t="str">
        <f>IF(周K!$E$3+CK16-12&gt;工作底稿!$CE$5,"周K!A"&amp;周K!$E$3-$CE$5+1+CK16-8,0)</f>
        <v>周K!A176</v>
      </c>
      <c r="CE16" s="4">
        <f t="shared" ca="1" si="28"/>
        <v>42646</v>
      </c>
      <c r="CF16" s="13">
        <f ca="1">IF($CD16=0,"",VLOOKUP($CE16,周K!$A$6:$F$6842,2,0))</f>
        <v>186</v>
      </c>
      <c r="CG16" s="13">
        <f ca="1">IF($CD16=0,"",VLOOKUP($CE16,周K!$A$6:$F$6842,3,0))</f>
        <v>188</v>
      </c>
      <c r="CH16" s="13">
        <f ca="1">IF($CD16=0,"",VLOOKUP($CE16,周K!$A$6:$F$6842,4,0))</f>
        <v>184.5</v>
      </c>
      <c r="CI16" s="13">
        <f ca="1">IF($CD16=0,"",VLOOKUP($CE16,周K!$A$6:$F$6842,5,0))</f>
        <v>188</v>
      </c>
      <c r="CJ16" s="13">
        <f ca="1">IF($CD16=0,"",VLOOKUP($CE16,周K!$A$6:$F$6842,6,0))</f>
        <v>86858</v>
      </c>
      <c r="CK16">
        <f>ROW()</f>
        <v>16</v>
      </c>
      <c r="CM16" t="str">
        <f t="shared" si="29"/>
        <v>CG12:CG16</v>
      </c>
      <c r="CN16">
        <f t="shared" si="30"/>
        <v>4</v>
      </c>
      <c r="CO16">
        <f t="shared" ca="1" si="31"/>
        <v>185.1</v>
      </c>
      <c r="CQ16" t="str">
        <f t="shared" si="32"/>
        <v>CG-3:CG16</v>
      </c>
      <c r="CR16">
        <f t="shared" si="33"/>
        <v>-11</v>
      </c>
      <c r="CS16" t="e">
        <f t="shared" ca="1" si="34"/>
        <v>#N/A</v>
      </c>
      <c r="CU16" t="str">
        <f t="shared" si="35"/>
        <v>CG-43:CG16</v>
      </c>
      <c r="CV16">
        <f t="shared" si="36"/>
        <v>-51</v>
      </c>
      <c r="CW16" t="e">
        <f t="shared" ca="1" si="37"/>
        <v>#N/A</v>
      </c>
      <c r="CY16">
        <f t="shared" ca="1" si="38"/>
        <v>424.04092500000002</v>
      </c>
      <c r="CZ16" t="e">
        <f>NA()</f>
        <v>#N/A</v>
      </c>
      <c r="DA16" t="e">
        <f>NA()</f>
        <v>#N/A</v>
      </c>
      <c r="DB16" t="e">
        <f>NA()</f>
        <v>#N/A</v>
      </c>
      <c r="DC16" t="e">
        <f>NA()</f>
        <v>#N/A</v>
      </c>
      <c r="DD16" t="e">
        <f>NA()</f>
        <v>#N/A</v>
      </c>
    </row>
    <row r="17" spans="22:108" x14ac:dyDescent="0.25">
      <c r="V17">
        <f>ROW()</f>
        <v>17</v>
      </c>
      <c r="W17" t="str">
        <f>HLOOKUP(W$7,月營收!$A$11:$G$48,38-$V17+8,0)</f>
        <v>108/03</v>
      </c>
      <c r="X17" s="8">
        <f>HLOOKUP(X$7,月營收!$A$11:$G$48,38-$V17+8,0)/1000</f>
        <v>79721.587</v>
      </c>
      <c r="Y17" s="11">
        <f>HLOOKUP(Y$7,月營收!$A$11:$G$48,38-$V17+8,0)</f>
        <v>-0.23119999999999999</v>
      </c>
      <c r="Z17" t="e">
        <f t="shared" si="9"/>
        <v>#N/A</v>
      </c>
      <c r="AA17">
        <f t="shared" si="10"/>
        <v>-0.23119999999999999</v>
      </c>
      <c r="AY17" t="str">
        <f>"日K!A"&amp;日K!$E$3-239+1+BF17-8</f>
        <v>日K!A6609</v>
      </c>
      <c r="AZ17" s="4">
        <f t="shared" ca="1" si="16"/>
        <v>44053</v>
      </c>
      <c r="BA17" s="13">
        <f t="shared" ca="1" si="17"/>
        <v>419.62380000000002</v>
      </c>
      <c r="BB17" s="13">
        <f t="shared" ca="1" si="18"/>
        <v>429.43959999999998</v>
      </c>
      <c r="BC17" s="13">
        <f t="shared" ca="1" si="19"/>
        <v>419.62380000000002</v>
      </c>
      <c r="BD17" s="13">
        <f t="shared" ca="1" si="20"/>
        <v>427.47640000000001</v>
      </c>
      <c r="BE17" s="13">
        <f t="shared" ca="1" si="21"/>
        <v>36068</v>
      </c>
      <c r="BF17">
        <f>ROW()</f>
        <v>17</v>
      </c>
      <c r="BH17" t="str">
        <f t="shared" si="22"/>
        <v>BC13:BC17</v>
      </c>
      <c r="BI17">
        <f t="shared" si="41"/>
        <v>5</v>
      </c>
      <c r="BJ17">
        <f t="shared" ca="1" si="23"/>
        <v>418.34773999999999</v>
      </c>
      <c r="BL17" t="str">
        <f t="shared" si="24"/>
        <v>BC-2:BC17</v>
      </c>
      <c r="BM17">
        <f t="shared" si="42"/>
        <v>-10</v>
      </c>
      <c r="BN17" t="e">
        <f t="shared" ca="1" si="25"/>
        <v>#N/A</v>
      </c>
      <c r="BP17" t="str">
        <f t="shared" si="26"/>
        <v>BC-42:BC17</v>
      </c>
      <c r="BQ17">
        <f t="shared" si="43"/>
        <v>-50</v>
      </c>
      <c r="BR17" t="e">
        <f t="shared" ca="1" si="27"/>
        <v>#N/A</v>
      </c>
      <c r="BT17" t="e">
        <f>NA()</f>
        <v>#N/A</v>
      </c>
      <c r="BU17" t="e">
        <f>NA()</f>
        <v>#N/A</v>
      </c>
      <c r="BV17" t="e">
        <f>NA()</f>
        <v>#N/A</v>
      </c>
      <c r="BW17" t="e">
        <f>NA()</f>
        <v>#N/A</v>
      </c>
      <c r="BY17">
        <f t="shared" ca="1" si="6"/>
        <v>418.34773999999999</v>
      </c>
      <c r="BZ17" t="e">
        <f t="shared" ca="1" si="7"/>
        <v>#N/A</v>
      </c>
      <c r="CA17" t="e">
        <f t="shared" ca="1" si="8"/>
        <v>#N/A</v>
      </c>
      <c r="CD17" t="str">
        <f>IF(周K!$E$3+CK17-12&gt;工作底稿!$CE$5,"周K!A"&amp;周K!$E$3-$CE$5+1+CK17-8,0)</f>
        <v>周K!A177</v>
      </c>
      <c r="CE17" s="4">
        <f t="shared" ca="1" si="28"/>
        <v>42654</v>
      </c>
      <c r="CF17" s="13">
        <f ca="1">IF($CD17=0,"",VLOOKUP($CE17,周K!$A$6:$F$6842,2,0))</f>
        <v>191</v>
      </c>
      <c r="CG17" s="13">
        <f ca="1">IF($CD17=0,"",VLOOKUP($CE17,周K!$A$6:$F$6842,3,0))</f>
        <v>191</v>
      </c>
      <c r="CH17" s="13">
        <f ca="1">IF($CD17=0,"",VLOOKUP($CE17,周K!$A$6:$F$6842,4,0))</f>
        <v>186</v>
      </c>
      <c r="CI17" s="13">
        <f ca="1">IF($CD17=0,"",VLOOKUP($CE17,周K!$A$6:$F$6842,5,0))</f>
        <v>188</v>
      </c>
      <c r="CJ17" s="13">
        <f ca="1">IF($CD17=0,"",VLOOKUP($CE17,周K!$A$6:$F$6842,6,0))</f>
        <v>130768</v>
      </c>
      <c r="CK17">
        <f>ROW()</f>
        <v>17</v>
      </c>
      <c r="CM17" t="str">
        <f t="shared" si="29"/>
        <v>CG13:CG17</v>
      </c>
      <c r="CN17">
        <f t="shared" si="30"/>
        <v>5</v>
      </c>
      <c r="CO17">
        <f t="shared" ca="1" si="31"/>
        <v>186.3</v>
      </c>
      <c r="CQ17" t="str">
        <f t="shared" si="32"/>
        <v>CG-2:CG17</v>
      </c>
      <c r="CR17">
        <f t="shared" si="33"/>
        <v>-10</v>
      </c>
      <c r="CS17" t="e">
        <f t="shared" ca="1" si="34"/>
        <v>#N/A</v>
      </c>
      <c r="CU17" t="str">
        <f t="shared" si="35"/>
        <v>CG-42:CG17</v>
      </c>
      <c r="CV17">
        <f t="shared" si="36"/>
        <v>-50</v>
      </c>
      <c r="CW17" t="e">
        <f t="shared" ca="1" si="37"/>
        <v>#N/A</v>
      </c>
      <c r="CY17">
        <f t="shared" ca="1" si="38"/>
        <v>426.00405000000001</v>
      </c>
      <c r="CZ17" t="e">
        <f>NA()</f>
        <v>#N/A</v>
      </c>
      <c r="DA17" t="e">
        <f>NA()</f>
        <v>#N/A</v>
      </c>
      <c r="DB17" t="e">
        <f>NA()</f>
        <v>#N/A</v>
      </c>
      <c r="DC17" t="e">
        <f>NA()</f>
        <v>#N/A</v>
      </c>
      <c r="DD17" t="e">
        <f>NA()</f>
        <v>#N/A</v>
      </c>
    </row>
    <row r="18" spans="22:108" x14ac:dyDescent="0.25">
      <c r="V18">
        <f>ROW()</f>
        <v>18</v>
      </c>
      <c r="W18" t="str">
        <f>HLOOKUP(W$7,月營收!$A$11:$G$48,38-$V18+8,0)</f>
        <v>108/04</v>
      </c>
      <c r="X18" s="8">
        <f>HLOOKUP(X$7,月營收!$A$11:$G$48,38-$V18+8,0)/1000</f>
        <v>74693.615000000005</v>
      </c>
      <c r="Y18" s="11">
        <f>HLOOKUP(Y$7,月營收!$A$11:$G$48,38-$V18+8,0)</f>
        <v>-8.77E-2</v>
      </c>
      <c r="Z18" t="e">
        <f t="shared" si="9"/>
        <v>#N/A</v>
      </c>
      <c r="AA18">
        <f t="shared" si="10"/>
        <v>-8.77E-2</v>
      </c>
      <c r="AY18" t="str">
        <f>"日K!A"&amp;日K!$E$3-239+1+BF18-8</f>
        <v>日K!A6610</v>
      </c>
      <c r="AZ18" s="4">
        <f t="shared" ca="1" si="16"/>
        <v>44054</v>
      </c>
      <c r="BA18" s="13">
        <f t="shared" ca="1" si="17"/>
        <v>424.04090000000002</v>
      </c>
      <c r="BB18" s="13">
        <f t="shared" ca="1" si="18"/>
        <v>426.98559999999998</v>
      </c>
      <c r="BC18" s="13">
        <f t="shared" ca="1" si="19"/>
        <v>421.09620000000001</v>
      </c>
      <c r="BD18" s="13">
        <f t="shared" ca="1" si="20"/>
        <v>421.09620000000001</v>
      </c>
      <c r="BE18" s="13">
        <f t="shared" ca="1" si="21"/>
        <v>34545</v>
      </c>
      <c r="BF18">
        <f>ROW()</f>
        <v>18</v>
      </c>
      <c r="BH18" t="str">
        <f t="shared" si="22"/>
        <v>BC14:BC18</v>
      </c>
      <c r="BI18">
        <f t="shared" si="41"/>
        <v>6</v>
      </c>
      <c r="BJ18">
        <f t="shared" ca="1" si="23"/>
        <v>420.40906000000007</v>
      </c>
      <c r="BL18" t="str">
        <f t="shared" si="24"/>
        <v>BC-1:BC18</v>
      </c>
      <c r="BM18">
        <f t="shared" si="42"/>
        <v>-9</v>
      </c>
      <c r="BN18" t="e">
        <f t="shared" ca="1" si="25"/>
        <v>#N/A</v>
      </c>
      <c r="BP18" t="str">
        <f t="shared" si="26"/>
        <v>BC-41:BC18</v>
      </c>
      <c r="BQ18">
        <f t="shared" si="43"/>
        <v>-49</v>
      </c>
      <c r="BR18" t="e">
        <f t="shared" ca="1" si="27"/>
        <v>#N/A</v>
      </c>
      <c r="BT18" t="e">
        <f>NA()</f>
        <v>#N/A</v>
      </c>
      <c r="BU18" t="e">
        <f>NA()</f>
        <v>#N/A</v>
      </c>
      <c r="BV18" t="e">
        <f>NA()</f>
        <v>#N/A</v>
      </c>
      <c r="BW18" t="e">
        <f>NA()</f>
        <v>#N/A</v>
      </c>
      <c r="BY18">
        <f t="shared" ca="1" si="6"/>
        <v>420.40906000000007</v>
      </c>
      <c r="BZ18" t="e">
        <f t="shared" ca="1" si="7"/>
        <v>#N/A</v>
      </c>
      <c r="CA18" t="e">
        <f t="shared" ca="1" si="8"/>
        <v>#N/A</v>
      </c>
      <c r="CD18" t="str">
        <f>IF(周K!$E$3+CK18-12&gt;工作底稿!$CE$5,"周K!A"&amp;周K!$E$3-$CE$5+1+CK18-8,0)</f>
        <v>周K!A178</v>
      </c>
      <c r="CE18" s="4">
        <f t="shared" ca="1" si="28"/>
        <v>42660</v>
      </c>
      <c r="CF18" s="13">
        <f ca="1">IF($CD18=0,"",VLOOKUP($CE18,周K!$A$6:$F$6842,2,0))</f>
        <v>186.5</v>
      </c>
      <c r="CG18" s="13">
        <f ca="1">IF($CD18=0,"",VLOOKUP($CE18,周K!$A$6:$F$6842,3,0))</f>
        <v>192</v>
      </c>
      <c r="CH18" s="13">
        <f ca="1">IF($CD18=0,"",VLOOKUP($CE18,周K!$A$6:$F$6842,4,0))</f>
        <v>185</v>
      </c>
      <c r="CI18" s="13">
        <f ca="1">IF($CD18=0,"",VLOOKUP($CE18,周K!$A$6:$F$6842,5,0))</f>
        <v>188.5</v>
      </c>
      <c r="CJ18" s="13">
        <f ca="1">IF($CD18=0,"",VLOOKUP($CE18,周K!$A$6:$F$6842,6,0))</f>
        <v>154727</v>
      </c>
      <c r="CK18">
        <f>ROW()</f>
        <v>18</v>
      </c>
      <c r="CM18" t="str">
        <f t="shared" si="29"/>
        <v>CG14:CG18</v>
      </c>
      <c r="CN18">
        <f t="shared" si="30"/>
        <v>6</v>
      </c>
      <c r="CO18">
        <f t="shared" ca="1" si="31"/>
        <v>189.2</v>
      </c>
      <c r="CQ18" t="str">
        <f t="shared" si="32"/>
        <v>CG-1:CG18</v>
      </c>
      <c r="CR18">
        <f t="shared" si="33"/>
        <v>-9</v>
      </c>
      <c r="CS18" t="e">
        <f t="shared" ca="1" si="34"/>
        <v>#N/A</v>
      </c>
      <c r="CU18" t="str">
        <f t="shared" si="35"/>
        <v>CG-41:CG18</v>
      </c>
      <c r="CV18">
        <f t="shared" si="36"/>
        <v>-49</v>
      </c>
      <c r="CW18" t="e">
        <f t="shared" ca="1" si="37"/>
        <v>#N/A</v>
      </c>
      <c r="CY18">
        <f t="shared" ca="1" si="38"/>
        <v>422.56854999999996</v>
      </c>
      <c r="CZ18" t="e">
        <f>NA()</f>
        <v>#N/A</v>
      </c>
      <c r="DA18" t="e">
        <f>NA()</f>
        <v>#N/A</v>
      </c>
      <c r="DB18" t="e">
        <f>NA()</f>
        <v>#N/A</v>
      </c>
      <c r="DC18" t="e">
        <f>NA()</f>
        <v>#N/A</v>
      </c>
      <c r="DD18" t="e">
        <f>NA()</f>
        <v>#N/A</v>
      </c>
    </row>
    <row r="19" spans="22:108" x14ac:dyDescent="0.25">
      <c r="V19">
        <f>ROW()</f>
        <v>19</v>
      </c>
      <c r="W19" t="str">
        <f>HLOOKUP(W$7,月營收!$A$11:$G$48,38-$V19+8,0)</f>
        <v>108/05</v>
      </c>
      <c r="X19" s="8">
        <f>HLOOKUP(X$7,月營收!$A$11:$G$48,38-$V19+8,0)/1000</f>
        <v>80436.930999999997</v>
      </c>
      <c r="Y19" s="11">
        <f>HLOOKUP(Y$7,月營收!$A$11:$G$48,38-$V19+8,0)</f>
        <v>-6.6E-3</v>
      </c>
      <c r="Z19" t="e">
        <f t="shared" si="9"/>
        <v>#N/A</v>
      </c>
      <c r="AA19">
        <f t="shared" si="10"/>
        <v>-6.6E-3</v>
      </c>
      <c r="AY19" t="str">
        <f>"日K!A"&amp;日K!$E$3-239+1+BF19-8</f>
        <v>日K!A6611</v>
      </c>
      <c r="AZ19" s="4">
        <f t="shared" ca="1" si="16"/>
        <v>44055</v>
      </c>
      <c r="BA19" s="13">
        <f t="shared" ca="1" si="17"/>
        <v>414.2251</v>
      </c>
      <c r="BB19" s="13">
        <f t="shared" ca="1" si="18"/>
        <v>415.69749999999999</v>
      </c>
      <c r="BC19" s="13">
        <f t="shared" ca="1" si="19"/>
        <v>411.28039999999999</v>
      </c>
      <c r="BD19" s="13">
        <f t="shared" ca="1" si="20"/>
        <v>411.28039999999999</v>
      </c>
      <c r="BE19" s="13">
        <f t="shared" ca="1" si="21"/>
        <v>53980</v>
      </c>
      <c r="BF19">
        <f>ROW()</f>
        <v>19</v>
      </c>
      <c r="BH19" t="str">
        <f t="shared" si="22"/>
        <v>BC15:BC19</v>
      </c>
      <c r="BI19">
        <f t="shared" si="41"/>
        <v>7</v>
      </c>
      <c r="BJ19">
        <f t="shared" ca="1" si="23"/>
        <v>419.03486000000004</v>
      </c>
      <c r="BL19" t="str">
        <f t="shared" si="24"/>
        <v>BC0:BC19</v>
      </c>
      <c r="BM19">
        <f t="shared" si="42"/>
        <v>-8</v>
      </c>
      <c r="BN19" t="e">
        <f t="shared" ca="1" si="25"/>
        <v>#N/A</v>
      </c>
      <c r="BP19" t="str">
        <f t="shared" si="26"/>
        <v>BC-40:BC19</v>
      </c>
      <c r="BQ19">
        <f t="shared" si="43"/>
        <v>-48</v>
      </c>
      <c r="BR19" t="e">
        <f t="shared" ca="1" si="27"/>
        <v>#N/A</v>
      </c>
      <c r="BT19" t="e">
        <f>NA()</f>
        <v>#N/A</v>
      </c>
      <c r="BU19" t="e">
        <f>NA()</f>
        <v>#N/A</v>
      </c>
      <c r="BV19" t="e">
        <f>NA()</f>
        <v>#N/A</v>
      </c>
      <c r="BW19" t="e">
        <f>NA()</f>
        <v>#N/A</v>
      </c>
      <c r="BY19">
        <f t="shared" ca="1" si="6"/>
        <v>419.03486000000004</v>
      </c>
      <c r="BZ19" t="e">
        <f t="shared" ca="1" si="7"/>
        <v>#N/A</v>
      </c>
      <c r="CA19" t="e">
        <f t="shared" ca="1" si="8"/>
        <v>#N/A</v>
      </c>
      <c r="CD19" t="str">
        <f>IF(周K!$E$3+CK19-12&gt;工作底稿!$CE$5,"周K!A"&amp;周K!$E$3-$CE$5+1+CK19-8,0)</f>
        <v>周K!A179</v>
      </c>
      <c r="CE19" s="4">
        <f t="shared" ca="1" si="28"/>
        <v>42667</v>
      </c>
      <c r="CF19" s="13">
        <f ca="1">IF($CD19=0,"",VLOOKUP($CE19,周K!$A$6:$F$6842,2,0))</f>
        <v>191</v>
      </c>
      <c r="CG19" s="13">
        <f ca="1">IF($CD19=0,"",VLOOKUP($CE19,周K!$A$6:$F$6842,3,0))</f>
        <v>193</v>
      </c>
      <c r="CH19" s="13">
        <f ca="1">IF($CD19=0,"",VLOOKUP($CE19,周K!$A$6:$F$6842,4,0))</f>
        <v>188.5</v>
      </c>
      <c r="CI19" s="13">
        <f ca="1">IF($CD19=0,"",VLOOKUP($CE19,周K!$A$6:$F$6842,5,0))</f>
        <v>189.5</v>
      </c>
      <c r="CJ19" s="13">
        <f ca="1">IF($CD19=0,"",VLOOKUP($CE19,周K!$A$6:$F$6842,6,0))</f>
        <v>118402</v>
      </c>
      <c r="CK19">
        <f>ROW()</f>
        <v>19</v>
      </c>
      <c r="CM19" t="str">
        <f t="shared" si="29"/>
        <v>CG15:CG19</v>
      </c>
      <c r="CN19">
        <f t="shared" si="30"/>
        <v>7</v>
      </c>
      <c r="CO19">
        <f t="shared" ca="1" si="31"/>
        <v>190.3</v>
      </c>
      <c r="CQ19" t="str">
        <f t="shared" si="32"/>
        <v>CG0:CG19</v>
      </c>
      <c r="CR19">
        <f t="shared" si="33"/>
        <v>-8</v>
      </c>
      <c r="CS19" t="e">
        <f t="shared" ca="1" si="34"/>
        <v>#N/A</v>
      </c>
      <c r="CU19" t="str">
        <f t="shared" si="35"/>
        <v>CG-40:CG19</v>
      </c>
      <c r="CV19">
        <f t="shared" si="36"/>
        <v>-48</v>
      </c>
      <c r="CW19" t="e">
        <f t="shared" ca="1" si="37"/>
        <v>#N/A</v>
      </c>
      <c r="CY19">
        <f t="shared" ca="1" si="38"/>
        <v>412.38467500000002</v>
      </c>
      <c r="CZ19">
        <f ca="1">AVERAGE(CY8:CY19)</f>
        <v>421.15752916666673</v>
      </c>
      <c r="DA19" t="e">
        <f>NA()</f>
        <v>#N/A</v>
      </c>
      <c r="DB19" t="e">
        <f>NA()</f>
        <v>#N/A</v>
      </c>
      <c r="DC19" t="e">
        <f>NA()</f>
        <v>#N/A</v>
      </c>
      <c r="DD19" t="e">
        <f>NA()</f>
        <v>#N/A</v>
      </c>
    </row>
    <row r="20" spans="22:108" x14ac:dyDescent="0.25">
      <c r="V20">
        <f>ROW()</f>
        <v>20</v>
      </c>
      <c r="W20" t="str">
        <f>HLOOKUP(W$7,月營收!$A$11:$G$48,38-$V20+8,0)</f>
        <v>108/06</v>
      </c>
      <c r="X20" s="8">
        <f>HLOOKUP(X$7,月營收!$A$11:$G$48,38-$V20+8,0)/1000</f>
        <v>85867.929000000004</v>
      </c>
      <c r="Y20" s="11">
        <f>HLOOKUP(Y$7,月營收!$A$11:$G$48,38-$V20+8,0)</f>
        <v>0.21909999999999999</v>
      </c>
      <c r="Z20">
        <f t="shared" si="9"/>
        <v>0.21909999999999999</v>
      </c>
      <c r="AA20" t="e">
        <f t="shared" si="10"/>
        <v>#N/A</v>
      </c>
      <c r="AY20" t="str">
        <f>"日K!A"&amp;日K!$E$3-239+1+BF20-8</f>
        <v>日K!A6612</v>
      </c>
      <c r="AZ20" s="4">
        <f t="shared" ca="1" si="16"/>
        <v>44056</v>
      </c>
      <c r="BA20" s="13">
        <f t="shared" ca="1" si="17"/>
        <v>420.1146</v>
      </c>
      <c r="BB20" s="13">
        <f t="shared" ca="1" si="18"/>
        <v>421.09620000000001</v>
      </c>
      <c r="BC20" s="13">
        <f t="shared" ca="1" si="19"/>
        <v>416.67910000000001</v>
      </c>
      <c r="BD20" s="13">
        <f t="shared" ca="1" si="20"/>
        <v>421.09620000000001</v>
      </c>
      <c r="BE20" s="13">
        <f t="shared" ca="1" si="21"/>
        <v>45669</v>
      </c>
      <c r="BF20">
        <f>ROW()</f>
        <v>20</v>
      </c>
      <c r="BH20" t="str">
        <f t="shared" si="22"/>
        <v>BC16:BC20</v>
      </c>
      <c r="BI20">
        <f t="shared" si="41"/>
        <v>8</v>
      </c>
      <c r="BJ20">
        <f t="shared" ca="1" si="23"/>
        <v>417.7588199999999</v>
      </c>
      <c r="BL20" t="str">
        <f t="shared" si="24"/>
        <v>BC1:BC20</v>
      </c>
      <c r="BM20">
        <f t="shared" si="42"/>
        <v>-7</v>
      </c>
      <c r="BN20" t="e">
        <f t="shared" ca="1" si="25"/>
        <v>#N/A</v>
      </c>
      <c r="BP20" t="str">
        <f t="shared" si="26"/>
        <v>BC-39:BC20</v>
      </c>
      <c r="BQ20">
        <f t="shared" si="43"/>
        <v>-47</v>
      </c>
      <c r="BR20" t="e">
        <f t="shared" ca="1" si="27"/>
        <v>#N/A</v>
      </c>
      <c r="BT20" t="e">
        <f>NA()</f>
        <v>#N/A</v>
      </c>
      <c r="BU20" t="e">
        <f>NA()</f>
        <v>#N/A</v>
      </c>
      <c r="BV20" t="e">
        <f>NA()</f>
        <v>#N/A</v>
      </c>
      <c r="BW20" t="e">
        <f>NA()</f>
        <v>#N/A</v>
      </c>
      <c r="BY20">
        <f t="shared" ca="1" si="6"/>
        <v>417.7588199999999</v>
      </c>
      <c r="BZ20" t="e">
        <f t="shared" ca="1" si="7"/>
        <v>#N/A</v>
      </c>
      <c r="CA20" t="e">
        <f t="shared" ca="1" si="8"/>
        <v>#N/A</v>
      </c>
      <c r="CD20" t="str">
        <f>IF(周K!$E$3+CK20-12&gt;工作底稿!$CE$5,"周K!A"&amp;周K!$E$3-$CE$5+1+CK20-8,0)</f>
        <v>周K!A180</v>
      </c>
      <c r="CE20" s="4">
        <f t="shared" ca="1" si="28"/>
        <v>42674</v>
      </c>
      <c r="CF20" s="13">
        <f ca="1">IF($CD20=0,"",VLOOKUP($CE20,周K!$A$6:$F$6842,2,0))</f>
        <v>189</v>
      </c>
      <c r="CG20" s="13">
        <f ca="1">IF($CD20=0,"",VLOOKUP($CE20,周K!$A$6:$F$6842,3,0))</f>
        <v>190.5</v>
      </c>
      <c r="CH20" s="13">
        <f ca="1">IF($CD20=0,"",VLOOKUP($CE20,周K!$A$6:$F$6842,4,0))</f>
        <v>184</v>
      </c>
      <c r="CI20" s="13">
        <f ca="1">IF($CD20=0,"",VLOOKUP($CE20,周K!$A$6:$F$6842,5,0))</f>
        <v>184.5</v>
      </c>
      <c r="CJ20" s="13">
        <f ca="1">IF($CD20=0,"",VLOOKUP($CE20,周K!$A$6:$F$6842,6,0))</f>
        <v>98128</v>
      </c>
      <c r="CK20">
        <f>ROW()</f>
        <v>20</v>
      </c>
      <c r="CM20" t="str">
        <f t="shared" si="29"/>
        <v>CG16:CG20</v>
      </c>
      <c r="CN20">
        <f t="shared" si="30"/>
        <v>8</v>
      </c>
      <c r="CO20">
        <f t="shared" ca="1" si="31"/>
        <v>190.9</v>
      </c>
      <c r="CQ20" t="str">
        <f t="shared" si="32"/>
        <v>CG1:CG20</v>
      </c>
      <c r="CR20">
        <f t="shared" si="33"/>
        <v>-7</v>
      </c>
      <c r="CS20" t="e">
        <f t="shared" ca="1" si="34"/>
        <v>#N/A</v>
      </c>
      <c r="CU20" t="str">
        <f t="shared" si="35"/>
        <v>CG-39:CG20</v>
      </c>
      <c r="CV20">
        <f t="shared" si="36"/>
        <v>-47</v>
      </c>
      <c r="CW20" t="e">
        <f t="shared" ca="1" si="37"/>
        <v>#N/A</v>
      </c>
      <c r="CY20">
        <f t="shared" ca="1" si="38"/>
        <v>419.99192500000004</v>
      </c>
      <c r="CZ20">
        <f ca="1">CZ19*(11/13)+CY20*(2/13)</f>
        <v>420.97820544871797</v>
      </c>
      <c r="DA20" t="e">
        <f>NA()</f>
        <v>#N/A</v>
      </c>
      <c r="DB20" t="e">
        <f>NA()</f>
        <v>#N/A</v>
      </c>
      <c r="DC20" t="e">
        <f>NA()</f>
        <v>#N/A</v>
      </c>
      <c r="DD20" t="e">
        <f>NA()</f>
        <v>#N/A</v>
      </c>
    </row>
    <row r="21" spans="22:108" x14ac:dyDescent="0.25">
      <c r="V21">
        <f>ROW()</f>
        <v>21</v>
      </c>
      <c r="W21" t="str">
        <f>HLOOKUP(W$7,月營收!$A$11:$G$48,38-$V21+8,0)</f>
        <v>108/07</v>
      </c>
      <c r="X21" s="8">
        <f>HLOOKUP(X$7,月營收!$A$11:$G$48,38-$V21+8,0)/1000</f>
        <v>84757.724000000002</v>
      </c>
      <c r="Y21" s="11">
        <f>HLOOKUP(Y$7,月營收!$A$11:$G$48,38-$V21+8,0)</f>
        <v>0.13969999999999999</v>
      </c>
      <c r="Z21">
        <f t="shared" si="9"/>
        <v>0.13969999999999999</v>
      </c>
      <c r="AA21" t="e">
        <f t="shared" si="10"/>
        <v>#N/A</v>
      </c>
      <c r="AY21" t="str">
        <f>"日K!A"&amp;日K!$E$3-239+1+BF21-8</f>
        <v>日K!A6613</v>
      </c>
      <c r="AZ21" s="4">
        <f t="shared" ca="1" si="16"/>
        <v>44057</v>
      </c>
      <c r="BA21" s="13">
        <f t="shared" ca="1" si="17"/>
        <v>416.18830000000003</v>
      </c>
      <c r="BB21" s="13">
        <f t="shared" ca="1" si="18"/>
        <v>420.1146</v>
      </c>
      <c r="BC21" s="13">
        <f t="shared" ca="1" si="19"/>
        <v>415.20670000000001</v>
      </c>
      <c r="BD21" s="13">
        <f t="shared" ca="1" si="20"/>
        <v>419.13299999999998</v>
      </c>
      <c r="BE21" s="13">
        <f t="shared" ca="1" si="21"/>
        <v>24260</v>
      </c>
      <c r="BF21">
        <f>ROW()</f>
        <v>21</v>
      </c>
      <c r="BH21" t="str">
        <f t="shared" si="22"/>
        <v>BC17:BC21</v>
      </c>
      <c r="BI21">
        <f t="shared" si="41"/>
        <v>9</v>
      </c>
      <c r="BJ21">
        <f t="shared" ca="1" si="23"/>
        <v>416.77724000000001</v>
      </c>
      <c r="BL21" t="str">
        <f t="shared" si="24"/>
        <v>BC2:BC21</v>
      </c>
      <c r="BM21">
        <f t="shared" si="42"/>
        <v>-6</v>
      </c>
      <c r="BN21" t="e">
        <f t="shared" ca="1" si="25"/>
        <v>#N/A</v>
      </c>
      <c r="BP21" t="str">
        <f t="shared" si="26"/>
        <v>BC-38:BC21</v>
      </c>
      <c r="BQ21">
        <f t="shared" si="43"/>
        <v>-46</v>
      </c>
      <c r="BR21" t="e">
        <f t="shared" ca="1" si="27"/>
        <v>#N/A</v>
      </c>
      <c r="BT21" t="e">
        <f>NA()</f>
        <v>#N/A</v>
      </c>
      <c r="BU21" t="e">
        <f>NA()</f>
        <v>#N/A</v>
      </c>
      <c r="BV21" t="e">
        <f>NA()</f>
        <v>#N/A</v>
      </c>
      <c r="BW21" t="e">
        <f>NA()</f>
        <v>#N/A</v>
      </c>
      <c r="BY21">
        <f t="shared" ca="1" si="6"/>
        <v>416.77724000000001</v>
      </c>
      <c r="BZ21" t="e">
        <f t="shared" ca="1" si="7"/>
        <v>#N/A</v>
      </c>
      <c r="CA21" t="e">
        <f t="shared" ca="1" si="8"/>
        <v>#N/A</v>
      </c>
      <c r="CD21" t="str">
        <f>IF(周K!$E$3+CK21-12&gt;工作底稿!$CE$5,"周K!A"&amp;周K!$E$3-$CE$5+1+CK21-8,0)</f>
        <v>周K!A181</v>
      </c>
      <c r="CE21" s="4">
        <f t="shared" ca="1" si="28"/>
        <v>42681</v>
      </c>
      <c r="CF21" s="13">
        <f ca="1">IF($CD21=0,"",VLOOKUP($CE21,周K!$A$6:$F$6842,2,0))</f>
        <v>186.5</v>
      </c>
      <c r="CG21" s="13">
        <f ca="1">IF($CD21=0,"",VLOOKUP($CE21,周K!$A$6:$F$6842,3,0))</f>
        <v>190.5</v>
      </c>
      <c r="CH21" s="13">
        <f ca="1">IF($CD21=0,"",VLOOKUP($CE21,周K!$A$6:$F$6842,4,0))</f>
        <v>181</v>
      </c>
      <c r="CI21" s="13">
        <f ca="1">IF($CD21=0,"",VLOOKUP($CE21,周K!$A$6:$F$6842,5,0))</f>
        <v>181.5</v>
      </c>
      <c r="CJ21" s="13">
        <f ca="1">IF($CD21=0,"",VLOOKUP($CE21,周K!$A$6:$F$6842,6,0))</f>
        <v>199469</v>
      </c>
      <c r="CK21">
        <f>ROW()</f>
        <v>21</v>
      </c>
      <c r="CM21" t="str">
        <f t="shared" si="29"/>
        <v>CG17:CG21</v>
      </c>
      <c r="CN21">
        <f t="shared" si="30"/>
        <v>9</v>
      </c>
      <c r="CO21">
        <f t="shared" ca="1" si="31"/>
        <v>191.4</v>
      </c>
      <c r="CQ21" t="str">
        <f t="shared" si="32"/>
        <v>CG2:CG21</v>
      </c>
      <c r="CR21">
        <f t="shared" si="33"/>
        <v>-6</v>
      </c>
      <c r="CS21" t="e">
        <f t="shared" ca="1" si="34"/>
        <v>#N/A</v>
      </c>
      <c r="CU21" t="str">
        <f t="shared" si="35"/>
        <v>CG-38:CG21</v>
      </c>
      <c r="CV21">
        <f t="shared" si="36"/>
        <v>-46</v>
      </c>
      <c r="CW21" t="e">
        <f t="shared" ca="1" si="37"/>
        <v>#N/A</v>
      </c>
      <c r="CY21">
        <f t="shared" ca="1" si="38"/>
        <v>418.39682500000004</v>
      </c>
      <c r="CZ21">
        <f t="shared" ref="CZ21:CZ84" ca="1" si="44">CZ20*(11/13)+CY21*(2/13)</f>
        <v>420.58106999506902</v>
      </c>
      <c r="DA21" t="e">
        <f>NA()</f>
        <v>#N/A</v>
      </c>
      <c r="DB21" t="e">
        <f>NA()</f>
        <v>#N/A</v>
      </c>
      <c r="DC21" t="e">
        <f>NA()</f>
        <v>#N/A</v>
      </c>
      <c r="DD21" t="e">
        <f>NA()</f>
        <v>#N/A</v>
      </c>
    </row>
    <row r="22" spans="22:108" x14ac:dyDescent="0.25">
      <c r="V22">
        <f>ROW()</f>
        <v>22</v>
      </c>
      <c r="W22" t="str">
        <f>HLOOKUP(W$7,月營收!$A$11:$G$48,38-$V22+8,0)</f>
        <v>108/08</v>
      </c>
      <c r="X22" s="8">
        <f>HLOOKUP(X$7,月營收!$A$11:$G$48,38-$V22+8,0)/1000</f>
        <v>106117.61900000001</v>
      </c>
      <c r="Y22" s="11">
        <f>HLOOKUP(Y$7,月營收!$A$11:$G$48,38-$V22+8,0)</f>
        <v>0.16539999999999999</v>
      </c>
      <c r="Z22">
        <f t="shared" si="9"/>
        <v>0.16539999999999999</v>
      </c>
      <c r="AA22" t="e">
        <f t="shared" si="10"/>
        <v>#N/A</v>
      </c>
      <c r="AY22" t="str">
        <f>"日K!A"&amp;日K!$E$3-239+1+BF22-8</f>
        <v>日K!A6614</v>
      </c>
      <c r="AZ22" s="4">
        <f t="shared" ca="1" si="16"/>
        <v>44060</v>
      </c>
      <c r="BA22" s="13">
        <f t="shared" ca="1" si="17"/>
        <v>419.13299999999998</v>
      </c>
      <c r="BB22" s="13">
        <f t="shared" ca="1" si="18"/>
        <v>426.98559999999998</v>
      </c>
      <c r="BC22" s="13">
        <f t="shared" ca="1" si="19"/>
        <v>417.66070000000002</v>
      </c>
      <c r="BD22" s="13">
        <f t="shared" ca="1" si="20"/>
        <v>426.98559999999998</v>
      </c>
      <c r="BE22" s="13">
        <f t="shared" ca="1" si="21"/>
        <v>34608</v>
      </c>
      <c r="BF22">
        <f>ROW()</f>
        <v>22</v>
      </c>
      <c r="BH22" t="str">
        <f t="shared" si="22"/>
        <v>BC18:BC22</v>
      </c>
      <c r="BI22">
        <f t="shared" si="41"/>
        <v>10</v>
      </c>
      <c r="BJ22">
        <f t="shared" ca="1" si="23"/>
        <v>416.38461999999998</v>
      </c>
      <c r="BL22" t="str">
        <f t="shared" si="24"/>
        <v>BC3:BC22</v>
      </c>
      <c r="BM22">
        <f t="shared" si="42"/>
        <v>-5</v>
      </c>
      <c r="BN22" t="e">
        <f t="shared" ca="1" si="25"/>
        <v>#N/A</v>
      </c>
      <c r="BP22" t="str">
        <f t="shared" si="26"/>
        <v>BC-37:BC22</v>
      </c>
      <c r="BQ22">
        <f t="shared" si="43"/>
        <v>-45</v>
      </c>
      <c r="BR22" t="e">
        <f t="shared" ca="1" si="27"/>
        <v>#N/A</v>
      </c>
      <c r="BT22" t="e">
        <f>NA()</f>
        <v>#N/A</v>
      </c>
      <c r="BU22" t="e">
        <f>NA()</f>
        <v>#N/A</v>
      </c>
      <c r="BV22" t="e">
        <f>NA()</f>
        <v>#N/A</v>
      </c>
      <c r="BW22" t="e">
        <f>NA()</f>
        <v>#N/A</v>
      </c>
      <c r="BY22">
        <f t="shared" ca="1" si="6"/>
        <v>416.38461999999998</v>
      </c>
      <c r="BZ22" t="e">
        <f t="shared" ca="1" si="7"/>
        <v>#N/A</v>
      </c>
      <c r="CA22" t="e">
        <f t="shared" ca="1" si="8"/>
        <v>#N/A</v>
      </c>
      <c r="CD22" t="str">
        <f>IF(周K!$E$3+CK22-12&gt;工作底稿!$CE$5,"周K!A"&amp;周K!$E$3-$CE$5+1+CK22-8,0)</f>
        <v>周K!A182</v>
      </c>
      <c r="CE22" s="4">
        <f t="shared" ca="1" si="28"/>
        <v>42688</v>
      </c>
      <c r="CF22" s="13">
        <f ca="1">IF($CD22=0,"",VLOOKUP($CE22,周K!$A$6:$F$6842,2,0))</f>
        <v>181</v>
      </c>
      <c r="CG22" s="13">
        <f ca="1">IF($CD22=0,"",VLOOKUP($CE22,周K!$A$6:$F$6842,3,0))</f>
        <v>183</v>
      </c>
      <c r="CH22" s="13">
        <f ca="1">IF($CD22=0,"",VLOOKUP($CE22,周K!$A$6:$F$6842,4,0))</f>
        <v>179</v>
      </c>
      <c r="CI22" s="13">
        <f ca="1">IF($CD22=0,"",VLOOKUP($CE22,周K!$A$6:$F$6842,5,0))</f>
        <v>181</v>
      </c>
      <c r="CJ22" s="13">
        <f ca="1">IF($CD22=0,"",VLOOKUP($CE22,周K!$A$6:$F$6842,6,0))</f>
        <v>163842</v>
      </c>
      <c r="CK22">
        <f>ROW()</f>
        <v>22</v>
      </c>
      <c r="CM22" t="str">
        <f t="shared" si="29"/>
        <v>CG18:CG22</v>
      </c>
      <c r="CN22">
        <f t="shared" si="30"/>
        <v>10</v>
      </c>
      <c r="CO22">
        <f t="shared" ca="1" si="31"/>
        <v>189.8</v>
      </c>
      <c r="CQ22" t="str">
        <f t="shared" si="32"/>
        <v>CG3:CG22</v>
      </c>
      <c r="CR22">
        <f t="shared" si="33"/>
        <v>-5</v>
      </c>
      <c r="CS22" t="e">
        <f t="shared" ca="1" si="34"/>
        <v>#N/A</v>
      </c>
      <c r="CU22" t="str">
        <f t="shared" si="35"/>
        <v>CG-37:CG22</v>
      </c>
      <c r="CV22">
        <f t="shared" si="36"/>
        <v>-45</v>
      </c>
      <c r="CW22" t="e">
        <f t="shared" ca="1" si="37"/>
        <v>#N/A</v>
      </c>
      <c r="CY22">
        <f t="shared" ca="1" si="38"/>
        <v>424.65437499999996</v>
      </c>
      <c r="CZ22">
        <f t="shared" ca="1" si="44"/>
        <v>421.20773230351995</v>
      </c>
      <c r="DA22" t="e">
        <f>NA()</f>
        <v>#N/A</v>
      </c>
      <c r="DB22" t="e">
        <f>NA()</f>
        <v>#N/A</v>
      </c>
      <c r="DC22" t="e">
        <f>NA()</f>
        <v>#N/A</v>
      </c>
      <c r="DD22" t="e">
        <f>NA()</f>
        <v>#N/A</v>
      </c>
    </row>
    <row r="23" spans="22:108" x14ac:dyDescent="0.25">
      <c r="V23">
        <f>ROW()</f>
        <v>23</v>
      </c>
      <c r="W23" t="str">
        <f>HLOOKUP(W$7,月營收!$A$11:$G$48,38-$V23+8,0)</f>
        <v>108/09</v>
      </c>
      <c r="X23" s="8">
        <f>HLOOKUP(X$7,月營收!$A$11:$G$48,38-$V23+8,0)/1000</f>
        <v>102170.09600000001</v>
      </c>
      <c r="Y23" s="11">
        <f>HLOOKUP(Y$7,月營收!$A$11:$G$48,38-$V23+8,0)</f>
        <v>7.6399999999999996E-2</v>
      </c>
      <c r="Z23" t="e">
        <f t="shared" si="9"/>
        <v>#N/A</v>
      </c>
      <c r="AA23">
        <f t="shared" si="10"/>
        <v>7.6399999999999996E-2</v>
      </c>
      <c r="AY23" t="str">
        <f>"日K!A"&amp;日K!$E$3-239+1+BF23-8</f>
        <v>日K!A6615</v>
      </c>
      <c r="AZ23" s="4">
        <f t="shared" ca="1" si="16"/>
        <v>44061</v>
      </c>
      <c r="BA23" s="13">
        <f t="shared" ca="1" si="17"/>
        <v>431.89350000000002</v>
      </c>
      <c r="BB23" s="13">
        <f t="shared" ca="1" si="18"/>
        <v>432.3843</v>
      </c>
      <c r="BC23" s="13">
        <f t="shared" ca="1" si="19"/>
        <v>424.04090000000002</v>
      </c>
      <c r="BD23" s="13">
        <f t="shared" ca="1" si="20"/>
        <v>425.02249999999998</v>
      </c>
      <c r="BE23" s="13">
        <f t="shared" ca="1" si="21"/>
        <v>45504</v>
      </c>
      <c r="BF23">
        <f>ROW()</f>
        <v>23</v>
      </c>
      <c r="BH23" t="str">
        <f t="shared" si="22"/>
        <v>BC19:BC23</v>
      </c>
      <c r="BI23">
        <f t="shared" si="41"/>
        <v>11</v>
      </c>
      <c r="BJ23">
        <f t="shared" ca="1" si="23"/>
        <v>416.97356000000002</v>
      </c>
      <c r="BL23" t="str">
        <f t="shared" si="24"/>
        <v>BC4:BC23</v>
      </c>
      <c r="BM23">
        <f t="shared" si="42"/>
        <v>-4</v>
      </c>
      <c r="BN23" t="e">
        <f t="shared" ca="1" si="25"/>
        <v>#N/A</v>
      </c>
      <c r="BP23" t="str">
        <f t="shared" si="26"/>
        <v>BC-36:BC23</v>
      </c>
      <c r="BQ23">
        <f t="shared" si="43"/>
        <v>-44</v>
      </c>
      <c r="BR23" t="e">
        <f t="shared" ca="1" si="27"/>
        <v>#N/A</v>
      </c>
      <c r="BT23" t="e">
        <f>NA()</f>
        <v>#N/A</v>
      </c>
      <c r="BU23" t="e">
        <f>NA()</f>
        <v>#N/A</v>
      </c>
      <c r="BV23" t="e">
        <f>NA()</f>
        <v>#N/A</v>
      </c>
      <c r="BW23" t="e">
        <f>NA()</f>
        <v>#N/A</v>
      </c>
      <c r="BY23">
        <f t="shared" ca="1" si="6"/>
        <v>416.97356000000002</v>
      </c>
      <c r="BZ23" t="e">
        <f t="shared" ca="1" si="7"/>
        <v>#N/A</v>
      </c>
      <c r="CA23" t="e">
        <f t="shared" ca="1" si="8"/>
        <v>#N/A</v>
      </c>
      <c r="CD23" t="str">
        <f>IF(周K!$E$3+CK23-12&gt;工作底稿!$CE$5,"周K!A"&amp;周K!$E$3-$CE$5+1+CK23-8,0)</f>
        <v>周K!A183</v>
      </c>
      <c r="CE23" s="4">
        <f t="shared" ca="1" si="28"/>
        <v>42695</v>
      </c>
      <c r="CF23" s="13">
        <f ca="1">IF($CD23=0,"",VLOOKUP($CE23,周K!$A$6:$F$6842,2,0))</f>
        <v>180.5</v>
      </c>
      <c r="CG23" s="13">
        <f ca="1">IF($CD23=0,"",VLOOKUP($CE23,周K!$A$6:$F$6842,3,0))</f>
        <v>186.5</v>
      </c>
      <c r="CH23" s="13">
        <f ca="1">IF($CD23=0,"",VLOOKUP($CE23,周K!$A$6:$F$6842,4,0))</f>
        <v>180</v>
      </c>
      <c r="CI23" s="13">
        <f ca="1">IF($CD23=0,"",VLOOKUP($CE23,周K!$A$6:$F$6842,5,0))</f>
        <v>182</v>
      </c>
      <c r="CJ23" s="13">
        <f ca="1">IF($CD23=0,"",VLOOKUP($CE23,周K!$A$6:$F$6842,6,0))</f>
        <v>99365</v>
      </c>
      <c r="CK23">
        <f>ROW()</f>
        <v>23</v>
      </c>
      <c r="CM23" t="str">
        <f t="shared" si="29"/>
        <v>CG19:CG23</v>
      </c>
      <c r="CN23">
        <f t="shared" si="30"/>
        <v>11</v>
      </c>
      <c r="CO23">
        <f t="shared" ca="1" si="31"/>
        <v>188.7</v>
      </c>
      <c r="CQ23" t="str">
        <f t="shared" si="32"/>
        <v>CG4:CG23</v>
      </c>
      <c r="CR23">
        <f t="shared" si="33"/>
        <v>-4</v>
      </c>
      <c r="CS23" t="e">
        <f t="shared" ca="1" si="34"/>
        <v>#N/A</v>
      </c>
      <c r="CU23" t="str">
        <f t="shared" si="35"/>
        <v>CG-36:CG23</v>
      </c>
      <c r="CV23">
        <f t="shared" si="36"/>
        <v>-44</v>
      </c>
      <c r="CW23" t="e">
        <f t="shared" ca="1" si="37"/>
        <v>#N/A</v>
      </c>
      <c r="CY23">
        <f t="shared" ca="1" si="38"/>
        <v>426.61754999999999</v>
      </c>
      <c r="CZ23">
        <f t="shared" ca="1" si="44"/>
        <v>422.04001194913224</v>
      </c>
      <c r="DA23" t="e">
        <f>NA()</f>
        <v>#N/A</v>
      </c>
      <c r="DB23" t="e">
        <f>NA()</f>
        <v>#N/A</v>
      </c>
      <c r="DC23" t="e">
        <f>NA()</f>
        <v>#N/A</v>
      </c>
      <c r="DD23" t="e">
        <f>NA()</f>
        <v>#N/A</v>
      </c>
    </row>
    <row r="24" spans="22:108" x14ac:dyDescent="0.25">
      <c r="V24">
        <f>ROW()</f>
        <v>24</v>
      </c>
      <c r="W24" t="str">
        <f>HLOOKUP(W$7,月營收!$A$11:$G$48,38-$V24+8,0)</f>
        <v>108/10</v>
      </c>
      <c r="X24" s="8">
        <f>HLOOKUP(X$7,月營收!$A$11:$G$48,38-$V24+8,0)/1000</f>
        <v>106039.531</v>
      </c>
      <c r="Y24" s="11">
        <f>HLOOKUP(Y$7,月營收!$A$11:$G$48,38-$V24+8,0)</f>
        <v>4.4200000000000003E-2</v>
      </c>
      <c r="Z24" t="e">
        <f t="shared" si="9"/>
        <v>#N/A</v>
      </c>
      <c r="AA24">
        <f t="shared" si="10"/>
        <v>4.4200000000000003E-2</v>
      </c>
      <c r="AY24" t="str">
        <f>"日K!A"&amp;日K!$E$3-239+1+BF24-8</f>
        <v>日K!A6616</v>
      </c>
      <c r="AZ24" s="4">
        <f t="shared" ca="1" si="16"/>
        <v>44062</v>
      </c>
      <c r="BA24" s="13">
        <f t="shared" ca="1" si="17"/>
        <v>427.96719999999999</v>
      </c>
      <c r="BB24" s="13">
        <f t="shared" ca="1" si="18"/>
        <v>428.45800000000003</v>
      </c>
      <c r="BC24" s="13">
        <f t="shared" ca="1" si="19"/>
        <v>419.62380000000002</v>
      </c>
      <c r="BD24" s="13">
        <f t="shared" ca="1" si="20"/>
        <v>419.62380000000002</v>
      </c>
      <c r="BE24" s="13">
        <f t="shared" ca="1" si="21"/>
        <v>31487</v>
      </c>
      <c r="BF24">
        <f>ROW()</f>
        <v>24</v>
      </c>
      <c r="BH24" t="str">
        <f t="shared" si="22"/>
        <v>BC20:BC24</v>
      </c>
      <c r="BI24">
        <f t="shared" si="41"/>
        <v>12</v>
      </c>
      <c r="BJ24">
        <f t="shared" ca="1" si="23"/>
        <v>418.64223999999996</v>
      </c>
      <c r="BL24" t="str">
        <f t="shared" si="24"/>
        <v>BC5:BC24</v>
      </c>
      <c r="BM24">
        <f t="shared" si="42"/>
        <v>-3</v>
      </c>
      <c r="BN24" t="e">
        <f t="shared" ca="1" si="25"/>
        <v>#N/A</v>
      </c>
      <c r="BP24" t="str">
        <f t="shared" si="26"/>
        <v>BC-35:BC24</v>
      </c>
      <c r="BQ24">
        <f t="shared" si="43"/>
        <v>-43</v>
      </c>
      <c r="BR24" t="e">
        <f t="shared" ca="1" si="27"/>
        <v>#N/A</v>
      </c>
      <c r="BT24" t="e">
        <f>NA()</f>
        <v>#N/A</v>
      </c>
      <c r="BU24" t="e">
        <f>NA()</f>
        <v>#N/A</v>
      </c>
      <c r="BV24" t="e">
        <f>NA()</f>
        <v>#N/A</v>
      </c>
      <c r="BW24" t="e">
        <f>NA()</f>
        <v>#N/A</v>
      </c>
      <c r="BY24">
        <f t="shared" ca="1" si="6"/>
        <v>418.64223999999996</v>
      </c>
      <c r="BZ24" t="e">
        <f t="shared" ca="1" si="7"/>
        <v>#N/A</v>
      </c>
      <c r="CA24" t="e">
        <f t="shared" ca="1" si="8"/>
        <v>#N/A</v>
      </c>
      <c r="CD24" t="str">
        <f>IF(周K!$E$3+CK24-12&gt;工作底稿!$CE$5,"周K!A"&amp;周K!$E$3-$CE$5+1+CK24-8,0)</f>
        <v>周K!A184</v>
      </c>
      <c r="CE24" s="4">
        <f t="shared" ca="1" si="28"/>
        <v>42702</v>
      </c>
      <c r="CF24" s="13">
        <f ca="1">IF($CD24=0,"",VLOOKUP($CE24,周K!$A$6:$F$6842,2,0))</f>
        <v>181.5</v>
      </c>
      <c r="CG24" s="13">
        <f ca="1">IF($CD24=0,"",VLOOKUP($CE24,周K!$A$6:$F$6842,3,0))</f>
        <v>185</v>
      </c>
      <c r="CH24" s="13">
        <f ca="1">IF($CD24=0,"",VLOOKUP($CE24,周K!$A$6:$F$6842,4,0))</f>
        <v>178</v>
      </c>
      <c r="CI24" s="13">
        <f ca="1">IF($CD24=0,"",VLOOKUP($CE24,周K!$A$6:$F$6842,5,0))</f>
        <v>178</v>
      </c>
      <c r="CJ24" s="13">
        <f ca="1">IF($CD24=0,"",VLOOKUP($CE24,周K!$A$6:$F$6842,6,0))</f>
        <v>171178</v>
      </c>
      <c r="CK24">
        <f>ROW()</f>
        <v>24</v>
      </c>
      <c r="CM24" t="str">
        <f t="shared" si="29"/>
        <v>CG20:CG24</v>
      </c>
      <c r="CN24">
        <f t="shared" si="30"/>
        <v>12</v>
      </c>
      <c r="CO24">
        <f t="shared" ca="1" si="31"/>
        <v>187.1</v>
      </c>
      <c r="CQ24" t="str">
        <f t="shared" si="32"/>
        <v>CG5:CG24</v>
      </c>
      <c r="CR24">
        <f t="shared" si="33"/>
        <v>-3</v>
      </c>
      <c r="CS24" t="e">
        <f t="shared" ca="1" si="34"/>
        <v>#N/A</v>
      </c>
      <c r="CU24" t="str">
        <f t="shared" si="35"/>
        <v>CG-35:CG24</v>
      </c>
      <c r="CV24">
        <f t="shared" si="36"/>
        <v>-43</v>
      </c>
      <c r="CW24" t="e">
        <f t="shared" ca="1" si="37"/>
        <v>#N/A</v>
      </c>
      <c r="CY24">
        <f t="shared" ca="1" si="38"/>
        <v>421.83235000000002</v>
      </c>
      <c r="CZ24">
        <f t="shared" ca="1" si="44"/>
        <v>422.00806395695804</v>
      </c>
      <c r="DA24" t="e">
        <f>NA()</f>
        <v>#N/A</v>
      </c>
      <c r="DB24" t="e">
        <f>NA()</f>
        <v>#N/A</v>
      </c>
      <c r="DC24" t="e">
        <f>NA()</f>
        <v>#N/A</v>
      </c>
      <c r="DD24" t="e">
        <f>NA()</f>
        <v>#N/A</v>
      </c>
    </row>
    <row r="25" spans="22:108" x14ac:dyDescent="0.25">
      <c r="V25">
        <f>ROW()</f>
        <v>25</v>
      </c>
      <c r="W25" t="str">
        <f>HLOOKUP(W$7,月營收!$A$11:$G$48,38-$V25+8,0)</f>
        <v>108/11</v>
      </c>
      <c r="X25" s="8">
        <f>HLOOKUP(X$7,月營收!$A$11:$G$48,38-$V25+8,0)/1000</f>
        <v>107884.39599999999</v>
      </c>
      <c r="Y25" s="11">
        <f>HLOOKUP(Y$7,月營收!$A$11:$G$48,38-$V25+8,0)</f>
        <v>9.6500000000000002E-2</v>
      </c>
      <c r="Z25" t="e">
        <f t="shared" si="9"/>
        <v>#N/A</v>
      </c>
      <c r="AA25">
        <f t="shared" si="10"/>
        <v>9.6500000000000002E-2</v>
      </c>
      <c r="AY25" t="str">
        <f>"日K!A"&amp;日K!$E$3-239+1+BF25-8</f>
        <v>日K!A6617</v>
      </c>
      <c r="AZ25" s="4">
        <f t="shared" ca="1" si="16"/>
        <v>44063</v>
      </c>
      <c r="BA25" s="13">
        <f t="shared" ca="1" si="17"/>
        <v>419.13299999999998</v>
      </c>
      <c r="BB25" s="13">
        <f t="shared" ca="1" si="18"/>
        <v>419.62380000000002</v>
      </c>
      <c r="BC25" s="13">
        <f t="shared" ca="1" si="19"/>
        <v>393.61200000000002</v>
      </c>
      <c r="BD25" s="13">
        <f t="shared" ca="1" si="20"/>
        <v>407.35410000000002</v>
      </c>
      <c r="BE25" s="13">
        <f t="shared" ca="1" si="21"/>
        <v>75155</v>
      </c>
      <c r="BF25">
        <f>ROW()</f>
        <v>25</v>
      </c>
      <c r="BH25" t="str">
        <f t="shared" si="22"/>
        <v>BC21:BC25</v>
      </c>
      <c r="BI25">
        <f t="shared" si="41"/>
        <v>13</v>
      </c>
      <c r="BJ25">
        <f t="shared" ca="1" si="23"/>
        <v>414.02882</v>
      </c>
      <c r="BL25" t="str">
        <f t="shared" si="24"/>
        <v>BC6:BC25</v>
      </c>
      <c r="BM25">
        <f t="shared" si="42"/>
        <v>-2</v>
      </c>
      <c r="BN25" t="e">
        <f t="shared" ca="1" si="25"/>
        <v>#N/A</v>
      </c>
      <c r="BP25" t="str">
        <f t="shared" si="26"/>
        <v>BC-34:BC25</v>
      </c>
      <c r="BQ25">
        <f t="shared" si="43"/>
        <v>-42</v>
      </c>
      <c r="BR25" t="e">
        <f t="shared" ca="1" si="27"/>
        <v>#N/A</v>
      </c>
      <c r="BT25" t="e">
        <f>NA()</f>
        <v>#N/A</v>
      </c>
      <c r="BU25" t="e">
        <f>NA()</f>
        <v>#N/A</v>
      </c>
      <c r="BV25" t="e">
        <f>NA()</f>
        <v>#N/A</v>
      </c>
      <c r="BW25" t="e">
        <f>NA()</f>
        <v>#N/A</v>
      </c>
      <c r="BY25">
        <f t="shared" ca="1" si="6"/>
        <v>414.02882</v>
      </c>
      <c r="BZ25" t="e">
        <f t="shared" ca="1" si="7"/>
        <v>#N/A</v>
      </c>
      <c r="CA25" t="e">
        <f t="shared" ca="1" si="8"/>
        <v>#N/A</v>
      </c>
      <c r="CD25" t="str">
        <f>IF(周K!$E$3+CK25-12&gt;工作底稿!$CE$5,"周K!A"&amp;周K!$E$3-$CE$5+1+CK25-8,0)</f>
        <v>周K!A185</v>
      </c>
      <c r="CE25" s="4">
        <f t="shared" ca="1" si="28"/>
        <v>42709</v>
      </c>
      <c r="CF25" s="13">
        <f ca="1">IF($CD25=0,"",VLOOKUP($CE25,周K!$A$6:$F$6842,2,0))</f>
        <v>178</v>
      </c>
      <c r="CG25" s="13">
        <f ca="1">IF($CD25=0,"",VLOOKUP($CE25,周K!$A$6:$F$6842,3,0))</f>
        <v>186</v>
      </c>
      <c r="CH25" s="13">
        <f ca="1">IF($CD25=0,"",VLOOKUP($CE25,周K!$A$6:$F$6842,4,0))</f>
        <v>178</v>
      </c>
      <c r="CI25" s="13">
        <f ca="1">IF($CD25=0,"",VLOOKUP($CE25,周K!$A$6:$F$6842,5,0))</f>
        <v>186</v>
      </c>
      <c r="CJ25" s="13">
        <f ca="1">IF($CD25=0,"",VLOOKUP($CE25,周K!$A$6:$F$6842,6,0))</f>
        <v>126675</v>
      </c>
      <c r="CK25">
        <f>ROW()</f>
        <v>25</v>
      </c>
      <c r="CM25" t="str">
        <f t="shared" si="29"/>
        <v>CG21:CG25</v>
      </c>
      <c r="CN25">
        <f t="shared" si="30"/>
        <v>13</v>
      </c>
      <c r="CO25">
        <f t="shared" ca="1" si="31"/>
        <v>186.2</v>
      </c>
      <c r="CQ25" t="str">
        <f t="shared" si="32"/>
        <v>CG6:CG25</v>
      </c>
      <c r="CR25">
        <f t="shared" si="33"/>
        <v>-2</v>
      </c>
      <c r="CS25" t="e">
        <f t="shared" ca="1" si="34"/>
        <v>#N/A</v>
      </c>
      <c r="CU25" t="str">
        <f t="shared" si="35"/>
        <v>CG-34:CG25</v>
      </c>
      <c r="CV25">
        <f t="shared" si="36"/>
        <v>-42</v>
      </c>
      <c r="CW25" t="e">
        <f t="shared" ca="1" si="37"/>
        <v>#N/A</v>
      </c>
      <c r="CY25">
        <f t="shared" ca="1" si="38"/>
        <v>406.98599999999999</v>
      </c>
      <c r="CZ25">
        <f t="shared" ca="1" si="44"/>
        <v>419.69697719434913</v>
      </c>
      <c r="DA25" t="e">
        <f>NA()</f>
        <v>#N/A</v>
      </c>
      <c r="DB25" t="e">
        <f>NA()</f>
        <v>#N/A</v>
      </c>
      <c r="DC25" t="e">
        <f>NA()</f>
        <v>#N/A</v>
      </c>
      <c r="DD25" t="e">
        <f>NA()</f>
        <v>#N/A</v>
      </c>
    </row>
    <row r="26" spans="22:108" x14ac:dyDescent="0.25">
      <c r="V26">
        <f>ROW()</f>
        <v>26</v>
      </c>
      <c r="W26" t="str">
        <f>HLOOKUP(W$7,月營收!$A$11:$G$48,38-$V26+8,0)</f>
        <v>108/12</v>
      </c>
      <c r="X26" s="8">
        <f>HLOOKUP(X$7,月營收!$A$11:$G$48,38-$V26+8,0)/1000</f>
        <v>103313.13800000001</v>
      </c>
      <c r="Y26" s="11">
        <f>HLOOKUP(Y$7,月營收!$A$11:$G$48,38-$V26+8,0)</f>
        <v>0.15010000000000001</v>
      </c>
      <c r="Z26">
        <f t="shared" si="9"/>
        <v>0.15010000000000001</v>
      </c>
      <c r="AA26" t="e">
        <f t="shared" si="10"/>
        <v>#N/A</v>
      </c>
      <c r="AY26" t="str">
        <f>"日K!A"&amp;日K!$E$3-239+1+BF26-8</f>
        <v>日K!A6618</v>
      </c>
      <c r="AZ26" s="4">
        <f t="shared" ca="1" si="16"/>
        <v>44064</v>
      </c>
      <c r="BA26" s="13">
        <f t="shared" ca="1" si="17"/>
        <v>413.73439999999999</v>
      </c>
      <c r="BB26" s="13">
        <f t="shared" ca="1" si="18"/>
        <v>419.13299999999998</v>
      </c>
      <c r="BC26" s="13">
        <f t="shared" ca="1" si="19"/>
        <v>412.262</v>
      </c>
      <c r="BD26" s="13">
        <f t="shared" ca="1" si="20"/>
        <v>416.67910000000001</v>
      </c>
      <c r="BE26" s="13">
        <f t="shared" ca="1" si="21"/>
        <v>41956</v>
      </c>
      <c r="BF26">
        <f>ROW()</f>
        <v>26</v>
      </c>
      <c r="BH26" t="str">
        <f t="shared" si="22"/>
        <v>BC22:BC26</v>
      </c>
      <c r="BI26">
        <f t="shared" si="41"/>
        <v>14</v>
      </c>
      <c r="BJ26">
        <f t="shared" ca="1" si="23"/>
        <v>413.43988000000007</v>
      </c>
      <c r="BL26" t="str">
        <f t="shared" si="24"/>
        <v>BC7:BC26</v>
      </c>
      <c r="BM26">
        <f t="shared" si="42"/>
        <v>-1</v>
      </c>
      <c r="BN26" t="e">
        <f t="shared" ca="1" si="25"/>
        <v>#N/A</v>
      </c>
      <c r="BP26" t="str">
        <f t="shared" si="26"/>
        <v>BC-33:BC26</v>
      </c>
      <c r="BQ26">
        <f t="shared" si="43"/>
        <v>-41</v>
      </c>
      <c r="BR26" t="e">
        <f t="shared" ca="1" si="27"/>
        <v>#N/A</v>
      </c>
      <c r="BT26" t="e">
        <f>NA()</f>
        <v>#N/A</v>
      </c>
      <c r="BU26" t="e">
        <f>NA()</f>
        <v>#N/A</v>
      </c>
      <c r="BV26" t="e">
        <f>NA()</f>
        <v>#N/A</v>
      </c>
      <c r="BW26" t="e">
        <f>NA()</f>
        <v>#N/A</v>
      </c>
      <c r="BY26">
        <f t="shared" ca="1" si="6"/>
        <v>413.43988000000007</v>
      </c>
      <c r="BZ26" t="e">
        <f t="shared" ca="1" si="7"/>
        <v>#N/A</v>
      </c>
      <c r="CA26" t="e">
        <f t="shared" ca="1" si="8"/>
        <v>#N/A</v>
      </c>
      <c r="CD26" t="str">
        <f>IF(周K!$E$3+CK26-12&gt;工作底稿!$CE$5,"周K!A"&amp;周K!$E$3-$CE$5+1+CK26-8,0)</f>
        <v>周K!A186</v>
      </c>
      <c r="CE26" s="4">
        <f t="shared" ca="1" si="28"/>
        <v>42716</v>
      </c>
      <c r="CF26" s="13">
        <f ca="1">IF($CD26=0,"",VLOOKUP($CE26,周K!$A$6:$F$6842,2,0))</f>
        <v>186</v>
      </c>
      <c r="CG26" s="13">
        <f ca="1">IF($CD26=0,"",VLOOKUP($CE26,周K!$A$6:$F$6842,3,0))</f>
        <v>187.5</v>
      </c>
      <c r="CH26" s="13">
        <f ca="1">IF($CD26=0,"",VLOOKUP($CE26,周K!$A$6:$F$6842,4,0))</f>
        <v>184</v>
      </c>
      <c r="CI26" s="13">
        <f ca="1">IF($CD26=0,"",VLOOKUP($CE26,周K!$A$6:$F$6842,5,0))</f>
        <v>185</v>
      </c>
      <c r="CJ26" s="13">
        <f ca="1">IF($CD26=0,"",VLOOKUP($CE26,周K!$A$6:$F$6842,6,0))</f>
        <v>119791</v>
      </c>
      <c r="CK26">
        <f>ROW()</f>
        <v>26</v>
      </c>
      <c r="CM26" t="str">
        <f t="shared" si="29"/>
        <v>CG22:CG26</v>
      </c>
      <c r="CN26">
        <f t="shared" si="30"/>
        <v>14</v>
      </c>
      <c r="CO26">
        <f t="shared" ca="1" si="31"/>
        <v>185.6</v>
      </c>
      <c r="CQ26" t="str">
        <f t="shared" si="32"/>
        <v>CG7:CG26</v>
      </c>
      <c r="CR26">
        <f t="shared" si="33"/>
        <v>-1</v>
      </c>
      <c r="CS26" t="e">
        <f t="shared" ca="1" si="34"/>
        <v>#N/A</v>
      </c>
      <c r="CU26" t="str">
        <f t="shared" si="35"/>
        <v>CG-33:CG26</v>
      </c>
      <c r="CV26">
        <f t="shared" si="36"/>
        <v>-41</v>
      </c>
      <c r="CW26" t="e">
        <f t="shared" ca="1" si="37"/>
        <v>#N/A</v>
      </c>
      <c r="CY26">
        <f t="shared" ca="1" si="38"/>
        <v>416.18830000000003</v>
      </c>
      <c r="CZ26">
        <f t="shared" ca="1" si="44"/>
        <v>419.15718070291081</v>
      </c>
      <c r="DA26" t="e">
        <f>NA()</f>
        <v>#N/A</v>
      </c>
      <c r="DB26" t="e">
        <f>NA()</f>
        <v>#N/A</v>
      </c>
      <c r="DC26" t="e">
        <f>NA()</f>
        <v>#N/A</v>
      </c>
      <c r="DD26" t="e">
        <f>NA()</f>
        <v>#N/A</v>
      </c>
    </row>
    <row r="27" spans="22:108" x14ac:dyDescent="0.25">
      <c r="V27">
        <f>ROW()</f>
        <v>27</v>
      </c>
      <c r="W27" t="str">
        <f>HLOOKUP(W$7,月營收!$A$11:$G$48,38-$V27+8,0)</f>
        <v>109/01</v>
      </c>
      <c r="X27" s="8">
        <f>HLOOKUP(X$7,月營收!$A$11:$G$48,38-$V27+8,0)/1000</f>
        <v>103683.13499999999</v>
      </c>
      <c r="Y27" s="11">
        <f>HLOOKUP(Y$7,月營收!$A$11:$G$48,38-$V27+8,0)</f>
        <v>0.32769999999999999</v>
      </c>
      <c r="Z27">
        <f t="shared" si="9"/>
        <v>0.32769999999999999</v>
      </c>
      <c r="AA27" t="e">
        <f t="shared" si="10"/>
        <v>#N/A</v>
      </c>
      <c r="AY27" t="str">
        <f>"日K!A"&amp;日K!$E$3-239+1+BF27-8</f>
        <v>日K!A6619</v>
      </c>
      <c r="AZ27" s="4">
        <f t="shared" ca="1" si="16"/>
        <v>44067</v>
      </c>
      <c r="BA27" s="13">
        <f t="shared" ca="1" si="17"/>
        <v>419.62380000000002</v>
      </c>
      <c r="BB27" s="13">
        <f t="shared" ca="1" si="18"/>
        <v>426.4948</v>
      </c>
      <c r="BC27" s="13">
        <f t="shared" ca="1" si="19"/>
        <v>417.16989999999998</v>
      </c>
      <c r="BD27" s="13">
        <f t="shared" ca="1" si="20"/>
        <v>420.1146</v>
      </c>
      <c r="BE27" s="13">
        <f t="shared" ca="1" si="21"/>
        <v>49199</v>
      </c>
      <c r="BF27">
        <f>ROW()</f>
        <v>27</v>
      </c>
      <c r="BH27" t="str">
        <f t="shared" si="22"/>
        <v>BC23:BC27</v>
      </c>
      <c r="BI27">
        <f t="shared" si="41"/>
        <v>15</v>
      </c>
      <c r="BJ27">
        <f t="shared" ca="1" si="23"/>
        <v>413.34172000000001</v>
      </c>
      <c r="BL27" t="str">
        <f t="shared" si="24"/>
        <v>BC8:BC27</v>
      </c>
      <c r="BM27">
        <f t="shared" si="42"/>
        <v>0</v>
      </c>
      <c r="BN27">
        <f t="shared" ca="1" si="25"/>
        <v>415.91836000000001</v>
      </c>
      <c r="BP27" t="str">
        <f t="shared" si="26"/>
        <v>BC-32:BC27</v>
      </c>
      <c r="BQ27">
        <f t="shared" si="43"/>
        <v>-40</v>
      </c>
      <c r="BR27" t="e">
        <f t="shared" ca="1" si="27"/>
        <v>#N/A</v>
      </c>
      <c r="BT27">
        <f t="shared" ref="BT27:BT90" ca="1" si="45">AVERAGE(BD8:BD27)</f>
        <v>419.99190500000003</v>
      </c>
      <c r="BU27" t="e">
        <f>NA()</f>
        <v>#N/A</v>
      </c>
      <c r="BV27" t="e">
        <f>NA()</f>
        <v>#N/A</v>
      </c>
      <c r="BW27" t="e">
        <f>NA()</f>
        <v>#N/A</v>
      </c>
      <c r="BY27">
        <f t="shared" ca="1" si="6"/>
        <v>413.34172000000001</v>
      </c>
      <c r="BZ27">
        <f t="shared" ca="1" si="7"/>
        <v>415.91836000000001</v>
      </c>
      <c r="CA27" t="e">
        <f t="shared" ca="1" si="8"/>
        <v>#N/A</v>
      </c>
      <c r="CD27" t="str">
        <f>IF(周K!$E$3+CK27-12&gt;工作底稿!$CE$5,"周K!A"&amp;周K!$E$3-$CE$5+1+CK27-8,0)</f>
        <v>周K!A187</v>
      </c>
      <c r="CE27" s="4">
        <f t="shared" ca="1" si="28"/>
        <v>42723</v>
      </c>
      <c r="CF27" s="13">
        <f ca="1">IF($CD27=0,"",VLOOKUP($CE27,周K!$A$6:$F$6842,2,0))</f>
        <v>184</v>
      </c>
      <c r="CG27" s="13">
        <f ca="1">IF($CD27=0,"",VLOOKUP($CE27,周K!$A$6:$F$6842,3,0))</f>
        <v>184.5</v>
      </c>
      <c r="CH27" s="13">
        <f ca="1">IF($CD27=0,"",VLOOKUP($CE27,周K!$A$6:$F$6842,4,0))</f>
        <v>178.5</v>
      </c>
      <c r="CI27" s="13">
        <f ca="1">IF($CD27=0,"",VLOOKUP($CE27,周K!$A$6:$F$6842,5,0))</f>
        <v>178.5</v>
      </c>
      <c r="CJ27" s="13">
        <f ca="1">IF($CD27=0,"",VLOOKUP($CE27,周K!$A$6:$F$6842,6,0))</f>
        <v>127917</v>
      </c>
      <c r="CK27">
        <f>ROW()</f>
        <v>27</v>
      </c>
      <c r="CM27" t="str">
        <f t="shared" si="29"/>
        <v>CG23:CG27</v>
      </c>
      <c r="CN27">
        <f t="shared" si="30"/>
        <v>15</v>
      </c>
      <c r="CO27">
        <f t="shared" ca="1" si="31"/>
        <v>185.9</v>
      </c>
      <c r="CQ27" t="str">
        <f t="shared" si="32"/>
        <v>CG8:CG27</v>
      </c>
      <c r="CR27">
        <f t="shared" si="33"/>
        <v>0</v>
      </c>
      <c r="CS27">
        <f t="shared" ca="1" si="34"/>
        <v>185.375</v>
      </c>
      <c r="CU27" t="str">
        <f t="shared" si="35"/>
        <v>CG-32:CG27</v>
      </c>
      <c r="CV27">
        <f t="shared" si="36"/>
        <v>-40</v>
      </c>
      <c r="CW27" t="e">
        <f t="shared" ca="1" si="37"/>
        <v>#N/A</v>
      </c>
      <c r="CY27">
        <f t="shared" ca="1" si="38"/>
        <v>420.97347500000001</v>
      </c>
      <c r="CZ27">
        <f t="shared" ca="1" si="44"/>
        <v>419.43661059477068</v>
      </c>
      <c r="DA27" t="e">
        <f>NA()</f>
        <v>#N/A</v>
      </c>
      <c r="DB27" t="e">
        <f>NA()</f>
        <v>#N/A</v>
      </c>
      <c r="DC27" t="e">
        <f>NA()</f>
        <v>#N/A</v>
      </c>
      <c r="DD27" t="e">
        <f>NA()</f>
        <v>#N/A</v>
      </c>
    </row>
    <row r="28" spans="22:108" x14ac:dyDescent="0.25">
      <c r="V28">
        <f>ROW()</f>
        <v>28</v>
      </c>
      <c r="W28" t="str">
        <f>HLOOKUP(W$7,月營收!$A$11:$G$48,38-$V28+8,0)</f>
        <v>109/02</v>
      </c>
      <c r="X28" s="8">
        <f>HLOOKUP(X$7,月營收!$A$11:$G$48,38-$V28+8,0)/1000</f>
        <v>93394.448999999993</v>
      </c>
      <c r="Y28" s="11">
        <f>HLOOKUP(Y$7,月營收!$A$11:$G$48,38-$V28+8,0)</f>
        <v>0.53380000000000005</v>
      </c>
      <c r="Z28">
        <f t="shared" si="9"/>
        <v>0.53380000000000005</v>
      </c>
      <c r="AA28" t="e">
        <f t="shared" si="10"/>
        <v>#N/A</v>
      </c>
      <c r="AY28" t="str">
        <f>"日K!A"&amp;日K!$E$3-239+1+BF28-8</f>
        <v>日K!A6620</v>
      </c>
      <c r="AZ28" s="4">
        <f t="shared" ca="1" si="16"/>
        <v>44068</v>
      </c>
      <c r="BA28" s="13">
        <f t="shared" ca="1" si="17"/>
        <v>425.51330000000002</v>
      </c>
      <c r="BB28" s="13">
        <f t="shared" ca="1" si="18"/>
        <v>427.96719999999999</v>
      </c>
      <c r="BC28" s="13">
        <f t="shared" ca="1" si="19"/>
        <v>422.56849999999997</v>
      </c>
      <c r="BD28" s="13">
        <f t="shared" ca="1" si="20"/>
        <v>426.4948</v>
      </c>
      <c r="BE28" s="13">
        <f t="shared" ca="1" si="21"/>
        <v>37025</v>
      </c>
      <c r="BF28">
        <f>ROW()</f>
        <v>28</v>
      </c>
      <c r="BH28" t="str">
        <f t="shared" si="22"/>
        <v>BC24:BC28</v>
      </c>
      <c r="BI28">
        <f t="shared" si="41"/>
        <v>16</v>
      </c>
      <c r="BJ28">
        <f t="shared" ca="1" si="23"/>
        <v>413.04723999999999</v>
      </c>
      <c r="BL28" t="str">
        <f t="shared" si="24"/>
        <v>BC9:BC28</v>
      </c>
      <c r="BM28">
        <f t="shared" si="42"/>
        <v>1</v>
      </c>
      <c r="BN28">
        <f t="shared" ca="1" si="25"/>
        <v>416.01651499999997</v>
      </c>
      <c r="BP28" t="str">
        <f t="shared" si="26"/>
        <v>BC-31:BC28</v>
      </c>
      <c r="BQ28">
        <f t="shared" si="43"/>
        <v>-39</v>
      </c>
      <c r="BR28" t="e">
        <f t="shared" ca="1" si="27"/>
        <v>#N/A</v>
      </c>
      <c r="BT28">
        <f t="shared" ca="1" si="45"/>
        <v>419.96736500000009</v>
      </c>
      <c r="BU28" t="e">
        <f>NA()</f>
        <v>#N/A</v>
      </c>
      <c r="BV28" t="e">
        <f>NA()</f>
        <v>#N/A</v>
      </c>
      <c r="BW28" t="e">
        <f>NA()</f>
        <v>#N/A</v>
      </c>
      <c r="BY28">
        <f t="shared" ca="1" si="6"/>
        <v>413.04723999999999</v>
      </c>
      <c r="BZ28">
        <f t="shared" ca="1" si="7"/>
        <v>416.01651499999997</v>
      </c>
      <c r="CA28" t="e">
        <f t="shared" ca="1" si="8"/>
        <v>#N/A</v>
      </c>
      <c r="CD28" t="str">
        <f>IF(周K!$E$3+CK28-12&gt;工作底稿!$CE$5,"周K!A"&amp;周K!$E$3-$CE$5+1+CK28-8,0)</f>
        <v>周K!A188</v>
      </c>
      <c r="CE28" s="4">
        <f t="shared" ca="1" si="28"/>
        <v>42730</v>
      </c>
      <c r="CF28" s="13">
        <f ca="1">IF($CD28=0,"",VLOOKUP($CE28,周K!$A$6:$F$6842,2,0))</f>
        <v>179</v>
      </c>
      <c r="CG28" s="13">
        <f ca="1">IF($CD28=0,"",VLOOKUP($CE28,周K!$A$6:$F$6842,3,0))</f>
        <v>182.5</v>
      </c>
      <c r="CH28" s="13">
        <f ca="1">IF($CD28=0,"",VLOOKUP($CE28,周K!$A$6:$F$6842,4,0))</f>
        <v>179</v>
      </c>
      <c r="CI28" s="13">
        <f ca="1">IF($CD28=0,"",VLOOKUP($CE28,周K!$A$6:$F$6842,5,0))</f>
        <v>181.5</v>
      </c>
      <c r="CJ28" s="13">
        <f ca="1">IF($CD28=0,"",VLOOKUP($CE28,周K!$A$6:$F$6842,6,0))</f>
        <v>102372</v>
      </c>
      <c r="CK28">
        <f>ROW()</f>
        <v>28</v>
      </c>
      <c r="CM28" t="str">
        <f t="shared" si="29"/>
        <v>CG24:CG28</v>
      </c>
      <c r="CN28">
        <f t="shared" si="30"/>
        <v>16</v>
      </c>
      <c r="CO28">
        <f t="shared" ca="1" si="31"/>
        <v>185.1</v>
      </c>
      <c r="CQ28" t="str">
        <f t="shared" si="32"/>
        <v>CG9:CG28</v>
      </c>
      <c r="CR28">
        <f t="shared" si="33"/>
        <v>1</v>
      </c>
      <c r="CS28">
        <f t="shared" ca="1" si="34"/>
        <v>185.52500000000001</v>
      </c>
      <c r="CU28" t="str">
        <f t="shared" si="35"/>
        <v>CG-31:CG28</v>
      </c>
      <c r="CV28">
        <f t="shared" si="36"/>
        <v>-39</v>
      </c>
      <c r="CW28" t="e">
        <f t="shared" ca="1" si="37"/>
        <v>#N/A</v>
      </c>
      <c r="CY28">
        <f t="shared" ca="1" si="38"/>
        <v>425.88132499999995</v>
      </c>
      <c r="CZ28">
        <f t="shared" ca="1" si="44"/>
        <v>420.42810511865213</v>
      </c>
      <c r="DA28" t="e">
        <f>NA()</f>
        <v>#N/A</v>
      </c>
      <c r="DB28" t="e">
        <f>NA()</f>
        <v>#N/A</v>
      </c>
      <c r="DC28" t="e">
        <f>NA()</f>
        <v>#N/A</v>
      </c>
      <c r="DD28" t="e">
        <f>NA()</f>
        <v>#N/A</v>
      </c>
    </row>
    <row r="29" spans="22:108" x14ac:dyDescent="0.25">
      <c r="V29">
        <f>ROW()</f>
        <v>29</v>
      </c>
      <c r="W29" t="str">
        <f>HLOOKUP(W$7,月營收!$A$11:$G$48,38-$V29+8,0)</f>
        <v>109/03</v>
      </c>
      <c r="X29" s="8">
        <f>HLOOKUP(X$7,月營收!$A$11:$G$48,38-$V29+8,0)/1000</f>
        <v>113519.599</v>
      </c>
      <c r="Y29" s="11">
        <f>HLOOKUP(Y$7,月營收!$A$11:$G$48,38-$V29+8,0)</f>
        <v>0.42399999999999999</v>
      </c>
      <c r="Z29">
        <f t="shared" si="9"/>
        <v>0.42399999999999999</v>
      </c>
      <c r="AA29" t="e">
        <f t="shared" si="10"/>
        <v>#N/A</v>
      </c>
      <c r="AY29" t="str">
        <f>"日K!A"&amp;日K!$E$3-239+1+BF29-8</f>
        <v>日K!A6621</v>
      </c>
      <c r="AZ29" s="4">
        <f t="shared" ca="1" si="16"/>
        <v>44069</v>
      </c>
      <c r="BA29" s="13">
        <f t="shared" ca="1" si="17"/>
        <v>427.47640000000001</v>
      </c>
      <c r="BB29" s="13">
        <f t="shared" ca="1" si="18"/>
        <v>433.85669999999999</v>
      </c>
      <c r="BC29" s="13">
        <f t="shared" ca="1" si="19"/>
        <v>426.98559999999998</v>
      </c>
      <c r="BD29" s="13">
        <f t="shared" ca="1" si="20"/>
        <v>433.85669999999999</v>
      </c>
      <c r="BE29" s="13">
        <f t="shared" ca="1" si="21"/>
        <v>41406</v>
      </c>
      <c r="BF29">
        <f>ROW()</f>
        <v>29</v>
      </c>
      <c r="BH29" t="str">
        <f t="shared" si="22"/>
        <v>BC25:BC29</v>
      </c>
      <c r="BI29">
        <f t="shared" si="41"/>
        <v>17</v>
      </c>
      <c r="BJ29">
        <f t="shared" ca="1" si="23"/>
        <v>414.51959999999997</v>
      </c>
      <c r="BL29" t="str">
        <f t="shared" si="24"/>
        <v>BC10:BC29</v>
      </c>
      <c r="BM29">
        <f t="shared" si="42"/>
        <v>2</v>
      </c>
      <c r="BN29">
        <f t="shared" ca="1" si="25"/>
        <v>416.77723500000002</v>
      </c>
      <c r="BP29" t="str">
        <f t="shared" si="26"/>
        <v>BC-30:BC29</v>
      </c>
      <c r="BQ29">
        <f t="shared" si="43"/>
        <v>-38</v>
      </c>
      <c r="BR29" t="e">
        <f t="shared" ca="1" si="27"/>
        <v>#N/A</v>
      </c>
      <c r="BT29">
        <f t="shared" ca="1" si="45"/>
        <v>420.94894499999998</v>
      </c>
      <c r="BU29" t="e">
        <f>NA()</f>
        <v>#N/A</v>
      </c>
      <c r="BV29" t="e">
        <f>NA()</f>
        <v>#N/A</v>
      </c>
      <c r="BW29" t="e">
        <f>NA()</f>
        <v>#N/A</v>
      </c>
      <c r="BY29">
        <f t="shared" ca="1" si="6"/>
        <v>414.51959999999997</v>
      </c>
      <c r="BZ29">
        <f t="shared" ca="1" si="7"/>
        <v>416.77723500000002</v>
      </c>
      <c r="CA29" t="e">
        <f t="shared" ca="1" si="8"/>
        <v>#N/A</v>
      </c>
      <c r="CD29" t="str">
        <f>IF(周K!$E$3+CK29-12&gt;工作底稿!$CE$5,"周K!A"&amp;周K!$E$3-$CE$5+1+CK29-8,0)</f>
        <v>周K!A189</v>
      </c>
      <c r="CE29" s="4">
        <f t="shared" ca="1" si="28"/>
        <v>42738</v>
      </c>
      <c r="CF29" s="13">
        <f ca="1">IF($CD29=0,"",VLOOKUP($CE29,周K!$A$6:$F$6842,2,0))</f>
        <v>181.5</v>
      </c>
      <c r="CG29" s="13">
        <f ca="1">IF($CD29=0,"",VLOOKUP($CE29,周K!$A$6:$F$6842,3,0))</f>
        <v>184.5</v>
      </c>
      <c r="CH29" s="13">
        <f ca="1">IF($CD29=0,"",VLOOKUP($CE29,周K!$A$6:$F$6842,4,0))</f>
        <v>181</v>
      </c>
      <c r="CI29" s="13">
        <f ca="1">IF($CD29=0,"",VLOOKUP($CE29,周K!$A$6:$F$6842,5,0))</f>
        <v>184</v>
      </c>
      <c r="CJ29" s="13">
        <f ca="1">IF($CD29=0,"",VLOOKUP($CE29,周K!$A$6:$F$6842,6,0))</f>
        <v>92528</v>
      </c>
      <c r="CK29">
        <f>ROW()</f>
        <v>29</v>
      </c>
      <c r="CM29" t="str">
        <f t="shared" si="29"/>
        <v>CG25:CG29</v>
      </c>
      <c r="CN29">
        <f t="shared" si="30"/>
        <v>17</v>
      </c>
      <c r="CO29">
        <f t="shared" ca="1" si="31"/>
        <v>185</v>
      </c>
      <c r="CQ29" t="str">
        <f t="shared" si="32"/>
        <v>CG10:CG29</v>
      </c>
      <c r="CR29">
        <f t="shared" si="33"/>
        <v>2</v>
      </c>
      <c r="CS29">
        <f t="shared" ca="1" si="34"/>
        <v>185.8</v>
      </c>
      <c r="CU29" t="str">
        <f t="shared" si="35"/>
        <v>CG-30:CG29</v>
      </c>
      <c r="CV29">
        <f t="shared" si="36"/>
        <v>-38</v>
      </c>
      <c r="CW29" t="e">
        <f t="shared" ca="1" si="37"/>
        <v>#N/A</v>
      </c>
      <c r="CY29">
        <f t="shared" ca="1" si="38"/>
        <v>432.13892499999997</v>
      </c>
      <c r="CZ29">
        <f t="shared" ca="1" si="44"/>
        <v>422.2297697157826</v>
      </c>
      <c r="DA29" t="e">
        <f>NA()</f>
        <v>#N/A</v>
      </c>
      <c r="DB29" t="e">
        <f>NA()</f>
        <v>#N/A</v>
      </c>
      <c r="DC29" t="e">
        <f>NA()</f>
        <v>#N/A</v>
      </c>
      <c r="DD29" t="e">
        <f>NA()</f>
        <v>#N/A</v>
      </c>
    </row>
    <row r="30" spans="22:108" x14ac:dyDescent="0.25">
      <c r="V30">
        <f>ROW()</f>
        <v>30</v>
      </c>
      <c r="W30" t="str">
        <f>HLOOKUP(W$7,月營收!$A$11:$G$48,38-$V30+8,0)</f>
        <v>109/04</v>
      </c>
      <c r="X30" s="8">
        <f>HLOOKUP(X$7,月營收!$A$11:$G$48,38-$V30+8,0)/1000</f>
        <v>96001.572</v>
      </c>
      <c r="Y30" s="11">
        <f>HLOOKUP(Y$7,月營收!$A$11:$G$48,38-$V30+8,0)</f>
        <v>0.2853</v>
      </c>
      <c r="Z30">
        <f t="shared" si="9"/>
        <v>0.2853</v>
      </c>
      <c r="AA30" t="e">
        <f t="shared" si="10"/>
        <v>#N/A</v>
      </c>
      <c r="AY30" t="str">
        <f>"日K!A"&amp;日K!$E$3-239+1+BF30-8</f>
        <v>日K!A6622</v>
      </c>
      <c r="AZ30" s="4">
        <f t="shared" ca="1" si="16"/>
        <v>44070</v>
      </c>
      <c r="BA30" s="13">
        <f t="shared" ca="1" si="17"/>
        <v>439.74610000000001</v>
      </c>
      <c r="BB30" s="13">
        <f t="shared" ca="1" si="18"/>
        <v>445.14479999999998</v>
      </c>
      <c r="BC30" s="13">
        <f t="shared" ca="1" si="19"/>
        <v>435.81979999999999</v>
      </c>
      <c r="BD30" s="13">
        <f t="shared" ca="1" si="20"/>
        <v>435.81979999999999</v>
      </c>
      <c r="BE30" s="13">
        <f t="shared" ca="1" si="21"/>
        <v>57207</v>
      </c>
      <c r="BF30">
        <f>ROW()</f>
        <v>30</v>
      </c>
      <c r="BH30" t="str">
        <f t="shared" si="22"/>
        <v>BC26:BC30</v>
      </c>
      <c r="BI30">
        <f t="shared" si="41"/>
        <v>18</v>
      </c>
      <c r="BJ30">
        <f t="shared" ca="1" si="23"/>
        <v>422.96116000000001</v>
      </c>
      <c r="BL30" t="str">
        <f t="shared" si="24"/>
        <v>BC11:BC30</v>
      </c>
      <c r="BM30">
        <f t="shared" si="42"/>
        <v>3</v>
      </c>
      <c r="BN30">
        <f t="shared" ca="1" si="25"/>
        <v>417.53795499999995</v>
      </c>
      <c r="BP30" t="str">
        <f t="shared" si="26"/>
        <v>BC-29:BC30</v>
      </c>
      <c r="BQ30">
        <f t="shared" si="43"/>
        <v>-37</v>
      </c>
      <c r="BR30" t="e">
        <f t="shared" ca="1" si="27"/>
        <v>#N/A</v>
      </c>
      <c r="BT30">
        <f t="shared" ca="1" si="45"/>
        <v>421.43973000000005</v>
      </c>
      <c r="BU30" t="e">
        <f>NA()</f>
        <v>#N/A</v>
      </c>
      <c r="BV30" t="e">
        <f>NA()</f>
        <v>#N/A</v>
      </c>
      <c r="BW30" t="e">
        <f>NA()</f>
        <v>#N/A</v>
      </c>
      <c r="BY30">
        <f t="shared" ca="1" si="6"/>
        <v>422.96116000000001</v>
      </c>
      <c r="BZ30">
        <f t="shared" ca="1" si="7"/>
        <v>417.53795499999995</v>
      </c>
      <c r="CA30" t="e">
        <f t="shared" ca="1" si="8"/>
        <v>#N/A</v>
      </c>
      <c r="CD30" t="str">
        <f>IF(周K!$E$3+CK30-12&gt;工作底稿!$CE$5,"周K!A"&amp;周K!$E$3-$CE$5+1+CK30-8,0)</f>
        <v>周K!A190</v>
      </c>
      <c r="CE30" s="4">
        <f t="shared" ca="1" si="28"/>
        <v>42744</v>
      </c>
      <c r="CF30" s="13">
        <f ca="1">IF($CD30=0,"",VLOOKUP($CE30,周K!$A$6:$F$6842,2,0))</f>
        <v>184</v>
      </c>
      <c r="CG30" s="13">
        <f ca="1">IF($CD30=0,"",VLOOKUP($CE30,周K!$A$6:$F$6842,3,0))</f>
        <v>185.5</v>
      </c>
      <c r="CH30" s="13">
        <f ca="1">IF($CD30=0,"",VLOOKUP($CE30,周K!$A$6:$F$6842,4,0))</f>
        <v>180.5</v>
      </c>
      <c r="CI30" s="13">
        <f ca="1">IF($CD30=0,"",VLOOKUP($CE30,周K!$A$6:$F$6842,5,0))</f>
        <v>181.5</v>
      </c>
      <c r="CJ30" s="13">
        <f ca="1">IF($CD30=0,"",VLOOKUP($CE30,周K!$A$6:$F$6842,6,0))</f>
        <v>170711</v>
      </c>
      <c r="CK30">
        <f>ROW()</f>
        <v>30</v>
      </c>
      <c r="CM30" t="str">
        <f t="shared" si="29"/>
        <v>CG26:CG30</v>
      </c>
      <c r="CN30">
        <f t="shared" si="30"/>
        <v>18</v>
      </c>
      <c r="CO30">
        <f t="shared" ca="1" si="31"/>
        <v>184.9</v>
      </c>
      <c r="CQ30" t="str">
        <f t="shared" si="32"/>
        <v>CG11:CG30</v>
      </c>
      <c r="CR30">
        <f t="shared" si="33"/>
        <v>3</v>
      </c>
      <c r="CS30">
        <f t="shared" ca="1" si="34"/>
        <v>186.22499999999999</v>
      </c>
      <c r="CU30" t="str">
        <f t="shared" si="35"/>
        <v>CG-29:CG30</v>
      </c>
      <c r="CV30">
        <f t="shared" si="36"/>
        <v>-37</v>
      </c>
      <c r="CW30" t="e">
        <f t="shared" ca="1" si="37"/>
        <v>#N/A</v>
      </c>
      <c r="CY30">
        <f t="shared" ca="1" si="38"/>
        <v>438.15105</v>
      </c>
      <c r="CZ30">
        <f t="shared" ca="1" si="44"/>
        <v>424.67919745181604</v>
      </c>
      <c r="DA30" t="e">
        <f>NA()</f>
        <v>#N/A</v>
      </c>
      <c r="DB30" t="e">
        <f>NA()</f>
        <v>#N/A</v>
      </c>
      <c r="DC30" t="e">
        <f>NA()</f>
        <v>#N/A</v>
      </c>
      <c r="DD30" t="e">
        <f>NA()</f>
        <v>#N/A</v>
      </c>
    </row>
    <row r="31" spans="22:108" x14ac:dyDescent="0.25">
      <c r="V31">
        <f>ROW()</f>
        <v>31</v>
      </c>
      <c r="W31" t="str">
        <f>HLOOKUP(W$7,月營收!$A$11:$G$48,38-$V31+8,0)</f>
        <v>109/05</v>
      </c>
      <c r="X31" s="8">
        <f>HLOOKUP(X$7,月營收!$A$11:$G$48,38-$V31+8,0)/1000</f>
        <v>93819.01</v>
      </c>
      <c r="Y31" s="11">
        <f>HLOOKUP(Y$7,月營收!$A$11:$G$48,38-$V31+8,0)</f>
        <v>0.16639999999999999</v>
      </c>
      <c r="Z31">
        <f t="shared" si="9"/>
        <v>0.16639999999999999</v>
      </c>
      <c r="AA31" t="e">
        <f t="shared" si="10"/>
        <v>#N/A</v>
      </c>
      <c r="AY31" t="str">
        <f>"日K!A"&amp;日K!$E$3-239+1+BF31-8</f>
        <v>日K!A6623</v>
      </c>
      <c r="AZ31" s="4">
        <f t="shared" ca="1" si="16"/>
        <v>44071</v>
      </c>
      <c r="BA31" s="13">
        <f t="shared" ca="1" si="17"/>
        <v>431.89350000000002</v>
      </c>
      <c r="BB31" s="13">
        <f t="shared" ca="1" si="18"/>
        <v>432.3843</v>
      </c>
      <c r="BC31" s="13">
        <f t="shared" ca="1" si="19"/>
        <v>423.05930000000001</v>
      </c>
      <c r="BD31" s="13">
        <f t="shared" ca="1" si="20"/>
        <v>426.98559999999998</v>
      </c>
      <c r="BE31" s="13">
        <f t="shared" ca="1" si="21"/>
        <v>57039</v>
      </c>
      <c r="BF31">
        <f>ROW()</f>
        <v>31</v>
      </c>
      <c r="BH31" t="str">
        <f t="shared" si="22"/>
        <v>BC27:BC31</v>
      </c>
      <c r="BI31">
        <f t="shared" si="41"/>
        <v>19</v>
      </c>
      <c r="BJ31">
        <f t="shared" ca="1" si="23"/>
        <v>425.12061999999997</v>
      </c>
      <c r="BL31" t="str">
        <f t="shared" si="24"/>
        <v>BC12:BC31</v>
      </c>
      <c r="BM31">
        <f t="shared" si="42"/>
        <v>4</v>
      </c>
      <c r="BN31">
        <f t="shared" ca="1" si="25"/>
        <v>417.80788500000006</v>
      </c>
      <c r="BP31" t="str">
        <f t="shared" si="26"/>
        <v>BC-28:BC31</v>
      </c>
      <c r="BQ31">
        <f t="shared" si="43"/>
        <v>-36</v>
      </c>
      <c r="BR31" t="e">
        <f t="shared" ca="1" si="27"/>
        <v>#N/A</v>
      </c>
      <c r="BT31">
        <f t="shared" ca="1" si="45"/>
        <v>421.90597500000001</v>
      </c>
      <c r="BU31" t="e">
        <f>NA()</f>
        <v>#N/A</v>
      </c>
      <c r="BV31" t="e">
        <f>NA()</f>
        <v>#N/A</v>
      </c>
      <c r="BW31" t="e">
        <f>NA()</f>
        <v>#N/A</v>
      </c>
      <c r="BY31">
        <f t="shared" ca="1" si="6"/>
        <v>425.12061999999997</v>
      </c>
      <c r="BZ31">
        <f t="shared" ca="1" si="7"/>
        <v>417.80788500000006</v>
      </c>
      <c r="CA31" t="e">
        <f t="shared" ca="1" si="8"/>
        <v>#N/A</v>
      </c>
      <c r="CD31" t="str">
        <f>IF(周K!$E$3+CK31-12&gt;工作底稿!$CE$5,"周K!A"&amp;周K!$E$3-$CE$5+1+CK31-8,0)</f>
        <v>周K!A191</v>
      </c>
      <c r="CE31" s="4">
        <f t="shared" ca="1" si="28"/>
        <v>42751</v>
      </c>
      <c r="CF31" s="13">
        <f ca="1">IF($CD31=0,"",VLOOKUP($CE31,周K!$A$6:$F$6842,2,0))</f>
        <v>180</v>
      </c>
      <c r="CG31" s="13">
        <f ca="1">IF($CD31=0,"",VLOOKUP($CE31,周K!$A$6:$F$6842,3,0))</f>
        <v>181.5</v>
      </c>
      <c r="CH31" s="13">
        <f ca="1">IF($CD31=0,"",VLOOKUP($CE31,周K!$A$6:$F$6842,4,0))</f>
        <v>179</v>
      </c>
      <c r="CI31" s="13">
        <f ca="1">IF($CD31=0,"",VLOOKUP($CE31,周K!$A$6:$F$6842,5,0))</f>
        <v>181</v>
      </c>
      <c r="CJ31" s="13">
        <f ca="1">IF($CD31=0,"",VLOOKUP($CE31,周K!$A$6:$F$6842,6,0))</f>
        <v>136149</v>
      </c>
      <c r="CK31">
        <f>ROW()</f>
        <v>31</v>
      </c>
      <c r="CM31" t="str">
        <f t="shared" si="29"/>
        <v>CG27:CG31</v>
      </c>
      <c r="CN31">
        <f t="shared" si="30"/>
        <v>19</v>
      </c>
      <c r="CO31">
        <f t="shared" ca="1" si="31"/>
        <v>183.7</v>
      </c>
      <c r="CQ31" t="str">
        <f t="shared" si="32"/>
        <v>CG12:CG31</v>
      </c>
      <c r="CR31">
        <f t="shared" si="33"/>
        <v>4</v>
      </c>
      <c r="CS31">
        <f t="shared" ca="1" si="34"/>
        <v>186.45</v>
      </c>
      <c r="CU31" t="str">
        <f t="shared" si="35"/>
        <v>CG-28:CG31</v>
      </c>
      <c r="CV31">
        <f t="shared" si="36"/>
        <v>-36</v>
      </c>
      <c r="CW31" t="e">
        <f t="shared" ca="1" si="37"/>
        <v>#N/A</v>
      </c>
      <c r="CY31">
        <f t="shared" ca="1" si="38"/>
        <v>427.3537</v>
      </c>
      <c r="CZ31">
        <f t="shared" ca="1" si="44"/>
        <v>425.09065938230583</v>
      </c>
      <c r="DA31" t="e">
        <f>NA()</f>
        <v>#N/A</v>
      </c>
      <c r="DB31" t="e">
        <f>NA()</f>
        <v>#N/A</v>
      </c>
      <c r="DC31" t="e">
        <f>NA()</f>
        <v>#N/A</v>
      </c>
      <c r="DD31" t="e">
        <f>NA()</f>
        <v>#N/A</v>
      </c>
    </row>
    <row r="32" spans="22:108" x14ac:dyDescent="0.25">
      <c r="V32">
        <f>ROW()</f>
        <v>32</v>
      </c>
      <c r="W32" t="str">
        <f>HLOOKUP(W$7,月營收!$A$11:$G$48,38-$V32+8,0)</f>
        <v>109/06</v>
      </c>
      <c r="X32" s="8">
        <f>HLOOKUP(X$7,月營收!$A$11:$G$48,38-$V32+8,0)/1000</f>
        <v>120877.785</v>
      </c>
      <c r="Y32" s="11">
        <f>HLOOKUP(Y$7,月營收!$A$11:$G$48,38-$V32+8,0)</f>
        <v>0.40770000000000001</v>
      </c>
      <c r="Z32">
        <f t="shared" si="9"/>
        <v>0.40770000000000001</v>
      </c>
      <c r="AA32" t="e">
        <f t="shared" si="10"/>
        <v>#N/A</v>
      </c>
      <c r="AY32" t="str">
        <f>"日K!A"&amp;日K!$E$3-239+1+BF32-8</f>
        <v>日K!A6624</v>
      </c>
      <c r="AZ32" s="4">
        <f t="shared" ca="1" si="16"/>
        <v>44074</v>
      </c>
      <c r="BA32" s="13">
        <f t="shared" ca="1" si="17"/>
        <v>428.94880000000001</v>
      </c>
      <c r="BB32" s="13">
        <f t="shared" ca="1" si="18"/>
        <v>431.40269999999998</v>
      </c>
      <c r="BC32" s="13">
        <f t="shared" ca="1" si="19"/>
        <v>418.6422</v>
      </c>
      <c r="BD32" s="13">
        <f t="shared" ca="1" si="20"/>
        <v>418.6422</v>
      </c>
      <c r="BE32" s="13">
        <f t="shared" ca="1" si="21"/>
        <v>88570</v>
      </c>
      <c r="BF32">
        <f>ROW()</f>
        <v>32</v>
      </c>
      <c r="BH32" t="str">
        <f t="shared" si="22"/>
        <v>BC28:BC32</v>
      </c>
      <c r="BI32">
        <f t="shared" si="41"/>
        <v>20</v>
      </c>
      <c r="BJ32">
        <f t="shared" ca="1" si="23"/>
        <v>425.41507999999993</v>
      </c>
      <c r="BL32" t="str">
        <f t="shared" si="24"/>
        <v>BC13:BC32</v>
      </c>
      <c r="BM32">
        <f t="shared" si="42"/>
        <v>5</v>
      </c>
      <c r="BN32">
        <f t="shared" ca="1" si="25"/>
        <v>418.37228999999996</v>
      </c>
      <c r="BP32" t="str">
        <f t="shared" si="26"/>
        <v>BC-27:BC32</v>
      </c>
      <c r="BQ32">
        <f t="shared" si="43"/>
        <v>-35</v>
      </c>
      <c r="BR32" t="e">
        <f t="shared" ca="1" si="27"/>
        <v>#N/A</v>
      </c>
      <c r="BT32">
        <f t="shared" ca="1" si="45"/>
        <v>422.42130000000009</v>
      </c>
      <c r="BU32" t="e">
        <f>NA()</f>
        <v>#N/A</v>
      </c>
      <c r="BV32" t="e">
        <f>NA()</f>
        <v>#N/A</v>
      </c>
      <c r="BW32" t="e">
        <f>NA()</f>
        <v>#N/A</v>
      </c>
      <c r="BY32">
        <f t="shared" ca="1" si="6"/>
        <v>425.41507999999993</v>
      </c>
      <c r="BZ32">
        <f t="shared" ca="1" si="7"/>
        <v>418.37228999999996</v>
      </c>
      <c r="CA32" t="e">
        <f t="shared" ca="1" si="8"/>
        <v>#N/A</v>
      </c>
      <c r="CD32" t="str">
        <f>IF(周K!$E$3+CK32-12&gt;工作底稿!$CE$5,"周K!A"&amp;周K!$E$3-$CE$5+1+CK32-8,0)</f>
        <v>周K!A192</v>
      </c>
      <c r="CE32" s="4">
        <f t="shared" ca="1" si="28"/>
        <v>42758</v>
      </c>
      <c r="CF32" s="13">
        <f ca="1">IF($CD32=0,"",VLOOKUP($CE32,周K!$A$6:$F$6842,2,0))</f>
        <v>182.5</v>
      </c>
      <c r="CG32" s="13">
        <f ca="1">IF($CD32=0,"",VLOOKUP($CE32,周K!$A$6:$F$6842,3,0))</f>
        <v>186.5</v>
      </c>
      <c r="CH32" s="13">
        <f ca="1">IF($CD32=0,"",VLOOKUP($CE32,周K!$A$6:$F$6842,4,0))</f>
        <v>182.5</v>
      </c>
      <c r="CI32" s="13">
        <f ca="1">IF($CD32=0,"",VLOOKUP($CE32,周K!$A$6:$F$6842,5,0))</f>
        <v>185.5</v>
      </c>
      <c r="CJ32" s="13">
        <f ca="1">IF($CD32=0,"",VLOOKUP($CE32,周K!$A$6:$F$6842,6,0))</f>
        <v>130313</v>
      </c>
      <c r="CK32">
        <f>ROW()</f>
        <v>32</v>
      </c>
      <c r="CM32" t="str">
        <f t="shared" si="29"/>
        <v>CG28:CG32</v>
      </c>
      <c r="CN32">
        <f t="shared" si="30"/>
        <v>20</v>
      </c>
      <c r="CO32">
        <f t="shared" ca="1" si="31"/>
        <v>184.1</v>
      </c>
      <c r="CQ32" t="str">
        <f t="shared" si="32"/>
        <v>CG13:CG32</v>
      </c>
      <c r="CR32">
        <f t="shared" si="33"/>
        <v>5</v>
      </c>
      <c r="CS32">
        <f t="shared" ca="1" si="34"/>
        <v>186.52500000000001</v>
      </c>
      <c r="CU32" t="str">
        <f t="shared" si="35"/>
        <v>CG-27:CG32</v>
      </c>
      <c r="CV32">
        <f t="shared" si="36"/>
        <v>-35</v>
      </c>
      <c r="CW32" t="e">
        <f t="shared" ca="1" si="37"/>
        <v>#N/A</v>
      </c>
      <c r="CY32">
        <f t="shared" ca="1" si="38"/>
        <v>421.83232499999997</v>
      </c>
      <c r="CZ32">
        <f t="shared" ca="1" si="44"/>
        <v>424.58937716964334</v>
      </c>
      <c r="DA32" t="e">
        <f>NA()</f>
        <v>#N/A</v>
      </c>
      <c r="DB32" t="e">
        <f>NA()</f>
        <v>#N/A</v>
      </c>
      <c r="DC32" t="e">
        <f>NA()</f>
        <v>#N/A</v>
      </c>
      <c r="DD32" t="e">
        <f>NA()</f>
        <v>#N/A</v>
      </c>
    </row>
    <row r="33" spans="22:108" x14ac:dyDescent="0.25">
      <c r="V33">
        <f>ROW()</f>
        <v>33</v>
      </c>
      <c r="W33" t="str">
        <f>HLOOKUP(W$7,月營收!$A$11:$G$48,38-$V33+8,0)</f>
        <v>109/07</v>
      </c>
      <c r="X33" s="8">
        <f>HLOOKUP(X$7,月營收!$A$11:$G$48,38-$V33+8,0)/1000</f>
        <v>105963.46799999999</v>
      </c>
      <c r="Y33" s="11">
        <f>HLOOKUP(Y$7,月營收!$A$11:$G$48,38-$V33+8,0)</f>
        <v>0.25019999999999998</v>
      </c>
      <c r="Z33">
        <f t="shared" si="9"/>
        <v>0.25019999999999998</v>
      </c>
      <c r="AA33" t="e">
        <f t="shared" si="10"/>
        <v>#N/A</v>
      </c>
      <c r="AY33" t="str">
        <f>"日K!A"&amp;日K!$E$3-239+1+BF33-8</f>
        <v>日K!A6625</v>
      </c>
      <c r="AZ33" s="4">
        <f t="shared" ca="1" si="16"/>
        <v>44075</v>
      </c>
      <c r="BA33" s="13">
        <f t="shared" ca="1" si="17"/>
        <v>422.07769999999999</v>
      </c>
      <c r="BB33" s="13">
        <f t="shared" ca="1" si="18"/>
        <v>426.98559999999998</v>
      </c>
      <c r="BC33" s="13">
        <f t="shared" ca="1" si="19"/>
        <v>420.1146</v>
      </c>
      <c r="BD33" s="13">
        <f t="shared" ca="1" si="20"/>
        <v>426.98559999999998</v>
      </c>
      <c r="BE33" s="13">
        <f t="shared" ca="1" si="21"/>
        <v>50130</v>
      </c>
      <c r="BF33">
        <f>ROW()</f>
        <v>33</v>
      </c>
      <c r="BH33" t="str">
        <f t="shared" si="22"/>
        <v>BC29:BC33</v>
      </c>
      <c r="BI33">
        <f t="shared" si="41"/>
        <v>21</v>
      </c>
      <c r="BJ33">
        <f t="shared" ca="1" si="23"/>
        <v>424.92430000000002</v>
      </c>
      <c r="BL33" t="str">
        <f t="shared" si="24"/>
        <v>BC14:BC33</v>
      </c>
      <c r="BM33">
        <f t="shared" si="42"/>
        <v>6</v>
      </c>
      <c r="BN33">
        <f t="shared" ca="1" si="25"/>
        <v>418.83854000000008</v>
      </c>
      <c r="BP33" t="str">
        <f t="shared" si="26"/>
        <v>BC-26:BC33</v>
      </c>
      <c r="BQ33">
        <f t="shared" si="43"/>
        <v>-34</v>
      </c>
      <c r="BR33" t="e">
        <f t="shared" ca="1" si="27"/>
        <v>#N/A</v>
      </c>
      <c r="BT33">
        <f t="shared" ca="1" si="45"/>
        <v>422.88754500000016</v>
      </c>
      <c r="BU33" t="e">
        <f>NA()</f>
        <v>#N/A</v>
      </c>
      <c r="BV33" t="e">
        <f>NA()</f>
        <v>#N/A</v>
      </c>
      <c r="BW33" t="e">
        <f>NA()</f>
        <v>#N/A</v>
      </c>
      <c r="BY33">
        <f t="shared" ca="1" si="6"/>
        <v>424.92430000000002</v>
      </c>
      <c r="BZ33">
        <f t="shared" ca="1" si="7"/>
        <v>418.83854000000008</v>
      </c>
      <c r="CA33" t="e">
        <f t="shared" ca="1" si="8"/>
        <v>#N/A</v>
      </c>
      <c r="CD33" t="str">
        <f>IF(周K!$E$3+CK33-12&gt;工作底稿!$CE$5,"周K!A"&amp;周K!$E$3-$CE$5+1+CK33-8,0)</f>
        <v>周K!A193</v>
      </c>
      <c r="CE33" s="4">
        <f t="shared" ca="1" si="28"/>
        <v>42768</v>
      </c>
      <c r="CF33" s="13">
        <f ca="1">IF($CD33=0,"",VLOOKUP($CE33,周K!$A$6:$F$6842,2,0))</f>
        <v>188</v>
      </c>
      <c r="CG33" s="13">
        <f ca="1">IF($CD33=0,"",VLOOKUP($CE33,周K!$A$6:$F$6842,3,0))</f>
        <v>188.5</v>
      </c>
      <c r="CH33" s="13">
        <f ca="1">IF($CD33=0,"",VLOOKUP($CE33,周K!$A$6:$F$6842,4,0))</f>
        <v>183.5</v>
      </c>
      <c r="CI33" s="13">
        <f ca="1">IF($CD33=0,"",VLOOKUP($CE33,周K!$A$6:$F$6842,5,0))</f>
        <v>184.5</v>
      </c>
      <c r="CJ33" s="13">
        <f ca="1">IF($CD33=0,"",VLOOKUP($CE33,周K!$A$6:$F$6842,6,0))</f>
        <v>184091</v>
      </c>
      <c r="CK33">
        <f>ROW()</f>
        <v>33</v>
      </c>
      <c r="CM33" t="str">
        <f t="shared" si="29"/>
        <v>CG29:CG33</v>
      </c>
      <c r="CN33">
        <f t="shared" si="30"/>
        <v>21</v>
      </c>
      <c r="CO33">
        <f t="shared" ca="1" si="31"/>
        <v>185.3</v>
      </c>
      <c r="CQ33" t="str">
        <f t="shared" si="32"/>
        <v>CG14:CG33</v>
      </c>
      <c r="CR33">
        <f t="shared" si="33"/>
        <v>6</v>
      </c>
      <c r="CS33">
        <f t="shared" ca="1" si="34"/>
        <v>187.07499999999999</v>
      </c>
      <c r="CU33" t="str">
        <f t="shared" si="35"/>
        <v>CG-26:CG33</v>
      </c>
      <c r="CV33">
        <f t="shared" si="36"/>
        <v>-34</v>
      </c>
      <c r="CW33" t="e">
        <f t="shared" ca="1" si="37"/>
        <v>#N/A</v>
      </c>
      <c r="CY33">
        <f t="shared" ca="1" si="38"/>
        <v>425.26784999999995</v>
      </c>
      <c r="CZ33">
        <f t="shared" ca="1" si="44"/>
        <v>424.69375760508279</v>
      </c>
      <c r="DA33">
        <f ca="1">AVERAGE(CY8:CY33)</f>
        <v>422.31370480769232</v>
      </c>
      <c r="DB33">
        <f ca="1">CZ33-DA33</f>
        <v>2.3800527973904764</v>
      </c>
      <c r="DC33" t="e">
        <f>NA()</f>
        <v>#N/A</v>
      </c>
      <c r="DD33" t="e">
        <f>NA()</f>
        <v>#N/A</v>
      </c>
    </row>
    <row r="34" spans="22:108" x14ac:dyDescent="0.25">
      <c r="V34">
        <f>ROW()</f>
        <v>34</v>
      </c>
      <c r="W34" t="str">
        <f>HLOOKUP(W$7,月營收!$A$11:$G$48,38-$V34+8,0)</f>
        <v>109/08</v>
      </c>
      <c r="X34" s="8">
        <f>HLOOKUP(X$7,月營收!$A$11:$G$48,38-$V34+8,0)/1000</f>
        <v>122878.24400000001</v>
      </c>
      <c r="Y34" s="11">
        <f>HLOOKUP(Y$7,月營收!$A$11:$G$48,38-$V34+8,0)</f>
        <v>0.15790000000000001</v>
      </c>
      <c r="Z34">
        <f t="shared" si="9"/>
        <v>0.15790000000000001</v>
      </c>
      <c r="AA34" t="e">
        <f t="shared" si="10"/>
        <v>#N/A</v>
      </c>
      <c r="AY34" t="str">
        <f>"日K!A"&amp;日K!$E$3-239+1+BF34-8</f>
        <v>日K!A6626</v>
      </c>
      <c r="AZ34" s="4">
        <f t="shared" ca="1" si="16"/>
        <v>44076</v>
      </c>
      <c r="BA34" s="13">
        <f t="shared" ca="1" si="17"/>
        <v>432.87509999999997</v>
      </c>
      <c r="BB34" s="13">
        <f t="shared" ca="1" si="18"/>
        <v>432.87509999999997</v>
      </c>
      <c r="BC34" s="13">
        <f t="shared" ca="1" si="19"/>
        <v>422.56849999999997</v>
      </c>
      <c r="BD34" s="13">
        <f t="shared" ca="1" si="20"/>
        <v>425.02249999999998</v>
      </c>
      <c r="BE34" s="13">
        <f t="shared" ca="1" si="21"/>
        <v>42013</v>
      </c>
      <c r="BF34">
        <f>ROW()</f>
        <v>34</v>
      </c>
      <c r="BH34" t="str">
        <f t="shared" si="22"/>
        <v>BC30:BC34</v>
      </c>
      <c r="BI34">
        <f t="shared" si="41"/>
        <v>22</v>
      </c>
      <c r="BJ34">
        <f t="shared" ca="1" si="23"/>
        <v>424.0408799999999</v>
      </c>
      <c r="BL34" t="str">
        <f t="shared" si="24"/>
        <v>BC15:BC34</v>
      </c>
      <c r="BM34">
        <f t="shared" si="42"/>
        <v>7</v>
      </c>
      <c r="BN34">
        <f t="shared" ca="1" si="25"/>
        <v>419.05939500000005</v>
      </c>
      <c r="BP34" t="str">
        <f t="shared" si="26"/>
        <v>BC-25:BC34</v>
      </c>
      <c r="BQ34">
        <f t="shared" si="43"/>
        <v>-33</v>
      </c>
      <c r="BR34" t="e">
        <f t="shared" ca="1" si="27"/>
        <v>#N/A</v>
      </c>
      <c r="BT34">
        <f t="shared" ca="1" si="45"/>
        <v>423.08386000000007</v>
      </c>
      <c r="BU34" t="e">
        <f>NA()</f>
        <v>#N/A</v>
      </c>
      <c r="BV34" t="e">
        <f>NA()</f>
        <v>#N/A</v>
      </c>
      <c r="BW34" t="e">
        <f>NA()</f>
        <v>#N/A</v>
      </c>
      <c r="BY34">
        <f t="shared" ca="1" si="6"/>
        <v>424.0408799999999</v>
      </c>
      <c r="BZ34">
        <f t="shared" ca="1" si="7"/>
        <v>419.05939500000005</v>
      </c>
      <c r="CA34" t="e">
        <f t="shared" ca="1" si="8"/>
        <v>#N/A</v>
      </c>
      <c r="CD34" t="str">
        <f>IF(周K!$E$3+CK34-12&gt;工作底稿!$CE$5,"周K!A"&amp;周K!$E$3-$CE$5+1+CK34-8,0)</f>
        <v>周K!A194</v>
      </c>
      <c r="CE34" s="4">
        <f t="shared" ca="1" si="28"/>
        <v>42772</v>
      </c>
      <c r="CF34" s="13">
        <f ca="1">IF($CD34=0,"",VLOOKUP($CE34,周K!$A$6:$F$6842,2,0))</f>
        <v>184.5</v>
      </c>
      <c r="CG34" s="13">
        <f ca="1">IF($CD34=0,"",VLOOKUP($CE34,周K!$A$6:$F$6842,3,0))</f>
        <v>185.5</v>
      </c>
      <c r="CH34" s="13">
        <f ca="1">IF($CD34=0,"",VLOOKUP($CE34,周K!$A$6:$F$6842,4,0))</f>
        <v>183</v>
      </c>
      <c r="CI34" s="13">
        <f ca="1">IF($CD34=0,"",VLOOKUP($CE34,周K!$A$6:$F$6842,5,0))</f>
        <v>185.5</v>
      </c>
      <c r="CJ34" s="13">
        <f ca="1">IF($CD34=0,"",VLOOKUP($CE34,周K!$A$6:$F$6842,6,0))</f>
        <v>171969</v>
      </c>
      <c r="CK34">
        <f>ROW()</f>
        <v>34</v>
      </c>
      <c r="CM34" t="str">
        <f t="shared" si="29"/>
        <v>CG30:CG34</v>
      </c>
      <c r="CN34">
        <f t="shared" si="30"/>
        <v>22</v>
      </c>
      <c r="CO34">
        <f t="shared" ca="1" si="31"/>
        <v>185.5</v>
      </c>
      <c r="CQ34" t="str">
        <f t="shared" si="32"/>
        <v>CG15:CG34</v>
      </c>
      <c r="CR34">
        <f t="shared" si="33"/>
        <v>7</v>
      </c>
      <c r="CS34">
        <f t="shared" ca="1" si="34"/>
        <v>186.97499999999999</v>
      </c>
      <c r="CU34" t="str">
        <f t="shared" si="35"/>
        <v>CG-25:CG34</v>
      </c>
      <c r="CV34">
        <f t="shared" si="36"/>
        <v>-33</v>
      </c>
      <c r="CW34" t="e">
        <f t="shared" ca="1" si="37"/>
        <v>#N/A</v>
      </c>
      <c r="CY34">
        <f t="shared" ca="1" si="38"/>
        <v>426.37214999999998</v>
      </c>
      <c r="CZ34">
        <f t="shared" ca="1" si="44"/>
        <v>424.95197181968547</v>
      </c>
      <c r="DA34">
        <f ca="1">DA33*(25/27)+CY34*(2/27)</f>
        <v>422.61433037749293</v>
      </c>
      <c r="DB34">
        <f t="shared" ref="DB34:DB97" ca="1" si="46">CZ34-DA34</f>
        <v>2.3376414421925347</v>
      </c>
      <c r="DC34" t="e">
        <f>NA()</f>
        <v>#N/A</v>
      </c>
      <c r="DD34" t="e">
        <f>NA()</f>
        <v>#N/A</v>
      </c>
    </row>
    <row r="35" spans="22:108" x14ac:dyDescent="0.25">
      <c r="V35">
        <f>ROW()</f>
        <v>35</v>
      </c>
      <c r="W35" t="str">
        <f>HLOOKUP(W$7,月營收!$A$11:$G$48,38-$V35+8,0)</f>
        <v>109/09</v>
      </c>
      <c r="X35" s="8">
        <f>HLOOKUP(X$7,月營收!$A$11:$G$48,38-$V35+8,0)/1000</f>
        <v>127584.492</v>
      </c>
      <c r="Y35" s="11">
        <f>HLOOKUP(Y$7,月營收!$A$11:$G$48,38-$V35+8,0)</f>
        <v>0.2487</v>
      </c>
      <c r="Z35">
        <f t="shared" si="9"/>
        <v>0.2487</v>
      </c>
      <c r="AA35" t="e">
        <f t="shared" si="10"/>
        <v>#N/A</v>
      </c>
      <c r="AY35" t="str">
        <f>"日K!A"&amp;日K!$E$3-239+1+BF35-8</f>
        <v>日K!A6627</v>
      </c>
      <c r="AZ35" s="4">
        <f t="shared" ca="1" si="16"/>
        <v>44077</v>
      </c>
      <c r="BA35" s="13">
        <f t="shared" ca="1" si="17"/>
        <v>431.40269999999998</v>
      </c>
      <c r="BB35" s="13">
        <f t="shared" ca="1" si="18"/>
        <v>431.40269999999998</v>
      </c>
      <c r="BC35" s="13">
        <f t="shared" ca="1" si="19"/>
        <v>425.51330000000002</v>
      </c>
      <c r="BD35" s="13">
        <f t="shared" ca="1" si="20"/>
        <v>427.96719999999999</v>
      </c>
      <c r="BE35" s="13">
        <f t="shared" ca="1" si="21"/>
        <v>40684</v>
      </c>
      <c r="BF35">
        <f>ROW()</f>
        <v>35</v>
      </c>
      <c r="BH35" t="str">
        <f t="shared" si="22"/>
        <v>BC31:BC35</v>
      </c>
      <c r="BI35">
        <f t="shared" si="41"/>
        <v>23</v>
      </c>
      <c r="BJ35">
        <f t="shared" ca="1" si="23"/>
        <v>421.97958</v>
      </c>
      <c r="BL35" t="str">
        <f t="shared" si="24"/>
        <v>BC16:BC35</v>
      </c>
      <c r="BM35">
        <f t="shared" si="42"/>
        <v>8</v>
      </c>
      <c r="BN35">
        <f t="shared" ca="1" si="25"/>
        <v>419.182095</v>
      </c>
      <c r="BP35" t="str">
        <f t="shared" si="26"/>
        <v>BC-24:BC35</v>
      </c>
      <c r="BQ35">
        <f t="shared" si="43"/>
        <v>-32</v>
      </c>
      <c r="BR35" t="e">
        <f t="shared" ca="1" si="27"/>
        <v>#N/A</v>
      </c>
      <c r="BT35">
        <f t="shared" ca="1" si="45"/>
        <v>423.13294000000008</v>
      </c>
      <c r="BU35" t="e">
        <f>NA()</f>
        <v>#N/A</v>
      </c>
      <c r="BV35" t="e">
        <f>NA()</f>
        <v>#N/A</v>
      </c>
      <c r="BW35" t="e">
        <f>NA()</f>
        <v>#N/A</v>
      </c>
      <c r="BY35">
        <f t="shared" ca="1" si="6"/>
        <v>421.97958</v>
      </c>
      <c r="BZ35">
        <f t="shared" ca="1" si="7"/>
        <v>419.182095</v>
      </c>
      <c r="CA35" t="e">
        <f t="shared" ca="1" si="8"/>
        <v>#N/A</v>
      </c>
      <c r="CD35" t="str">
        <f>IF(周K!$E$3+CK35-12&gt;工作底稿!$CE$5,"周K!A"&amp;周K!$E$3-$CE$5+1+CK35-8,0)</f>
        <v>周K!A195</v>
      </c>
      <c r="CE35" s="4">
        <f t="shared" ca="1" si="28"/>
        <v>42779</v>
      </c>
      <c r="CF35" s="13">
        <f ca="1">IF($CD35=0,"",VLOOKUP($CE35,周K!$A$6:$F$6842,2,0))</f>
        <v>186.5</v>
      </c>
      <c r="CG35" s="13">
        <f ca="1">IF($CD35=0,"",VLOOKUP($CE35,周K!$A$6:$F$6842,3,0))</f>
        <v>190.5</v>
      </c>
      <c r="CH35" s="13">
        <f ca="1">IF($CD35=0,"",VLOOKUP($CE35,周K!$A$6:$F$6842,4,0))</f>
        <v>186.5</v>
      </c>
      <c r="CI35" s="13">
        <f ca="1">IF($CD35=0,"",VLOOKUP($CE35,周K!$A$6:$F$6842,5,0))</f>
        <v>189.5</v>
      </c>
      <c r="CJ35" s="13">
        <f ca="1">IF($CD35=0,"",VLOOKUP($CE35,周K!$A$6:$F$6842,6,0))</f>
        <v>165097</v>
      </c>
      <c r="CK35">
        <f>ROW()</f>
        <v>35</v>
      </c>
      <c r="CM35" t="str">
        <f t="shared" si="29"/>
        <v>CG31:CG35</v>
      </c>
      <c r="CN35">
        <f t="shared" si="30"/>
        <v>23</v>
      </c>
      <c r="CO35">
        <f t="shared" ca="1" si="31"/>
        <v>186.5</v>
      </c>
      <c r="CQ35" t="str">
        <f t="shared" si="32"/>
        <v>CG16:CG35</v>
      </c>
      <c r="CR35">
        <f t="shared" si="33"/>
        <v>8</v>
      </c>
      <c r="CS35">
        <f t="shared" ca="1" si="34"/>
        <v>187.125</v>
      </c>
      <c r="CU35" t="str">
        <f t="shared" si="35"/>
        <v>CG-24:CG35</v>
      </c>
      <c r="CV35">
        <f t="shared" si="36"/>
        <v>-32</v>
      </c>
      <c r="CW35" t="e">
        <f t="shared" ca="1" si="37"/>
        <v>#N/A</v>
      </c>
      <c r="CY35">
        <f t="shared" ca="1" si="38"/>
        <v>428.21259999999995</v>
      </c>
      <c r="CZ35">
        <f t="shared" ca="1" si="44"/>
        <v>425.45360692434923</v>
      </c>
      <c r="DA35">
        <f t="shared" ref="DA35:DA98" ca="1" si="47">DA34*(25/27)+CY35*(2/27)</f>
        <v>423.02901701619714</v>
      </c>
      <c r="DB35">
        <f t="shared" ca="1" si="46"/>
        <v>2.4245899081520861</v>
      </c>
      <c r="DC35" t="e">
        <f>NA()</f>
        <v>#N/A</v>
      </c>
      <c r="DD35" t="e">
        <f>NA()</f>
        <v>#N/A</v>
      </c>
    </row>
    <row r="36" spans="22:108" x14ac:dyDescent="0.25">
      <c r="V36">
        <f>ROW()</f>
        <v>36</v>
      </c>
      <c r="W36" t="str">
        <f>HLOOKUP(W$7,月營收!$A$11:$G$48,38-$V36+8,0)</f>
        <v>109/10</v>
      </c>
      <c r="X36" s="8">
        <f>HLOOKUP(X$7,月營收!$A$11:$G$48,38-$V36+8,0)/1000</f>
        <v>119302.70699999999</v>
      </c>
      <c r="Y36" s="11">
        <f>HLOOKUP(Y$7,月營收!$A$11:$G$48,38-$V36+8,0)</f>
        <v>0.12509999999999999</v>
      </c>
      <c r="Z36">
        <f t="shared" si="9"/>
        <v>0.12509999999999999</v>
      </c>
      <c r="AA36" t="e">
        <f t="shared" si="10"/>
        <v>#N/A</v>
      </c>
      <c r="AY36" t="str">
        <f>"日K!A"&amp;日K!$E$3-239+1+BF36-8</f>
        <v>日K!A6628</v>
      </c>
      <c r="AZ36" s="4">
        <f t="shared" ca="1" si="16"/>
        <v>44078</v>
      </c>
      <c r="BA36" s="13">
        <f t="shared" ca="1" si="17"/>
        <v>419.13299999999998</v>
      </c>
      <c r="BB36" s="13">
        <f t="shared" ca="1" si="18"/>
        <v>424.5317</v>
      </c>
      <c r="BC36" s="13">
        <f t="shared" ca="1" si="19"/>
        <v>419.13299999999998</v>
      </c>
      <c r="BD36" s="13">
        <f t="shared" ca="1" si="20"/>
        <v>421.09620000000001</v>
      </c>
      <c r="BE36" s="13">
        <f t="shared" ca="1" si="21"/>
        <v>51350</v>
      </c>
      <c r="BF36">
        <f>ROW()</f>
        <v>36</v>
      </c>
      <c r="BH36" t="str">
        <f t="shared" si="22"/>
        <v>BC32:BC36</v>
      </c>
      <c r="BI36">
        <f t="shared" si="41"/>
        <v>24</v>
      </c>
      <c r="BJ36">
        <f t="shared" ca="1" si="23"/>
        <v>421.19431999999995</v>
      </c>
      <c r="BL36" t="str">
        <f t="shared" si="24"/>
        <v>BC17:BC36</v>
      </c>
      <c r="BM36">
        <f t="shared" si="42"/>
        <v>9</v>
      </c>
      <c r="BN36">
        <f t="shared" ca="1" si="25"/>
        <v>419.133015</v>
      </c>
      <c r="BP36" t="str">
        <f t="shared" si="26"/>
        <v>BC-23:BC36</v>
      </c>
      <c r="BQ36">
        <f t="shared" si="43"/>
        <v>-31</v>
      </c>
      <c r="BR36" t="e">
        <f t="shared" ca="1" si="27"/>
        <v>#N/A</v>
      </c>
      <c r="BT36">
        <f t="shared" ca="1" si="45"/>
        <v>422.93662500000011</v>
      </c>
      <c r="BU36" t="e">
        <f>NA()</f>
        <v>#N/A</v>
      </c>
      <c r="BV36" t="e">
        <f>NA()</f>
        <v>#N/A</v>
      </c>
      <c r="BW36" t="e">
        <f>NA()</f>
        <v>#N/A</v>
      </c>
      <c r="BY36">
        <f t="shared" ca="1" si="6"/>
        <v>421.19431999999995</v>
      </c>
      <c r="BZ36">
        <f t="shared" ca="1" si="7"/>
        <v>419.133015</v>
      </c>
      <c r="CA36" t="e">
        <f t="shared" ca="1" si="8"/>
        <v>#N/A</v>
      </c>
      <c r="CD36" t="str">
        <f>IF(周K!$E$3+CK36-12&gt;工作底稿!$CE$5,"周K!A"&amp;周K!$E$3-$CE$5+1+CK36-8,0)</f>
        <v>周K!A196</v>
      </c>
      <c r="CE36" s="4">
        <f t="shared" ca="1" si="28"/>
        <v>42786</v>
      </c>
      <c r="CF36" s="13">
        <f ca="1">IF($CD36=0,"",VLOOKUP($CE36,周K!$A$6:$F$6842,2,0))</f>
        <v>190</v>
      </c>
      <c r="CG36" s="13">
        <f ca="1">IF($CD36=0,"",VLOOKUP($CE36,周K!$A$6:$F$6842,3,0))</f>
        <v>191</v>
      </c>
      <c r="CH36" s="13">
        <f ca="1">IF($CD36=0,"",VLOOKUP($CE36,周K!$A$6:$F$6842,4,0))</f>
        <v>187</v>
      </c>
      <c r="CI36" s="13">
        <f ca="1">IF($CD36=0,"",VLOOKUP($CE36,周K!$A$6:$F$6842,5,0))</f>
        <v>189</v>
      </c>
      <c r="CJ36" s="13">
        <f ca="1">IF($CD36=0,"",VLOOKUP($CE36,周K!$A$6:$F$6842,6,0))</f>
        <v>133685</v>
      </c>
      <c r="CK36">
        <f>ROW()</f>
        <v>36</v>
      </c>
      <c r="CM36" t="str">
        <f t="shared" si="29"/>
        <v>CG32:CG36</v>
      </c>
      <c r="CN36">
        <f t="shared" si="30"/>
        <v>24</v>
      </c>
      <c r="CO36">
        <f t="shared" ca="1" si="31"/>
        <v>188.4</v>
      </c>
      <c r="CQ36" t="str">
        <f t="shared" si="32"/>
        <v>CG17:CG36</v>
      </c>
      <c r="CR36">
        <f t="shared" si="33"/>
        <v>9</v>
      </c>
      <c r="CS36">
        <f t="shared" ca="1" si="34"/>
        <v>187.27500000000001</v>
      </c>
      <c r="CU36" t="str">
        <f t="shared" si="35"/>
        <v>CG-23:CG36</v>
      </c>
      <c r="CV36">
        <f t="shared" si="36"/>
        <v>-31</v>
      </c>
      <c r="CW36" t="e">
        <f t="shared" ca="1" si="37"/>
        <v>#N/A</v>
      </c>
      <c r="CY36">
        <f t="shared" ca="1" si="38"/>
        <v>421.46427500000004</v>
      </c>
      <c r="CZ36">
        <f t="shared" ca="1" si="44"/>
        <v>424.83986355137245</v>
      </c>
      <c r="DA36">
        <f t="shared" ca="1" si="47"/>
        <v>422.91311020018253</v>
      </c>
      <c r="DB36">
        <f t="shared" ca="1" si="46"/>
        <v>1.926753351189916</v>
      </c>
      <c r="DC36" t="e">
        <f>NA()</f>
        <v>#N/A</v>
      </c>
      <c r="DD36" t="e">
        <f>NA()</f>
        <v>#N/A</v>
      </c>
    </row>
    <row r="37" spans="22:108" x14ac:dyDescent="0.25">
      <c r="V37">
        <f>ROW()</f>
        <v>37</v>
      </c>
      <c r="W37" t="str">
        <f>HLOOKUP(W$7,月營收!$A$11:$G$48,38-$V37+8,0)</f>
        <v>109/11</v>
      </c>
      <c r="X37" s="8">
        <f>HLOOKUP(X$7,月營收!$A$11:$G$48,38-$V37+8,0)/1000</f>
        <v>124865.43799999999</v>
      </c>
      <c r="Y37" s="11">
        <f>HLOOKUP(Y$7,月營收!$A$11:$G$48,38-$V37+8,0)</f>
        <v>0.15740000000000001</v>
      </c>
      <c r="Z37">
        <f t="shared" si="9"/>
        <v>0.15740000000000001</v>
      </c>
      <c r="AA37" t="e">
        <f t="shared" si="10"/>
        <v>#N/A</v>
      </c>
      <c r="AY37" t="str">
        <f>"日K!A"&amp;日K!$E$3-239+1+BF37-8</f>
        <v>日K!A6629</v>
      </c>
      <c r="AZ37" s="4">
        <f t="shared" ca="1" si="16"/>
        <v>44081</v>
      </c>
      <c r="BA37" s="13">
        <f t="shared" ca="1" si="17"/>
        <v>420.1146</v>
      </c>
      <c r="BB37" s="13">
        <f t="shared" ca="1" si="18"/>
        <v>424.5317</v>
      </c>
      <c r="BC37" s="13">
        <f t="shared" ca="1" si="19"/>
        <v>417.16989999999998</v>
      </c>
      <c r="BD37" s="13">
        <f t="shared" ca="1" si="20"/>
        <v>418.15140000000002</v>
      </c>
      <c r="BE37" s="13">
        <f t="shared" ca="1" si="21"/>
        <v>39855</v>
      </c>
      <c r="BF37">
        <f>ROW()</f>
        <v>37</v>
      </c>
      <c r="BH37" t="str">
        <f t="shared" si="22"/>
        <v>BC33:BC37</v>
      </c>
      <c r="BI37">
        <f t="shared" si="41"/>
        <v>25</v>
      </c>
      <c r="BJ37">
        <f t="shared" ca="1" si="23"/>
        <v>420.89985999999999</v>
      </c>
      <c r="BL37" t="str">
        <f t="shared" si="24"/>
        <v>BC18:BC37</v>
      </c>
      <c r="BM37">
        <f t="shared" si="42"/>
        <v>10</v>
      </c>
      <c r="BN37">
        <f t="shared" ca="1" si="25"/>
        <v>419.01032000000004</v>
      </c>
      <c r="BP37" t="str">
        <f t="shared" si="26"/>
        <v>BC-22:BC37</v>
      </c>
      <c r="BQ37">
        <f t="shared" si="43"/>
        <v>-30</v>
      </c>
      <c r="BR37" t="e">
        <f t="shared" ca="1" si="27"/>
        <v>#N/A</v>
      </c>
      <c r="BT37">
        <f t="shared" ca="1" si="45"/>
        <v>422.47037500000005</v>
      </c>
      <c r="BU37" t="e">
        <f>NA()</f>
        <v>#N/A</v>
      </c>
      <c r="BV37" t="e">
        <f>NA()</f>
        <v>#N/A</v>
      </c>
      <c r="BW37" t="e">
        <f>NA()</f>
        <v>#N/A</v>
      </c>
      <c r="BY37">
        <f t="shared" ca="1" si="6"/>
        <v>420.89985999999999</v>
      </c>
      <c r="BZ37">
        <f t="shared" ca="1" si="7"/>
        <v>419.01032000000004</v>
      </c>
      <c r="CA37" t="e">
        <f t="shared" ca="1" si="8"/>
        <v>#N/A</v>
      </c>
      <c r="CD37" t="str">
        <f>IF(周K!$E$3+CK37-12&gt;工作底稿!$CE$5,"周K!A"&amp;周K!$E$3-$CE$5+1+CK37-8,0)</f>
        <v>周K!A197</v>
      </c>
      <c r="CE37" s="4">
        <f t="shared" ca="1" si="28"/>
        <v>42795</v>
      </c>
      <c r="CF37" s="13">
        <f ca="1">IF($CD37=0,"",VLOOKUP($CE37,周K!$A$6:$F$6842,2,0))</f>
        <v>188.5</v>
      </c>
      <c r="CG37" s="13">
        <f ca="1">IF($CD37=0,"",VLOOKUP($CE37,周K!$A$6:$F$6842,3,0))</f>
        <v>188.5</v>
      </c>
      <c r="CH37" s="13">
        <f ca="1">IF($CD37=0,"",VLOOKUP($CE37,周K!$A$6:$F$6842,4,0))</f>
        <v>184</v>
      </c>
      <c r="CI37" s="13">
        <f ca="1">IF($CD37=0,"",VLOOKUP($CE37,周K!$A$6:$F$6842,5,0))</f>
        <v>184</v>
      </c>
      <c r="CJ37" s="13">
        <f ca="1">IF($CD37=0,"",VLOOKUP($CE37,周K!$A$6:$F$6842,6,0))</f>
        <v>117357</v>
      </c>
      <c r="CK37">
        <f>ROW()</f>
        <v>37</v>
      </c>
      <c r="CM37" t="str">
        <f t="shared" si="29"/>
        <v>CG33:CG37</v>
      </c>
      <c r="CN37">
        <f t="shared" si="30"/>
        <v>25</v>
      </c>
      <c r="CO37">
        <f t="shared" ca="1" si="31"/>
        <v>188.8</v>
      </c>
      <c r="CQ37" t="str">
        <f t="shared" si="32"/>
        <v>CG18:CG37</v>
      </c>
      <c r="CR37">
        <f t="shared" si="33"/>
        <v>10</v>
      </c>
      <c r="CS37">
        <f t="shared" ca="1" si="34"/>
        <v>187.15</v>
      </c>
      <c r="CU37" t="str">
        <f t="shared" si="35"/>
        <v>CG-22:CG37</v>
      </c>
      <c r="CV37">
        <f t="shared" si="36"/>
        <v>-30</v>
      </c>
      <c r="CW37" t="e">
        <f t="shared" ca="1" si="37"/>
        <v>#N/A</v>
      </c>
      <c r="CY37">
        <f t="shared" ca="1" si="38"/>
        <v>419.50110000000001</v>
      </c>
      <c r="CZ37">
        <f t="shared" ca="1" si="44"/>
        <v>424.01851531269978</v>
      </c>
      <c r="DA37">
        <f t="shared" ca="1" si="47"/>
        <v>422.66036870387268</v>
      </c>
      <c r="DB37">
        <f t="shared" ca="1" si="46"/>
        <v>1.3581466088270986</v>
      </c>
      <c r="DC37" t="e">
        <f>NA()</f>
        <v>#N/A</v>
      </c>
      <c r="DD37" t="e">
        <f>NA()</f>
        <v>#N/A</v>
      </c>
    </row>
    <row r="38" spans="22:108" x14ac:dyDescent="0.25">
      <c r="V38">
        <f>ROW()</f>
        <v>38</v>
      </c>
      <c r="W38" t="str">
        <f>HLOOKUP(W$7,月營收!$A$11:$G$48,38-$V38+8,0)</f>
        <v>109/12</v>
      </c>
      <c r="X38" s="8">
        <f>HLOOKUP(X$7,月營收!$A$11:$G$48,38-$V38+8,0)/1000</f>
        <v>117364.912</v>
      </c>
      <c r="Y38" s="11">
        <f>HLOOKUP(Y$7,月營收!$A$11:$G$48,38-$V38+8,0)</f>
        <v>0.13600000000000001</v>
      </c>
      <c r="Z38">
        <f t="shared" si="9"/>
        <v>0.13600000000000001</v>
      </c>
      <c r="AA38" t="e">
        <f t="shared" si="10"/>
        <v>#N/A</v>
      </c>
      <c r="AY38" t="str">
        <f>"日K!A"&amp;日K!$E$3-239+1+BF38-8</f>
        <v>日K!A6630</v>
      </c>
      <c r="AZ38" s="4">
        <f t="shared" ca="1" si="16"/>
        <v>44082</v>
      </c>
      <c r="BA38" s="13">
        <f t="shared" ca="1" si="17"/>
        <v>420.1146</v>
      </c>
      <c r="BB38" s="13">
        <f t="shared" ca="1" si="18"/>
        <v>425.02249999999998</v>
      </c>
      <c r="BC38" s="13">
        <f t="shared" ca="1" si="19"/>
        <v>419.62380000000002</v>
      </c>
      <c r="BD38" s="13">
        <f t="shared" ca="1" si="20"/>
        <v>423.05930000000001</v>
      </c>
      <c r="BE38" s="13">
        <f t="shared" ca="1" si="21"/>
        <v>23715</v>
      </c>
      <c r="BF38">
        <f>ROW()</f>
        <v>38</v>
      </c>
      <c r="BH38" t="str">
        <f t="shared" si="22"/>
        <v>BC34:BC38</v>
      </c>
      <c r="BI38">
        <f t="shared" si="41"/>
        <v>26</v>
      </c>
      <c r="BJ38">
        <f t="shared" ca="1" si="23"/>
        <v>420.80169999999998</v>
      </c>
      <c r="BL38" t="str">
        <f t="shared" si="24"/>
        <v>BC19:BC38</v>
      </c>
      <c r="BM38">
        <f t="shared" si="42"/>
        <v>11</v>
      </c>
      <c r="BN38">
        <f t="shared" ca="1" si="25"/>
        <v>418.93670000000003</v>
      </c>
      <c r="BP38" t="str">
        <f t="shared" si="26"/>
        <v>BC-21:BC38</v>
      </c>
      <c r="BQ38">
        <f t="shared" si="43"/>
        <v>-29</v>
      </c>
      <c r="BR38" t="e">
        <f t="shared" ca="1" si="27"/>
        <v>#N/A</v>
      </c>
      <c r="BT38">
        <f t="shared" ca="1" si="45"/>
        <v>422.56853000000001</v>
      </c>
      <c r="BU38" t="e">
        <f>NA()</f>
        <v>#N/A</v>
      </c>
      <c r="BV38" t="e">
        <f>NA()</f>
        <v>#N/A</v>
      </c>
      <c r="BW38" t="e">
        <f>NA()</f>
        <v>#N/A</v>
      </c>
      <c r="BY38">
        <f t="shared" ca="1" si="6"/>
        <v>420.80169999999998</v>
      </c>
      <c r="BZ38">
        <f t="shared" ca="1" si="7"/>
        <v>418.93670000000003</v>
      </c>
      <c r="CA38" t="e">
        <f t="shared" ca="1" si="8"/>
        <v>#N/A</v>
      </c>
      <c r="CD38" t="str">
        <f>IF(周K!$E$3+CK38-12&gt;工作底稿!$CE$5,"周K!A"&amp;周K!$E$3-$CE$5+1+CK38-8,0)</f>
        <v>周K!A198</v>
      </c>
      <c r="CE38" s="4">
        <f t="shared" ca="1" si="28"/>
        <v>42800</v>
      </c>
      <c r="CF38" s="13">
        <f ca="1">IF($CD38=0,"",VLOOKUP($CE38,周K!$A$6:$F$6842,2,0))</f>
        <v>184</v>
      </c>
      <c r="CG38" s="13">
        <f ca="1">IF($CD38=0,"",VLOOKUP($CE38,周K!$A$6:$F$6842,3,0))</f>
        <v>188</v>
      </c>
      <c r="CH38" s="13">
        <f ca="1">IF($CD38=0,"",VLOOKUP($CE38,周K!$A$6:$F$6842,4,0))</f>
        <v>183</v>
      </c>
      <c r="CI38" s="13">
        <f ca="1">IF($CD38=0,"",VLOOKUP($CE38,周K!$A$6:$F$6842,5,0))</f>
        <v>183.5</v>
      </c>
      <c r="CJ38" s="13">
        <f ca="1">IF($CD38=0,"",VLOOKUP($CE38,周K!$A$6:$F$6842,6,0))</f>
        <v>130113</v>
      </c>
      <c r="CK38">
        <f>ROW()</f>
        <v>38</v>
      </c>
      <c r="CM38" t="str">
        <f t="shared" si="29"/>
        <v>CG34:CG38</v>
      </c>
      <c r="CN38">
        <f t="shared" si="30"/>
        <v>26</v>
      </c>
      <c r="CO38">
        <f t="shared" ca="1" si="31"/>
        <v>188.7</v>
      </c>
      <c r="CQ38" t="str">
        <f t="shared" si="32"/>
        <v>CG19:CG38</v>
      </c>
      <c r="CR38">
        <f t="shared" si="33"/>
        <v>11</v>
      </c>
      <c r="CS38">
        <f t="shared" ca="1" si="34"/>
        <v>186.95</v>
      </c>
      <c r="CU38" t="str">
        <f t="shared" si="35"/>
        <v>CG-21:CG38</v>
      </c>
      <c r="CV38">
        <f t="shared" si="36"/>
        <v>-29</v>
      </c>
      <c r="CW38" t="e">
        <f t="shared" ca="1" si="37"/>
        <v>#N/A</v>
      </c>
      <c r="CY38">
        <f t="shared" ca="1" si="38"/>
        <v>422.69122500000003</v>
      </c>
      <c r="CZ38">
        <f t="shared" ca="1" si="44"/>
        <v>423.81431680305366</v>
      </c>
      <c r="DA38">
        <f t="shared" ca="1" si="47"/>
        <v>422.66265435543767</v>
      </c>
      <c r="DB38">
        <f t="shared" ca="1" si="46"/>
        <v>1.1516624476159905</v>
      </c>
      <c r="DC38" t="e">
        <f>NA()</f>
        <v>#N/A</v>
      </c>
      <c r="DD38" t="e">
        <f>NA()</f>
        <v>#N/A</v>
      </c>
    </row>
    <row r="39" spans="22:108" x14ac:dyDescent="0.25">
      <c r="V39">
        <f>ROW()</f>
        <v>39</v>
      </c>
      <c r="W39" t="str">
        <f>HLOOKUP(W$7,月營收!$A$11:$G$48,38-$V39+8,0)</f>
        <v>110/01</v>
      </c>
      <c r="X39" s="8">
        <f>HLOOKUP(X$7,月營收!$A$11:$G$48,38-$V39+8,0)/1000</f>
        <v>126749.152</v>
      </c>
      <c r="Y39" s="11">
        <f>HLOOKUP(Y$7,月營收!$A$11:$G$48,38-$V39+8,0)</f>
        <v>0.2225</v>
      </c>
      <c r="Z39">
        <f t="shared" si="9"/>
        <v>0.2225</v>
      </c>
      <c r="AA39" t="e">
        <f t="shared" si="10"/>
        <v>#N/A</v>
      </c>
      <c r="AY39" t="str">
        <f>"日K!A"&amp;日K!$E$3-239+1+BF39-8</f>
        <v>日K!A6631</v>
      </c>
      <c r="AZ39" s="4">
        <f t="shared" ca="1" si="16"/>
        <v>44083</v>
      </c>
      <c r="BA39" s="13">
        <f t="shared" ca="1" si="17"/>
        <v>417.16989999999998</v>
      </c>
      <c r="BB39" s="13">
        <f t="shared" ca="1" si="18"/>
        <v>420.1146</v>
      </c>
      <c r="BC39" s="13">
        <f t="shared" ca="1" si="19"/>
        <v>415.20670000000001</v>
      </c>
      <c r="BD39" s="13">
        <f t="shared" ca="1" si="20"/>
        <v>419.13299999999998</v>
      </c>
      <c r="BE39" s="13">
        <f t="shared" ca="1" si="21"/>
        <v>40727</v>
      </c>
      <c r="BF39">
        <f>ROW()</f>
        <v>39</v>
      </c>
      <c r="BH39" t="str">
        <f t="shared" si="22"/>
        <v>BC35:BC39</v>
      </c>
      <c r="BI39">
        <f t="shared" si="41"/>
        <v>27</v>
      </c>
      <c r="BJ39">
        <f t="shared" ca="1" si="23"/>
        <v>419.32934000000006</v>
      </c>
      <c r="BL39" t="str">
        <f t="shared" si="24"/>
        <v>BC20:BC39</v>
      </c>
      <c r="BM39">
        <f t="shared" si="42"/>
        <v>12</v>
      </c>
      <c r="BN39">
        <f t="shared" ca="1" si="25"/>
        <v>419.133015</v>
      </c>
      <c r="BP39" t="str">
        <f t="shared" si="26"/>
        <v>BC-20:BC39</v>
      </c>
      <c r="BQ39">
        <f t="shared" si="43"/>
        <v>-28</v>
      </c>
      <c r="BR39" t="e">
        <f t="shared" ca="1" si="27"/>
        <v>#N/A</v>
      </c>
      <c r="BT39">
        <f t="shared" ca="1" si="45"/>
        <v>422.96116000000001</v>
      </c>
      <c r="BU39" t="e">
        <f>NA()</f>
        <v>#N/A</v>
      </c>
      <c r="BV39" t="e">
        <f>NA()</f>
        <v>#N/A</v>
      </c>
      <c r="BW39" t="e">
        <f>NA()</f>
        <v>#N/A</v>
      </c>
      <c r="BY39">
        <f t="shared" ca="1" si="6"/>
        <v>419.32934000000006</v>
      </c>
      <c r="BZ39">
        <f t="shared" ca="1" si="7"/>
        <v>419.133015</v>
      </c>
      <c r="CA39" t="e">
        <f t="shared" ca="1" si="8"/>
        <v>#N/A</v>
      </c>
      <c r="CD39" t="str">
        <f>IF(周K!$E$3+CK39-12&gt;工作底稿!$CE$5,"周K!A"&amp;周K!$E$3-$CE$5+1+CK39-8,0)</f>
        <v>周K!A199</v>
      </c>
      <c r="CE39" s="4">
        <f t="shared" ca="1" si="28"/>
        <v>42807</v>
      </c>
      <c r="CF39" s="13">
        <f ca="1">IF($CD39=0,"",VLOOKUP($CE39,周K!$A$6:$F$6842,2,0))</f>
        <v>185</v>
      </c>
      <c r="CG39" s="13">
        <f ca="1">IF($CD39=0,"",VLOOKUP($CE39,周K!$A$6:$F$6842,3,0))</f>
        <v>191.5</v>
      </c>
      <c r="CH39" s="13">
        <f ca="1">IF($CD39=0,"",VLOOKUP($CE39,周K!$A$6:$F$6842,4,0))</f>
        <v>185</v>
      </c>
      <c r="CI39" s="13">
        <f ca="1">IF($CD39=0,"",VLOOKUP($CE39,周K!$A$6:$F$6842,5,0))</f>
        <v>191.5</v>
      </c>
      <c r="CJ39" s="13">
        <f ca="1">IF($CD39=0,"",VLOOKUP($CE39,周K!$A$6:$F$6842,6,0))</f>
        <v>120697</v>
      </c>
      <c r="CK39">
        <f>ROW()</f>
        <v>39</v>
      </c>
      <c r="CM39" t="str">
        <f t="shared" si="29"/>
        <v>CG35:CG39</v>
      </c>
      <c r="CN39">
        <f t="shared" si="30"/>
        <v>27</v>
      </c>
      <c r="CO39">
        <f t="shared" ca="1" si="31"/>
        <v>189.9</v>
      </c>
      <c r="CQ39" t="str">
        <f t="shared" si="32"/>
        <v>CG20:CG39</v>
      </c>
      <c r="CR39">
        <f t="shared" si="33"/>
        <v>12</v>
      </c>
      <c r="CS39">
        <f t="shared" ca="1" si="34"/>
        <v>186.875</v>
      </c>
      <c r="CU39" t="str">
        <f t="shared" si="35"/>
        <v>CG-20:CG39</v>
      </c>
      <c r="CV39">
        <f t="shared" si="36"/>
        <v>-28</v>
      </c>
      <c r="CW39" t="e">
        <f t="shared" ca="1" si="37"/>
        <v>#N/A</v>
      </c>
      <c r="CY39">
        <f t="shared" ca="1" si="38"/>
        <v>418.39682500000004</v>
      </c>
      <c r="CZ39">
        <f t="shared" ca="1" si="44"/>
        <v>422.98085652566078</v>
      </c>
      <c r="DA39">
        <f t="shared" ca="1" si="47"/>
        <v>422.34666699577559</v>
      </c>
      <c r="DB39">
        <f t="shared" ca="1" si="46"/>
        <v>0.63418952988519095</v>
      </c>
      <c r="DC39" t="e">
        <f>NA()</f>
        <v>#N/A</v>
      </c>
      <c r="DD39" t="e">
        <f>NA()</f>
        <v>#N/A</v>
      </c>
    </row>
    <row r="40" spans="22:108" x14ac:dyDescent="0.25">
      <c r="V40">
        <f>ROW()</f>
        <v>40</v>
      </c>
      <c r="W40" t="str">
        <f>HLOOKUP(W$7,月營收!$A$11:$G$48,38-$V40+8,0)</f>
        <v>110/02</v>
      </c>
      <c r="X40" s="8">
        <f>HLOOKUP(X$7,月營收!$A$11:$G$48,38-$V40+8,0)/1000</f>
        <v>106533.69</v>
      </c>
      <c r="Y40" s="11">
        <f>HLOOKUP(Y$7,月營收!$A$11:$G$48,38-$V40+8,0)</f>
        <v>0.14069999999999999</v>
      </c>
      <c r="Z40">
        <f t="shared" si="9"/>
        <v>0.14069999999999999</v>
      </c>
      <c r="AA40" t="e">
        <f t="shared" si="10"/>
        <v>#N/A</v>
      </c>
      <c r="AY40" t="str">
        <f>"日K!A"&amp;日K!$E$3-239+1+BF40-8</f>
        <v>日K!A6632</v>
      </c>
      <c r="AZ40" s="4">
        <f t="shared" ca="1" si="16"/>
        <v>44084</v>
      </c>
      <c r="BA40" s="13">
        <f t="shared" ca="1" si="17"/>
        <v>424.5317</v>
      </c>
      <c r="BB40" s="13">
        <f t="shared" ca="1" si="18"/>
        <v>426.98559999999998</v>
      </c>
      <c r="BC40" s="13">
        <f t="shared" ca="1" si="19"/>
        <v>422.56849999999997</v>
      </c>
      <c r="BD40" s="13">
        <f t="shared" ca="1" si="20"/>
        <v>426.98559999999998</v>
      </c>
      <c r="BE40" s="13">
        <f t="shared" ca="1" si="21"/>
        <v>35282</v>
      </c>
      <c r="BF40">
        <f>ROW()</f>
        <v>40</v>
      </c>
      <c r="BH40" t="str">
        <f t="shared" si="22"/>
        <v>BC36:BC40</v>
      </c>
      <c r="BI40">
        <f t="shared" si="41"/>
        <v>28</v>
      </c>
      <c r="BJ40">
        <f t="shared" ca="1" si="23"/>
        <v>418.74038000000002</v>
      </c>
      <c r="BL40" t="str">
        <f t="shared" si="24"/>
        <v>BC21:BC40</v>
      </c>
      <c r="BM40">
        <f t="shared" si="42"/>
        <v>13</v>
      </c>
      <c r="BN40">
        <f t="shared" ca="1" si="25"/>
        <v>419.42748499999999</v>
      </c>
      <c r="BP40" t="str">
        <f t="shared" si="26"/>
        <v>BC-19:BC40</v>
      </c>
      <c r="BQ40">
        <f t="shared" si="43"/>
        <v>-27</v>
      </c>
      <c r="BR40" t="e">
        <f t="shared" ca="1" si="27"/>
        <v>#N/A</v>
      </c>
      <c r="BT40">
        <f t="shared" ca="1" si="45"/>
        <v>423.25563</v>
      </c>
      <c r="BU40" t="e">
        <f>NA()</f>
        <v>#N/A</v>
      </c>
      <c r="BV40" t="e">
        <f>NA()</f>
        <v>#N/A</v>
      </c>
      <c r="BW40" t="e">
        <f>NA()</f>
        <v>#N/A</v>
      </c>
      <c r="BY40">
        <f t="shared" ca="1" si="6"/>
        <v>418.74038000000002</v>
      </c>
      <c r="BZ40">
        <f t="shared" ca="1" si="7"/>
        <v>419.42748499999999</v>
      </c>
      <c r="CA40" t="e">
        <f t="shared" ca="1" si="8"/>
        <v>#N/A</v>
      </c>
      <c r="CD40" t="str">
        <f>IF(周K!$E$3+CK40-12&gt;工作底稿!$CE$5,"周K!A"&amp;周K!$E$3-$CE$5+1+CK40-8,0)</f>
        <v>周K!A200</v>
      </c>
      <c r="CE40" s="4">
        <f t="shared" ca="1" si="28"/>
        <v>42814</v>
      </c>
      <c r="CF40" s="13">
        <f ca="1">IF($CD40=0,"",VLOOKUP($CE40,周K!$A$6:$F$6842,2,0))</f>
        <v>191.5</v>
      </c>
      <c r="CG40" s="13">
        <f ca="1">IF($CD40=0,"",VLOOKUP($CE40,周K!$A$6:$F$6842,3,0))</f>
        <v>195</v>
      </c>
      <c r="CH40" s="13">
        <f ca="1">IF($CD40=0,"",VLOOKUP($CE40,周K!$A$6:$F$6842,4,0))</f>
        <v>189.5</v>
      </c>
      <c r="CI40" s="13">
        <f ca="1">IF($CD40=0,"",VLOOKUP($CE40,周K!$A$6:$F$6842,5,0))</f>
        <v>192.5</v>
      </c>
      <c r="CJ40" s="13">
        <f ca="1">IF($CD40=0,"",VLOOKUP($CE40,周K!$A$6:$F$6842,6,0))</f>
        <v>114514</v>
      </c>
      <c r="CK40">
        <f>ROW()</f>
        <v>40</v>
      </c>
      <c r="CM40" t="str">
        <f t="shared" si="29"/>
        <v>CG36:CG40</v>
      </c>
      <c r="CN40">
        <f t="shared" si="30"/>
        <v>28</v>
      </c>
      <c r="CO40">
        <f t="shared" ca="1" si="31"/>
        <v>190.8</v>
      </c>
      <c r="CQ40" t="str">
        <f t="shared" si="32"/>
        <v>CG21:CG40</v>
      </c>
      <c r="CR40">
        <f t="shared" si="33"/>
        <v>13</v>
      </c>
      <c r="CS40">
        <f t="shared" ca="1" si="34"/>
        <v>187.1</v>
      </c>
      <c r="CU40" t="str">
        <f t="shared" si="35"/>
        <v>CG-19:CG40</v>
      </c>
      <c r="CV40">
        <f t="shared" si="36"/>
        <v>-27</v>
      </c>
      <c r="CW40" t="e">
        <f t="shared" ca="1" si="37"/>
        <v>#N/A</v>
      </c>
      <c r="CY40">
        <f t="shared" ca="1" si="38"/>
        <v>425.88132499999995</v>
      </c>
      <c r="CZ40">
        <f t="shared" ca="1" si="44"/>
        <v>423.4270824447899</v>
      </c>
      <c r="DA40">
        <f t="shared" ca="1" si="47"/>
        <v>422.60849351460706</v>
      </c>
      <c r="DB40">
        <f t="shared" ca="1" si="46"/>
        <v>0.81858893018284107</v>
      </c>
      <c r="DC40" t="e">
        <f>NA()</f>
        <v>#N/A</v>
      </c>
      <c r="DD40" t="e">
        <f>NA()</f>
        <v>#N/A</v>
      </c>
    </row>
    <row r="41" spans="22:108" x14ac:dyDescent="0.25">
      <c r="V41">
        <f>ROW()</f>
        <v>41</v>
      </c>
      <c r="W41" t="str">
        <f>HLOOKUP(W$7,月營收!$A$11:$G$48,38-$V41+8,0)</f>
        <v>110/03</v>
      </c>
      <c r="X41" s="8">
        <f>HLOOKUP(X$7,月營收!$A$11:$G$48,38-$V41+8,0)/1000</f>
        <v>129127.38800000001</v>
      </c>
      <c r="Y41" s="11">
        <f>HLOOKUP(Y$7,月營收!$A$11:$G$48,38-$V41+8,0)</f>
        <v>0.13750000000000001</v>
      </c>
      <c r="Z41">
        <f t="shared" si="9"/>
        <v>0.13750000000000001</v>
      </c>
      <c r="AA41" t="e">
        <f t="shared" si="10"/>
        <v>#N/A</v>
      </c>
      <c r="AY41" t="str">
        <f>"日K!A"&amp;日K!$E$3-239+1+BF41-8</f>
        <v>日K!A6633</v>
      </c>
      <c r="AZ41" s="4">
        <f t="shared" ca="1" si="16"/>
        <v>44085</v>
      </c>
      <c r="BA41" s="13">
        <f t="shared" ca="1" si="17"/>
        <v>427.47640000000001</v>
      </c>
      <c r="BB41" s="13">
        <f t="shared" ca="1" si="18"/>
        <v>428.45800000000003</v>
      </c>
      <c r="BC41" s="13">
        <f t="shared" ca="1" si="19"/>
        <v>424.5317</v>
      </c>
      <c r="BD41" s="13">
        <f t="shared" ca="1" si="20"/>
        <v>428.45800000000003</v>
      </c>
      <c r="BE41" s="13">
        <f t="shared" ca="1" si="21"/>
        <v>34893</v>
      </c>
      <c r="BF41">
        <f>ROW()</f>
        <v>41</v>
      </c>
      <c r="BH41" t="str">
        <f t="shared" si="22"/>
        <v>BC37:BC41</v>
      </c>
      <c r="BI41">
        <f t="shared" si="41"/>
        <v>29</v>
      </c>
      <c r="BJ41">
        <f t="shared" ca="1" si="23"/>
        <v>419.82011999999997</v>
      </c>
      <c r="BL41" t="str">
        <f t="shared" si="24"/>
        <v>BC22:BC41</v>
      </c>
      <c r="BM41">
        <f t="shared" si="42"/>
        <v>14</v>
      </c>
      <c r="BN41">
        <f t="shared" ca="1" si="25"/>
        <v>419.89373499999999</v>
      </c>
      <c r="BP41" t="str">
        <f t="shared" si="26"/>
        <v>BC-18:BC41</v>
      </c>
      <c r="BQ41">
        <f t="shared" si="43"/>
        <v>-26</v>
      </c>
      <c r="BR41" t="e">
        <f t="shared" ca="1" si="27"/>
        <v>#N/A</v>
      </c>
      <c r="BT41">
        <f t="shared" ca="1" si="45"/>
        <v>423.72187999999994</v>
      </c>
      <c r="BU41" t="e">
        <f>NA()</f>
        <v>#N/A</v>
      </c>
      <c r="BV41" t="e">
        <f>NA()</f>
        <v>#N/A</v>
      </c>
      <c r="BW41" t="e">
        <f>NA()</f>
        <v>#N/A</v>
      </c>
      <c r="BY41">
        <f t="shared" ca="1" si="6"/>
        <v>419.82011999999997</v>
      </c>
      <c r="BZ41">
        <f t="shared" ca="1" si="7"/>
        <v>419.89373499999999</v>
      </c>
      <c r="CA41" t="e">
        <f t="shared" ca="1" si="8"/>
        <v>#N/A</v>
      </c>
      <c r="CD41" t="str">
        <f>IF(周K!$E$3+CK41-12&gt;工作底稿!$CE$5,"周K!A"&amp;周K!$E$3-$CE$5+1+CK41-8,0)</f>
        <v>周K!A201</v>
      </c>
      <c r="CE41" s="4">
        <f t="shared" ca="1" si="28"/>
        <v>42821</v>
      </c>
      <c r="CF41" s="13">
        <f ca="1">IF($CD41=0,"",VLOOKUP($CE41,周K!$A$6:$F$6842,2,0))</f>
        <v>194.5</v>
      </c>
      <c r="CG41" s="13">
        <f ca="1">IF($CD41=0,"",VLOOKUP($CE41,周K!$A$6:$F$6842,3,0))</f>
        <v>195</v>
      </c>
      <c r="CH41" s="13">
        <f ca="1">IF($CD41=0,"",VLOOKUP($CE41,周K!$A$6:$F$6842,4,0))</f>
        <v>189</v>
      </c>
      <c r="CI41" s="13">
        <f ca="1">IF($CD41=0,"",VLOOKUP($CE41,周K!$A$6:$F$6842,5,0))</f>
        <v>189</v>
      </c>
      <c r="CJ41" s="13">
        <f ca="1">IF($CD41=0,"",VLOOKUP($CE41,周K!$A$6:$F$6842,6,0))</f>
        <v>167944</v>
      </c>
      <c r="CK41">
        <f>ROW()</f>
        <v>41</v>
      </c>
      <c r="CM41" t="str">
        <f t="shared" si="29"/>
        <v>CG37:CG41</v>
      </c>
      <c r="CN41">
        <f t="shared" si="30"/>
        <v>29</v>
      </c>
      <c r="CO41">
        <f t="shared" ca="1" si="31"/>
        <v>191.6</v>
      </c>
      <c r="CQ41" t="str">
        <f t="shared" si="32"/>
        <v>CG22:CG41</v>
      </c>
      <c r="CR41">
        <f t="shared" si="33"/>
        <v>14</v>
      </c>
      <c r="CS41">
        <f t="shared" ca="1" si="34"/>
        <v>187.32499999999999</v>
      </c>
      <c r="CU41" t="str">
        <f t="shared" si="35"/>
        <v>CG-18:CG41</v>
      </c>
      <c r="CV41">
        <f t="shared" si="36"/>
        <v>-26</v>
      </c>
      <c r="CW41" t="e">
        <f t="shared" ca="1" si="37"/>
        <v>#N/A</v>
      </c>
      <c r="CY41">
        <f t="shared" ca="1" si="38"/>
        <v>427.47642500000006</v>
      </c>
      <c r="CZ41">
        <f t="shared" ca="1" si="44"/>
        <v>424.05005822251451</v>
      </c>
      <c r="DA41">
        <f t="shared" ca="1" si="47"/>
        <v>422.96908103204362</v>
      </c>
      <c r="DB41">
        <f t="shared" ca="1" si="46"/>
        <v>1.0809771904708896</v>
      </c>
      <c r="DC41">
        <f ca="1">AVERAGE(DB33:DB41)</f>
        <v>1.5680669117674471</v>
      </c>
      <c r="DD41">
        <f ca="1">DB41-DC41</f>
        <v>-0.48708972129655748</v>
      </c>
    </row>
    <row r="42" spans="22:108" x14ac:dyDescent="0.25">
      <c r="V42">
        <f>ROW()</f>
        <v>42</v>
      </c>
      <c r="W42" t="str">
        <f>HLOOKUP(W$7,月營收!$A$11:$G$48,38-$V42+8,0)</f>
        <v>110/04</v>
      </c>
      <c r="X42" s="8">
        <f>HLOOKUP(X$7,月營收!$A$11:$G$48,38-$V42+8,0)/1000</f>
        <v>111314.79399999999</v>
      </c>
      <c r="Y42" s="11">
        <f>HLOOKUP(Y$7,月營收!$A$11:$G$48,38-$V42+8,0)</f>
        <v>0.1595</v>
      </c>
      <c r="Z42">
        <f t="shared" si="9"/>
        <v>0.1595</v>
      </c>
      <c r="AA42" t="e">
        <f t="shared" si="10"/>
        <v>#N/A</v>
      </c>
      <c r="AY42" t="str">
        <f>"日K!A"&amp;日K!$E$3-239+1+BF42-8</f>
        <v>日K!A6634</v>
      </c>
      <c r="AZ42" s="4">
        <f t="shared" ca="1" si="16"/>
        <v>44088</v>
      </c>
      <c r="BA42" s="13">
        <f t="shared" ca="1" si="17"/>
        <v>427.96719999999999</v>
      </c>
      <c r="BB42" s="13">
        <f t="shared" ca="1" si="18"/>
        <v>433.85669999999999</v>
      </c>
      <c r="BC42" s="13">
        <f t="shared" ca="1" si="19"/>
        <v>427.47640000000001</v>
      </c>
      <c r="BD42" s="13">
        <f t="shared" ca="1" si="20"/>
        <v>432.87509999999997</v>
      </c>
      <c r="BE42" s="13">
        <f t="shared" ca="1" si="21"/>
        <v>39326</v>
      </c>
      <c r="BF42">
        <f>ROW()</f>
        <v>42</v>
      </c>
      <c r="BH42" t="str">
        <f t="shared" si="22"/>
        <v>BC38:BC42</v>
      </c>
      <c r="BI42">
        <f t="shared" si="41"/>
        <v>30</v>
      </c>
      <c r="BJ42">
        <f t="shared" ca="1" si="23"/>
        <v>421.88141999999999</v>
      </c>
      <c r="BL42" t="str">
        <f t="shared" si="24"/>
        <v>BC23:BC42</v>
      </c>
      <c r="BM42">
        <f t="shared" si="42"/>
        <v>15</v>
      </c>
      <c r="BN42">
        <f t="shared" ca="1" si="25"/>
        <v>420.38451999999995</v>
      </c>
      <c r="BP42" t="str">
        <f t="shared" si="26"/>
        <v>BC-17:BC42</v>
      </c>
      <c r="BQ42">
        <f t="shared" si="43"/>
        <v>-25</v>
      </c>
      <c r="BR42" t="e">
        <f t="shared" ca="1" si="27"/>
        <v>#N/A</v>
      </c>
      <c r="BT42">
        <f t="shared" ca="1" si="45"/>
        <v>424.01635499999992</v>
      </c>
      <c r="BU42" t="e">
        <f>NA()</f>
        <v>#N/A</v>
      </c>
      <c r="BV42" t="e">
        <f>NA()</f>
        <v>#N/A</v>
      </c>
      <c r="BW42" t="e">
        <f>NA()</f>
        <v>#N/A</v>
      </c>
      <c r="BY42">
        <f t="shared" ca="1" si="6"/>
        <v>421.88141999999999</v>
      </c>
      <c r="BZ42">
        <f t="shared" ca="1" si="7"/>
        <v>420.38451999999995</v>
      </c>
      <c r="CA42" t="e">
        <f t="shared" ca="1" si="8"/>
        <v>#N/A</v>
      </c>
      <c r="CD42" t="str">
        <f>IF(周K!$E$3+CK42-12&gt;工作底稿!$CE$5,"周K!A"&amp;周K!$E$3-$CE$5+1+CK42-8,0)</f>
        <v>周K!A202</v>
      </c>
      <c r="CE42" s="4">
        <f t="shared" ca="1" si="28"/>
        <v>42830</v>
      </c>
      <c r="CF42" s="13">
        <f ca="1">IF($CD42=0,"",VLOOKUP($CE42,周K!$A$6:$F$6842,2,0))</f>
        <v>189.5</v>
      </c>
      <c r="CG42" s="13">
        <f ca="1">IF($CD42=0,"",VLOOKUP($CE42,周K!$A$6:$F$6842,3,0))</f>
        <v>193</v>
      </c>
      <c r="CH42" s="13">
        <f ca="1">IF($CD42=0,"",VLOOKUP($CE42,周K!$A$6:$F$6842,4,0))</f>
        <v>188.5</v>
      </c>
      <c r="CI42" s="13">
        <f ca="1">IF($CD42=0,"",VLOOKUP($CE42,周K!$A$6:$F$6842,5,0))</f>
        <v>191</v>
      </c>
      <c r="CJ42" s="13">
        <f ca="1">IF($CD42=0,"",VLOOKUP($CE42,周K!$A$6:$F$6842,6,0))</f>
        <v>81600</v>
      </c>
      <c r="CK42">
        <f>ROW()</f>
        <v>42</v>
      </c>
      <c r="CM42" t="str">
        <f t="shared" si="29"/>
        <v>CG38:CG42</v>
      </c>
      <c r="CN42">
        <f t="shared" si="30"/>
        <v>30</v>
      </c>
      <c r="CO42">
        <f t="shared" ca="1" si="31"/>
        <v>192.5</v>
      </c>
      <c r="CQ42" t="str">
        <f t="shared" si="32"/>
        <v>CG23:CG42</v>
      </c>
      <c r="CR42">
        <f t="shared" si="33"/>
        <v>15</v>
      </c>
      <c r="CS42">
        <f t="shared" ca="1" si="34"/>
        <v>187.82499999999999</v>
      </c>
      <c r="CU42" t="str">
        <f t="shared" si="35"/>
        <v>CG-17:CG42</v>
      </c>
      <c r="CV42">
        <f t="shared" si="36"/>
        <v>-25</v>
      </c>
      <c r="CW42" t="e">
        <f t="shared" ca="1" si="37"/>
        <v>#N/A</v>
      </c>
      <c r="CY42">
        <f t="shared" ca="1" si="38"/>
        <v>431.770825</v>
      </c>
      <c r="CZ42">
        <f t="shared" ca="1" si="44"/>
        <v>425.23786849597377</v>
      </c>
      <c r="DA42">
        <f t="shared" ca="1" si="47"/>
        <v>423.62106206670705</v>
      </c>
      <c r="DB42">
        <f t="shared" ca="1" si="46"/>
        <v>1.6168064292667168</v>
      </c>
      <c r="DC42">
        <f t="shared" ref="DC42:DC105" ca="1" si="48">AVERAGE(DB34:DB42)</f>
        <v>1.4832617597536961</v>
      </c>
      <c r="DD42">
        <f t="shared" ref="DD42:DD105" ca="1" si="49">DB42-DC42</f>
        <v>0.13354466951302069</v>
      </c>
    </row>
    <row r="43" spans="22:108" x14ac:dyDescent="0.25">
      <c r="V43">
        <f>ROW()</f>
        <v>43</v>
      </c>
      <c r="W43" t="str">
        <f>HLOOKUP(W$7,月營收!$A$11:$G$48,38-$V43+8,0)</f>
        <v>110/05</v>
      </c>
      <c r="X43" s="8">
        <f>HLOOKUP(X$7,月營收!$A$11:$G$48,38-$V43+8,0)/1000</f>
        <v>112359.66800000001</v>
      </c>
      <c r="Y43" s="11">
        <f>HLOOKUP(Y$7,月營收!$A$11:$G$48,38-$V43+8,0)</f>
        <v>0.1976</v>
      </c>
      <c r="Z43">
        <f t="shared" si="9"/>
        <v>0.1976</v>
      </c>
      <c r="AA43" t="e">
        <f t="shared" si="10"/>
        <v>#N/A</v>
      </c>
      <c r="AY43" t="str">
        <f>"日K!A"&amp;日K!$E$3-239+1+BF43-8</f>
        <v>日K!A6635</v>
      </c>
      <c r="AZ43" s="4">
        <f t="shared" ca="1" si="16"/>
        <v>44089</v>
      </c>
      <c r="BA43" s="13">
        <f t="shared" ca="1" si="17"/>
        <v>432.3843</v>
      </c>
      <c r="BB43" s="13">
        <f t="shared" ca="1" si="18"/>
        <v>438.7645</v>
      </c>
      <c r="BC43" s="13">
        <f t="shared" ca="1" si="19"/>
        <v>431.40269999999998</v>
      </c>
      <c r="BD43" s="13">
        <f t="shared" ca="1" si="20"/>
        <v>436.8014</v>
      </c>
      <c r="BE43" s="13">
        <f t="shared" ca="1" si="21"/>
        <v>39661</v>
      </c>
      <c r="BF43">
        <f>ROW()</f>
        <v>43</v>
      </c>
      <c r="BH43" t="str">
        <f t="shared" si="22"/>
        <v>BC39:BC43</v>
      </c>
      <c r="BI43">
        <f t="shared" si="41"/>
        <v>31</v>
      </c>
      <c r="BJ43">
        <f t="shared" ca="1" si="23"/>
        <v>424.23720000000003</v>
      </c>
      <c r="BL43" t="str">
        <f t="shared" si="24"/>
        <v>BC24:BC43</v>
      </c>
      <c r="BM43">
        <f t="shared" si="42"/>
        <v>16</v>
      </c>
      <c r="BN43">
        <f t="shared" ca="1" si="25"/>
        <v>420.75261</v>
      </c>
      <c r="BP43" t="str">
        <f t="shared" si="26"/>
        <v>BC-16:BC43</v>
      </c>
      <c r="BQ43">
        <f t="shared" si="43"/>
        <v>-24</v>
      </c>
      <c r="BR43" t="e">
        <f t="shared" ca="1" si="27"/>
        <v>#N/A</v>
      </c>
      <c r="BT43">
        <f t="shared" ca="1" si="45"/>
        <v>424.6053</v>
      </c>
      <c r="BU43" t="e">
        <f>NA()</f>
        <v>#N/A</v>
      </c>
      <c r="BV43" t="e">
        <f>NA()</f>
        <v>#N/A</v>
      </c>
      <c r="BW43" t="e">
        <f>NA()</f>
        <v>#N/A</v>
      </c>
      <c r="BY43">
        <f t="shared" ca="1" si="6"/>
        <v>424.23720000000003</v>
      </c>
      <c r="BZ43">
        <f t="shared" ca="1" si="7"/>
        <v>420.75261</v>
      </c>
      <c r="CA43" t="e">
        <f t="shared" ca="1" si="8"/>
        <v>#N/A</v>
      </c>
      <c r="CD43" t="str">
        <f>IF(周K!$E$3+CK43-12&gt;工作底稿!$CE$5,"周K!A"&amp;周K!$E$3-$CE$5+1+CK43-8,0)</f>
        <v>周K!A203</v>
      </c>
      <c r="CE43" s="4">
        <f t="shared" ca="1" si="28"/>
        <v>42835</v>
      </c>
      <c r="CF43" s="13">
        <f ca="1">IF($CD43=0,"",VLOOKUP($CE43,周K!$A$6:$F$6842,2,0))</f>
        <v>191</v>
      </c>
      <c r="CG43" s="13">
        <f ca="1">IF($CD43=0,"",VLOOKUP($CE43,周K!$A$6:$F$6842,3,0))</f>
        <v>192</v>
      </c>
      <c r="CH43" s="13">
        <f ca="1">IF($CD43=0,"",VLOOKUP($CE43,周K!$A$6:$F$6842,4,0))</f>
        <v>188</v>
      </c>
      <c r="CI43" s="13">
        <f ca="1">IF($CD43=0,"",VLOOKUP($CE43,周K!$A$6:$F$6842,5,0))</f>
        <v>189</v>
      </c>
      <c r="CJ43" s="13">
        <f ca="1">IF($CD43=0,"",VLOOKUP($CE43,周K!$A$6:$F$6842,6,0))</f>
        <v>90710</v>
      </c>
      <c r="CK43">
        <f>ROW()</f>
        <v>43</v>
      </c>
      <c r="CM43" t="str">
        <f t="shared" si="29"/>
        <v>CG39:CG43</v>
      </c>
      <c r="CN43">
        <f t="shared" si="30"/>
        <v>31</v>
      </c>
      <c r="CO43">
        <f t="shared" ca="1" si="31"/>
        <v>193.3</v>
      </c>
      <c r="CQ43" t="str">
        <f t="shared" si="32"/>
        <v>CG24:CG43</v>
      </c>
      <c r="CR43">
        <f t="shared" si="33"/>
        <v>16</v>
      </c>
      <c r="CS43">
        <f t="shared" ca="1" si="34"/>
        <v>188.1</v>
      </c>
      <c r="CU43" t="str">
        <f t="shared" si="35"/>
        <v>CG-16:CG43</v>
      </c>
      <c r="CV43">
        <f t="shared" si="36"/>
        <v>-24</v>
      </c>
      <c r="CW43" t="e">
        <f t="shared" ca="1" si="37"/>
        <v>#N/A</v>
      </c>
      <c r="CY43">
        <f t="shared" ca="1" si="38"/>
        <v>435.9425</v>
      </c>
      <c r="CZ43">
        <f t="shared" ca="1" si="44"/>
        <v>426.8847348812086</v>
      </c>
      <c r="DA43">
        <f t="shared" ca="1" si="47"/>
        <v>424.53376117287689</v>
      </c>
      <c r="DB43">
        <f t="shared" ca="1" si="46"/>
        <v>2.3509737083317077</v>
      </c>
      <c r="DC43">
        <f t="shared" ca="1" si="48"/>
        <v>1.4847431226580485</v>
      </c>
      <c r="DD43">
        <f t="shared" ca="1" si="49"/>
        <v>0.86623058567365918</v>
      </c>
    </row>
    <row r="44" spans="22:108" x14ac:dyDescent="0.25">
      <c r="V44">
        <f>ROW()</f>
        <v>44</v>
      </c>
      <c r="W44" t="str">
        <f>HLOOKUP(W$7,月營收!$A$11:$G$48,38-$V44+8,0)</f>
        <v>110/06</v>
      </c>
      <c r="X44" s="8">
        <f>HLOOKUP(X$7,月營收!$A$11:$G$48,38-$V44+8,0)/1000</f>
        <v>148470.66</v>
      </c>
      <c r="Y44" s="11">
        <f>HLOOKUP(Y$7,月營收!$A$11:$G$48,38-$V44+8,0)</f>
        <v>0.2283</v>
      </c>
      <c r="Z44">
        <f t="shared" si="9"/>
        <v>0.2283</v>
      </c>
      <c r="AA44" t="e">
        <f t="shared" si="10"/>
        <v>#N/A</v>
      </c>
      <c r="AY44" t="str">
        <f>"日K!A"&amp;日K!$E$3-239+1+BF44-8</f>
        <v>日K!A6636</v>
      </c>
      <c r="AZ44" s="4">
        <f t="shared" ca="1" si="16"/>
        <v>44090</v>
      </c>
      <c r="BA44" s="13">
        <f t="shared" ca="1" si="17"/>
        <v>451.52499999999998</v>
      </c>
      <c r="BB44" s="13">
        <f t="shared" ca="1" si="18"/>
        <v>453.48820000000001</v>
      </c>
      <c r="BC44" s="13">
        <f t="shared" ca="1" si="19"/>
        <v>447.10789999999997</v>
      </c>
      <c r="BD44" s="13">
        <f t="shared" ca="1" si="20"/>
        <v>449.56189999999998</v>
      </c>
      <c r="BE44" s="13">
        <f t="shared" ca="1" si="21"/>
        <v>70608</v>
      </c>
      <c r="BF44">
        <f>ROW()</f>
        <v>44</v>
      </c>
      <c r="BH44" t="str">
        <f t="shared" si="22"/>
        <v>BC40:BC44</v>
      </c>
      <c r="BI44">
        <f t="shared" si="41"/>
        <v>32</v>
      </c>
      <c r="BJ44">
        <f t="shared" ca="1" si="23"/>
        <v>430.61743999999999</v>
      </c>
      <c r="BL44" t="str">
        <f t="shared" si="24"/>
        <v>BC25:BC44</v>
      </c>
      <c r="BM44">
        <f t="shared" si="42"/>
        <v>17</v>
      </c>
      <c r="BN44">
        <f t="shared" ca="1" si="25"/>
        <v>422.12681499999997</v>
      </c>
      <c r="BP44" t="str">
        <f t="shared" si="26"/>
        <v>BC-15:BC44</v>
      </c>
      <c r="BQ44">
        <f t="shared" si="43"/>
        <v>-23</v>
      </c>
      <c r="BR44" t="e">
        <f t="shared" ca="1" si="27"/>
        <v>#N/A</v>
      </c>
      <c r="BT44">
        <f t="shared" ca="1" si="45"/>
        <v>426.10220499999997</v>
      </c>
      <c r="BU44" t="e">
        <f>NA()</f>
        <v>#N/A</v>
      </c>
      <c r="BV44" t="e">
        <f>NA()</f>
        <v>#N/A</v>
      </c>
      <c r="BW44" t="e">
        <f>NA()</f>
        <v>#N/A</v>
      </c>
      <c r="BY44">
        <f t="shared" ca="1" si="6"/>
        <v>430.61743999999999</v>
      </c>
      <c r="BZ44">
        <f t="shared" ca="1" si="7"/>
        <v>422.12681499999997</v>
      </c>
      <c r="CA44" t="e">
        <f t="shared" ca="1" si="8"/>
        <v>#N/A</v>
      </c>
      <c r="CD44" t="str">
        <f>IF(周K!$E$3+CK44-12&gt;工作底稿!$CE$5,"周K!A"&amp;周K!$E$3-$CE$5+1+CK44-8,0)</f>
        <v>周K!A204</v>
      </c>
      <c r="CE44" s="4">
        <f t="shared" ca="1" si="28"/>
        <v>42842</v>
      </c>
      <c r="CF44" s="13">
        <f ca="1">IF($CD44=0,"",VLOOKUP($CE44,周K!$A$6:$F$6842,2,0))</f>
        <v>189</v>
      </c>
      <c r="CG44" s="13">
        <f ca="1">IF($CD44=0,"",VLOOKUP($CE44,周K!$A$6:$F$6842,3,0))</f>
        <v>190</v>
      </c>
      <c r="CH44" s="13">
        <f ca="1">IF($CD44=0,"",VLOOKUP($CE44,周K!$A$6:$F$6842,4,0))</f>
        <v>186.5</v>
      </c>
      <c r="CI44" s="13">
        <f ca="1">IF($CD44=0,"",VLOOKUP($CE44,周K!$A$6:$F$6842,5,0))</f>
        <v>190</v>
      </c>
      <c r="CJ44" s="13">
        <f ca="1">IF($CD44=0,"",VLOOKUP($CE44,周K!$A$6:$F$6842,6,0))</f>
        <v>128747</v>
      </c>
      <c r="CK44">
        <f>ROW()</f>
        <v>44</v>
      </c>
      <c r="CM44" t="str">
        <f t="shared" si="29"/>
        <v>CG40:CG44</v>
      </c>
      <c r="CN44">
        <f t="shared" si="30"/>
        <v>32</v>
      </c>
      <c r="CO44">
        <f t="shared" ca="1" si="31"/>
        <v>193</v>
      </c>
      <c r="CQ44" t="str">
        <f t="shared" si="32"/>
        <v>CG25:CG44</v>
      </c>
      <c r="CR44">
        <f t="shared" si="33"/>
        <v>17</v>
      </c>
      <c r="CS44">
        <f t="shared" ca="1" si="34"/>
        <v>188.35</v>
      </c>
      <c r="CU44" t="str">
        <f t="shared" si="35"/>
        <v>CG-15:CG44</v>
      </c>
      <c r="CV44">
        <f t="shared" si="36"/>
        <v>-23</v>
      </c>
      <c r="CW44" t="e">
        <f t="shared" ca="1" si="37"/>
        <v>#N/A</v>
      </c>
      <c r="CY44">
        <f t="shared" ca="1" si="38"/>
        <v>449.92997500000001</v>
      </c>
      <c r="CZ44">
        <f t="shared" ca="1" si="44"/>
        <v>430.4301564379457</v>
      </c>
      <c r="DA44">
        <f t="shared" ca="1" si="47"/>
        <v>426.41496219710825</v>
      </c>
      <c r="DB44">
        <f t="shared" ca="1" si="46"/>
        <v>4.0151942408374452</v>
      </c>
      <c r="DC44">
        <f t="shared" ca="1" si="48"/>
        <v>1.6614769374008662</v>
      </c>
      <c r="DD44">
        <f t="shared" ca="1" si="49"/>
        <v>2.353717303436579</v>
      </c>
    </row>
    <row r="45" spans="22:108" x14ac:dyDescent="0.25">
      <c r="AY45" t="str">
        <f>"日K!A"&amp;日K!$E$3-239+1+BF45-8</f>
        <v>日K!A6637</v>
      </c>
      <c r="AZ45" s="4">
        <f t="shared" ca="1" si="16"/>
        <v>44091</v>
      </c>
      <c r="BA45" s="13">
        <f t="shared" ca="1" si="17"/>
        <v>447.09449999999998</v>
      </c>
      <c r="BB45" s="13">
        <f t="shared" ca="1" si="18"/>
        <v>449.0684</v>
      </c>
      <c r="BC45" s="13">
        <f t="shared" ca="1" si="19"/>
        <v>440.67919999999998</v>
      </c>
      <c r="BD45" s="13">
        <f t="shared" ca="1" si="20"/>
        <v>442.65309999999999</v>
      </c>
      <c r="BE45" s="13">
        <f t="shared" ca="1" si="21"/>
        <v>44421</v>
      </c>
      <c r="BF45">
        <f>ROW()</f>
        <v>45</v>
      </c>
      <c r="BH45" t="str">
        <f t="shared" si="22"/>
        <v>BC41:BC45</v>
      </c>
      <c r="BI45">
        <f t="shared" si="41"/>
        <v>33</v>
      </c>
      <c r="BJ45">
        <f t="shared" ca="1" si="23"/>
        <v>434.23958000000005</v>
      </c>
      <c r="BL45" t="str">
        <f t="shared" si="24"/>
        <v>BC26:BC45</v>
      </c>
      <c r="BM45">
        <f t="shared" si="42"/>
        <v>18</v>
      </c>
      <c r="BN45">
        <f t="shared" ca="1" si="25"/>
        <v>424.48017499999997</v>
      </c>
      <c r="BP45" t="str">
        <f t="shared" si="26"/>
        <v>BC-14:BC45</v>
      </c>
      <c r="BQ45">
        <f t="shared" si="43"/>
        <v>-22</v>
      </c>
      <c r="BR45" t="e">
        <f t="shared" ca="1" si="27"/>
        <v>#N/A</v>
      </c>
      <c r="BT45">
        <f t="shared" ca="1" si="45"/>
        <v>427.86715500000003</v>
      </c>
      <c r="BU45" t="e">
        <f>NA()</f>
        <v>#N/A</v>
      </c>
      <c r="BV45" t="e">
        <f>NA()</f>
        <v>#N/A</v>
      </c>
      <c r="BW45" t="e">
        <f>NA()</f>
        <v>#N/A</v>
      </c>
      <c r="BY45">
        <f t="shared" ca="1" si="6"/>
        <v>434.23958000000005</v>
      </c>
      <c r="BZ45">
        <f t="shared" ca="1" si="7"/>
        <v>424.48017499999997</v>
      </c>
      <c r="CA45" t="e">
        <f t="shared" ca="1" si="8"/>
        <v>#N/A</v>
      </c>
      <c r="CD45" t="str">
        <f>IF(周K!$E$3+CK45-12&gt;工作底稿!$CE$5,"周K!A"&amp;周K!$E$3-$CE$5+1+CK45-8,0)</f>
        <v>周K!A205</v>
      </c>
      <c r="CE45" s="4">
        <f t="shared" ca="1" si="28"/>
        <v>42849</v>
      </c>
      <c r="CF45" s="13">
        <f ca="1">IF($CD45=0,"",VLOOKUP($CE45,周K!$A$6:$F$6842,2,0))</f>
        <v>191</v>
      </c>
      <c r="CG45" s="13">
        <f ca="1">IF($CD45=0,"",VLOOKUP($CE45,周K!$A$6:$F$6842,3,0))</f>
        <v>194.5</v>
      </c>
      <c r="CH45" s="13">
        <f ca="1">IF($CD45=0,"",VLOOKUP($CE45,周K!$A$6:$F$6842,4,0))</f>
        <v>188.5</v>
      </c>
      <c r="CI45" s="13">
        <f ca="1">IF($CD45=0,"",VLOOKUP($CE45,周K!$A$6:$F$6842,5,0))</f>
        <v>194.5</v>
      </c>
      <c r="CJ45" s="13">
        <f ca="1">IF($CD45=0,"",VLOOKUP($CE45,周K!$A$6:$F$6842,6,0))</f>
        <v>166839</v>
      </c>
      <c r="CK45">
        <f>ROW()</f>
        <v>45</v>
      </c>
      <c r="CM45" t="str">
        <f t="shared" si="29"/>
        <v>CG41:CG45</v>
      </c>
      <c r="CN45">
        <f t="shared" si="30"/>
        <v>33</v>
      </c>
      <c r="CO45">
        <f t="shared" ca="1" si="31"/>
        <v>192.9</v>
      </c>
      <c r="CQ45" t="str">
        <f t="shared" si="32"/>
        <v>CG26:CG45</v>
      </c>
      <c r="CR45">
        <f t="shared" si="33"/>
        <v>18</v>
      </c>
      <c r="CS45">
        <f t="shared" ca="1" si="34"/>
        <v>188.77500000000001</v>
      </c>
      <c r="CU45" t="str">
        <f t="shared" si="35"/>
        <v>CG-14:CG45</v>
      </c>
      <c r="CV45">
        <f t="shared" si="36"/>
        <v>-22</v>
      </c>
      <c r="CW45" t="e">
        <f t="shared" ca="1" si="37"/>
        <v>#N/A</v>
      </c>
      <c r="CY45">
        <f t="shared" ca="1" si="38"/>
        <v>443.76344999999998</v>
      </c>
      <c r="CZ45">
        <f t="shared" ca="1" si="44"/>
        <v>432.48143237056945</v>
      </c>
      <c r="DA45">
        <f t="shared" ca="1" si="47"/>
        <v>427.70003536769286</v>
      </c>
      <c r="DB45">
        <f t="shared" ca="1" si="46"/>
        <v>4.781397002876588</v>
      </c>
      <c r="DC45">
        <f t="shared" ca="1" si="48"/>
        <v>1.9786595653660521</v>
      </c>
      <c r="DD45">
        <f t="shared" ca="1" si="49"/>
        <v>2.8027374375105358</v>
      </c>
    </row>
    <row r="46" spans="22:108" x14ac:dyDescent="0.25">
      <c r="AY46" t="str">
        <f>"日K!A"&amp;日K!$E$3-239+1+BF46-8</f>
        <v>日K!A6638</v>
      </c>
      <c r="AZ46" s="4">
        <f t="shared" ca="1" si="16"/>
        <v>44092</v>
      </c>
      <c r="BA46" s="13">
        <f t="shared" ca="1" si="17"/>
        <v>441.17270000000002</v>
      </c>
      <c r="BB46" s="13">
        <f t="shared" ca="1" si="18"/>
        <v>443.64010000000002</v>
      </c>
      <c r="BC46" s="13">
        <f t="shared" ca="1" si="19"/>
        <v>437.22480000000002</v>
      </c>
      <c r="BD46" s="13">
        <f t="shared" ca="1" si="20"/>
        <v>438.21179999999998</v>
      </c>
      <c r="BE46" s="13">
        <f t="shared" ca="1" si="21"/>
        <v>53000</v>
      </c>
      <c r="BF46">
        <f>ROW()</f>
        <v>46</v>
      </c>
      <c r="BH46" t="str">
        <f t="shared" si="22"/>
        <v>BC42:BC46</v>
      </c>
      <c r="BI46">
        <f t="shared" si="41"/>
        <v>34</v>
      </c>
      <c r="BJ46">
        <f t="shared" ca="1" si="23"/>
        <v>436.77820000000003</v>
      </c>
      <c r="BL46" t="str">
        <f t="shared" si="24"/>
        <v>BC27:BC46</v>
      </c>
      <c r="BM46">
        <f t="shared" si="42"/>
        <v>19</v>
      </c>
      <c r="BN46">
        <f t="shared" ca="1" si="25"/>
        <v>425.72831499999995</v>
      </c>
      <c r="BP46" t="str">
        <f t="shared" si="26"/>
        <v>BC-13:BC46</v>
      </c>
      <c r="BQ46">
        <f t="shared" si="43"/>
        <v>-21</v>
      </c>
      <c r="BR46" t="e">
        <f t="shared" ca="1" si="27"/>
        <v>#N/A</v>
      </c>
      <c r="BT46">
        <f t="shared" ca="1" si="45"/>
        <v>428.94378999999992</v>
      </c>
      <c r="BU46">
        <f ca="1">STDEV(BT27:BT46)</f>
        <v>2.275720229220707</v>
      </c>
      <c r="BV46">
        <f ca="1">BT46+$BW$5*BU46</f>
        <v>433.49523045844131</v>
      </c>
      <c r="BW46">
        <f ca="1">BT46-$BW$5*BU46</f>
        <v>424.39234954155853</v>
      </c>
      <c r="BY46">
        <f t="shared" ca="1" si="6"/>
        <v>436.77820000000003</v>
      </c>
      <c r="BZ46">
        <f t="shared" ca="1" si="7"/>
        <v>425.72831499999995</v>
      </c>
      <c r="CA46" t="e">
        <f t="shared" ca="1" si="8"/>
        <v>#N/A</v>
      </c>
      <c r="CD46" t="str">
        <f>IF(周K!$E$3+CK46-12&gt;工作底稿!$CE$5,"周K!A"&amp;周K!$E$3-$CE$5+1+CK46-8,0)</f>
        <v>周K!A206</v>
      </c>
      <c r="CE46" s="4">
        <f t="shared" ca="1" si="28"/>
        <v>42857</v>
      </c>
      <c r="CF46" s="13">
        <f ca="1">IF($CD46=0,"",VLOOKUP($CE46,周K!$A$6:$F$6842,2,0))</f>
        <v>198.5</v>
      </c>
      <c r="CG46" s="13">
        <f ca="1">IF($CD46=0,"",VLOOKUP($CE46,周K!$A$6:$F$6842,3,0))</f>
        <v>199</v>
      </c>
      <c r="CH46" s="13">
        <f ca="1">IF($CD46=0,"",VLOOKUP($CE46,周K!$A$6:$F$6842,4,0))</f>
        <v>195.5</v>
      </c>
      <c r="CI46" s="13">
        <f ca="1">IF($CD46=0,"",VLOOKUP($CE46,周K!$A$6:$F$6842,5,0))</f>
        <v>197.5</v>
      </c>
      <c r="CJ46" s="13">
        <f ca="1">IF($CD46=0,"",VLOOKUP($CE46,周K!$A$6:$F$6842,6,0))</f>
        <v>112905</v>
      </c>
      <c r="CK46">
        <f>ROW()</f>
        <v>46</v>
      </c>
      <c r="CM46" t="str">
        <f t="shared" si="29"/>
        <v>CG42:CG46</v>
      </c>
      <c r="CN46">
        <f t="shared" si="30"/>
        <v>34</v>
      </c>
      <c r="CO46">
        <f t="shared" ca="1" si="31"/>
        <v>193.7</v>
      </c>
      <c r="CQ46" t="str">
        <f t="shared" si="32"/>
        <v>CG27:CG46</v>
      </c>
      <c r="CR46">
        <f t="shared" si="33"/>
        <v>19</v>
      </c>
      <c r="CS46">
        <f t="shared" ca="1" si="34"/>
        <v>189.35</v>
      </c>
      <c r="CU46" t="str">
        <f t="shared" si="35"/>
        <v>CG-13:CG46</v>
      </c>
      <c r="CV46">
        <f t="shared" si="36"/>
        <v>-21</v>
      </c>
      <c r="CW46" t="e">
        <f t="shared" ca="1" si="37"/>
        <v>#N/A</v>
      </c>
      <c r="CY46">
        <f t="shared" ca="1" si="38"/>
        <v>439.32212500000003</v>
      </c>
      <c r="CZ46">
        <f t="shared" ca="1" si="44"/>
        <v>433.53384662125109</v>
      </c>
      <c r="DA46">
        <f t="shared" ca="1" si="47"/>
        <v>428.56093089601194</v>
      </c>
      <c r="DB46">
        <f t="shared" ca="1" si="46"/>
        <v>4.9729157252391474</v>
      </c>
      <c r="DC46">
        <f t="shared" ca="1" si="48"/>
        <v>2.3803005783007243</v>
      </c>
      <c r="DD46">
        <f t="shared" ca="1" si="49"/>
        <v>2.5926151469384231</v>
      </c>
    </row>
    <row r="47" spans="22:108" x14ac:dyDescent="0.25">
      <c r="AY47" t="str">
        <f>"日K!A"&amp;日K!$E$3-239+1+BF47-8</f>
        <v>日K!A6639</v>
      </c>
      <c r="AZ47" s="4">
        <f t="shared" ca="1" si="16"/>
        <v>44095</v>
      </c>
      <c r="BA47" s="13">
        <f t="shared" ca="1" si="17"/>
        <v>437.7183</v>
      </c>
      <c r="BB47" s="13">
        <f t="shared" ca="1" si="18"/>
        <v>444.1336</v>
      </c>
      <c r="BC47" s="13">
        <f t="shared" ca="1" si="19"/>
        <v>434.26389999999998</v>
      </c>
      <c r="BD47" s="13">
        <f t="shared" ca="1" si="20"/>
        <v>434.26389999999998</v>
      </c>
      <c r="BE47" s="13">
        <f t="shared" ca="1" si="21"/>
        <v>40194</v>
      </c>
      <c r="BF47">
        <f>ROW()</f>
        <v>47</v>
      </c>
      <c r="BH47" t="str">
        <f t="shared" si="22"/>
        <v>BC43:BC47</v>
      </c>
      <c r="BI47">
        <f t="shared" si="41"/>
        <v>35</v>
      </c>
      <c r="BJ47">
        <f t="shared" ca="1" si="23"/>
        <v>438.13569999999999</v>
      </c>
      <c r="BL47" t="str">
        <f t="shared" si="24"/>
        <v>BC28:BC47</v>
      </c>
      <c r="BM47">
        <f t="shared" si="42"/>
        <v>20</v>
      </c>
      <c r="BN47">
        <f t="shared" ca="1" si="25"/>
        <v>426.58301499999999</v>
      </c>
      <c r="BP47" t="str">
        <f t="shared" si="26"/>
        <v>BC-12:BC47</v>
      </c>
      <c r="BQ47">
        <f t="shared" si="43"/>
        <v>-20</v>
      </c>
      <c r="BR47" t="e">
        <f t="shared" ca="1" si="27"/>
        <v>#N/A</v>
      </c>
      <c r="BT47">
        <f t="shared" ca="1" si="45"/>
        <v>429.65125500000005</v>
      </c>
      <c r="BU47">
        <f t="shared" ref="BU47:BU110" ca="1" si="50">STDEV(BT28:BT47)</f>
        <v>2.5533682124013115</v>
      </c>
      <c r="BV47">
        <f t="shared" ref="BV47:BV110" ca="1" si="51">BT47+$BW$5*BU47</f>
        <v>434.7579914248027</v>
      </c>
      <c r="BW47">
        <f t="shared" ref="BW47:BW110" ca="1" si="52">BT47-$BW$5*BU47</f>
        <v>424.5445185751974</v>
      </c>
      <c r="BY47">
        <f t="shared" ca="1" si="6"/>
        <v>438.13569999999999</v>
      </c>
      <c r="BZ47">
        <f t="shared" ca="1" si="7"/>
        <v>426.58301499999999</v>
      </c>
      <c r="CA47" t="e">
        <f t="shared" ca="1" si="8"/>
        <v>#N/A</v>
      </c>
      <c r="CD47" t="str">
        <f>IF(周K!$E$3+CK47-12&gt;工作底稿!$CE$5,"周K!A"&amp;周K!$E$3-$CE$5+1+CK47-8,0)</f>
        <v>周K!A207</v>
      </c>
      <c r="CE47" s="4">
        <f t="shared" ca="1" si="28"/>
        <v>42863</v>
      </c>
      <c r="CF47" s="13">
        <f ca="1">IF($CD47=0,"",VLOOKUP($CE47,周K!$A$6:$F$6842,2,0))</f>
        <v>199</v>
      </c>
      <c r="CG47" s="13">
        <f ca="1">IF($CD47=0,"",VLOOKUP($CE47,周K!$A$6:$F$6842,3,0))</f>
        <v>208.5</v>
      </c>
      <c r="CH47" s="13">
        <f ca="1">IF($CD47=0,"",VLOOKUP($CE47,周K!$A$6:$F$6842,4,0))</f>
        <v>199</v>
      </c>
      <c r="CI47" s="13">
        <f ca="1">IF($CD47=0,"",VLOOKUP($CE47,周K!$A$6:$F$6842,5,0))</f>
        <v>206</v>
      </c>
      <c r="CJ47" s="13">
        <f ca="1">IF($CD47=0,"",VLOOKUP($CE47,周K!$A$6:$F$6842,6,0))</f>
        <v>188745</v>
      </c>
      <c r="CK47">
        <f>ROW()</f>
        <v>47</v>
      </c>
      <c r="CM47" t="str">
        <f t="shared" si="29"/>
        <v>CG43:CG47</v>
      </c>
      <c r="CN47">
        <f t="shared" si="30"/>
        <v>35</v>
      </c>
      <c r="CO47">
        <f t="shared" ca="1" si="31"/>
        <v>196.8</v>
      </c>
      <c r="CQ47" t="str">
        <f t="shared" si="32"/>
        <v>CG28:CG47</v>
      </c>
      <c r="CR47">
        <f t="shared" si="33"/>
        <v>20</v>
      </c>
      <c r="CS47">
        <f t="shared" ca="1" si="34"/>
        <v>190.55</v>
      </c>
      <c r="CU47" t="str">
        <f t="shared" si="35"/>
        <v>CG-12:CG47</v>
      </c>
      <c r="CV47">
        <f t="shared" si="36"/>
        <v>-20</v>
      </c>
      <c r="CW47" t="e">
        <f t="shared" ca="1" si="37"/>
        <v>#N/A</v>
      </c>
      <c r="CY47">
        <f t="shared" ca="1" si="38"/>
        <v>436.73132499999997</v>
      </c>
      <c r="CZ47">
        <f t="shared" ca="1" si="44"/>
        <v>434.02576637182779</v>
      </c>
      <c r="DA47">
        <f t="shared" ca="1" si="47"/>
        <v>429.16614527408512</v>
      </c>
      <c r="DB47">
        <f t="shared" ca="1" si="46"/>
        <v>4.8596210977426608</v>
      </c>
      <c r="DC47">
        <f t="shared" ca="1" si="48"/>
        <v>2.7922959838703543</v>
      </c>
      <c r="DD47">
        <f t="shared" ca="1" si="49"/>
        <v>2.0673251138723066</v>
      </c>
    </row>
    <row r="48" spans="22:108" x14ac:dyDescent="0.25">
      <c r="AY48" t="str">
        <f>"日K!A"&amp;日K!$E$3-239+1+BF48-8</f>
        <v>日K!A6640</v>
      </c>
      <c r="AZ48" s="4">
        <f t="shared" ca="1" si="16"/>
        <v>44096</v>
      </c>
      <c r="BA48" s="13">
        <f t="shared" ca="1" si="17"/>
        <v>434.26389999999998</v>
      </c>
      <c r="BB48" s="13">
        <f t="shared" ca="1" si="18"/>
        <v>435.2509</v>
      </c>
      <c r="BC48" s="13">
        <f t="shared" ca="1" si="19"/>
        <v>430.31610000000001</v>
      </c>
      <c r="BD48" s="13">
        <f t="shared" ca="1" si="20"/>
        <v>431.30309999999997</v>
      </c>
      <c r="BE48" s="13">
        <f t="shared" ca="1" si="21"/>
        <v>36843</v>
      </c>
      <c r="BF48">
        <f>ROW()</f>
        <v>48</v>
      </c>
      <c r="BH48" t="str">
        <f t="shared" si="22"/>
        <v>BC44:BC48</v>
      </c>
      <c r="BI48">
        <f t="shared" si="41"/>
        <v>36</v>
      </c>
      <c r="BJ48">
        <f t="shared" ca="1" si="23"/>
        <v>437.91837999999996</v>
      </c>
      <c r="BL48" t="str">
        <f t="shared" si="24"/>
        <v>BC29:BC48</v>
      </c>
      <c r="BM48">
        <f t="shared" si="42"/>
        <v>21</v>
      </c>
      <c r="BN48">
        <f t="shared" ca="1" si="25"/>
        <v>426.97039499999994</v>
      </c>
      <c r="BP48" t="str">
        <f t="shared" si="26"/>
        <v>BC-11:BC48</v>
      </c>
      <c r="BQ48">
        <f t="shared" si="43"/>
        <v>-19</v>
      </c>
      <c r="BR48" t="e">
        <f t="shared" ca="1" si="27"/>
        <v>#N/A</v>
      </c>
      <c r="BT48">
        <f t="shared" ca="1" si="45"/>
        <v>429.89166999999998</v>
      </c>
      <c r="BU48">
        <f t="shared" ca="1" si="50"/>
        <v>2.7383486985618446</v>
      </c>
      <c r="BV48">
        <f t="shared" ca="1" si="51"/>
        <v>435.36836739712368</v>
      </c>
      <c r="BW48">
        <f t="shared" ca="1" si="52"/>
        <v>424.41497260287628</v>
      </c>
      <c r="BY48">
        <f t="shared" ca="1" si="6"/>
        <v>437.91837999999996</v>
      </c>
      <c r="BZ48">
        <f t="shared" ca="1" si="7"/>
        <v>426.97039499999994</v>
      </c>
      <c r="CA48" t="e">
        <f t="shared" ca="1" si="8"/>
        <v>#N/A</v>
      </c>
      <c r="CD48" t="str">
        <f>IF(周K!$E$3+CK48-12&gt;工作底稿!$CE$5,"周K!A"&amp;周K!$E$3-$CE$5+1+CK48-8,0)</f>
        <v>周K!A208</v>
      </c>
      <c r="CE48" s="4">
        <f t="shared" ca="1" si="28"/>
        <v>42870</v>
      </c>
      <c r="CF48" s="13">
        <f ca="1">IF($CD48=0,"",VLOOKUP($CE48,周K!$A$6:$F$6842,2,0))</f>
        <v>204</v>
      </c>
      <c r="CG48" s="13">
        <f ca="1">IF($CD48=0,"",VLOOKUP($CE48,周K!$A$6:$F$6842,3,0))</f>
        <v>206</v>
      </c>
      <c r="CH48" s="13">
        <f ca="1">IF($CD48=0,"",VLOOKUP($CE48,周K!$A$6:$F$6842,4,0))</f>
        <v>201.5</v>
      </c>
      <c r="CI48" s="13">
        <f ca="1">IF($CD48=0,"",VLOOKUP($CE48,周K!$A$6:$F$6842,5,0))</f>
        <v>203</v>
      </c>
      <c r="CJ48" s="13">
        <f ca="1">IF($CD48=0,"",VLOOKUP($CE48,周K!$A$6:$F$6842,6,0))</f>
        <v>124787</v>
      </c>
      <c r="CK48">
        <f>ROW()</f>
        <v>48</v>
      </c>
      <c r="CM48" t="str">
        <f t="shared" si="29"/>
        <v>CG44:CG48</v>
      </c>
      <c r="CN48">
        <f t="shared" si="30"/>
        <v>36</v>
      </c>
      <c r="CO48">
        <f t="shared" ca="1" si="31"/>
        <v>199.6</v>
      </c>
      <c r="CQ48" t="str">
        <f t="shared" si="32"/>
        <v>CG29:CG48</v>
      </c>
      <c r="CR48">
        <f t="shared" si="33"/>
        <v>21</v>
      </c>
      <c r="CS48">
        <f t="shared" ca="1" si="34"/>
        <v>191.72499999999999</v>
      </c>
      <c r="CU48" t="str">
        <f t="shared" si="35"/>
        <v>CG-11:CG48</v>
      </c>
      <c r="CV48">
        <f t="shared" si="36"/>
        <v>-19</v>
      </c>
      <c r="CW48" t="e">
        <f t="shared" ca="1" si="37"/>
        <v>#N/A</v>
      </c>
      <c r="CY48">
        <f t="shared" ca="1" si="38"/>
        <v>432.04329999999999</v>
      </c>
      <c r="CZ48">
        <f t="shared" ca="1" si="44"/>
        <v>433.72077154539272</v>
      </c>
      <c r="DA48">
        <f t="shared" ca="1" si="47"/>
        <v>429.37926784637511</v>
      </c>
      <c r="DB48">
        <f t="shared" ca="1" si="46"/>
        <v>4.3415036990176077</v>
      </c>
      <c r="DC48">
        <f t="shared" ca="1" si="48"/>
        <v>3.2042197804406225</v>
      </c>
      <c r="DD48">
        <f t="shared" ca="1" si="49"/>
        <v>1.1372839185769852</v>
      </c>
    </row>
    <row r="49" spans="51:108" x14ac:dyDescent="0.25">
      <c r="AY49" t="str">
        <f>"日K!A"&amp;日K!$E$3-239+1+BF49-8</f>
        <v>日K!A6641</v>
      </c>
      <c r="AZ49" s="4">
        <f t="shared" ca="1" si="16"/>
        <v>44097</v>
      </c>
      <c r="BA49" s="13">
        <f t="shared" ca="1" si="17"/>
        <v>430.31610000000001</v>
      </c>
      <c r="BB49" s="13">
        <f t="shared" ca="1" si="18"/>
        <v>432.7835</v>
      </c>
      <c r="BC49" s="13">
        <f t="shared" ca="1" si="19"/>
        <v>426.3682</v>
      </c>
      <c r="BD49" s="13">
        <f t="shared" ca="1" si="20"/>
        <v>427.84870000000001</v>
      </c>
      <c r="BE49" s="13">
        <f t="shared" ca="1" si="21"/>
        <v>47427</v>
      </c>
      <c r="BF49">
        <f>ROW()</f>
        <v>49</v>
      </c>
      <c r="BH49" t="str">
        <f t="shared" si="22"/>
        <v>BC45:BC49</v>
      </c>
      <c r="BI49">
        <f t="shared" si="41"/>
        <v>37</v>
      </c>
      <c r="BJ49">
        <f t="shared" ca="1" si="23"/>
        <v>433.77043999999995</v>
      </c>
      <c r="BL49" t="str">
        <f t="shared" si="24"/>
        <v>BC30:BC49</v>
      </c>
      <c r="BM49">
        <f t="shared" si="42"/>
        <v>22</v>
      </c>
      <c r="BN49">
        <f t="shared" ca="1" si="25"/>
        <v>426.93952499999989</v>
      </c>
      <c r="BP49" t="str">
        <f t="shared" si="26"/>
        <v>BC-10:BC49</v>
      </c>
      <c r="BQ49">
        <f t="shared" si="43"/>
        <v>-18</v>
      </c>
      <c r="BR49" t="e">
        <f t="shared" ca="1" si="27"/>
        <v>#N/A</v>
      </c>
      <c r="BT49">
        <f t="shared" ca="1" si="45"/>
        <v>429.59127000000001</v>
      </c>
      <c r="BU49">
        <f t="shared" ca="1" si="50"/>
        <v>2.8702880067363172</v>
      </c>
      <c r="BV49">
        <f t="shared" ca="1" si="51"/>
        <v>435.33184601347267</v>
      </c>
      <c r="BW49">
        <f t="shared" ca="1" si="52"/>
        <v>423.85069398652735</v>
      </c>
      <c r="BY49">
        <f t="shared" ca="1" si="6"/>
        <v>433.77043999999995</v>
      </c>
      <c r="BZ49">
        <f t="shared" ca="1" si="7"/>
        <v>426.93952499999989</v>
      </c>
      <c r="CA49" t="e">
        <f t="shared" ca="1" si="8"/>
        <v>#N/A</v>
      </c>
      <c r="CD49" t="str">
        <f>IF(周K!$E$3+CK49-12&gt;工作底稿!$CE$5,"周K!A"&amp;周K!$E$3-$CE$5+1+CK49-8,0)</f>
        <v>周K!A209</v>
      </c>
      <c r="CE49" s="4">
        <f t="shared" ca="1" si="28"/>
        <v>42877</v>
      </c>
      <c r="CF49" s="13">
        <f ca="1">IF($CD49=0,"",VLOOKUP($CE49,周K!$A$6:$F$6842,2,0))</f>
        <v>203.5</v>
      </c>
      <c r="CG49" s="13">
        <f ca="1">IF($CD49=0,"",VLOOKUP($CE49,周K!$A$6:$F$6842,3,0))</f>
        <v>207</v>
      </c>
      <c r="CH49" s="13">
        <f ca="1">IF($CD49=0,"",VLOOKUP($CE49,周K!$A$6:$F$6842,4,0))</f>
        <v>203</v>
      </c>
      <c r="CI49" s="13">
        <f ca="1">IF($CD49=0,"",VLOOKUP($CE49,周K!$A$6:$F$6842,5,0))</f>
        <v>207</v>
      </c>
      <c r="CJ49" s="13">
        <f ca="1">IF($CD49=0,"",VLOOKUP($CE49,周K!$A$6:$F$6842,6,0))</f>
        <v>117821</v>
      </c>
      <c r="CK49">
        <f>ROW()</f>
        <v>49</v>
      </c>
      <c r="CM49" t="str">
        <f t="shared" si="29"/>
        <v>CG45:CG49</v>
      </c>
      <c r="CN49">
        <f t="shared" si="30"/>
        <v>37</v>
      </c>
      <c r="CO49">
        <f t="shared" ca="1" si="31"/>
        <v>203</v>
      </c>
      <c r="CQ49" t="str">
        <f t="shared" si="32"/>
        <v>CG30:CG49</v>
      </c>
      <c r="CR49">
        <f t="shared" si="33"/>
        <v>22</v>
      </c>
      <c r="CS49">
        <f t="shared" ca="1" si="34"/>
        <v>192.85</v>
      </c>
      <c r="CU49" t="str">
        <f t="shared" si="35"/>
        <v>CG-10:CG49</v>
      </c>
      <c r="CV49">
        <f t="shared" si="36"/>
        <v>-18</v>
      </c>
      <c r="CW49" t="e">
        <f t="shared" ca="1" si="37"/>
        <v>#N/A</v>
      </c>
      <c r="CY49">
        <f t="shared" ca="1" si="38"/>
        <v>428.71227499999998</v>
      </c>
      <c r="CZ49">
        <f t="shared" ca="1" si="44"/>
        <v>432.95023361533231</v>
      </c>
      <c r="DA49">
        <f t="shared" ca="1" si="47"/>
        <v>429.32986096886583</v>
      </c>
      <c r="DB49">
        <f t="shared" ca="1" si="46"/>
        <v>3.6203726464664783</v>
      </c>
      <c r="DC49">
        <f t="shared" ca="1" si="48"/>
        <v>3.5155290822499157</v>
      </c>
      <c r="DD49">
        <f t="shared" ca="1" si="49"/>
        <v>0.1048435642165626</v>
      </c>
    </row>
    <row r="50" spans="51:108" x14ac:dyDescent="0.25">
      <c r="AY50" t="str">
        <f>"日K!A"&amp;日K!$E$3-239+1+BF50-8</f>
        <v>日K!A6642</v>
      </c>
      <c r="AZ50" s="4">
        <f t="shared" ca="1" si="16"/>
        <v>44098</v>
      </c>
      <c r="BA50" s="13">
        <f t="shared" ca="1" si="17"/>
        <v>419.95299999999997</v>
      </c>
      <c r="BB50" s="13">
        <f t="shared" ca="1" si="18"/>
        <v>423.40730000000002</v>
      </c>
      <c r="BC50" s="13">
        <f t="shared" ca="1" si="19"/>
        <v>417.48559999999998</v>
      </c>
      <c r="BD50" s="13">
        <f t="shared" ca="1" si="20"/>
        <v>417.48559999999998</v>
      </c>
      <c r="BE50" s="13">
        <f t="shared" ca="1" si="21"/>
        <v>82510</v>
      </c>
      <c r="BF50">
        <f>ROW()</f>
        <v>50</v>
      </c>
      <c r="BH50" t="str">
        <f t="shared" si="22"/>
        <v>BC46:BC50</v>
      </c>
      <c r="BI50">
        <f t="shared" si="41"/>
        <v>38</v>
      </c>
      <c r="BJ50">
        <f t="shared" ca="1" si="23"/>
        <v>429.13171999999997</v>
      </c>
      <c r="BL50" t="str">
        <f t="shared" si="24"/>
        <v>BC31:BC50</v>
      </c>
      <c r="BM50">
        <f t="shared" si="42"/>
        <v>23</v>
      </c>
      <c r="BN50">
        <f t="shared" ca="1" si="25"/>
        <v>426.02281499999992</v>
      </c>
      <c r="BP50" t="str">
        <f t="shared" si="26"/>
        <v>BC-9:BC50</v>
      </c>
      <c r="BQ50">
        <f t="shared" si="43"/>
        <v>-17</v>
      </c>
      <c r="BR50" t="e">
        <f t="shared" ca="1" si="27"/>
        <v>#N/A</v>
      </c>
      <c r="BT50">
        <f t="shared" ca="1" si="45"/>
        <v>428.67456000000004</v>
      </c>
      <c r="BU50">
        <f t="shared" ca="1" si="50"/>
        <v>2.8971652556946244</v>
      </c>
      <c r="BV50">
        <f t="shared" ca="1" si="51"/>
        <v>434.4688905113893</v>
      </c>
      <c r="BW50">
        <f t="shared" ca="1" si="52"/>
        <v>422.88022948861078</v>
      </c>
      <c r="BY50">
        <f t="shared" ca="1" si="6"/>
        <v>429.13171999999997</v>
      </c>
      <c r="BZ50">
        <f t="shared" ca="1" si="7"/>
        <v>426.02281499999992</v>
      </c>
      <c r="CA50" t="e">
        <f t="shared" ca="1" si="8"/>
        <v>#N/A</v>
      </c>
      <c r="CD50" t="str">
        <f>IF(周K!$E$3+CK50-12&gt;工作底稿!$CE$5,"周K!A"&amp;周K!$E$3-$CE$5+1+CK50-8,0)</f>
        <v>周K!A210</v>
      </c>
      <c r="CE50" s="4">
        <f t="shared" ca="1" si="28"/>
        <v>42886</v>
      </c>
      <c r="CF50" s="13">
        <f ca="1">IF($CD50=0,"",VLOOKUP($CE50,周K!$A$6:$F$6842,2,0))</f>
        <v>206.5</v>
      </c>
      <c r="CG50" s="13">
        <f ca="1">IF($CD50=0,"",VLOOKUP($CE50,周K!$A$6:$F$6842,3,0))</f>
        <v>209</v>
      </c>
      <c r="CH50" s="13">
        <f ca="1">IF($CD50=0,"",VLOOKUP($CE50,周K!$A$6:$F$6842,4,0))</f>
        <v>203</v>
      </c>
      <c r="CI50" s="13">
        <f ca="1">IF($CD50=0,"",VLOOKUP($CE50,周K!$A$6:$F$6842,5,0))</f>
        <v>209</v>
      </c>
      <c r="CJ50" s="13">
        <f ca="1">IF($CD50=0,"",VLOOKUP($CE50,周K!$A$6:$F$6842,6,0))</f>
        <v>122359</v>
      </c>
      <c r="CK50">
        <f>ROW()</f>
        <v>50</v>
      </c>
      <c r="CM50" t="str">
        <f t="shared" si="29"/>
        <v>CG46:CG50</v>
      </c>
      <c r="CN50">
        <f t="shared" si="30"/>
        <v>38</v>
      </c>
      <c r="CO50">
        <f t="shared" ca="1" si="31"/>
        <v>205.9</v>
      </c>
      <c r="CQ50" t="str">
        <f t="shared" si="32"/>
        <v>CG31:CG50</v>
      </c>
      <c r="CR50">
        <f t="shared" si="33"/>
        <v>23</v>
      </c>
      <c r="CS50">
        <f t="shared" ca="1" si="34"/>
        <v>194.02500000000001</v>
      </c>
      <c r="CU50" t="str">
        <f t="shared" si="35"/>
        <v>CG-9:CG50</v>
      </c>
      <c r="CV50">
        <f t="shared" si="36"/>
        <v>-17</v>
      </c>
      <c r="CW50" t="e">
        <f t="shared" ca="1" si="37"/>
        <v>#N/A</v>
      </c>
      <c r="CY50">
        <f t="shared" ca="1" si="38"/>
        <v>418.966025</v>
      </c>
      <c r="CZ50">
        <f t="shared" ca="1" si="44"/>
        <v>430.79881690528117</v>
      </c>
      <c r="DA50">
        <f t="shared" ca="1" si="47"/>
        <v>428.56216941561655</v>
      </c>
      <c r="DB50">
        <f t="shared" ca="1" si="46"/>
        <v>2.2366474896646196</v>
      </c>
      <c r="DC50">
        <f t="shared" ca="1" si="48"/>
        <v>3.6439368932714413</v>
      </c>
      <c r="DD50">
        <f t="shared" ca="1" si="49"/>
        <v>-1.4072894036068218</v>
      </c>
    </row>
    <row r="51" spans="51:108" x14ac:dyDescent="0.25">
      <c r="AY51" t="str">
        <f>"日K!A"&amp;日K!$E$3-239+1+BF51-8</f>
        <v>日K!A6643</v>
      </c>
      <c r="AZ51" s="4">
        <f t="shared" ca="1" si="16"/>
        <v>44099</v>
      </c>
      <c r="BA51" s="13">
        <f t="shared" ca="1" si="17"/>
        <v>421.43340000000001</v>
      </c>
      <c r="BB51" s="13">
        <f t="shared" ca="1" si="18"/>
        <v>422.42039999999997</v>
      </c>
      <c r="BC51" s="13">
        <f t="shared" ca="1" si="19"/>
        <v>415.51159999999999</v>
      </c>
      <c r="BD51" s="13">
        <f t="shared" ca="1" si="20"/>
        <v>418.47250000000003</v>
      </c>
      <c r="BE51" s="13">
        <f t="shared" ca="1" si="21"/>
        <v>41263</v>
      </c>
      <c r="BF51">
        <f>ROW()</f>
        <v>51</v>
      </c>
      <c r="BH51" t="str">
        <f t="shared" si="22"/>
        <v>BC47:BC51</v>
      </c>
      <c r="BI51">
        <f t="shared" si="41"/>
        <v>39</v>
      </c>
      <c r="BJ51">
        <f t="shared" ca="1" si="23"/>
        <v>424.7890799999999</v>
      </c>
      <c r="BL51" t="str">
        <f t="shared" si="24"/>
        <v>BC32:BC51</v>
      </c>
      <c r="BM51">
        <f t="shared" si="42"/>
        <v>24</v>
      </c>
      <c r="BN51">
        <f t="shared" ca="1" si="25"/>
        <v>425.64542999999992</v>
      </c>
      <c r="BP51" t="str">
        <f t="shared" si="26"/>
        <v>BC-8:BC51</v>
      </c>
      <c r="BQ51">
        <f t="shared" si="43"/>
        <v>-16</v>
      </c>
      <c r="BR51" t="e">
        <f t="shared" ca="1" si="27"/>
        <v>#N/A</v>
      </c>
      <c r="BT51">
        <f t="shared" ca="1" si="45"/>
        <v>428.24890500000004</v>
      </c>
      <c r="BU51">
        <f t="shared" ca="1" si="50"/>
        <v>2.8838137203335159</v>
      </c>
      <c r="BV51">
        <f t="shared" ca="1" si="51"/>
        <v>434.01653244066705</v>
      </c>
      <c r="BW51">
        <f t="shared" ca="1" si="52"/>
        <v>422.48127755933302</v>
      </c>
      <c r="BY51">
        <f t="shared" ca="1" si="6"/>
        <v>424.7890799999999</v>
      </c>
      <c r="BZ51">
        <f t="shared" ca="1" si="7"/>
        <v>425.64542999999992</v>
      </c>
      <c r="CA51" t="e">
        <f t="shared" ca="1" si="8"/>
        <v>#N/A</v>
      </c>
      <c r="CD51" t="str">
        <f>IF(周K!$E$3+CK51-12&gt;工作底稿!$CE$5,"周K!A"&amp;周K!$E$3-$CE$5+1+CK51-8,0)</f>
        <v>周K!A211</v>
      </c>
      <c r="CE51" s="4">
        <f t="shared" ca="1" si="28"/>
        <v>42891</v>
      </c>
      <c r="CF51" s="13">
        <f ca="1">IF($CD51=0,"",VLOOKUP($CE51,周K!$A$6:$F$6842,2,0))</f>
        <v>209.5</v>
      </c>
      <c r="CG51" s="13">
        <f ca="1">IF($CD51=0,"",VLOOKUP($CE51,周K!$A$6:$F$6842,3,0))</f>
        <v>215</v>
      </c>
      <c r="CH51" s="13">
        <f ca="1">IF($CD51=0,"",VLOOKUP($CE51,周K!$A$6:$F$6842,4,0))</f>
        <v>209</v>
      </c>
      <c r="CI51" s="13">
        <f ca="1">IF($CD51=0,"",VLOOKUP($CE51,周K!$A$6:$F$6842,5,0))</f>
        <v>212</v>
      </c>
      <c r="CJ51" s="13">
        <f ca="1">IF($CD51=0,"",VLOOKUP($CE51,周K!$A$6:$F$6842,6,0))</f>
        <v>129501</v>
      </c>
      <c r="CK51">
        <f>ROW()</f>
        <v>51</v>
      </c>
      <c r="CM51" t="str">
        <f t="shared" si="29"/>
        <v>CG47:CG51</v>
      </c>
      <c r="CN51">
        <f t="shared" si="30"/>
        <v>39</v>
      </c>
      <c r="CO51">
        <f t="shared" ca="1" si="31"/>
        <v>209.1</v>
      </c>
      <c r="CQ51" t="str">
        <f t="shared" si="32"/>
        <v>CG32:CG51</v>
      </c>
      <c r="CR51">
        <f t="shared" si="33"/>
        <v>24</v>
      </c>
      <c r="CS51">
        <f t="shared" ca="1" si="34"/>
        <v>195.7</v>
      </c>
      <c r="CU51" t="str">
        <f t="shared" si="35"/>
        <v>CG-8:CG51</v>
      </c>
      <c r="CV51">
        <f t="shared" si="36"/>
        <v>-16</v>
      </c>
      <c r="CW51" t="e">
        <f t="shared" ca="1" si="37"/>
        <v>#N/A</v>
      </c>
      <c r="CY51">
        <f t="shared" ca="1" si="38"/>
        <v>418.71924999999999</v>
      </c>
      <c r="CZ51">
        <f t="shared" ca="1" si="44"/>
        <v>428.94042199677642</v>
      </c>
      <c r="DA51">
        <f t="shared" ca="1" si="47"/>
        <v>427.833064273719</v>
      </c>
      <c r="DB51">
        <f t="shared" ca="1" si="46"/>
        <v>1.1073577230574188</v>
      </c>
      <c r="DC51">
        <f t="shared" ca="1" si="48"/>
        <v>3.5873314814704083</v>
      </c>
      <c r="DD51">
        <f t="shared" ca="1" si="49"/>
        <v>-2.4799737584129895</v>
      </c>
    </row>
    <row r="52" spans="51:108" x14ac:dyDescent="0.25">
      <c r="AY52" t="str">
        <f>"日K!A"&amp;日K!$E$3-239+1+BF52-8</f>
        <v>日K!A6644</v>
      </c>
      <c r="AZ52" s="4">
        <f t="shared" ca="1" si="16"/>
        <v>44102</v>
      </c>
      <c r="BA52" s="13">
        <f t="shared" ca="1" si="17"/>
        <v>421.43340000000001</v>
      </c>
      <c r="BB52" s="13">
        <f t="shared" ca="1" si="18"/>
        <v>425.87479999999999</v>
      </c>
      <c r="BC52" s="13">
        <f t="shared" ca="1" si="19"/>
        <v>418.96600000000001</v>
      </c>
      <c r="BD52" s="13">
        <f t="shared" ca="1" si="20"/>
        <v>425.87479999999999</v>
      </c>
      <c r="BE52" s="13">
        <f t="shared" ca="1" si="21"/>
        <v>34427</v>
      </c>
      <c r="BF52">
        <f>ROW()</f>
        <v>52</v>
      </c>
      <c r="BH52" t="str">
        <f t="shared" si="22"/>
        <v>BC48:BC52</v>
      </c>
      <c r="BI52">
        <f t="shared" si="41"/>
        <v>40</v>
      </c>
      <c r="BJ52">
        <f t="shared" ca="1" si="23"/>
        <v>421.72950000000003</v>
      </c>
      <c r="BL52" t="str">
        <f t="shared" si="24"/>
        <v>BC33:BC52</v>
      </c>
      <c r="BM52">
        <f t="shared" si="42"/>
        <v>25</v>
      </c>
      <c r="BN52">
        <f t="shared" ca="1" si="25"/>
        <v>425.66161999999997</v>
      </c>
      <c r="BP52" t="str">
        <f t="shared" si="26"/>
        <v>BC-7:BC52</v>
      </c>
      <c r="BQ52">
        <f t="shared" si="43"/>
        <v>-15</v>
      </c>
      <c r="BR52" t="e">
        <f t="shared" ca="1" si="27"/>
        <v>#N/A</v>
      </c>
      <c r="BT52">
        <f t="shared" ca="1" si="45"/>
        <v>428.61053499999997</v>
      </c>
      <c r="BU52">
        <f t="shared" ca="1" si="50"/>
        <v>2.8848946508337248</v>
      </c>
      <c r="BV52">
        <f t="shared" ca="1" si="51"/>
        <v>434.38032430166743</v>
      </c>
      <c r="BW52">
        <f t="shared" ca="1" si="52"/>
        <v>422.84074569833251</v>
      </c>
      <c r="BY52">
        <f t="shared" ca="1" si="6"/>
        <v>421.72950000000003</v>
      </c>
      <c r="BZ52">
        <f t="shared" ca="1" si="7"/>
        <v>425.66161999999997</v>
      </c>
      <c r="CA52" t="e">
        <f t="shared" ca="1" si="8"/>
        <v>#N/A</v>
      </c>
      <c r="CD52" t="str">
        <f>IF(周K!$E$3+CK52-12&gt;工作底稿!$CE$5,"周K!A"&amp;周K!$E$3-$CE$5+1+CK52-8,0)</f>
        <v>周K!A212</v>
      </c>
      <c r="CE52" s="4">
        <f t="shared" ca="1" si="28"/>
        <v>42898</v>
      </c>
      <c r="CF52" s="13">
        <f ca="1">IF($CD52=0,"",VLOOKUP($CE52,周K!$A$6:$F$6842,2,0))</f>
        <v>207</v>
      </c>
      <c r="CG52" s="13">
        <f ca="1">IF($CD52=0,"",VLOOKUP($CE52,周K!$A$6:$F$6842,3,0))</f>
        <v>212</v>
      </c>
      <c r="CH52" s="13">
        <f ca="1">IF($CD52=0,"",VLOOKUP($CE52,周K!$A$6:$F$6842,4,0))</f>
        <v>206</v>
      </c>
      <c r="CI52" s="13">
        <f ca="1">IF($CD52=0,"",VLOOKUP($CE52,周K!$A$6:$F$6842,5,0))</f>
        <v>211.5</v>
      </c>
      <c r="CJ52" s="13">
        <f ca="1">IF($CD52=0,"",VLOOKUP($CE52,周K!$A$6:$F$6842,6,0))</f>
        <v>204522</v>
      </c>
      <c r="CK52">
        <f>ROW()</f>
        <v>52</v>
      </c>
      <c r="CM52" t="str">
        <f t="shared" si="29"/>
        <v>CG48:CG52</v>
      </c>
      <c r="CN52">
        <f t="shared" si="30"/>
        <v>40</v>
      </c>
      <c r="CO52">
        <f t="shared" ca="1" si="31"/>
        <v>209.8</v>
      </c>
      <c r="CQ52" t="str">
        <f t="shared" si="32"/>
        <v>CG33:CG52</v>
      </c>
      <c r="CR52">
        <f t="shared" si="33"/>
        <v>25</v>
      </c>
      <c r="CS52">
        <f t="shared" ca="1" si="34"/>
        <v>196.97499999999999</v>
      </c>
      <c r="CU52" t="str">
        <f t="shared" si="35"/>
        <v>CG-7:CG52</v>
      </c>
      <c r="CV52">
        <f t="shared" si="36"/>
        <v>-15</v>
      </c>
      <c r="CW52" t="e">
        <f t="shared" ca="1" si="37"/>
        <v>#N/A</v>
      </c>
      <c r="CY52">
        <f t="shared" ca="1" si="38"/>
        <v>424.14760000000001</v>
      </c>
      <c r="CZ52">
        <f t="shared" ca="1" si="44"/>
        <v>428.20306476650308</v>
      </c>
      <c r="DA52">
        <f t="shared" ca="1" si="47"/>
        <v>427.56006692011022</v>
      </c>
      <c r="DB52">
        <f t="shared" ca="1" si="46"/>
        <v>0.64299784639285917</v>
      </c>
      <c r="DC52">
        <f t="shared" ca="1" si="48"/>
        <v>3.3975563856994251</v>
      </c>
      <c r="DD52">
        <f t="shared" ca="1" si="49"/>
        <v>-2.7545585393065659</v>
      </c>
    </row>
    <row r="53" spans="51:108" x14ac:dyDescent="0.25">
      <c r="AY53" t="str">
        <f>"日K!A"&amp;日K!$E$3-239+1+BF53-8</f>
        <v>日K!A6645</v>
      </c>
      <c r="AZ53" s="4">
        <f t="shared" ca="1" si="16"/>
        <v>44103</v>
      </c>
      <c r="BA53" s="13">
        <f t="shared" ca="1" si="17"/>
        <v>426.86169999999998</v>
      </c>
      <c r="BB53" s="13">
        <f t="shared" ca="1" si="18"/>
        <v>429.32909999999998</v>
      </c>
      <c r="BC53" s="13">
        <f t="shared" ca="1" si="19"/>
        <v>422.42039999999997</v>
      </c>
      <c r="BD53" s="13">
        <f t="shared" ca="1" si="20"/>
        <v>425.38130000000001</v>
      </c>
      <c r="BE53" s="13">
        <f t="shared" ca="1" si="21"/>
        <v>42731</v>
      </c>
      <c r="BF53">
        <f>ROW()</f>
        <v>53</v>
      </c>
      <c r="BH53" t="str">
        <f t="shared" si="22"/>
        <v>BC49:BC53</v>
      </c>
      <c r="BI53">
        <f t="shared" si="41"/>
        <v>41</v>
      </c>
      <c r="BJ53">
        <f t="shared" ca="1" si="23"/>
        <v>420.15035999999998</v>
      </c>
      <c r="BL53" t="str">
        <f t="shared" si="24"/>
        <v>BC34:BC53</v>
      </c>
      <c r="BM53">
        <f t="shared" si="42"/>
        <v>26</v>
      </c>
      <c r="BN53">
        <f t="shared" ca="1" si="25"/>
        <v>425.77690999999993</v>
      </c>
      <c r="BP53" t="str">
        <f t="shared" si="26"/>
        <v>BC-6:BC53</v>
      </c>
      <c r="BQ53">
        <f t="shared" si="43"/>
        <v>-14</v>
      </c>
      <c r="BR53" t="e">
        <f t="shared" ca="1" si="27"/>
        <v>#N/A</v>
      </c>
      <c r="BT53">
        <f t="shared" ca="1" si="45"/>
        <v>428.53032000000002</v>
      </c>
      <c r="BU53">
        <f t="shared" ca="1" si="50"/>
        <v>2.8752826233019326</v>
      </c>
      <c r="BV53">
        <f t="shared" ca="1" si="51"/>
        <v>434.28088524660387</v>
      </c>
      <c r="BW53">
        <f t="shared" ca="1" si="52"/>
        <v>422.77975475339616</v>
      </c>
      <c r="BY53">
        <f t="shared" ca="1" si="6"/>
        <v>420.15035999999998</v>
      </c>
      <c r="BZ53">
        <f t="shared" ca="1" si="7"/>
        <v>425.77690999999993</v>
      </c>
      <c r="CA53" t="e">
        <f t="shared" ca="1" si="8"/>
        <v>#N/A</v>
      </c>
      <c r="CD53" t="str">
        <f>IF(周K!$E$3+CK53-12&gt;工作底稿!$CE$5,"周K!A"&amp;周K!$E$3-$CE$5+1+CK53-8,0)</f>
        <v>周K!A213</v>
      </c>
      <c r="CE53" s="4">
        <f t="shared" ca="1" si="28"/>
        <v>42905</v>
      </c>
      <c r="CF53" s="13">
        <f ca="1">IF($CD53=0,"",VLOOKUP($CE53,周K!$A$6:$F$6842,2,0))</f>
        <v>211</v>
      </c>
      <c r="CG53" s="13">
        <f ca="1">IF($CD53=0,"",VLOOKUP($CE53,周K!$A$6:$F$6842,3,0))</f>
        <v>218.5</v>
      </c>
      <c r="CH53" s="13">
        <f ca="1">IF($CD53=0,"",VLOOKUP($CE53,周K!$A$6:$F$6842,4,0))</f>
        <v>210.5</v>
      </c>
      <c r="CI53" s="13">
        <f ca="1">IF($CD53=0,"",VLOOKUP($CE53,周K!$A$6:$F$6842,5,0))</f>
        <v>217</v>
      </c>
      <c r="CJ53" s="13">
        <f ca="1">IF($CD53=0,"",VLOOKUP($CE53,周K!$A$6:$F$6842,6,0))</f>
        <v>157439</v>
      </c>
      <c r="CK53">
        <f>ROW()</f>
        <v>53</v>
      </c>
      <c r="CM53" t="str">
        <f t="shared" si="29"/>
        <v>CG49:CG53</v>
      </c>
      <c r="CN53">
        <f t="shared" si="30"/>
        <v>41</v>
      </c>
      <c r="CO53">
        <f t="shared" ca="1" si="31"/>
        <v>212.3</v>
      </c>
      <c r="CQ53" t="str">
        <f t="shared" si="32"/>
        <v>CG34:CG53</v>
      </c>
      <c r="CR53">
        <f t="shared" si="33"/>
        <v>26</v>
      </c>
      <c r="CS53">
        <f t="shared" ca="1" si="34"/>
        <v>198.47499999999999</v>
      </c>
      <c r="CU53" t="str">
        <f t="shared" si="35"/>
        <v>CG-6:CG53</v>
      </c>
      <c r="CV53">
        <f t="shared" si="36"/>
        <v>-14</v>
      </c>
      <c r="CW53" t="e">
        <f t="shared" ca="1" si="37"/>
        <v>#N/A</v>
      </c>
      <c r="CY53">
        <f t="shared" ca="1" si="38"/>
        <v>425.62802499999998</v>
      </c>
      <c r="CZ53">
        <f t="shared" ca="1" si="44"/>
        <v>427.80690480242566</v>
      </c>
      <c r="DA53">
        <f t="shared" ca="1" si="47"/>
        <v>427.41695270380575</v>
      </c>
      <c r="DB53">
        <f t="shared" ca="1" si="46"/>
        <v>0.38995209861991498</v>
      </c>
      <c r="DC53">
        <f t="shared" ca="1" si="48"/>
        <v>2.9947517032308104</v>
      </c>
      <c r="DD53">
        <f t="shared" ca="1" si="49"/>
        <v>-2.6047996046108954</v>
      </c>
    </row>
    <row r="54" spans="51:108" x14ac:dyDescent="0.25">
      <c r="AY54" t="str">
        <f>"日K!A"&amp;日K!$E$3-239+1+BF54-8</f>
        <v>日K!A6646</v>
      </c>
      <c r="AZ54" s="4">
        <f t="shared" ca="1" si="16"/>
        <v>44104</v>
      </c>
      <c r="BA54" s="13">
        <f t="shared" ca="1" si="17"/>
        <v>424.88780000000003</v>
      </c>
      <c r="BB54" s="13">
        <f t="shared" ca="1" si="18"/>
        <v>429.32909999999998</v>
      </c>
      <c r="BC54" s="13">
        <f t="shared" ca="1" si="19"/>
        <v>424.88780000000003</v>
      </c>
      <c r="BD54" s="13">
        <f t="shared" ca="1" si="20"/>
        <v>427.35520000000002</v>
      </c>
      <c r="BE54" s="13">
        <f t="shared" ca="1" si="21"/>
        <v>28859</v>
      </c>
      <c r="BF54">
        <f>ROW()</f>
        <v>54</v>
      </c>
      <c r="BH54" t="str">
        <f t="shared" si="22"/>
        <v>BC50:BC54</v>
      </c>
      <c r="BI54">
        <f t="shared" si="41"/>
        <v>42</v>
      </c>
      <c r="BJ54">
        <f t="shared" ca="1" si="23"/>
        <v>419.85428000000002</v>
      </c>
      <c r="BL54" t="str">
        <f t="shared" si="24"/>
        <v>BC35:BC54</v>
      </c>
      <c r="BM54">
        <f t="shared" si="42"/>
        <v>27</v>
      </c>
      <c r="BN54">
        <f t="shared" ca="1" si="25"/>
        <v>425.892875</v>
      </c>
      <c r="BP54" t="str">
        <f t="shared" si="26"/>
        <v>BC-5:BC54</v>
      </c>
      <c r="BQ54">
        <f t="shared" si="43"/>
        <v>-13</v>
      </c>
      <c r="BR54" t="e">
        <f t="shared" ca="1" si="27"/>
        <v>#N/A</v>
      </c>
      <c r="BT54">
        <f t="shared" ca="1" si="45"/>
        <v>428.64695500000005</v>
      </c>
      <c r="BU54">
        <f t="shared" ca="1" si="50"/>
        <v>2.8531113179512904</v>
      </c>
      <c r="BV54">
        <f t="shared" ca="1" si="51"/>
        <v>434.35317763590263</v>
      </c>
      <c r="BW54">
        <f t="shared" ca="1" si="52"/>
        <v>422.94073236409747</v>
      </c>
      <c r="BY54">
        <f t="shared" ca="1" si="6"/>
        <v>419.85428000000002</v>
      </c>
      <c r="BZ54">
        <f t="shared" ca="1" si="7"/>
        <v>425.892875</v>
      </c>
      <c r="CA54" t="e">
        <f t="shared" ca="1" si="8"/>
        <v>#N/A</v>
      </c>
      <c r="CD54" t="str">
        <f>IF(周K!$E$3+CK54-12&gt;工作底稿!$CE$5,"周K!A"&amp;周K!$E$3-$CE$5+1+CK54-8,0)</f>
        <v>周K!A214</v>
      </c>
      <c r="CE54" s="4">
        <f t="shared" ca="1" si="28"/>
        <v>42912</v>
      </c>
      <c r="CF54" s="13">
        <f ca="1">IF($CD54=0,"",VLOOKUP($CE54,周K!$A$6:$F$6842,2,0))</f>
        <v>212</v>
      </c>
      <c r="CG54" s="13">
        <f ca="1">IF($CD54=0,"",VLOOKUP($CE54,周K!$A$6:$F$6842,3,0))</f>
        <v>215</v>
      </c>
      <c r="CH54" s="13">
        <f ca="1">IF($CD54=0,"",VLOOKUP($CE54,周K!$A$6:$F$6842,4,0))</f>
        <v>206.5</v>
      </c>
      <c r="CI54" s="13">
        <f ca="1">IF($CD54=0,"",VLOOKUP($CE54,周K!$A$6:$F$6842,5,0))</f>
        <v>208.5</v>
      </c>
      <c r="CJ54" s="13">
        <f ca="1">IF($CD54=0,"",VLOOKUP($CE54,周K!$A$6:$F$6842,6,0))</f>
        <v>215679</v>
      </c>
      <c r="CK54">
        <f>ROW()</f>
        <v>54</v>
      </c>
      <c r="CM54" t="str">
        <f t="shared" si="29"/>
        <v>CG50:CG54</v>
      </c>
      <c r="CN54">
        <f t="shared" si="30"/>
        <v>42</v>
      </c>
      <c r="CO54">
        <f t="shared" ca="1" si="31"/>
        <v>213.9</v>
      </c>
      <c r="CQ54" t="str">
        <f t="shared" si="32"/>
        <v>CG35:CG54</v>
      </c>
      <c r="CR54">
        <f t="shared" si="33"/>
        <v>27</v>
      </c>
      <c r="CS54">
        <f t="shared" ca="1" si="34"/>
        <v>199.95</v>
      </c>
      <c r="CU54" t="str">
        <f t="shared" si="35"/>
        <v>CG-5:CG54</v>
      </c>
      <c r="CV54">
        <f t="shared" si="36"/>
        <v>-13</v>
      </c>
      <c r="CW54" t="e">
        <f t="shared" ca="1" si="37"/>
        <v>#N/A</v>
      </c>
      <c r="CY54">
        <f t="shared" ca="1" si="38"/>
        <v>427.23182500000001</v>
      </c>
      <c r="CZ54">
        <f t="shared" ca="1" si="44"/>
        <v>427.7184309866679</v>
      </c>
      <c r="DA54">
        <f t="shared" ca="1" si="47"/>
        <v>427.40323954056089</v>
      </c>
      <c r="DB54">
        <f t="shared" ca="1" si="46"/>
        <v>0.31519144610700778</v>
      </c>
      <c r="DC54">
        <f t="shared" ca="1" si="48"/>
        <v>2.4985066413675239</v>
      </c>
      <c r="DD54">
        <f t="shared" ca="1" si="49"/>
        <v>-2.1833151952605161</v>
      </c>
    </row>
    <row r="55" spans="51:108" x14ac:dyDescent="0.25">
      <c r="AY55" t="str">
        <f>"日K!A"&amp;日K!$E$3-239+1+BF55-8</f>
        <v>日K!A6647</v>
      </c>
      <c r="AZ55" s="4">
        <f t="shared" ca="1" si="16"/>
        <v>44109</v>
      </c>
      <c r="BA55" s="13">
        <f t="shared" ca="1" si="17"/>
        <v>432.29</v>
      </c>
      <c r="BB55" s="13">
        <f t="shared" ca="1" si="18"/>
        <v>432.29</v>
      </c>
      <c r="BC55" s="13">
        <f t="shared" ca="1" si="19"/>
        <v>425.87479999999999</v>
      </c>
      <c r="BD55" s="13">
        <f t="shared" ca="1" si="20"/>
        <v>426.86169999999998</v>
      </c>
      <c r="BE55" s="13">
        <f t="shared" ca="1" si="21"/>
        <v>33239</v>
      </c>
      <c r="BF55">
        <f>ROW()</f>
        <v>55</v>
      </c>
      <c r="BH55" t="str">
        <f t="shared" si="22"/>
        <v>BC51:BC55</v>
      </c>
      <c r="BI55">
        <f t="shared" si="41"/>
        <v>43</v>
      </c>
      <c r="BJ55">
        <f t="shared" ca="1" si="23"/>
        <v>421.53211999999996</v>
      </c>
      <c r="BL55" t="str">
        <f t="shared" si="24"/>
        <v>BC36:BC55</v>
      </c>
      <c r="BM55">
        <f t="shared" si="42"/>
        <v>28</v>
      </c>
      <c r="BN55">
        <f t="shared" ca="1" si="25"/>
        <v>425.91095000000007</v>
      </c>
      <c r="BP55" t="str">
        <f t="shared" si="26"/>
        <v>BC-4:BC55</v>
      </c>
      <c r="BQ55">
        <f t="shared" si="43"/>
        <v>-12</v>
      </c>
      <c r="BR55" t="e">
        <f t="shared" ca="1" si="27"/>
        <v>#N/A</v>
      </c>
      <c r="BT55">
        <f t="shared" ca="1" si="45"/>
        <v>428.59168</v>
      </c>
      <c r="BU55">
        <f t="shared" ca="1" si="50"/>
        <v>2.8027684526433538</v>
      </c>
      <c r="BV55">
        <f t="shared" ca="1" si="51"/>
        <v>434.19721690528672</v>
      </c>
      <c r="BW55">
        <f t="shared" ca="1" si="52"/>
        <v>422.98614309471327</v>
      </c>
      <c r="BY55">
        <f t="shared" ca="1" si="6"/>
        <v>421.53211999999996</v>
      </c>
      <c r="BZ55">
        <f t="shared" ca="1" si="7"/>
        <v>425.91095000000007</v>
      </c>
      <c r="CA55" t="e">
        <f t="shared" ca="1" si="8"/>
        <v>#N/A</v>
      </c>
      <c r="CD55" t="str">
        <f>IF(周K!$E$3+CK55-12&gt;工作底稿!$CE$5,"周K!A"&amp;周K!$E$3-$CE$5+1+CK55-8,0)</f>
        <v>周K!A215</v>
      </c>
      <c r="CE55" s="4">
        <f t="shared" ca="1" si="28"/>
        <v>42919</v>
      </c>
      <c r="CF55" s="13">
        <f ca="1">IF($CD55=0,"",VLOOKUP($CE55,周K!$A$6:$F$6842,2,0))</f>
        <v>207.5</v>
      </c>
      <c r="CG55" s="13">
        <f ca="1">IF($CD55=0,"",VLOOKUP($CE55,周K!$A$6:$F$6842,3,0))</f>
        <v>209</v>
      </c>
      <c r="CH55" s="13">
        <f ca="1">IF($CD55=0,"",VLOOKUP($CE55,周K!$A$6:$F$6842,4,0))</f>
        <v>205.5</v>
      </c>
      <c r="CI55" s="13">
        <f ca="1">IF($CD55=0,"",VLOOKUP($CE55,周K!$A$6:$F$6842,5,0))</f>
        <v>206</v>
      </c>
      <c r="CJ55" s="13">
        <f ca="1">IF($CD55=0,"",VLOOKUP($CE55,周K!$A$6:$F$6842,6,0))</f>
        <v>102950</v>
      </c>
      <c r="CK55">
        <f>ROW()</f>
        <v>55</v>
      </c>
      <c r="CM55" t="str">
        <f t="shared" si="29"/>
        <v>CG51:CG55</v>
      </c>
      <c r="CN55">
        <f t="shared" si="30"/>
        <v>43</v>
      </c>
      <c r="CO55">
        <f t="shared" ca="1" si="31"/>
        <v>213.9</v>
      </c>
      <c r="CQ55" t="str">
        <f t="shared" si="32"/>
        <v>CG36:CG55</v>
      </c>
      <c r="CR55">
        <f t="shared" si="33"/>
        <v>28</v>
      </c>
      <c r="CS55">
        <f t="shared" ca="1" si="34"/>
        <v>200.875</v>
      </c>
      <c r="CU55" t="str">
        <f t="shared" si="35"/>
        <v>CG-4:CG55</v>
      </c>
      <c r="CV55">
        <f t="shared" si="36"/>
        <v>-12</v>
      </c>
      <c r="CW55" t="e">
        <f t="shared" ca="1" si="37"/>
        <v>#N/A</v>
      </c>
      <c r="CY55">
        <f t="shared" ca="1" si="38"/>
        <v>427.97204999999997</v>
      </c>
      <c r="CZ55">
        <f t="shared" ca="1" si="44"/>
        <v>427.75744929641132</v>
      </c>
      <c r="DA55">
        <f t="shared" ca="1" si="47"/>
        <v>427.4453736486675</v>
      </c>
      <c r="DB55">
        <f t="shared" ca="1" si="46"/>
        <v>0.3120756477438249</v>
      </c>
      <c r="DC55">
        <f t="shared" ca="1" si="48"/>
        <v>1.9806355216458214</v>
      </c>
      <c r="DD55">
        <f t="shared" ca="1" si="49"/>
        <v>-1.6685598739019964</v>
      </c>
    </row>
    <row r="56" spans="51:108" x14ac:dyDescent="0.25">
      <c r="AY56" t="str">
        <f>"日K!A"&amp;日K!$E$3-239+1+BF56-8</f>
        <v>日K!A6648</v>
      </c>
      <c r="AZ56" s="4">
        <f t="shared" ca="1" si="16"/>
        <v>44110</v>
      </c>
      <c r="BA56" s="13">
        <f t="shared" ca="1" si="17"/>
        <v>435.74439999999998</v>
      </c>
      <c r="BB56" s="13">
        <f t="shared" ca="1" si="18"/>
        <v>436.23790000000002</v>
      </c>
      <c r="BC56" s="13">
        <f t="shared" ca="1" si="19"/>
        <v>431.79649999999998</v>
      </c>
      <c r="BD56" s="13">
        <f t="shared" ca="1" si="20"/>
        <v>433.77050000000003</v>
      </c>
      <c r="BE56" s="13">
        <f t="shared" ca="1" si="21"/>
        <v>36276</v>
      </c>
      <c r="BF56">
        <f>ROW()</f>
        <v>56</v>
      </c>
      <c r="BH56" t="str">
        <f t="shared" si="22"/>
        <v>BC52:BC56</v>
      </c>
      <c r="BI56">
        <f t="shared" si="41"/>
        <v>44</v>
      </c>
      <c r="BJ56">
        <f t="shared" ca="1" si="23"/>
        <v>424.78910000000008</v>
      </c>
      <c r="BL56" t="str">
        <f t="shared" si="24"/>
        <v>BC37:BC56</v>
      </c>
      <c r="BM56">
        <f t="shared" si="42"/>
        <v>29</v>
      </c>
      <c r="BN56">
        <f t="shared" ca="1" si="25"/>
        <v>426.54412500000001</v>
      </c>
      <c r="BP56" t="str">
        <f t="shared" si="26"/>
        <v>BC-3:BC56</v>
      </c>
      <c r="BQ56">
        <f t="shared" si="43"/>
        <v>-11</v>
      </c>
      <c r="BR56" t="e">
        <f t="shared" ca="1" si="27"/>
        <v>#N/A</v>
      </c>
      <c r="BT56">
        <f t="shared" ca="1" si="45"/>
        <v>429.22539500000005</v>
      </c>
      <c r="BU56">
        <f t="shared" ca="1" si="50"/>
        <v>2.734564418266594</v>
      </c>
      <c r="BV56">
        <f t="shared" ca="1" si="51"/>
        <v>434.69452383653322</v>
      </c>
      <c r="BW56">
        <f t="shared" ca="1" si="52"/>
        <v>423.75626616346688</v>
      </c>
      <c r="BY56">
        <f t="shared" ca="1" si="6"/>
        <v>424.78910000000008</v>
      </c>
      <c r="BZ56">
        <f t="shared" ca="1" si="7"/>
        <v>426.54412500000001</v>
      </c>
      <c r="CA56" t="e">
        <f t="shared" ca="1" si="8"/>
        <v>#N/A</v>
      </c>
      <c r="CD56" t="str">
        <f>IF(周K!$E$3+CK56-12&gt;工作底稿!$CE$5,"周K!A"&amp;周K!$E$3-$CE$5+1+CK56-8,0)</f>
        <v>周K!A216</v>
      </c>
      <c r="CE56" s="4">
        <f t="shared" ca="1" si="28"/>
        <v>42926</v>
      </c>
      <c r="CF56" s="13">
        <f ca="1">IF($CD56=0,"",VLOOKUP($CE56,周K!$A$6:$F$6842,2,0))</f>
        <v>206.5</v>
      </c>
      <c r="CG56" s="13">
        <f ca="1">IF($CD56=0,"",VLOOKUP($CE56,周K!$A$6:$F$6842,3,0))</f>
        <v>216</v>
      </c>
      <c r="CH56" s="13">
        <f ca="1">IF($CD56=0,"",VLOOKUP($CE56,周K!$A$6:$F$6842,4,0))</f>
        <v>206</v>
      </c>
      <c r="CI56" s="13">
        <f ca="1">IF($CD56=0,"",VLOOKUP($CE56,周K!$A$6:$F$6842,5,0))</f>
        <v>213</v>
      </c>
      <c r="CJ56" s="13">
        <f ca="1">IF($CD56=0,"",VLOOKUP($CE56,周K!$A$6:$F$6842,6,0))</f>
        <v>147309</v>
      </c>
      <c r="CK56">
        <f>ROW()</f>
        <v>56</v>
      </c>
      <c r="CM56" t="str">
        <f t="shared" si="29"/>
        <v>CG52:CG56</v>
      </c>
      <c r="CN56">
        <f t="shared" si="30"/>
        <v>44</v>
      </c>
      <c r="CO56">
        <f t="shared" ca="1" si="31"/>
        <v>214.1</v>
      </c>
      <c r="CQ56" t="str">
        <f t="shared" si="32"/>
        <v>CG37:CG56</v>
      </c>
      <c r="CR56">
        <f t="shared" si="33"/>
        <v>29</v>
      </c>
      <c r="CS56">
        <f t="shared" ca="1" si="34"/>
        <v>202.125</v>
      </c>
      <c r="CU56" t="str">
        <f t="shared" si="35"/>
        <v>CG-3:CG56</v>
      </c>
      <c r="CV56">
        <f t="shared" si="36"/>
        <v>-11</v>
      </c>
      <c r="CW56" t="e">
        <f t="shared" ca="1" si="37"/>
        <v>#N/A</v>
      </c>
      <c r="CY56">
        <f t="shared" ca="1" si="38"/>
        <v>433.89385000000004</v>
      </c>
      <c r="CZ56">
        <f t="shared" ca="1" si="44"/>
        <v>428.70151094311728</v>
      </c>
      <c r="DA56">
        <f t="shared" ca="1" si="47"/>
        <v>427.92303856358103</v>
      </c>
      <c r="DB56">
        <f t="shared" ca="1" si="46"/>
        <v>0.77847237953625381</v>
      </c>
      <c r="DC56">
        <f t="shared" ca="1" si="48"/>
        <v>1.5271745529562206</v>
      </c>
      <c r="DD56">
        <f t="shared" ca="1" si="49"/>
        <v>-0.74870217341996681</v>
      </c>
    </row>
    <row r="57" spans="51:108" x14ac:dyDescent="0.25">
      <c r="AY57" t="str">
        <f>"日K!A"&amp;日K!$E$3-239+1+BF57-8</f>
        <v>日K!A6649</v>
      </c>
      <c r="AZ57" s="4">
        <f t="shared" ca="1" si="16"/>
        <v>44111</v>
      </c>
      <c r="BA57" s="13">
        <f t="shared" ca="1" si="17"/>
        <v>429.32909999999998</v>
      </c>
      <c r="BB57" s="13">
        <f t="shared" ca="1" si="18"/>
        <v>439.19880000000001</v>
      </c>
      <c r="BC57" s="13">
        <f t="shared" ca="1" si="19"/>
        <v>429.32909999999998</v>
      </c>
      <c r="BD57" s="13">
        <f t="shared" ca="1" si="20"/>
        <v>437.22480000000002</v>
      </c>
      <c r="BE57" s="13">
        <f t="shared" ca="1" si="21"/>
        <v>44691</v>
      </c>
      <c r="BF57">
        <f>ROW()</f>
        <v>57</v>
      </c>
      <c r="BH57" t="str">
        <f t="shared" si="22"/>
        <v>BC53:BC57</v>
      </c>
      <c r="BI57">
        <f t="shared" si="41"/>
        <v>45</v>
      </c>
      <c r="BJ57">
        <f t="shared" ca="1" si="23"/>
        <v>426.86171999999999</v>
      </c>
      <c r="BL57" t="str">
        <f t="shared" si="24"/>
        <v>BC38:BC57</v>
      </c>
      <c r="BM57">
        <f t="shared" si="42"/>
        <v>30</v>
      </c>
      <c r="BN57">
        <f t="shared" ca="1" si="25"/>
        <v>427.15208500000006</v>
      </c>
      <c r="BP57" t="str">
        <f t="shared" si="26"/>
        <v>BC-2:BC57</v>
      </c>
      <c r="BQ57">
        <f t="shared" si="43"/>
        <v>-10</v>
      </c>
      <c r="BR57" t="e">
        <f t="shared" ca="1" si="27"/>
        <v>#N/A</v>
      </c>
      <c r="BT57">
        <f t="shared" ca="1" si="45"/>
        <v>430.17906499999998</v>
      </c>
      <c r="BU57">
        <f t="shared" ca="1" si="50"/>
        <v>2.6322433587432892</v>
      </c>
      <c r="BV57">
        <f t="shared" ca="1" si="51"/>
        <v>435.44355171748657</v>
      </c>
      <c r="BW57">
        <f t="shared" ca="1" si="52"/>
        <v>424.91457828251339</v>
      </c>
      <c r="BY57">
        <f t="shared" ca="1" si="6"/>
        <v>426.86171999999999</v>
      </c>
      <c r="BZ57">
        <f t="shared" ca="1" si="7"/>
        <v>427.15208500000006</v>
      </c>
      <c r="CA57" t="e">
        <f t="shared" ca="1" si="8"/>
        <v>#N/A</v>
      </c>
      <c r="CD57" t="str">
        <f>IF(周K!$E$3+CK57-12&gt;工作底稿!$CE$5,"周K!A"&amp;周K!$E$3-$CE$5+1+CK57-8,0)</f>
        <v>周K!A217</v>
      </c>
      <c r="CE57" s="4">
        <f t="shared" ca="1" si="28"/>
        <v>42933</v>
      </c>
      <c r="CF57" s="13">
        <f ca="1">IF($CD57=0,"",VLOOKUP($CE57,周K!$A$6:$F$6842,2,0))</f>
        <v>215</v>
      </c>
      <c r="CG57" s="13">
        <f ca="1">IF($CD57=0,"",VLOOKUP($CE57,周K!$A$6:$F$6842,3,0))</f>
        <v>215.5</v>
      </c>
      <c r="CH57" s="13">
        <f ca="1">IF($CD57=0,"",VLOOKUP($CE57,周K!$A$6:$F$6842,4,0))</f>
        <v>211.5</v>
      </c>
      <c r="CI57" s="13">
        <f ca="1">IF($CD57=0,"",VLOOKUP($CE57,周K!$A$6:$F$6842,5,0))</f>
        <v>214</v>
      </c>
      <c r="CJ57" s="13">
        <f ca="1">IF($CD57=0,"",VLOOKUP($CE57,周K!$A$6:$F$6842,6,0))</f>
        <v>97036</v>
      </c>
      <c r="CK57">
        <f>ROW()</f>
        <v>57</v>
      </c>
      <c r="CM57" t="str">
        <f t="shared" si="29"/>
        <v>CG53:CG57</v>
      </c>
      <c r="CN57">
        <f t="shared" si="30"/>
        <v>45</v>
      </c>
      <c r="CO57">
        <f t="shared" ca="1" si="31"/>
        <v>214.8</v>
      </c>
      <c r="CQ57" t="str">
        <f t="shared" si="32"/>
        <v>CG38:CG57</v>
      </c>
      <c r="CR57">
        <f t="shared" si="33"/>
        <v>30</v>
      </c>
      <c r="CS57">
        <f t="shared" ca="1" si="34"/>
        <v>203.47499999999999</v>
      </c>
      <c r="CU57" t="str">
        <f t="shared" si="35"/>
        <v>CG-2:CG57</v>
      </c>
      <c r="CV57">
        <f t="shared" si="36"/>
        <v>-10</v>
      </c>
      <c r="CW57" t="e">
        <f t="shared" ca="1" si="37"/>
        <v>#N/A</v>
      </c>
      <c r="CY57">
        <f t="shared" ca="1" si="38"/>
        <v>435.74437499999999</v>
      </c>
      <c r="CZ57">
        <f t="shared" ca="1" si="44"/>
        <v>429.78502849032998</v>
      </c>
      <c r="DA57">
        <f t="shared" ca="1" si="47"/>
        <v>428.50239681813059</v>
      </c>
      <c r="DB57">
        <f t="shared" ca="1" si="46"/>
        <v>1.2826316721993862</v>
      </c>
      <c r="DC57">
        <f t="shared" ca="1" si="48"/>
        <v>1.1872998833097514</v>
      </c>
      <c r="DD57">
        <f t="shared" ca="1" si="49"/>
        <v>9.5331788889634783E-2</v>
      </c>
    </row>
    <row r="58" spans="51:108" x14ac:dyDescent="0.25">
      <c r="AY58" t="str">
        <f>"日K!A"&amp;日K!$E$3-239+1+BF58-8</f>
        <v>日K!A6650</v>
      </c>
      <c r="AZ58" s="4">
        <f t="shared" ca="1" si="16"/>
        <v>44112</v>
      </c>
      <c r="BA58" s="13">
        <f t="shared" ca="1" si="17"/>
        <v>444.1336</v>
      </c>
      <c r="BB58" s="13">
        <f t="shared" ca="1" si="18"/>
        <v>448.08139999999997</v>
      </c>
      <c r="BC58" s="13">
        <f t="shared" ca="1" si="19"/>
        <v>442.65309999999999</v>
      </c>
      <c r="BD58" s="13">
        <f t="shared" ca="1" si="20"/>
        <v>447.09449999999998</v>
      </c>
      <c r="BE58" s="13">
        <f t="shared" ca="1" si="21"/>
        <v>60854</v>
      </c>
      <c r="BF58">
        <f>ROW()</f>
        <v>58</v>
      </c>
      <c r="BH58" t="str">
        <f t="shared" si="22"/>
        <v>BC54:BC58</v>
      </c>
      <c r="BI58">
        <f t="shared" si="41"/>
        <v>46</v>
      </c>
      <c r="BJ58">
        <f t="shared" ca="1" si="23"/>
        <v>430.90825999999998</v>
      </c>
      <c r="BL58" t="str">
        <f t="shared" si="24"/>
        <v>BC39:BC58</v>
      </c>
      <c r="BM58">
        <f t="shared" si="42"/>
        <v>31</v>
      </c>
      <c r="BN58">
        <f t="shared" ca="1" si="25"/>
        <v>428.30354999999997</v>
      </c>
      <c r="BP58" t="str">
        <f t="shared" si="26"/>
        <v>BC-1:BC58</v>
      </c>
      <c r="BQ58">
        <f t="shared" si="43"/>
        <v>-9</v>
      </c>
      <c r="BR58" t="e">
        <f t="shared" ca="1" si="27"/>
        <v>#N/A</v>
      </c>
      <c r="BT58">
        <f t="shared" ca="1" si="45"/>
        <v>431.38082500000002</v>
      </c>
      <c r="BU58">
        <f t="shared" ca="1" si="50"/>
        <v>2.5535724712237786</v>
      </c>
      <c r="BV58">
        <f t="shared" ca="1" si="51"/>
        <v>436.48796994244759</v>
      </c>
      <c r="BW58">
        <f t="shared" ca="1" si="52"/>
        <v>426.27368005755244</v>
      </c>
      <c r="BY58">
        <f t="shared" ca="1" si="6"/>
        <v>430.90825999999998</v>
      </c>
      <c r="BZ58">
        <f t="shared" ca="1" si="7"/>
        <v>428.30354999999997</v>
      </c>
      <c r="CA58" t="e">
        <f t="shared" ca="1" si="8"/>
        <v>#N/A</v>
      </c>
      <c r="CD58" t="str">
        <f>IF(周K!$E$3+CK58-12&gt;工作底稿!$CE$5,"周K!A"&amp;周K!$E$3-$CE$5+1+CK58-8,0)</f>
        <v>周K!A218</v>
      </c>
      <c r="CE58" s="4">
        <f t="shared" ca="1" si="28"/>
        <v>42940</v>
      </c>
      <c r="CF58" s="13">
        <f ca="1">IF($CD58=0,"",VLOOKUP($CE58,周K!$A$6:$F$6842,2,0))</f>
        <v>213.5</v>
      </c>
      <c r="CG58" s="13">
        <f ca="1">IF($CD58=0,"",VLOOKUP($CE58,周K!$A$6:$F$6842,3,0))</f>
        <v>216</v>
      </c>
      <c r="CH58" s="13">
        <f ca="1">IF($CD58=0,"",VLOOKUP($CE58,周K!$A$6:$F$6842,4,0))</f>
        <v>212.5</v>
      </c>
      <c r="CI58" s="13">
        <f ca="1">IF($CD58=0,"",VLOOKUP($CE58,周K!$A$6:$F$6842,5,0))</f>
        <v>213</v>
      </c>
      <c r="CJ58" s="13">
        <f ca="1">IF($CD58=0,"",VLOOKUP($CE58,周K!$A$6:$F$6842,6,0))</f>
        <v>93923</v>
      </c>
      <c r="CK58">
        <f>ROW()</f>
        <v>58</v>
      </c>
      <c r="CM58" t="str">
        <f t="shared" si="29"/>
        <v>CG54:CG58</v>
      </c>
      <c r="CN58">
        <f t="shared" si="30"/>
        <v>46</v>
      </c>
      <c r="CO58">
        <f t="shared" ca="1" si="31"/>
        <v>214.3</v>
      </c>
      <c r="CQ58" t="str">
        <f t="shared" si="32"/>
        <v>CG39:CG58</v>
      </c>
      <c r="CR58">
        <f t="shared" si="33"/>
        <v>31</v>
      </c>
      <c r="CS58">
        <f t="shared" ca="1" si="34"/>
        <v>204.875</v>
      </c>
      <c r="CU58" t="str">
        <f t="shared" si="35"/>
        <v>CG-1:CG58</v>
      </c>
      <c r="CV58">
        <f t="shared" si="36"/>
        <v>-9</v>
      </c>
      <c r="CW58" t="e">
        <f t="shared" ca="1" si="37"/>
        <v>#N/A</v>
      </c>
      <c r="CY58">
        <f t="shared" ca="1" si="38"/>
        <v>446.23087499999997</v>
      </c>
      <c r="CZ58">
        <f t="shared" ca="1" si="44"/>
        <v>432.31515872258689</v>
      </c>
      <c r="DA58">
        <f t="shared" ca="1" si="47"/>
        <v>429.81561742419495</v>
      </c>
      <c r="DB58">
        <f t="shared" ca="1" si="46"/>
        <v>2.4995412983919323</v>
      </c>
      <c r="DC58">
        <f t="shared" ca="1" si="48"/>
        <v>1.0627630668570243</v>
      </c>
      <c r="DD58">
        <f t="shared" ca="1" si="49"/>
        <v>1.436778231534908</v>
      </c>
    </row>
    <row r="59" spans="51:108" x14ac:dyDescent="0.25">
      <c r="AY59" t="str">
        <f>"日K!A"&amp;日K!$E$3-239+1+BF59-8</f>
        <v>日K!A6651</v>
      </c>
      <c r="AZ59" s="4">
        <f t="shared" ca="1" si="16"/>
        <v>44116</v>
      </c>
      <c r="BA59" s="13">
        <f t="shared" ca="1" si="17"/>
        <v>452.02929999999998</v>
      </c>
      <c r="BB59" s="13">
        <f t="shared" ca="1" si="18"/>
        <v>455.97710000000001</v>
      </c>
      <c r="BC59" s="13">
        <f t="shared" ca="1" si="19"/>
        <v>451.53579999999999</v>
      </c>
      <c r="BD59" s="13">
        <f t="shared" ca="1" si="20"/>
        <v>454.00319999999999</v>
      </c>
      <c r="BE59" s="13">
        <f t="shared" ca="1" si="21"/>
        <v>67645</v>
      </c>
      <c r="BF59">
        <f>ROW()</f>
        <v>59</v>
      </c>
      <c r="BH59" t="str">
        <f t="shared" si="22"/>
        <v>BC55:BC59</v>
      </c>
      <c r="BI59">
        <f t="shared" si="41"/>
        <v>47</v>
      </c>
      <c r="BJ59">
        <f t="shared" ca="1" si="23"/>
        <v>436.23786000000001</v>
      </c>
      <c r="BL59" t="str">
        <f t="shared" si="24"/>
        <v>BC40:BC59</v>
      </c>
      <c r="BM59">
        <f t="shared" si="42"/>
        <v>32</v>
      </c>
      <c r="BN59">
        <f t="shared" ca="1" si="25"/>
        <v>430.12000500000005</v>
      </c>
      <c r="BP59" t="str">
        <f t="shared" si="26"/>
        <v>BC0:BC59</v>
      </c>
      <c r="BQ59">
        <f t="shared" si="43"/>
        <v>-8</v>
      </c>
      <c r="BR59" t="e">
        <f t="shared" ca="1" si="27"/>
        <v>#N/A</v>
      </c>
      <c r="BT59">
        <f t="shared" ca="1" si="45"/>
        <v>433.12433499999997</v>
      </c>
      <c r="BU59">
        <f t="shared" ca="1" si="50"/>
        <v>2.5856037041280686</v>
      </c>
      <c r="BV59">
        <f t="shared" ca="1" si="51"/>
        <v>438.2955424082561</v>
      </c>
      <c r="BW59">
        <f t="shared" ca="1" si="52"/>
        <v>427.95312759174385</v>
      </c>
      <c r="BY59">
        <f t="shared" ca="1" si="6"/>
        <v>436.23786000000001</v>
      </c>
      <c r="BZ59">
        <f t="shared" ca="1" si="7"/>
        <v>430.12000500000005</v>
      </c>
      <c r="CA59" t="e">
        <f t="shared" ca="1" si="8"/>
        <v>#N/A</v>
      </c>
      <c r="CD59" t="str">
        <f>IF(周K!$E$3+CK59-12&gt;工作底稿!$CE$5,"周K!A"&amp;周K!$E$3-$CE$5+1+CK59-8,0)</f>
        <v>周K!A219</v>
      </c>
      <c r="CE59" s="4">
        <f t="shared" ca="1" si="28"/>
        <v>42947</v>
      </c>
      <c r="CF59" s="13">
        <f ca="1">IF($CD59=0,"",VLOOKUP($CE59,周K!$A$6:$F$6842,2,0))</f>
        <v>211.5</v>
      </c>
      <c r="CG59" s="13">
        <f ca="1">IF($CD59=0,"",VLOOKUP($CE59,周K!$A$6:$F$6842,3,0))</f>
        <v>216</v>
      </c>
      <c r="CH59" s="13">
        <f ca="1">IF($CD59=0,"",VLOOKUP($CE59,周K!$A$6:$F$6842,4,0))</f>
        <v>211.5</v>
      </c>
      <c r="CI59" s="13">
        <f ca="1">IF($CD59=0,"",VLOOKUP($CE59,周K!$A$6:$F$6842,5,0))</f>
        <v>213</v>
      </c>
      <c r="CJ59" s="13">
        <f ca="1">IF($CD59=0,"",VLOOKUP($CE59,周K!$A$6:$F$6842,6,0))</f>
        <v>120491</v>
      </c>
      <c r="CK59">
        <f>ROW()</f>
        <v>59</v>
      </c>
      <c r="CM59" t="str">
        <f t="shared" si="29"/>
        <v>CG55:CG59</v>
      </c>
      <c r="CN59">
        <f t="shared" si="30"/>
        <v>47</v>
      </c>
      <c r="CO59">
        <f t="shared" ca="1" si="31"/>
        <v>214.5</v>
      </c>
      <c r="CQ59" t="str">
        <f t="shared" si="32"/>
        <v>CG40:CG59</v>
      </c>
      <c r="CR59">
        <f t="shared" si="33"/>
        <v>32</v>
      </c>
      <c r="CS59">
        <f t="shared" ca="1" si="34"/>
        <v>206.1</v>
      </c>
      <c r="CU59" t="str">
        <f t="shared" si="35"/>
        <v>CG0:CG59</v>
      </c>
      <c r="CV59">
        <f t="shared" si="36"/>
        <v>-8</v>
      </c>
      <c r="CW59" t="e">
        <f t="shared" ca="1" si="37"/>
        <v>#N/A</v>
      </c>
      <c r="CY59">
        <f t="shared" ca="1" si="38"/>
        <v>453.87982499999998</v>
      </c>
      <c r="CZ59">
        <f t="shared" ca="1" si="44"/>
        <v>435.63279968834274</v>
      </c>
      <c r="DA59">
        <f t="shared" ca="1" si="47"/>
        <v>431.59815131869902</v>
      </c>
      <c r="DB59">
        <f t="shared" ca="1" si="46"/>
        <v>4.034648369643719</v>
      </c>
      <c r="DC59">
        <f t="shared" ca="1" si="48"/>
        <v>1.2625409424102574</v>
      </c>
      <c r="DD59">
        <f t="shared" ca="1" si="49"/>
        <v>2.7721074272334616</v>
      </c>
    </row>
    <row r="60" spans="51:108" x14ac:dyDescent="0.25">
      <c r="AY60" t="str">
        <f>"日K!A"&amp;日K!$E$3-239+1+BF60-8</f>
        <v>日K!A6652</v>
      </c>
      <c r="AZ60" s="4">
        <f t="shared" ca="1" si="16"/>
        <v>44117</v>
      </c>
      <c r="BA60" s="13">
        <f t="shared" ca="1" si="17"/>
        <v>458.93799999999999</v>
      </c>
      <c r="BB60" s="13">
        <f t="shared" ca="1" si="18"/>
        <v>458.93799999999999</v>
      </c>
      <c r="BC60" s="13">
        <f t="shared" ca="1" si="19"/>
        <v>450.54880000000003</v>
      </c>
      <c r="BD60" s="13">
        <f t="shared" ca="1" si="20"/>
        <v>455.97710000000001</v>
      </c>
      <c r="BE60" s="13">
        <f t="shared" ca="1" si="21"/>
        <v>46304</v>
      </c>
      <c r="BF60">
        <f>ROW()</f>
        <v>60</v>
      </c>
      <c r="BH60" t="str">
        <f t="shared" si="22"/>
        <v>BC56:BC60</v>
      </c>
      <c r="BI60">
        <f t="shared" si="41"/>
        <v>48</v>
      </c>
      <c r="BJ60">
        <f t="shared" ca="1" si="23"/>
        <v>441.17266000000001</v>
      </c>
      <c r="BL60" t="str">
        <f t="shared" si="24"/>
        <v>BC41:BC60</v>
      </c>
      <c r="BM60">
        <f t="shared" si="42"/>
        <v>33</v>
      </c>
      <c r="BN60">
        <f t="shared" ca="1" si="25"/>
        <v>431.51902000000001</v>
      </c>
      <c r="BP60" t="str">
        <f t="shared" si="26"/>
        <v>BC1:BC60</v>
      </c>
      <c r="BQ60">
        <f t="shared" si="43"/>
        <v>-7</v>
      </c>
      <c r="BR60" t="e">
        <f t="shared" ca="1" si="27"/>
        <v>#N/A</v>
      </c>
      <c r="BT60">
        <f t="shared" ca="1" si="45"/>
        <v>434.57390999999996</v>
      </c>
      <c r="BU60">
        <f t="shared" ca="1" si="50"/>
        <v>2.6958805241283312</v>
      </c>
      <c r="BV60">
        <f t="shared" ca="1" si="51"/>
        <v>439.96567104825664</v>
      </c>
      <c r="BW60">
        <f t="shared" ca="1" si="52"/>
        <v>429.18214895174327</v>
      </c>
      <c r="BY60">
        <f t="shared" ca="1" si="6"/>
        <v>441.17266000000001</v>
      </c>
      <c r="BZ60">
        <f t="shared" ca="1" si="7"/>
        <v>431.51902000000001</v>
      </c>
      <c r="CA60" t="e">
        <f t="shared" ca="1" si="8"/>
        <v>#N/A</v>
      </c>
      <c r="CD60" t="str">
        <f>IF(周K!$E$3+CK60-12&gt;工作底稿!$CE$5,"周K!A"&amp;周K!$E$3-$CE$5+1+CK60-8,0)</f>
        <v>周K!A220</v>
      </c>
      <c r="CE60" s="4">
        <f t="shared" ca="1" si="28"/>
        <v>42954</v>
      </c>
      <c r="CF60" s="13">
        <f ca="1">IF($CD60=0,"",VLOOKUP($CE60,周K!$A$6:$F$6842,2,0))</f>
        <v>213.5</v>
      </c>
      <c r="CG60" s="13">
        <f ca="1">IF($CD60=0,"",VLOOKUP($CE60,周K!$A$6:$F$6842,3,0))</f>
        <v>219</v>
      </c>
      <c r="CH60" s="13">
        <f ca="1">IF($CD60=0,"",VLOOKUP($CE60,周K!$A$6:$F$6842,4,0))</f>
        <v>210.5</v>
      </c>
      <c r="CI60" s="13">
        <f ca="1">IF($CD60=0,"",VLOOKUP($CE60,周K!$A$6:$F$6842,5,0))</f>
        <v>212.5</v>
      </c>
      <c r="CJ60" s="13">
        <f ca="1">IF($CD60=0,"",VLOOKUP($CE60,周K!$A$6:$F$6842,6,0))</f>
        <v>143980</v>
      </c>
      <c r="CK60">
        <f>ROW()</f>
        <v>60</v>
      </c>
      <c r="CM60" t="str">
        <f t="shared" si="29"/>
        <v>CG56:CG60</v>
      </c>
      <c r="CN60">
        <f t="shared" si="30"/>
        <v>48</v>
      </c>
      <c r="CO60">
        <f t="shared" ca="1" si="31"/>
        <v>216.5</v>
      </c>
      <c r="CQ60" t="str">
        <f t="shared" si="32"/>
        <v>CG41:CG60</v>
      </c>
      <c r="CR60">
        <f t="shared" si="33"/>
        <v>33</v>
      </c>
      <c r="CS60">
        <f t="shared" ca="1" si="34"/>
        <v>207.3</v>
      </c>
      <c r="CU60" t="str">
        <f t="shared" si="35"/>
        <v>CG1:CG60</v>
      </c>
      <c r="CV60">
        <f t="shared" si="36"/>
        <v>-7</v>
      </c>
      <c r="CW60" t="e">
        <f t="shared" ca="1" si="37"/>
        <v>#N/A</v>
      </c>
      <c r="CY60">
        <f t="shared" ca="1" si="38"/>
        <v>455.36025000000001</v>
      </c>
      <c r="CZ60">
        <f t="shared" ca="1" si="44"/>
        <v>438.66779204398233</v>
      </c>
      <c r="DA60">
        <f t="shared" ca="1" si="47"/>
        <v>433.35830677657322</v>
      </c>
      <c r="DB60">
        <f t="shared" ca="1" si="46"/>
        <v>5.3094852674091157</v>
      </c>
      <c r="DC60">
        <f t="shared" ca="1" si="48"/>
        <v>1.7294440028937794</v>
      </c>
      <c r="DD60">
        <f t="shared" ca="1" si="49"/>
        <v>3.5800412645153363</v>
      </c>
    </row>
    <row r="61" spans="51:108" x14ac:dyDescent="0.25">
      <c r="AY61" t="str">
        <f>"日K!A"&amp;日K!$E$3-239+1+BF61-8</f>
        <v>日K!A6653</v>
      </c>
      <c r="AZ61" s="4">
        <f t="shared" ca="1" si="16"/>
        <v>44118</v>
      </c>
      <c r="BA61" s="13">
        <f t="shared" ca="1" si="17"/>
        <v>454.49669999999998</v>
      </c>
      <c r="BB61" s="13">
        <f t="shared" ca="1" si="18"/>
        <v>454.99020000000002</v>
      </c>
      <c r="BC61" s="13">
        <f t="shared" ca="1" si="19"/>
        <v>451.04230000000001</v>
      </c>
      <c r="BD61" s="13">
        <f t="shared" ca="1" si="20"/>
        <v>453.0163</v>
      </c>
      <c r="BE61" s="13">
        <f t="shared" ca="1" si="21"/>
        <v>52677</v>
      </c>
      <c r="BF61">
        <f>ROW()</f>
        <v>61</v>
      </c>
      <c r="BH61" t="str">
        <f t="shared" si="22"/>
        <v>BC57:BC61</v>
      </c>
      <c r="BI61">
        <f t="shared" si="41"/>
        <v>49</v>
      </c>
      <c r="BJ61">
        <f t="shared" ca="1" si="23"/>
        <v>445.02182000000005</v>
      </c>
      <c r="BL61" t="str">
        <f t="shared" si="24"/>
        <v>BC42:BC61</v>
      </c>
      <c r="BM61">
        <f t="shared" si="42"/>
        <v>34</v>
      </c>
      <c r="BN61">
        <f t="shared" ca="1" si="25"/>
        <v>432.84454999999997</v>
      </c>
      <c r="BP61" t="str">
        <f t="shared" si="26"/>
        <v>BC2:BC61</v>
      </c>
      <c r="BQ61">
        <f t="shared" si="43"/>
        <v>-6</v>
      </c>
      <c r="BR61" t="e">
        <f t="shared" ca="1" si="27"/>
        <v>#N/A</v>
      </c>
      <c r="BT61">
        <f t="shared" ca="1" si="45"/>
        <v>435.80182499999989</v>
      </c>
      <c r="BU61">
        <f t="shared" ca="1" si="50"/>
        <v>2.8675259306742373</v>
      </c>
      <c r="BV61">
        <f t="shared" ca="1" si="51"/>
        <v>441.53687686134839</v>
      </c>
      <c r="BW61">
        <f t="shared" ca="1" si="52"/>
        <v>430.0667731386514</v>
      </c>
      <c r="BY61">
        <f t="shared" ca="1" si="6"/>
        <v>445.02182000000005</v>
      </c>
      <c r="BZ61">
        <f t="shared" ca="1" si="7"/>
        <v>432.84454999999997</v>
      </c>
      <c r="CA61" t="e">
        <f t="shared" ca="1" si="8"/>
        <v>#N/A</v>
      </c>
      <c r="CD61" t="str">
        <f>IF(周K!$E$3+CK61-12&gt;工作底稿!$CE$5,"周K!A"&amp;周K!$E$3-$CE$5+1+CK61-8,0)</f>
        <v>周K!A221</v>
      </c>
      <c r="CE61" s="4">
        <f t="shared" ca="1" si="28"/>
        <v>42961</v>
      </c>
      <c r="CF61" s="13">
        <f ca="1">IF($CD61=0,"",VLOOKUP($CE61,周K!$A$6:$F$6842,2,0))</f>
        <v>213.5</v>
      </c>
      <c r="CG61" s="13">
        <f ca="1">IF($CD61=0,"",VLOOKUP($CE61,周K!$A$6:$F$6842,3,0))</f>
        <v>214.5</v>
      </c>
      <c r="CH61" s="13">
        <f ca="1">IF($CD61=0,"",VLOOKUP($CE61,周K!$A$6:$F$6842,4,0))</f>
        <v>210</v>
      </c>
      <c r="CI61" s="13">
        <f ca="1">IF($CD61=0,"",VLOOKUP($CE61,周K!$A$6:$F$6842,5,0))</f>
        <v>212.5</v>
      </c>
      <c r="CJ61" s="13">
        <f ca="1">IF($CD61=0,"",VLOOKUP($CE61,周K!$A$6:$F$6842,6,0))</f>
        <v>91724</v>
      </c>
      <c r="CK61">
        <f>ROW()</f>
        <v>61</v>
      </c>
      <c r="CM61" t="str">
        <f t="shared" si="29"/>
        <v>CG57:CG61</v>
      </c>
      <c r="CN61">
        <f t="shared" si="30"/>
        <v>49</v>
      </c>
      <c r="CO61">
        <f t="shared" ca="1" si="31"/>
        <v>216.2</v>
      </c>
      <c r="CQ61" t="str">
        <f t="shared" si="32"/>
        <v>CG42:CG61</v>
      </c>
      <c r="CR61">
        <f t="shared" si="33"/>
        <v>34</v>
      </c>
      <c r="CS61">
        <f t="shared" ca="1" si="34"/>
        <v>208.27500000000001</v>
      </c>
      <c r="CU61" t="str">
        <f t="shared" si="35"/>
        <v>CG2:CG61</v>
      </c>
      <c r="CV61">
        <f t="shared" si="36"/>
        <v>-6</v>
      </c>
      <c r="CW61" t="e">
        <f t="shared" ca="1" si="37"/>
        <v>#N/A</v>
      </c>
      <c r="CY61">
        <f t="shared" ca="1" si="38"/>
        <v>453.01627500000001</v>
      </c>
      <c r="CZ61">
        <f t="shared" ca="1" si="44"/>
        <v>440.87525096029276</v>
      </c>
      <c r="DA61">
        <f t="shared" ca="1" si="47"/>
        <v>434.8144525709011</v>
      </c>
      <c r="DB61">
        <f t="shared" ca="1" si="46"/>
        <v>6.0607983893916639</v>
      </c>
      <c r="DC61">
        <f t="shared" ca="1" si="48"/>
        <v>2.3314218410047576</v>
      </c>
      <c r="DD61">
        <f t="shared" ca="1" si="49"/>
        <v>3.7293765483869064</v>
      </c>
    </row>
    <row r="62" spans="51:108" x14ac:dyDescent="0.25">
      <c r="AY62" t="str">
        <f>"日K!A"&amp;日K!$E$3-239+1+BF62-8</f>
        <v>日K!A6654</v>
      </c>
      <c r="AZ62" s="4">
        <f t="shared" ca="1" si="16"/>
        <v>44119</v>
      </c>
      <c r="BA62" s="13">
        <f t="shared" ca="1" si="17"/>
        <v>450.05540000000002</v>
      </c>
      <c r="BB62" s="13">
        <f t="shared" ca="1" si="18"/>
        <v>450.54880000000003</v>
      </c>
      <c r="BC62" s="13">
        <f t="shared" ca="1" si="19"/>
        <v>444.1336</v>
      </c>
      <c r="BD62" s="13">
        <f t="shared" ca="1" si="20"/>
        <v>447.09449999999998</v>
      </c>
      <c r="BE62" s="13">
        <f t="shared" ca="1" si="21"/>
        <v>49987</v>
      </c>
      <c r="BF62">
        <f>ROW()</f>
        <v>62</v>
      </c>
      <c r="BH62" t="str">
        <f t="shared" si="22"/>
        <v>BC58:BC62</v>
      </c>
      <c r="BI62">
        <f t="shared" si="41"/>
        <v>50</v>
      </c>
      <c r="BJ62">
        <f t="shared" ca="1" si="23"/>
        <v>447.98272000000009</v>
      </c>
      <c r="BL62" t="str">
        <f t="shared" si="24"/>
        <v>BC43:BC62</v>
      </c>
      <c r="BM62">
        <f t="shared" si="42"/>
        <v>35</v>
      </c>
      <c r="BN62">
        <f t="shared" ca="1" si="25"/>
        <v>433.67740999999995</v>
      </c>
      <c r="BP62" t="str">
        <f t="shared" si="26"/>
        <v>BC3:BC62</v>
      </c>
      <c r="BQ62">
        <f t="shared" si="43"/>
        <v>-5</v>
      </c>
      <c r="BR62" t="e">
        <f t="shared" ca="1" si="27"/>
        <v>#N/A</v>
      </c>
      <c r="BT62">
        <f t="shared" ca="1" si="45"/>
        <v>436.51279499999993</v>
      </c>
      <c r="BU62">
        <f t="shared" ca="1" si="50"/>
        <v>3.010589249836336</v>
      </c>
      <c r="BV62">
        <f t="shared" ca="1" si="51"/>
        <v>442.53397349967258</v>
      </c>
      <c r="BW62">
        <f t="shared" ca="1" si="52"/>
        <v>430.49161650032727</v>
      </c>
      <c r="BY62">
        <f t="shared" ca="1" si="6"/>
        <v>447.98272000000009</v>
      </c>
      <c r="BZ62">
        <f t="shared" ca="1" si="7"/>
        <v>433.67740999999995</v>
      </c>
      <c r="CA62" t="e">
        <f t="shared" ca="1" si="8"/>
        <v>#N/A</v>
      </c>
      <c r="CD62" t="str">
        <f>IF(周K!$E$3+CK62-12&gt;工作底稿!$CE$5,"周K!A"&amp;周K!$E$3-$CE$5+1+CK62-8,0)</f>
        <v>周K!A222</v>
      </c>
      <c r="CE62" s="4">
        <f t="shared" ca="1" si="28"/>
        <v>42968</v>
      </c>
      <c r="CF62" s="13">
        <f ca="1">IF($CD62=0,"",VLOOKUP($CE62,周K!$A$6:$F$6842,2,0))</f>
        <v>212.5</v>
      </c>
      <c r="CG62" s="13">
        <f ca="1">IF($CD62=0,"",VLOOKUP($CE62,周K!$A$6:$F$6842,3,0))</f>
        <v>217.5</v>
      </c>
      <c r="CH62" s="13">
        <f ca="1">IF($CD62=0,"",VLOOKUP($CE62,周K!$A$6:$F$6842,4,0))</f>
        <v>211.5</v>
      </c>
      <c r="CI62" s="13">
        <f ca="1">IF($CD62=0,"",VLOOKUP($CE62,周K!$A$6:$F$6842,5,0))</f>
        <v>217.5</v>
      </c>
      <c r="CJ62" s="13">
        <f ca="1">IF($CD62=0,"",VLOOKUP($CE62,周K!$A$6:$F$6842,6,0))</f>
        <v>69338</v>
      </c>
      <c r="CK62">
        <f>ROW()</f>
        <v>62</v>
      </c>
      <c r="CM62" t="str">
        <f t="shared" si="29"/>
        <v>CG58:CG62</v>
      </c>
      <c r="CN62">
        <f t="shared" si="30"/>
        <v>50</v>
      </c>
      <c r="CO62">
        <f t="shared" ca="1" si="31"/>
        <v>216.6</v>
      </c>
      <c r="CQ62" t="str">
        <f t="shared" si="32"/>
        <v>CG43:CG62</v>
      </c>
      <c r="CR62">
        <f t="shared" si="33"/>
        <v>35</v>
      </c>
      <c r="CS62">
        <f t="shared" ca="1" si="34"/>
        <v>209.5</v>
      </c>
      <c r="CU62" t="str">
        <f t="shared" si="35"/>
        <v>CG3:CG62</v>
      </c>
      <c r="CV62">
        <f t="shared" si="36"/>
        <v>-5</v>
      </c>
      <c r="CW62" t="e">
        <f t="shared" ca="1" si="37"/>
        <v>#N/A</v>
      </c>
      <c r="CY62">
        <f t="shared" ca="1" si="38"/>
        <v>447.21785</v>
      </c>
      <c r="CZ62">
        <f t="shared" ca="1" si="44"/>
        <v>441.85103542794002</v>
      </c>
      <c r="DA62">
        <f t="shared" ca="1" si="47"/>
        <v>435.73322275083439</v>
      </c>
      <c r="DB62">
        <f t="shared" ca="1" si="46"/>
        <v>6.1178126771056327</v>
      </c>
      <c r="DC62">
        <f t="shared" ca="1" si="48"/>
        <v>2.9678507941698373</v>
      </c>
      <c r="DD62">
        <f t="shared" ca="1" si="49"/>
        <v>3.1499618829357954</v>
      </c>
    </row>
    <row r="63" spans="51:108" x14ac:dyDescent="0.25">
      <c r="AY63" t="str">
        <f>"日K!A"&amp;日K!$E$3-239+1+BF63-8</f>
        <v>日K!A6655</v>
      </c>
      <c r="AZ63" s="4">
        <f t="shared" ca="1" si="16"/>
        <v>44120</v>
      </c>
      <c r="BA63" s="13">
        <f t="shared" ca="1" si="17"/>
        <v>445.12049999999999</v>
      </c>
      <c r="BB63" s="13">
        <f t="shared" ca="1" si="18"/>
        <v>450.05540000000002</v>
      </c>
      <c r="BC63" s="13">
        <f t="shared" ca="1" si="19"/>
        <v>442.65309999999999</v>
      </c>
      <c r="BD63" s="13">
        <f t="shared" ca="1" si="20"/>
        <v>443.14659999999998</v>
      </c>
      <c r="BE63" s="13">
        <f t="shared" ca="1" si="21"/>
        <v>48275</v>
      </c>
      <c r="BF63">
        <f>ROW()</f>
        <v>63</v>
      </c>
      <c r="BH63" t="str">
        <f t="shared" si="22"/>
        <v>BC59:BC63</v>
      </c>
      <c r="BI63">
        <f t="shared" si="41"/>
        <v>51</v>
      </c>
      <c r="BJ63">
        <f t="shared" ca="1" si="23"/>
        <v>447.98271999999997</v>
      </c>
      <c r="BL63" t="str">
        <f t="shared" si="24"/>
        <v>BC44:BC63</v>
      </c>
      <c r="BM63">
        <f t="shared" si="42"/>
        <v>36</v>
      </c>
      <c r="BN63">
        <f t="shared" ca="1" si="25"/>
        <v>434.23993000000002</v>
      </c>
      <c r="BP63" t="str">
        <f t="shared" si="26"/>
        <v>BC4:BC63</v>
      </c>
      <c r="BQ63">
        <f t="shared" si="43"/>
        <v>-4</v>
      </c>
      <c r="BR63" t="e">
        <f t="shared" ca="1" si="27"/>
        <v>#N/A</v>
      </c>
      <c r="BT63">
        <f t="shared" ca="1" si="45"/>
        <v>436.83005500000002</v>
      </c>
      <c r="BU63">
        <f t="shared" ca="1" si="50"/>
        <v>3.110317690304246</v>
      </c>
      <c r="BV63">
        <f t="shared" ca="1" si="51"/>
        <v>443.0506903806085</v>
      </c>
      <c r="BW63">
        <f t="shared" ca="1" si="52"/>
        <v>430.60941961939153</v>
      </c>
      <c r="BY63">
        <f t="shared" ca="1" si="6"/>
        <v>447.98271999999997</v>
      </c>
      <c r="BZ63">
        <f t="shared" ca="1" si="7"/>
        <v>434.23993000000002</v>
      </c>
      <c r="CA63" t="e">
        <f t="shared" ca="1" si="8"/>
        <v>#N/A</v>
      </c>
      <c r="CD63" t="str">
        <f>IF(周K!$E$3+CK63-12&gt;工作底稿!$CE$5,"周K!A"&amp;周K!$E$3-$CE$5+1+CK63-8,0)</f>
        <v>周K!A223</v>
      </c>
      <c r="CE63" s="4">
        <f t="shared" ca="1" si="28"/>
        <v>42975</v>
      </c>
      <c r="CF63" s="13">
        <f ca="1">IF($CD63=0,"",VLOOKUP($CE63,周K!$A$6:$F$6842,2,0))</f>
        <v>215</v>
      </c>
      <c r="CG63" s="13">
        <f ca="1">IF($CD63=0,"",VLOOKUP($CE63,周K!$A$6:$F$6842,3,0))</f>
        <v>218</v>
      </c>
      <c r="CH63" s="13">
        <f ca="1">IF($CD63=0,"",VLOOKUP($CE63,周K!$A$6:$F$6842,4,0))</f>
        <v>215</v>
      </c>
      <c r="CI63" s="13">
        <f ca="1">IF($CD63=0,"",VLOOKUP($CE63,周K!$A$6:$F$6842,5,0))</f>
        <v>216.5</v>
      </c>
      <c r="CJ63" s="13">
        <f ca="1">IF($CD63=0,"",VLOOKUP($CE63,周K!$A$6:$F$6842,6,0))</f>
        <v>97498</v>
      </c>
      <c r="CK63">
        <f>ROW()</f>
        <v>63</v>
      </c>
      <c r="CM63" t="str">
        <f t="shared" si="29"/>
        <v>CG59:CG63</v>
      </c>
      <c r="CN63">
        <f t="shared" si="30"/>
        <v>51</v>
      </c>
      <c r="CO63">
        <f t="shared" ca="1" si="31"/>
        <v>217</v>
      </c>
      <c r="CQ63" t="str">
        <f t="shared" si="32"/>
        <v>CG44:CG63</v>
      </c>
      <c r="CR63">
        <f t="shared" si="33"/>
        <v>36</v>
      </c>
      <c r="CS63">
        <f t="shared" ca="1" si="34"/>
        <v>210.8</v>
      </c>
      <c r="CU63" t="str">
        <f t="shared" si="35"/>
        <v>CG4:CG63</v>
      </c>
      <c r="CV63">
        <f t="shared" si="36"/>
        <v>-4</v>
      </c>
      <c r="CW63" t="e">
        <f t="shared" ca="1" si="37"/>
        <v>#N/A</v>
      </c>
      <c r="CY63">
        <f t="shared" ca="1" si="38"/>
        <v>444.75042499999995</v>
      </c>
      <c r="CZ63">
        <f t="shared" ca="1" si="44"/>
        <v>442.29709536210305</v>
      </c>
      <c r="DA63">
        <f t="shared" ca="1" si="47"/>
        <v>436.40116365818</v>
      </c>
      <c r="DB63">
        <f t="shared" ca="1" si="46"/>
        <v>5.8959317039230541</v>
      </c>
      <c r="DC63">
        <f t="shared" ca="1" si="48"/>
        <v>3.5879330450382869</v>
      </c>
      <c r="DD63">
        <f t="shared" ca="1" si="49"/>
        <v>2.3079986588847672</v>
      </c>
    </row>
    <row r="64" spans="51:108" x14ac:dyDescent="0.25">
      <c r="AY64" t="str">
        <f>"日K!A"&amp;日K!$E$3-239+1+BF64-8</f>
        <v>日K!A6656</v>
      </c>
      <c r="AZ64" s="4">
        <f t="shared" ca="1" si="16"/>
        <v>44123</v>
      </c>
      <c r="BA64" s="13">
        <f t="shared" ca="1" si="17"/>
        <v>447.09449999999998</v>
      </c>
      <c r="BB64" s="13">
        <f t="shared" ca="1" si="18"/>
        <v>451.53579999999999</v>
      </c>
      <c r="BC64" s="13">
        <f t="shared" ca="1" si="19"/>
        <v>445.12049999999999</v>
      </c>
      <c r="BD64" s="13">
        <f t="shared" ca="1" si="20"/>
        <v>451.53579999999999</v>
      </c>
      <c r="BE64" s="13">
        <f t="shared" ca="1" si="21"/>
        <v>34847</v>
      </c>
      <c r="BF64">
        <f>ROW()</f>
        <v>64</v>
      </c>
      <c r="BH64" t="str">
        <f t="shared" si="22"/>
        <v>BC60:BC64</v>
      </c>
      <c r="BI64">
        <f t="shared" si="41"/>
        <v>52</v>
      </c>
      <c r="BJ64">
        <f t="shared" ca="1" si="23"/>
        <v>446.69966000000005</v>
      </c>
      <c r="BL64" t="str">
        <f t="shared" si="24"/>
        <v>BC45:BC64</v>
      </c>
      <c r="BM64">
        <f t="shared" si="42"/>
        <v>37</v>
      </c>
      <c r="BN64">
        <f t="shared" ca="1" si="25"/>
        <v>434.14055999999999</v>
      </c>
      <c r="BP64" t="str">
        <f t="shared" si="26"/>
        <v>BC5:BC64</v>
      </c>
      <c r="BQ64">
        <f t="shared" si="43"/>
        <v>-3</v>
      </c>
      <c r="BR64" t="e">
        <f t="shared" ca="1" si="27"/>
        <v>#N/A</v>
      </c>
      <c r="BT64">
        <f t="shared" ca="1" si="45"/>
        <v>436.92875000000004</v>
      </c>
      <c r="BU64">
        <f t="shared" ca="1" si="50"/>
        <v>3.23529536262369</v>
      </c>
      <c r="BV64">
        <f t="shared" ca="1" si="51"/>
        <v>443.39934072524744</v>
      </c>
      <c r="BW64">
        <f t="shared" ca="1" si="52"/>
        <v>430.45815927475263</v>
      </c>
      <c r="BY64">
        <f t="shared" ca="1" si="6"/>
        <v>446.69966000000005</v>
      </c>
      <c r="BZ64">
        <f t="shared" ca="1" si="7"/>
        <v>434.14055999999999</v>
      </c>
      <c r="CA64" t="e">
        <f t="shared" ca="1" si="8"/>
        <v>#N/A</v>
      </c>
      <c r="CD64" t="str">
        <f>IF(周K!$E$3+CK64-12&gt;工作底稿!$CE$5,"周K!A"&amp;周K!$E$3-$CE$5+1+CK64-8,0)</f>
        <v>周K!A224</v>
      </c>
      <c r="CE64" s="4">
        <f t="shared" ca="1" si="28"/>
        <v>42982</v>
      </c>
      <c r="CF64" s="13">
        <f ca="1">IF($CD64=0,"",VLOOKUP($CE64,周K!$A$6:$F$6842,2,0))</f>
        <v>216.5</v>
      </c>
      <c r="CG64" s="13">
        <f ca="1">IF($CD64=0,"",VLOOKUP($CE64,周K!$A$6:$F$6842,3,0))</f>
        <v>218.5</v>
      </c>
      <c r="CH64" s="13">
        <f ca="1">IF($CD64=0,"",VLOOKUP($CE64,周K!$A$6:$F$6842,4,0))</f>
        <v>215.5</v>
      </c>
      <c r="CI64" s="13">
        <f ca="1">IF($CD64=0,"",VLOOKUP($CE64,周K!$A$6:$F$6842,5,0))</f>
        <v>218</v>
      </c>
      <c r="CJ64" s="13">
        <f ca="1">IF($CD64=0,"",VLOOKUP($CE64,周K!$A$6:$F$6842,6,0))</f>
        <v>122427</v>
      </c>
      <c r="CK64">
        <f>ROW()</f>
        <v>64</v>
      </c>
      <c r="CM64" t="str">
        <f t="shared" si="29"/>
        <v>CG60:CG64</v>
      </c>
      <c r="CN64">
        <f t="shared" si="30"/>
        <v>52</v>
      </c>
      <c r="CO64">
        <f t="shared" ca="1" si="31"/>
        <v>217.5</v>
      </c>
      <c r="CQ64" t="str">
        <f t="shared" si="32"/>
        <v>CG45:CG64</v>
      </c>
      <c r="CR64">
        <f t="shared" si="33"/>
        <v>37</v>
      </c>
      <c r="CS64">
        <f t="shared" ca="1" si="34"/>
        <v>212.22499999999999</v>
      </c>
      <c r="CU64" t="str">
        <f t="shared" si="35"/>
        <v>CG5:CG64</v>
      </c>
      <c r="CV64">
        <f t="shared" si="36"/>
        <v>-3</v>
      </c>
      <c r="CW64" t="e">
        <f t="shared" ca="1" si="37"/>
        <v>#N/A</v>
      </c>
      <c r="CY64">
        <f t="shared" ca="1" si="38"/>
        <v>449.93197499999997</v>
      </c>
      <c r="CZ64">
        <f t="shared" ca="1" si="44"/>
        <v>443.47169222947184</v>
      </c>
      <c r="DA64">
        <f t="shared" ca="1" si="47"/>
        <v>437.40344597979629</v>
      </c>
      <c r="DB64">
        <f t="shared" ca="1" si="46"/>
        <v>6.0682462496755534</v>
      </c>
      <c r="DC64">
        <f t="shared" ca="1" si="48"/>
        <v>4.227507556364035</v>
      </c>
      <c r="DD64">
        <f t="shared" ca="1" si="49"/>
        <v>1.8407386933115184</v>
      </c>
    </row>
    <row r="65" spans="51:108" x14ac:dyDescent="0.25">
      <c r="AY65" t="str">
        <f>"日K!A"&amp;日K!$E$3-239+1+BF65-8</f>
        <v>日K!A6657</v>
      </c>
      <c r="AZ65" s="4">
        <f t="shared" ca="1" si="16"/>
        <v>44124</v>
      </c>
      <c r="BA65" s="13">
        <f t="shared" ca="1" si="17"/>
        <v>449.56189999999998</v>
      </c>
      <c r="BB65" s="13">
        <f t="shared" ca="1" si="18"/>
        <v>451.04230000000001</v>
      </c>
      <c r="BC65" s="13">
        <f t="shared" ca="1" si="19"/>
        <v>445.12049999999999</v>
      </c>
      <c r="BD65" s="13">
        <f t="shared" ca="1" si="20"/>
        <v>445.12049999999999</v>
      </c>
      <c r="BE65" s="13">
        <f t="shared" ca="1" si="21"/>
        <v>26568</v>
      </c>
      <c r="BF65">
        <f>ROW()</f>
        <v>65</v>
      </c>
      <c r="BH65" t="str">
        <f t="shared" si="22"/>
        <v>BC61:BC65</v>
      </c>
      <c r="BI65">
        <f t="shared" si="41"/>
        <v>53</v>
      </c>
      <c r="BJ65">
        <f t="shared" ca="1" si="23"/>
        <v>445.61399999999992</v>
      </c>
      <c r="BL65" t="str">
        <f t="shared" si="24"/>
        <v>BC46:BC65</v>
      </c>
      <c r="BM65">
        <f t="shared" si="42"/>
        <v>38</v>
      </c>
      <c r="BN65">
        <f t="shared" ca="1" si="25"/>
        <v>434.36262499999992</v>
      </c>
      <c r="BP65" t="str">
        <f t="shared" si="26"/>
        <v>BC6:BC65</v>
      </c>
      <c r="BQ65">
        <f t="shared" si="43"/>
        <v>-2</v>
      </c>
      <c r="BR65" t="e">
        <f t="shared" ca="1" si="27"/>
        <v>#N/A</v>
      </c>
      <c r="BT65">
        <f t="shared" ca="1" si="45"/>
        <v>437.05212000000012</v>
      </c>
      <c r="BU65">
        <f t="shared" ca="1" si="50"/>
        <v>3.4013380731966354</v>
      </c>
      <c r="BV65">
        <f t="shared" ca="1" si="51"/>
        <v>443.85479614639337</v>
      </c>
      <c r="BW65">
        <f t="shared" ca="1" si="52"/>
        <v>430.24944385360686</v>
      </c>
      <c r="BY65">
        <f t="shared" ca="1" si="6"/>
        <v>445.61399999999992</v>
      </c>
      <c r="BZ65">
        <f t="shared" ca="1" si="7"/>
        <v>434.36262499999992</v>
      </c>
      <c r="CA65" t="e">
        <f t="shared" ca="1" si="8"/>
        <v>#N/A</v>
      </c>
      <c r="CD65" t="str">
        <f>IF(周K!$E$3+CK65-12&gt;工作底稿!$CE$5,"周K!A"&amp;周K!$E$3-$CE$5+1+CK65-8,0)</f>
        <v>周K!A225</v>
      </c>
      <c r="CE65" s="4">
        <f t="shared" ca="1" si="28"/>
        <v>42989</v>
      </c>
      <c r="CF65" s="13">
        <f ca="1">IF($CD65=0,"",VLOOKUP($CE65,周K!$A$6:$F$6842,2,0))</f>
        <v>219</v>
      </c>
      <c r="CG65" s="13">
        <f ca="1">IF($CD65=0,"",VLOOKUP($CE65,周K!$A$6:$F$6842,3,0))</f>
        <v>219.5</v>
      </c>
      <c r="CH65" s="13">
        <f ca="1">IF($CD65=0,"",VLOOKUP($CE65,周K!$A$6:$F$6842,4,0))</f>
        <v>216.5</v>
      </c>
      <c r="CI65" s="13">
        <f ca="1">IF($CD65=0,"",VLOOKUP($CE65,周K!$A$6:$F$6842,5,0))</f>
        <v>218.5</v>
      </c>
      <c r="CJ65" s="13">
        <f ca="1">IF($CD65=0,"",VLOOKUP($CE65,周K!$A$6:$F$6842,6,0))</f>
        <v>132996</v>
      </c>
      <c r="CK65">
        <f>ROW()</f>
        <v>65</v>
      </c>
      <c r="CM65" t="str">
        <f t="shared" si="29"/>
        <v>CG61:CG65</v>
      </c>
      <c r="CN65">
        <f t="shared" si="30"/>
        <v>53</v>
      </c>
      <c r="CO65">
        <f t="shared" ca="1" si="31"/>
        <v>217.6</v>
      </c>
      <c r="CQ65" t="str">
        <f t="shared" si="32"/>
        <v>CG46:CG65</v>
      </c>
      <c r="CR65">
        <f t="shared" si="33"/>
        <v>38</v>
      </c>
      <c r="CS65">
        <f t="shared" ca="1" si="34"/>
        <v>213.47499999999999</v>
      </c>
      <c r="CU65" t="str">
        <f t="shared" si="35"/>
        <v>CG6:CG65</v>
      </c>
      <c r="CV65">
        <f t="shared" si="36"/>
        <v>-2</v>
      </c>
      <c r="CW65" t="e">
        <f t="shared" ca="1" si="37"/>
        <v>#N/A</v>
      </c>
      <c r="CY65">
        <f t="shared" ca="1" si="38"/>
        <v>446.60095000000001</v>
      </c>
      <c r="CZ65">
        <f t="shared" ca="1" si="44"/>
        <v>443.95311650186079</v>
      </c>
      <c r="DA65">
        <f t="shared" ca="1" si="47"/>
        <v>438.08474257388542</v>
      </c>
      <c r="DB65">
        <f t="shared" ca="1" si="46"/>
        <v>5.8683739279753695</v>
      </c>
      <c r="DC65">
        <f t="shared" ca="1" si="48"/>
        <v>4.7930521728572693</v>
      </c>
      <c r="DD65">
        <f t="shared" ca="1" si="49"/>
        <v>1.0753217551181002</v>
      </c>
    </row>
    <row r="66" spans="51:108" x14ac:dyDescent="0.25">
      <c r="AY66" t="str">
        <f>"日K!A"&amp;日K!$E$3-239+1+BF66-8</f>
        <v>日K!A6658</v>
      </c>
      <c r="AZ66" s="4">
        <f t="shared" ca="1" si="16"/>
        <v>44125</v>
      </c>
      <c r="BA66" s="13">
        <f t="shared" ca="1" si="17"/>
        <v>447.58800000000002</v>
      </c>
      <c r="BB66" s="13">
        <f t="shared" ca="1" si="18"/>
        <v>450.05540000000002</v>
      </c>
      <c r="BC66" s="13">
        <f t="shared" ca="1" si="19"/>
        <v>445.12049999999999</v>
      </c>
      <c r="BD66" s="13">
        <f t="shared" ca="1" si="20"/>
        <v>447.09449999999998</v>
      </c>
      <c r="BE66" s="13">
        <f t="shared" ca="1" si="21"/>
        <v>29907</v>
      </c>
      <c r="BF66">
        <f>ROW()</f>
        <v>66</v>
      </c>
      <c r="BH66" t="str">
        <f t="shared" si="22"/>
        <v>BC62:BC66</v>
      </c>
      <c r="BI66">
        <f t="shared" si="41"/>
        <v>54</v>
      </c>
      <c r="BJ66">
        <f t="shared" ca="1" si="23"/>
        <v>444.42964000000001</v>
      </c>
      <c r="BL66" t="str">
        <f t="shared" si="24"/>
        <v>BC47:BC66</v>
      </c>
      <c r="BM66">
        <f t="shared" si="42"/>
        <v>39</v>
      </c>
      <c r="BN66">
        <f t="shared" ca="1" si="25"/>
        <v>434.75740999999999</v>
      </c>
      <c r="BP66" t="str">
        <f t="shared" si="26"/>
        <v>BC7:BC66</v>
      </c>
      <c r="BQ66">
        <f t="shared" si="43"/>
        <v>-1</v>
      </c>
      <c r="BR66" t="e">
        <f t="shared" ca="1" si="27"/>
        <v>#N/A</v>
      </c>
      <c r="BT66">
        <f t="shared" ca="1" si="45"/>
        <v>437.49625500000002</v>
      </c>
      <c r="BU66">
        <f t="shared" ca="1" si="50"/>
        <v>3.5889438249462673</v>
      </c>
      <c r="BV66">
        <f t="shared" ca="1" si="51"/>
        <v>444.67414264989253</v>
      </c>
      <c r="BW66">
        <f t="shared" ca="1" si="52"/>
        <v>430.31836735010751</v>
      </c>
      <c r="BY66">
        <f t="shared" ca="1" si="6"/>
        <v>444.42964000000001</v>
      </c>
      <c r="BZ66">
        <f t="shared" ca="1" si="7"/>
        <v>434.75740999999999</v>
      </c>
      <c r="CA66" t="e">
        <f t="shared" ca="1" si="8"/>
        <v>#N/A</v>
      </c>
      <c r="CD66" t="str">
        <f>IF(周K!$E$3+CK66-12&gt;工作底稿!$CE$5,"周K!A"&amp;周K!$E$3-$CE$5+1+CK66-8,0)</f>
        <v>周K!A226</v>
      </c>
      <c r="CE66" s="4">
        <f t="shared" ca="1" si="28"/>
        <v>42996</v>
      </c>
      <c r="CF66" s="13">
        <f ca="1">IF($CD66=0,"",VLOOKUP($CE66,周K!$A$6:$F$6842,2,0))</f>
        <v>219</v>
      </c>
      <c r="CG66" s="13">
        <f ca="1">IF($CD66=0,"",VLOOKUP($CE66,周K!$A$6:$F$6842,3,0))</f>
        <v>223</v>
      </c>
      <c r="CH66" s="13">
        <f ca="1">IF($CD66=0,"",VLOOKUP($CE66,周K!$A$6:$F$6842,4,0))</f>
        <v>218</v>
      </c>
      <c r="CI66" s="13">
        <f ca="1">IF($CD66=0,"",VLOOKUP($CE66,周K!$A$6:$F$6842,5,0))</f>
        <v>218.5</v>
      </c>
      <c r="CJ66" s="13">
        <f ca="1">IF($CD66=0,"",VLOOKUP($CE66,周K!$A$6:$F$6842,6,0))</f>
        <v>108604</v>
      </c>
      <c r="CK66">
        <f>ROW()</f>
        <v>66</v>
      </c>
      <c r="CM66" t="str">
        <f t="shared" si="29"/>
        <v>CG62:CG66</v>
      </c>
      <c r="CN66">
        <f t="shared" si="30"/>
        <v>54</v>
      </c>
      <c r="CO66">
        <f t="shared" ca="1" si="31"/>
        <v>219.3</v>
      </c>
      <c r="CQ66" t="str">
        <f t="shared" si="32"/>
        <v>CG47:CG66</v>
      </c>
      <c r="CR66">
        <f t="shared" si="33"/>
        <v>39</v>
      </c>
      <c r="CS66">
        <f t="shared" ca="1" si="34"/>
        <v>214.67500000000001</v>
      </c>
      <c r="CU66" t="str">
        <f t="shared" si="35"/>
        <v>CG7:CG66</v>
      </c>
      <c r="CV66">
        <f t="shared" si="36"/>
        <v>-1</v>
      </c>
      <c r="CW66" t="e">
        <f t="shared" ca="1" si="37"/>
        <v>#N/A</v>
      </c>
      <c r="CY66">
        <f t="shared" ca="1" si="38"/>
        <v>447.34122500000001</v>
      </c>
      <c r="CZ66">
        <f t="shared" ca="1" si="44"/>
        <v>444.47436396311298</v>
      </c>
      <c r="DA66">
        <f t="shared" ca="1" si="47"/>
        <v>438.7704079387828</v>
      </c>
      <c r="DB66">
        <f t="shared" ca="1" si="46"/>
        <v>5.7039560243301821</v>
      </c>
      <c r="DC66">
        <f t="shared" ca="1" si="48"/>
        <v>5.2843104342051355</v>
      </c>
      <c r="DD66">
        <f t="shared" ca="1" si="49"/>
        <v>0.41964559012504665</v>
      </c>
    </row>
    <row r="67" spans="51:108" x14ac:dyDescent="0.25">
      <c r="AY67" t="str">
        <f>"日K!A"&amp;日K!$E$3-239+1+BF67-8</f>
        <v>日K!A6659</v>
      </c>
      <c r="AZ67" s="4">
        <f t="shared" ca="1" si="16"/>
        <v>44126</v>
      </c>
      <c r="BA67" s="13">
        <f t="shared" ca="1" si="17"/>
        <v>444.1336</v>
      </c>
      <c r="BB67" s="13">
        <f t="shared" ca="1" si="18"/>
        <v>449.0684</v>
      </c>
      <c r="BC67" s="13">
        <f t="shared" ca="1" si="19"/>
        <v>443.64010000000002</v>
      </c>
      <c r="BD67" s="13">
        <f t="shared" ca="1" si="20"/>
        <v>449.0684</v>
      </c>
      <c r="BE67" s="13">
        <f t="shared" ca="1" si="21"/>
        <v>25286</v>
      </c>
      <c r="BF67">
        <f>ROW()</f>
        <v>67</v>
      </c>
      <c r="BH67" t="str">
        <f t="shared" si="22"/>
        <v>BC63:BC67</v>
      </c>
      <c r="BI67">
        <f t="shared" si="41"/>
        <v>55</v>
      </c>
      <c r="BJ67">
        <f t="shared" ca="1" si="23"/>
        <v>444.33094</v>
      </c>
      <c r="BL67" t="str">
        <f t="shared" si="24"/>
        <v>BC48:BC67</v>
      </c>
      <c r="BM67">
        <f t="shared" si="42"/>
        <v>40</v>
      </c>
      <c r="BN67">
        <f t="shared" ca="1" si="25"/>
        <v>435.22622000000013</v>
      </c>
      <c r="BP67" t="str">
        <f t="shared" si="26"/>
        <v>BC8:BC67</v>
      </c>
      <c r="BQ67">
        <f t="shared" si="43"/>
        <v>0</v>
      </c>
      <c r="BR67">
        <f t="shared" ca="1" si="27"/>
        <v>425.90919833333356</v>
      </c>
      <c r="BT67">
        <f t="shared" ca="1" si="45"/>
        <v>438.23648000000003</v>
      </c>
      <c r="BU67">
        <f t="shared" ca="1" si="50"/>
        <v>3.8031455423409106</v>
      </c>
      <c r="BV67">
        <f t="shared" ca="1" si="51"/>
        <v>445.84277108468183</v>
      </c>
      <c r="BW67">
        <f t="shared" ca="1" si="52"/>
        <v>430.63018891531823</v>
      </c>
      <c r="BY67">
        <f t="shared" ca="1" si="6"/>
        <v>444.33094</v>
      </c>
      <c r="BZ67">
        <f t="shared" ca="1" si="7"/>
        <v>435.22622000000013</v>
      </c>
      <c r="CA67">
        <f t="shared" ca="1" si="8"/>
        <v>425.90919833333356</v>
      </c>
      <c r="CD67" t="str">
        <f>IF(周K!$E$3+CK67-12&gt;工作底稿!$CE$5,"周K!A"&amp;周K!$E$3-$CE$5+1+CK67-8,0)</f>
        <v>周K!A227</v>
      </c>
      <c r="CE67" s="4">
        <f t="shared" ca="1" si="28"/>
        <v>43003</v>
      </c>
      <c r="CF67" s="13">
        <f ca="1">IF($CD67=0,"",VLOOKUP($CE67,周K!$A$6:$F$6842,2,0))</f>
        <v>217.5</v>
      </c>
      <c r="CG67" s="13">
        <f ca="1">IF($CD67=0,"",VLOOKUP($CE67,周K!$A$6:$F$6842,3,0))</f>
        <v>218.5</v>
      </c>
      <c r="CH67" s="13">
        <f ca="1">IF($CD67=0,"",VLOOKUP($CE67,周K!$A$6:$F$6842,4,0))</f>
        <v>213.5</v>
      </c>
      <c r="CI67" s="13">
        <f ca="1">IF($CD67=0,"",VLOOKUP($CE67,周K!$A$6:$F$6842,5,0))</f>
        <v>216.5</v>
      </c>
      <c r="CJ67" s="13">
        <f ca="1">IF($CD67=0,"",VLOOKUP($CE67,周K!$A$6:$F$6842,6,0))</f>
        <v>127082</v>
      </c>
      <c r="CK67">
        <f>ROW()</f>
        <v>67</v>
      </c>
      <c r="CM67" t="str">
        <f t="shared" si="29"/>
        <v>CG63:CG67</v>
      </c>
      <c r="CN67">
        <f t="shared" si="30"/>
        <v>55</v>
      </c>
      <c r="CO67">
        <f t="shared" ca="1" si="31"/>
        <v>219.5</v>
      </c>
      <c r="CQ67" t="str">
        <f t="shared" si="32"/>
        <v>CG48:CG67</v>
      </c>
      <c r="CR67">
        <f t="shared" si="33"/>
        <v>40</v>
      </c>
      <c r="CS67">
        <f t="shared" ca="1" si="34"/>
        <v>215.17500000000001</v>
      </c>
      <c r="CU67" t="str">
        <f t="shared" si="35"/>
        <v>CG8:CG67</v>
      </c>
      <c r="CV67">
        <f t="shared" si="36"/>
        <v>0</v>
      </c>
      <c r="CW67">
        <f t="shared" ca="1" si="37"/>
        <v>197.03333333333333</v>
      </c>
      <c r="CY67">
        <f t="shared" ca="1" si="38"/>
        <v>447.71132499999999</v>
      </c>
      <c r="CZ67">
        <f t="shared" ca="1" si="44"/>
        <v>444.97235796878789</v>
      </c>
      <c r="DA67">
        <f t="shared" ca="1" si="47"/>
        <v>439.43269809146557</v>
      </c>
      <c r="DB67">
        <f t="shared" ca="1" si="46"/>
        <v>5.5396598773223218</v>
      </c>
      <c r="DC67">
        <f t="shared" ca="1" si="48"/>
        <v>5.6221013874196233</v>
      </c>
      <c r="DD67">
        <f t="shared" ca="1" si="49"/>
        <v>-8.2441510097301496E-2</v>
      </c>
    </row>
    <row r="68" spans="51:108" x14ac:dyDescent="0.25">
      <c r="AY68" t="str">
        <f>"日K!A"&amp;日K!$E$3-239+1+BF68-8</f>
        <v>日K!A6660</v>
      </c>
      <c r="AZ68" s="4">
        <f t="shared" ca="1" si="16"/>
        <v>44127</v>
      </c>
      <c r="BA68" s="13">
        <f t="shared" ca="1" si="17"/>
        <v>452.02929999999998</v>
      </c>
      <c r="BB68" s="13">
        <f t="shared" ca="1" si="18"/>
        <v>452.02929999999998</v>
      </c>
      <c r="BC68" s="13">
        <f t="shared" ca="1" si="19"/>
        <v>445.61399999999998</v>
      </c>
      <c r="BD68" s="13">
        <f t="shared" ca="1" si="20"/>
        <v>446.10750000000002</v>
      </c>
      <c r="BE68" s="13">
        <f t="shared" ca="1" si="21"/>
        <v>18777</v>
      </c>
      <c r="BF68">
        <f>ROW()</f>
        <v>68</v>
      </c>
      <c r="BH68" t="str">
        <f t="shared" si="22"/>
        <v>BC64:BC68</v>
      </c>
      <c r="BI68">
        <f t="shared" si="41"/>
        <v>56</v>
      </c>
      <c r="BJ68">
        <f t="shared" ca="1" si="23"/>
        <v>444.92312000000004</v>
      </c>
      <c r="BL68" t="str">
        <f t="shared" si="24"/>
        <v>BC49:BC68</v>
      </c>
      <c r="BM68">
        <f t="shared" si="42"/>
        <v>41</v>
      </c>
      <c r="BN68">
        <f t="shared" ca="1" si="25"/>
        <v>435.99111499999992</v>
      </c>
      <c r="BP68" t="str">
        <f t="shared" si="26"/>
        <v>BC9:BC68</v>
      </c>
      <c r="BQ68">
        <f t="shared" si="43"/>
        <v>1</v>
      </c>
      <c r="BR68">
        <f t="shared" ca="1" si="27"/>
        <v>426.3260083333335</v>
      </c>
      <c r="BT68">
        <f t="shared" ca="1" si="45"/>
        <v>438.97669999999999</v>
      </c>
      <c r="BU68">
        <f t="shared" ca="1" si="50"/>
        <v>4.0231747017077453</v>
      </c>
      <c r="BV68">
        <f t="shared" ca="1" si="51"/>
        <v>447.02304940341548</v>
      </c>
      <c r="BW68">
        <f t="shared" ca="1" si="52"/>
        <v>430.9303505965845</v>
      </c>
      <c r="BY68">
        <f t="shared" ca="1" si="6"/>
        <v>444.92312000000004</v>
      </c>
      <c r="BZ68">
        <f t="shared" ca="1" si="7"/>
        <v>435.99111499999992</v>
      </c>
      <c r="CA68">
        <f t="shared" ca="1" si="8"/>
        <v>426.3260083333335</v>
      </c>
      <c r="CD68" t="str">
        <f>IF(周K!$E$3+CK68-12&gt;工作底稿!$CE$5,"周K!A"&amp;周K!$E$3-$CE$5+1+CK68-8,0)</f>
        <v>周K!A228</v>
      </c>
      <c r="CE68" s="4">
        <f t="shared" ca="1" si="28"/>
        <v>43010</v>
      </c>
      <c r="CF68" s="13">
        <f ca="1">IF($CD68=0,"",VLOOKUP($CE68,周K!$A$6:$F$6842,2,0))</f>
        <v>219.5</v>
      </c>
      <c r="CG68" s="13">
        <f ca="1">IF($CD68=0,"",VLOOKUP($CE68,周K!$A$6:$F$6842,3,0))</f>
        <v>225.5</v>
      </c>
      <c r="CH68" s="13">
        <f ca="1">IF($CD68=0,"",VLOOKUP($CE68,周K!$A$6:$F$6842,4,0))</f>
        <v>218.5</v>
      </c>
      <c r="CI68" s="13">
        <f ca="1">IF($CD68=0,"",VLOOKUP($CE68,周K!$A$6:$F$6842,5,0))</f>
        <v>224.5</v>
      </c>
      <c r="CJ68" s="13">
        <f ca="1">IF($CD68=0,"",VLOOKUP($CE68,周K!$A$6:$F$6842,6,0))</f>
        <v>108130</v>
      </c>
      <c r="CK68">
        <f>ROW()</f>
        <v>68</v>
      </c>
      <c r="CM68" t="str">
        <f t="shared" si="29"/>
        <v>CG64:CG68</v>
      </c>
      <c r="CN68">
        <f t="shared" si="30"/>
        <v>56</v>
      </c>
      <c r="CO68">
        <f t="shared" ca="1" si="31"/>
        <v>221</v>
      </c>
      <c r="CQ68" t="str">
        <f t="shared" si="32"/>
        <v>CG49:CG68</v>
      </c>
      <c r="CR68">
        <f t="shared" si="33"/>
        <v>41</v>
      </c>
      <c r="CS68">
        <f t="shared" ca="1" si="34"/>
        <v>216.15</v>
      </c>
      <c r="CU68" t="str">
        <f t="shared" si="35"/>
        <v>CG9:CG68</v>
      </c>
      <c r="CV68">
        <f t="shared" si="36"/>
        <v>1</v>
      </c>
      <c r="CW68">
        <f t="shared" ca="1" si="37"/>
        <v>197.8</v>
      </c>
      <c r="CY68">
        <f t="shared" ca="1" si="38"/>
        <v>447.46457499999997</v>
      </c>
      <c r="CZ68">
        <f t="shared" ca="1" si="44"/>
        <v>445.35577597358974</v>
      </c>
      <c r="DA68">
        <f t="shared" ca="1" si="47"/>
        <v>440.02765193654216</v>
      </c>
      <c r="DB68">
        <f t="shared" ca="1" si="46"/>
        <v>5.3281240370475871</v>
      </c>
      <c r="DC68">
        <f t="shared" ca="1" si="48"/>
        <v>5.7658209060200534</v>
      </c>
      <c r="DD68">
        <f t="shared" ca="1" si="49"/>
        <v>-0.43769686897246629</v>
      </c>
    </row>
    <row r="69" spans="51:108" x14ac:dyDescent="0.25">
      <c r="AY69" t="str">
        <f>"日K!A"&amp;日K!$E$3-239+1+BF69-8</f>
        <v>日K!A6661</v>
      </c>
      <c r="AZ69" s="4">
        <f t="shared" ca="1" si="16"/>
        <v>44130</v>
      </c>
      <c r="BA69" s="13">
        <f t="shared" ca="1" si="17"/>
        <v>449.0684</v>
      </c>
      <c r="BB69" s="13">
        <f t="shared" ca="1" si="18"/>
        <v>449.0684</v>
      </c>
      <c r="BC69" s="13">
        <f t="shared" ca="1" si="19"/>
        <v>444.1336</v>
      </c>
      <c r="BD69" s="13">
        <f t="shared" ca="1" si="20"/>
        <v>444.1336</v>
      </c>
      <c r="BE69" s="13">
        <f t="shared" ca="1" si="21"/>
        <v>15801</v>
      </c>
      <c r="BF69">
        <f>ROW()</f>
        <v>69</v>
      </c>
      <c r="BH69" t="str">
        <f t="shared" si="22"/>
        <v>BC65:BC69</v>
      </c>
      <c r="BI69">
        <f t="shared" si="41"/>
        <v>57</v>
      </c>
      <c r="BJ69">
        <f t="shared" ca="1" si="23"/>
        <v>444.72574000000003</v>
      </c>
      <c r="BL69" t="str">
        <f t="shared" si="24"/>
        <v>BC50:BC69</v>
      </c>
      <c r="BM69">
        <f t="shared" si="42"/>
        <v>42</v>
      </c>
      <c r="BN69">
        <f t="shared" ca="1" si="25"/>
        <v>436.8793849999999</v>
      </c>
      <c r="BP69" t="str">
        <f t="shared" si="26"/>
        <v>BC10:BC69</v>
      </c>
      <c r="BQ69">
        <f t="shared" si="43"/>
        <v>2</v>
      </c>
      <c r="BR69">
        <f t="shared" ca="1" si="27"/>
        <v>426.86538166666685</v>
      </c>
      <c r="BT69">
        <f t="shared" ca="1" si="45"/>
        <v>439.79094500000002</v>
      </c>
      <c r="BU69">
        <f t="shared" ca="1" si="50"/>
        <v>4.2281730776548123</v>
      </c>
      <c r="BV69">
        <f t="shared" ca="1" si="51"/>
        <v>448.24729115530965</v>
      </c>
      <c r="BW69">
        <f t="shared" ca="1" si="52"/>
        <v>431.33459884469039</v>
      </c>
      <c r="BY69">
        <f t="shared" ca="1" si="6"/>
        <v>444.72574000000003</v>
      </c>
      <c r="BZ69">
        <f t="shared" ca="1" si="7"/>
        <v>436.8793849999999</v>
      </c>
      <c r="CA69">
        <f t="shared" ca="1" si="8"/>
        <v>426.86538166666685</v>
      </c>
      <c r="CD69" t="str">
        <f>IF(周K!$E$3+CK69-12&gt;工作底稿!$CE$5,"周K!A"&amp;周K!$E$3-$CE$5+1+CK69-8,0)</f>
        <v>周K!A229</v>
      </c>
      <c r="CE69" s="4">
        <f t="shared" ca="1" si="28"/>
        <v>43019</v>
      </c>
      <c r="CF69" s="13">
        <f ca="1">IF($CD69=0,"",VLOOKUP($CE69,周K!$A$6:$F$6842,2,0))</f>
        <v>226.5</v>
      </c>
      <c r="CG69" s="13">
        <f ca="1">IF($CD69=0,"",VLOOKUP($CE69,周K!$A$6:$F$6842,3,0))</f>
        <v>237.5</v>
      </c>
      <c r="CH69" s="13">
        <f ca="1">IF($CD69=0,"",VLOOKUP($CE69,周K!$A$6:$F$6842,4,0))</f>
        <v>226.5</v>
      </c>
      <c r="CI69" s="13">
        <f ca="1">IF($CD69=0,"",VLOOKUP($CE69,周K!$A$6:$F$6842,5,0))</f>
        <v>237.5</v>
      </c>
      <c r="CJ69" s="13">
        <f ca="1">IF($CD69=0,"",VLOOKUP($CE69,周K!$A$6:$F$6842,6,0))</f>
        <v>134971</v>
      </c>
      <c r="CK69">
        <f>ROW()</f>
        <v>69</v>
      </c>
      <c r="CM69" t="str">
        <f t="shared" si="29"/>
        <v>CG65:CG69</v>
      </c>
      <c r="CN69">
        <f t="shared" si="30"/>
        <v>57</v>
      </c>
      <c r="CO69">
        <f t="shared" ca="1" si="31"/>
        <v>224.8</v>
      </c>
      <c r="CQ69" t="str">
        <f t="shared" si="32"/>
        <v>CG50:CG69</v>
      </c>
      <c r="CR69">
        <f t="shared" si="33"/>
        <v>42</v>
      </c>
      <c r="CS69">
        <f t="shared" ca="1" si="34"/>
        <v>217.67500000000001</v>
      </c>
      <c r="CU69" t="str">
        <f t="shared" si="35"/>
        <v>CG10:CG69</v>
      </c>
      <c r="CV69">
        <f t="shared" si="36"/>
        <v>2</v>
      </c>
      <c r="CW69">
        <f t="shared" ca="1" si="37"/>
        <v>198.77500000000001</v>
      </c>
      <c r="CY69">
        <f t="shared" ca="1" si="38"/>
        <v>445.3673</v>
      </c>
      <c r="CZ69">
        <f t="shared" ca="1" si="44"/>
        <v>445.3575489007298</v>
      </c>
      <c r="DA69">
        <f t="shared" ca="1" si="47"/>
        <v>440.42318142272421</v>
      </c>
      <c r="DB69">
        <f t="shared" ca="1" si="46"/>
        <v>4.9343674780055835</v>
      </c>
      <c r="DC69">
        <f t="shared" ca="1" si="48"/>
        <v>5.7241411516418834</v>
      </c>
      <c r="DD69">
        <f t="shared" ca="1" si="49"/>
        <v>-0.78977367363629991</v>
      </c>
    </row>
    <row r="70" spans="51:108" x14ac:dyDescent="0.25">
      <c r="AY70" t="str">
        <f>"日K!A"&amp;日K!$E$3-239+1+BF70-8</f>
        <v>日K!A6662</v>
      </c>
      <c r="AZ70" s="4">
        <f t="shared" ca="1" si="16"/>
        <v>44131</v>
      </c>
      <c r="BA70" s="13">
        <f t="shared" ca="1" si="17"/>
        <v>441.6662</v>
      </c>
      <c r="BB70" s="13">
        <f t="shared" ca="1" si="18"/>
        <v>442.65309999999999</v>
      </c>
      <c r="BC70" s="13">
        <f t="shared" ca="1" si="19"/>
        <v>439.69220000000001</v>
      </c>
      <c r="BD70" s="13">
        <f t="shared" ca="1" si="20"/>
        <v>441.17270000000002</v>
      </c>
      <c r="BE70" s="13">
        <f t="shared" ca="1" si="21"/>
        <v>31795</v>
      </c>
      <c r="BF70">
        <f>ROW()</f>
        <v>70</v>
      </c>
      <c r="BH70" t="str">
        <f t="shared" si="22"/>
        <v>BC66:BC70</v>
      </c>
      <c r="BI70">
        <f t="shared" si="41"/>
        <v>58</v>
      </c>
      <c r="BJ70">
        <f t="shared" ca="1" si="23"/>
        <v>443.64008000000001</v>
      </c>
      <c r="BL70" t="str">
        <f t="shared" si="24"/>
        <v>BC51:BC70</v>
      </c>
      <c r="BM70">
        <f t="shared" si="42"/>
        <v>43</v>
      </c>
      <c r="BN70">
        <f t="shared" ca="1" si="25"/>
        <v>437.98971499999988</v>
      </c>
      <c r="BP70" t="str">
        <f t="shared" si="26"/>
        <v>BC11:BC70</v>
      </c>
      <c r="BQ70">
        <f t="shared" si="43"/>
        <v>3</v>
      </c>
      <c r="BR70">
        <f t="shared" ca="1" si="27"/>
        <v>427.18349500000022</v>
      </c>
      <c r="BT70">
        <f t="shared" ca="1" si="45"/>
        <v>440.97529999999995</v>
      </c>
      <c r="BU70">
        <f t="shared" ca="1" si="50"/>
        <v>4.4002647035698708</v>
      </c>
      <c r="BV70">
        <f t="shared" ca="1" si="51"/>
        <v>449.77582940713967</v>
      </c>
      <c r="BW70">
        <f t="shared" ca="1" si="52"/>
        <v>432.17477059286023</v>
      </c>
      <c r="BY70">
        <f t="shared" ca="1" si="6"/>
        <v>443.64008000000001</v>
      </c>
      <c r="BZ70">
        <f t="shared" ca="1" si="7"/>
        <v>437.98971499999988</v>
      </c>
      <c r="CA70">
        <f t="shared" ca="1" si="8"/>
        <v>427.18349500000022</v>
      </c>
      <c r="CD70" t="str">
        <f>IF(周K!$E$3+CK70-12&gt;工作底稿!$CE$5,"周K!A"&amp;周K!$E$3-$CE$5+1+CK70-8,0)</f>
        <v>周K!A230</v>
      </c>
      <c r="CE70" s="4">
        <f t="shared" ca="1" si="28"/>
        <v>43024</v>
      </c>
      <c r="CF70" s="13">
        <f ca="1">IF($CD70=0,"",VLOOKUP($CE70,周K!$A$6:$F$6842,2,0))</f>
        <v>237.5</v>
      </c>
      <c r="CG70" s="13">
        <f ca="1">IF($CD70=0,"",VLOOKUP($CE70,周K!$A$6:$F$6842,3,0))</f>
        <v>241.5</v>
      </c>
      <c r="CH70" s="13">
        <f ca="1">IF($CD70=0,"",VLOOKUP($CE70,周K!$A$6:$F$6842,4,0))</f>
        <v>235</v>
      </c>
      <c r="CI70" s="13">
        <f ca="1">IF($CD70=0,"",VLOOKUP($CE70,周K!$A$6:$F$6842,5,0))</f>
        <v>237.5</v>
      </c>
      <c r="CJ70" s="13">
        <f ca="1">IF($CD70=0,"",VLOOKUP($CE70,周K!$A$6:$F$6842,6,0))</f>
        <v>117834</v>
      </c>
      <c r="CK70">
        <f>ROW()</f>
        <v>70</v>
      </c>
      <c r="CM70" t="str">
        <f t="shared" si="29"/>
        <v>CG66:CG70</v>
      </c>
      <c r="CN70">
        <f t="shared" si="30"/>
        <v>58</v>
      </c>
      <c r="CO70">
        <f t="shared" ca="1" si="31"/>
        <v>229.2</v>
      </c>
      <c r="CQ70" t="str">
        <f t="shared" si="32"/>
        <v>CG51:CG70</v>
      </c>
      <c r="CR70">
        <f t="shared" si="33"/>
        <v>43</v>
      </c>
      <c r="CS70">
        <f t="shared" ca="1" si="34"/>
        <v>219.3</v>
      </c>
      <c r="CU70" t="str">
        <f t="shared" si="35"/>
        <v>CG11:CG70</v>
      </c>
      <c r="CV70">
        <f t="shared" si="36"/>
        <v>3</v>
      </c>
      <c r="CW70">
        <f t="shared" ca="1" si="37"/>
        <v>199.85</v>
      </c>
      <c r="CY70">
        <f t="shared" ca="1" si="38"/>
        <v>441.17267500000003</v>
      </c>
      <c r="CZ70">
        <f t="shared" ca="1" si="44"/>
        <v>444.71372214677137</v>
      </c>
      <c r="DA70">
        <f t="shared" ca="1" si="47"/>
        <v>440.47869946548542</v>
      </c>
      <c r="DB70">
        <f t="shared" ca="1" si="46"/>
        <v>4.2350226812859546</v>
      </c>
      <c r="DC70">
        <f t="shared" ca="1" si="48"/>
        <v>5.5212771840745818</v>
      </c>
      <c r="DD70">
        <f t="shared" ca="1" si="49"/>
        <v>-1.2862545027886272</v>
      </c>
    </row>
    <row r="71" spans="51:108" x14ac:dyDescent="0.25">
      <c r="AY71" t="str">
        <f>"日K!A"&amp;日K!$E$3-239+1+BF71-8</f>
        <v>日K!A6663</v>
      </c>
      <c r="AZ71" s="4">
        <f t="shared" ca="1" si="16"/>
        <v>44132</v>
      </c>
      <c r="BA71" s="13">
        <f t="shared" ca="1" si="17"/>
        <v>439.19880000000001</v>
      </c>
      <c r="BB71" s="13">
        <f t="shared" ca="1" si="18"/>
        <v>441.17270000000002</v>
      </c>
      <c r="BC71" s="13">
        <f t="shared" ca="1" si="19"/>
        <v>437.22480000000002</v>
      </c>
      <c r="BD71" s="13">
        <f t="shared" ca="1" si="20"/>
        <v>438.21179999999998</v>
      </c>
      <c r="BE71" s="13">
        <f t="shared" ca="1" si="21"/>
        <v>26222</v>
      </c>
      <c r="BF71">
        <f>ROW()</f>
        <v>71</v>
      </c>
      <c r="BH71" t="str">
        <f t="shared" si="22"/>
        <v>BC67:BC71</v>
      </c>
      <c r="BI71">
        <f t="shared" si="41"/>
        <v>59</v>
      </c>
      <c r="BJ71">
        <f t="shared" ca="1" si="23"/>
        <v>442.06094000000002</v>
      </c>
      <c r="BL71" t="str">
        <f t="shared" si="24"/>
        <v>BC52:BC71</v>
      </c>
      <c r="BM71">
        <f t="shared" si="42"/>
        <v>44</v>
      </c>
      <c r="BN71">
        <f t="shared" ca="1" si="25"/>
        <v>439.07537500000001</v>
      </c>
      <c r="BP71" t="str">
        <f t="shared" si="26"/>
        <v>BC12:BC71</v>
      </c>
      <c r="BQ71">
        <f t="shared" si="43"/>
        <v>4</v>
      </c>
      <c r="BR71">
        <f t="shared" ca="1" si="27"/>
        <v>427.50956333333363</v>
      </c>
      <c r="BT71">
        <f t="shared" ca="1" si="45"/>
        <v>441.96226499999995</v>
      </c>
      <c r="BU71">
        <f t="shared" ca="1" si="50"/>
        <v>4.5259333762946126</v>
      </c>
      <c r="BV71">
        <f t="shared" ca="1" si="51"/>
        <v>451.01413175258915</v>
      </c>
      <c r="BW71">
        <f t="shared" ca="1" si="52"/>
        <v>432.91039824741074</v>
      </c>
      <c r="BY71">
        <f t="shared" ca="1" si="6"/>
        <v>442.06094000000002</v>
      </c>
      <c r="BZ71">
        <f t="shared" ca="1" si="7"/>
        <v>439.07537500000001</v>
      </c>
      <c r="CA71">
        <f t="shared" ca="1" si="8"/>
        <v>427.50956333333363</v>
      </c>
      <c r="CD71" t="str">
        <f>IF(周K!$E$3+CK71-12&gt;工作底稿!$CE$5,"周K!A"&amp;周K!$E$3-$CE$5+1+CK71-8,0)</f>
        <v>周K!A231</v>
      </c>
      <c r="CE71" s="4">
        <f t="shared" ca="1" si="28"/>
        <v>43031</v>
      </c>
      <c r="CF71" s="13">
        <f ca="1">IF($CD71=0,"",VLOOKUP($CE71,周K!$A$6:$F$6842,2,0))</f>
        <v>239</v>
      </c>
      <c r="CG71" s="13">
        <f ca="1">IF($CD71=0,"",VLOOKUP($CE71,周K!$A$6:$F$6842,3,0))</f>
        <v>240</v>
      </c>
      <c r="CH71" s="13">
        <f ca="1">IF($CD71=0,"",VLOOKUP($CE71,周K!$A$6:$F$6842,4,0))</f>
        <v>236</v>
      </c>
      <c r="CI71" s="13">
        <f ca="1">IF($CD71=0,"",VLOOKUP($CE71,周K!$A$6:$F$6842,5,0))</f>
        <v>239</v>
      </c>
      <c r="CJ71" s="13">
        <f ca="1">IF($CD71=0,"",VLOOKUP($CE71,周K!$A$6:$F$6842,6,0))</f>
        <v>80266</v>
      </c>
      <c r="CK71">
        <f>ROW()</f>
        <v>71</v>
      </c>
      <c r="CM71" t="str">
        <f t="shared" si="29"/>
        <v>CG67:CG71</v>
      </c>
      <c r="CN71">
        <f t="shared" si="30"/>
        <v>59</v>
      </c>
      <c r="CO71">
        <f t="shared" ca="1" si="31"/>
        <v>232.6</v>
      </c>
      <c r="CQ71" t="str">
        <f t="shared" si="32"/>
        <v>CG52:CG71</v>
      </c>
      <c r="CR71">
        <f t="shared" si="33"/>
        <v>44</v>
      </c>
      <c r="CS71">
        <f t="shared" ca="1" si="34"/>
        <v>220.55</v>
      </c>
      <c r="CU71" t="str">
        <f t="shared" si="35"/>
        <v>CG12:CG71</v>
      </c>
      <c r="CV71">
        <f t="shared" si="36"/>
        <v>4</v>
      </c>
      <c r="CW71">
        <f t="shared" ca="1" si="37"/>
        <v>200.9</v>
      </c>
      <c r="CY71">
        <f t="shared" ca="1" si="38"/>
        <v>438.70527500000003</v>
      </c>
      <c r="CZ71">
        <f t="shared" ca="1" si="44"/>
        <v>443.78934566265269</v>
      </c>
      <c r="DA71">
        <f t="shared" ca="1" si="47"/>
        <v>440.34733469026429</v>
      </c>
      <c r="DB71">
        <f t="shared" ca="1" si="46"/>
        <v>3.4420109723884025</v>
      </c>
      <c r="DC71">
        <f t="shared" ca="1" si="48"/>
        <v>5.223965883550445</v>
      </c>
      <c r="DD71">
        <f t="shared" ca="1" si="49"/>
        <v>-1.7819549111620425</v>
      </c>
    </row>
    <row r="72" spans="51:108" x14ac:dyDescent="0.25">
      <c r="AY72" t="str">
        <f>"日K!A"&amp;日K!$E$3-239+1+BF72-8</f>
        <v>日K!A6664</v>
      </c>
      <c r="AZ72" s="4">
        <f t="shared" ca="1" si="16"/>
        <v>44133</v>
      </c>
      <c r="BA72" s="13">
        <f t="shared" ca="1" si="17"/>
        <v>430.80959999999999</v>
      </c>
      <c r="BB72" s="13">
        <f t="shared" ca="1" si="18"/>
        <v>433.77050000000003</v>
      </c>
      <c r="BC72" s="13">
        <f t="shared" ca="1" si="19"/>
        <v>429.82260000000002</v>
      </c>
      <c r="BD72" s="13">
        <f t="shared" ca="1" si="20"/>
        <v>431.30309999999997</v>
      </c>
      <c r="BE72" s="13">
        <f t="shared" ca="1" si="21"/>
        <v>43075</v>
      </c>
      <c r="BF72">
        <f>ROW()</f>
        <v>72</v>
      </c>
      <c r="BH72" t="str">
        <f t="shared" si="22"/>
        <v>BC68:BC72</v>
      </c>
      <c r="BI72">
        <f t="shared" si="41"/>
        <v>60</v>
      </c>
      <c r="BJ72">
        <f t="shared" ca="1" si="23"/>
        <v>439.29743999999999</v>
      </c>
      <c r="BL72" t="str">
        <f t="shared" si="24"/>
        <v>BC53:BC72</v>
      </c>
      <c r="BM72">
        <f t="shared" si="42"/>
        <v>45</v>
      </c>
      <c r="BN72">
        <f t="shared" ca="1" si="25"/>
        <v>439.61820499999993</v>
      </c>
      <c r="BP72" t="str">
        <f t="shared" si="26"/>
        <v>BC13:BC72</v>
      </c>
      <c r="BQ72">
        <f t="shared" si="43"/>
        <v>5</v>
      </c>
      <c r="BR72">
        <f t="shared" ca="1" si="27"/>
        <v>427.88403833333354</v>
      </c>
      <c r="BT72">
        <f t="shared" ca="1" si="45"/>
        <v>442.23367999999999</v>
      </c>
      <c r="BU72">
        <f t="shared" ca="1" si="50"/>
        <v>4.5904586728786061</v>
      </c>
      <c r="BV72">
        <f t="shared" ca="1" si="51"/>
        <v>451.41459734575722</v>
      </c>
      <c r="BW72">
        <f t="shared" ca="1" si="52"/>
        <v>433.05276265424277</v>
      </c>
      <c r="BY72">
        <f t="shared" ref="BY72:BY135" ca="1" si="53">IF($BZ$5="MA",BJ72,BT72)</f>
        <v>439.29743999999999</v>
      </c>
      <c r="BZ72">
        <f t="shared" ref="BZ72:BZ135" ca="1" si="54">IF($BZ$5="MA",BN72,BV72)</f>
        <v>439.61820499999993</v>
      </c>
      <c r="CA72">
        <f t="shared" ref="CA72:CA135" ca="1" si="55">IF($BZ$5="MA",BR72,BW72)</f>
        <v>427.88403833333354</v>
      </c>
      <c r="CD72" t="str">
        <f>IF(周K!$E$3+CK72-12&gt;工作底稿!$CE$5,"周K!A"&amp;周K!$E$3-$CE$5+1+CK72-8,0)</f>
        <v>周K!A232</v>
      </c>
      <c r="CE72" s="4">
        <f t="shared" ca="1" si="28"/>
        <v>43038</v>
      </c>
      <c r="CF72" s="13">
        <f ca="1">IF($CD72=0,"",VLOOKUP($CE72,周K!$A$6:$F$6842,2,0))</f>
        <v>242</v>
      </c>
      <c r="CG72" s="13">
        <f ca="1">IF($CD72=0,"",VLOOKUP($CE72,周K!$A$6:$F$6842,3,0))</f>
        <v>245</v>
      </c>
      <c r="CH72" s="13">
        <f ca="1">IF($CD72=0,"",VLOOKUP($CE72,周K!$A$6:$F$6842,4,0))</f>
        <v>238.5</v>
      </c>
      <c r="CI72" s="13">
        <f ca="1">IF($CD72=0,"",VLOOKUP($CE72,周K!$A$6:$F$6842,5,0))</f>
        <v>239</v>
      </c>
      <c r="CJ72" s="13">
        <f ca="1">IF($CD72=0,"",VLOOKUP($CE72,周K!$A$6:$F$6842,6,0))</f>
        <v>107926</v>
      </c>
      <c r="CK72">
        <f>ROW()</f>
        <v>72</v>
      </c>
      <c r="CM72" t="str">
        <f t="shared" si="29"/>
        <v>CG68:CG72</v>
      </c>
      <c r="CN72">
        <f t="shared" si="30"/>
        <v>60</v>
      </c>
      <c r="CO72">
        <f t="shared" ca="1" si="31"/>
        <v>237.9</v>
      </c>
      <c r="CQ72" t="str">
        <f t="shared" si="32"/>
        <v>CG53:CG72</v>
      </c>
      <c r="CR72">
        <f t="shared" si="33"/>
        <v>45</v>
      </c>
      <c r="CS72">
        <f t="shared" ca="1" si="34"/>
        <v>222.2</v>
      </c>
      <c r="CU72" t="str">
        <f t="shared" si="35"/>
        <v>CG13:CG72</v>
      </c>
      <c r="CV72">
        <f t="shared" si="36"/>
        <v>5</v>
      </c>
      <c r="CW72">
        <f t="shared" ca="1" si="37"/>
        <v>201.9</v>
      </c>
      <c r="CY72">
        <f t="shared" ca="1" si="38"/>
        <v>431.549825</v>
      </c>
      <c r="CZ72">
        <f t="shared" ca="1" si="44"/>
        <v>441.90634248378302</v>
      </c>
      <c r="DA72">
        <f t="shared" ca="1" si="47"/>
        <v>439.69566730580027</v>
      </c>
      <c r="DB72">
        <f t="shared" ca="1" si="46"/>
        <v>2.2106751779827505</v>
      </c>
      <c r="DC72">
        <f t="shared" ca="1" si="48"/>
        <v>4.8144929362237452</v>
      </c>
      <c r="DD72">
        <f t="shared" ca="1" si="49"/>
        <v>-2.6038177582409947</v>
      </c>
    </row>
    <row r="73" spans="51:108" x14ac:dyDescent="0.25">
      <c r="AY73" t="str">
        <f>"日K!A"&amp;日K!$E$3-239+1+BF73-8</f>
        <v>日K!A6665</v>
      </c>
      <c r="AZ73" s="4">
        <f t="shared" ref="AZ73:AZ136" ca="1" si="56">INDIRECT(AY73)</f>
        <v>44134</v>
      </c>
      <c r="BA73" s="13">
        <f t="shared" ref="BA73:BA136" ca="1" si="57">VLOOKUP($AZ73,INDIRECT($AY$7),2,0)</f>
        <v>431.30309999999997</v>
      </c>
      <c r="BB73" s="13">
        <f t="shared" ref="BB73:BB136" ca="1" si="58">VLOOKUP($AZ73,INDIRECT($AY$7),3,0)</f>
        <v>431.30309999999997</v>
      </c>
      <c r="BC73" s="13">
        <f t="shared" ref="BC73:BC136" ca="1" si="59">VLOOKUP($AZ73,INDIRECT($AY$7),4,0)</f>
        <v>426.3682</v>
      </c>
      <c r="BD73" s="13">
        <f t="shared" ref="BD73:BD136" ca="1" si="60">VLOOKUP($AZ73,INDIRECT($AY$7),5,0)</f>
        <v>426.3682</v>
      </c>
      <c r="BE73" s="13">
        <f t="shared" ref="BE73:BE136" ca="1" si="61">VLOOKUP($AZ73,INDIRECT($AY$7),6,0)</f>
        <v>49771</v>
      </c>
      <c r="BF73">
        <f>ROW()</f>
        <v>73</v>
      </c>
      <c r="BH73" t="str">
        <f t="shared" ref="BH73:BH136" si="62">"BC"&amp;$BF73-BJ$5+1&amp;":"&amp;"BC"&amp;$BF73</f>
        <v>BC69:BC73</v>
      </c>
      <c r="BI73">
        <f t="shared" si="41"/>
        <v>61</v>
      </c>
      <c r="BJ73">
        <f t="shared" ref="BJ73:BJ136" ca="1" si="63">IF(BI73&gt;=0,AVERAGE(INDIRECT(BH73)),NA())</f>
        <v>435.44827999999995</v>
      </c>
      <c r="BL73" t="str">
        <f t="shared" ref="BL73:BL136" si="64">"BC"&amp;$BF73-BN$5+1&amp;":"&amp;"BC"&amp;$BF73</f>
        <v>BC54:BC73</v>
      </c>
      <c r="BM73">
        <f t="shared" si="42"/>
        <v>46</v>
      </c>
      <c r="BN73">
        <f t="shared" ref="BN73:BN136" ca="1" si="65">IF(BM73&gt;=0,AVERAGE(INDIRECT(BL73)),NA())</f>
        <v>439.81559500000003</v>
      </c>
      <c r="BP73" t="str">
        <f t="shared" ref="BP73:BP136" si="66">"BC"&amp;$BF73-BR$5+1&amp;":"&amp;"BC"&amp;$BF73</f>
        <v>BC14:BC73</v>
      </c>
      <c r="BQ73">
        <f t="shared" si="43"/>
        <v>6</v>
      </c>
      <c r="BR73">
        <f t="shared" ref="BR73:BR136" ca="1" si="67">IF(BQ73&gt;=0,AVERAGE(INDIRECT(BP73)),NA())</f>
        <v>428.14368166666685</v>
      </c>
      <c r="BT73">
        <f t="shared" ca="1" si="45"/>
        <v>442.28302500000007</v>
      </c>
      <c r="BU73">
        <f t="shared" ca="1" si="50"/>
        <v>4.5445604979522907</v>
      </c>
      <c r="BV73">
        <f t="shared" ca="1" si="51"/>
        <v>451.37214599590465</v>
      </c>
      <c r="BW73">
        <f t="shared" ca="1" si="52"/>
        <v>433.19390400409549</v>
      </c>
      <c r="BY73">
        <f t="shared" ca="1" si="53"/>
        <v>435.44827999999995</v>
      </c>
      <c r="BZ73">
        <f t="shared" ca="1" si="54"/>
        <v>439.81559500000003</v>
      </c>
      <c r="CA73">
        <f t="shared" ca="1" si="55"/>
        <v>428.14368166666685</v>
      </c>
      <c r="CD73" t="str">
        <f>IF(周K!$E$3+CK73-12&gt;工作底稿!$CE$5,"周K!A"&amp;周K!$E$3-$CE$5+1+CK73-8,0)</f>
        <v>周K!A233</v>
      </c>
      <c r="CE73" s="4">
        <f t="shared" ref="CE73:CE136" ca="1" si="68">IF($CD73=0,"",INDIRECT(CD73))</f>
        <v>43045</v>
      </c>
      <c r="CF73" s="13">
        <f ca="1">IF($CD73=0,"",VLOOKUP($CE73,周K!$A$6:$F$6842,2,0))</f>
        <v>243.5</v>
      </c>
      <c r="CG73" s="13">
        <f ca="1">IF($CD73=0,"",VLOOKUP($CE73,周K!$A$6:$F$6842,3,0))</f>
        <v>244</v>
      </c>
      <c r="CH73" s="13">
        <f ca="1">IF($CD73=0,"",VLOOKUP($CE73,周K!$A$6:$F$6842,4,0))</f>
        <v>239</v>
      </c>
      <c r="CI73" s="13">
        <f ca="1">IF($CD73=0,"",VLOOKUP($CE73,周K!$A$6:$F$6842,5,0))</f>
        <v>240.5</v>
      </c>
      <c r="CJ73" s="13">
        <f ca="1">IF($CD73=0,"",VLOOKUP($CE73,周K!$A$6:$F$6842,6,0))</f>
        <v>93726</v>
      </c>
      <c r="CK73">
        <f>ROW()</f>
        <v>73</v>
      </c>
      <c r="CM73" t="str">
        <f t="shared" ref="CM73:CM136" si="69">"CG"&amp;$CK73-CO$5+1&amp;":"&amp;"CG"&amp;$CK73</f>
        <v>CG69:CG73</v>
      </c>
      <c r="CN73">
        <f t="shared" ref="CN73:CN136" si="70">$CK73-CO$5-7</f>
        <v>61</v>
      </c>
      <c r="CO73">
        <f t="shared" ref="CO73:CO136" ca="1" si="71">IF(CN73&gt;=0,AVERAGE(INDIRECT(CM73)),NA())</f>
        <v>241.6</v>
      </c>
      <c r="CQ73" t="str">
        <f t="shared" ref="CQ73:CQ136" si="72">"CG"&amp;$CK73-CS$5+1&amp;":"&amp;"CG"&amp;$CK73</f>
        <v>CG54:CG73</v>
      </c>
      <c r="CR73">
        <f t="shared" ref="CR73:CR136" si="73">$CK73-CS$5-7</f>
        <v>46</v>
      </c>
      <c r="CS73">
        <f t="shared" ref="CS73:CS136" ca="1" si="74">IF(CR73&gt;=0,AVERAGE(INDIRECT(CQ73)),NA())</f>
        <v>223.47499999999999</v>
      </c>
      <c r="CU73" t="str">
        <f t="shared" ref="CU73:CU136" si="75">"CG"&amp;$CK73-CW$5+1&amp;":"&amp;"CG"&amp;$CK73</f>
        <v>CG14:CG73</v>
      </c>
      <c r="CV73">
        <f t="shared" ref="CV73:CV136" si="76">$CK73-CW$5-7</f>
        <v>6</v>
      </c>
      <c r="CW73">
        <f t="shared" ref="CW73:CW136" ca="1" si="77">IF(CV73&gt;=0,AVERAGE(INDIRECT(CU73)),NA())</f>
        <v>203.00833333333333</v>
      </c>
      <c r="CY73">
        <f t="shared" ref="CY73:CY136" ca="1" si="78">(BB73+BC73+2*BD73)/4</f>
        <v>427.60192499999999</v>
      </c>
      <c r="CZ73">
        <f t="shared" ca="1" si="44"/>
        <v>439.70566287089332</v>
      </c>
      <c r="DA73">
        <f t="shared" ca="1" si="47"/>
        <v>438.79983454240767</v>
      </c>
      <c r="DB73">
        <f t="shared" ca="1" si="46"/>
        <v>0.90582832848565431</v>
      </c>
      <c r="DC73">
        <f t="shared" ca="1" si="48"/>
        <v>4.2408909449804231</v>
      </c>
      <c r="DD73">
        <f t="shared" ca="1" si="49"/>
        <v>-3.3350626164947688</v>
      </c>
    </row>
    <row r="74" spans="51:108" x14ac:dyDescent="0.25">
      <c r="AY74" t="str">
        <f>"日K!A"&amp;日K!$E$3-239+1+BF74-8</f>
        <v>日K!A6666</v>
      </c>
      <c r="AZ74" s="4">
        <f t="shared" ca="1" si="56"/>
        <v>44137</v>
      </c>
      <c r="BA74" s="13">
        <f t="shared" ca="1" si="57"/>
        <v>427.35520000000002</v>
      </c>
      <c r="BB74" s="13">
        <f t="shared" ca="1" si="58"/>
        <v>429.82260000000002</v>
      </c>
      <c r="BC74" s="13">
        <f t="shared" ca="1" si="59"/>
        <v>422.42039999999997</v>
      </c>
      <c r="BD74" s="13">
        <f t="shared" ca="1" si="60"/>
        <v>429.82260000000002</v>
      </c>
      <c r="BE74" s="13">
        <f t="shared" ca="1" si="61"/>
        <v>34540</v>
      </c>
      <c r="BF74">
        <f>ROW()</f>
        <v>74</v>
      </c>
      <c r="BH74" t="str">
        <f t="shared" si="62"/>
        <v>BC70:BC74</v>
      </c>
      <c r="BI74">
        <f t="shared" si="41"/>
        <v>62</v>
      </c>
      <c r="BJ74">
        <f t="shared" ca="1" si="63"/>
        <v>431.10564000000005</v>
      </c>
      <c r="BL74" t="str">
        <f t="shared" si="64"/>
        <v>BC55:BC74</v>
      </c>
      <c r="BM74">
        <f t="shared" si="42"/>
        <v>47</v>
      </c>
      <c r="BN74">
        <f t="shared" ca="1" si="65"/>
        <v>439.69222499999995</v>
      </c>
      <c r="BP74" t="str">
        <f t="shared" si="66"/>
        <v>BC15:BC74</v>
      </c>
      <c r="BQ74">
        <f t="shared" si="43"/>
        <v>7</v>
      </c>
      <c r="BR74">
        <f t="shared" ca="1" si="67"/>
        <v>428.2148316666669</v>
      </c>
      <c r="BT74">
        <f t="shared" ca="1" si="45"/>
        <v>442.40639499999997</v>
      </c>
      <c r="BU74">
        <f t="shared" ca="1" si="50"/>
        <v>4.4058100785207159</v>
      </c>
      <c r="BV74">
        <f t="shared" ca="1" si="51"/>
        <v>451.21801515704141</v>
      </c>
      <c r="BW74">
        <f t="shared" ca="1" si="52"/>
        <v>433.59477484295854</v>
      </c>
      <c r="BY74">
        <f t="shared" ca="1" si="53"/>
        <v>431.10564000000005</v>
      </c>
      <c r="BZ74">
        <f t="shared" ca="1" si="54"/>
        <v>439.69222499999995</v>
      </c>
      <c r="CA74">
        <f t="shared" ca="1" si="55"/>
        <v>428.2148316666669</v>
      </c>
      <c r="CD74" t="str">
        <f>IF(周K!$E$3+CK74-12&gt;工作底稿!$CE$5,"周K!A"&amp;周K!$E$3-$CE$5+1+CK74-8,0)</f>
        <v>周K!A234</v>
      </c>
      <c r="CE74" s="4">
        <f t="shared" ca="1" si="68"/>
        <v>43052</v>
      </c>
      <c r="CF74" s="13">
        <f ca="1">IF($CD74=0,"",VLOOKUP($CE74,周K!$A$6:$F$6842,2,0))</f>
        <v>240</v>
      </c>
      <c r="CG74" s="13">
        <f ca="1">IF($CD74=0,"",VLOOKUP($CE74,周K!$A$6:$F$6842,3,0))</f>
        <v>242.5</v>
      </c>
      <c r="CH74" s="13">
        <f ca="1">IF($CD74=0,"",VLOOKUP($CE74,周K!$A$6:$F$6842,4,0))</f>
        <v>236</v>
      </c>
      <c r="CI74" s="13">
        <f ca="1">IF($CD74=0,"",VLOOKUP($CE74,周K!$A$6:$F$6842,5,0))</f>
        <v>241.5</v>
      </c>
      <c r="CJ74" s="13">
        <f ca="1">IF($CD74=0,"",VLOOKUP($CE74,周K!$A$6:$F$6842,6,0))</f>
        <v>95053</v>
      </c>
      <c r="CK74">
        <f>ROW()</f>
        <v>74</v>
      </c>
      <c r="CM74" t="str">
        <f t="shared" si="69"/>
        <v>CG70:CG74</v>
      </c>
      <c r="CN74">
        <f t="shared" si="70"/>
        <v>62</v>
      </c>
      <c r="CO74">
        <f t="shared" ca="1" si="71"/>
        <v>242.6</v>
      </c>
      <c r="CQ74" t="str">
        <f t="shared" si="72"/>
        <v>CG55:CG74</v>
      </c>
      <c r="CR74">
        <f t="shared" si="73"/>
        <v>47</v>
      </c>
      <c r="CS74">
        <f t="shared" ca="1" si="74"/>
        <v>224.85</v>
      </c>
      <c r="CU74" t="str">
        <f t="shared" si="75"/>
        <v>CG15:CG74</v>
      </c>
      <c r="CV74">
        <f t="shared" si="76"/>
        <v>7</v>
      </c>
      <c r="CW74">
        <f t="shared" ca="1" si="77"/>
        <v>203.92500000000001</v>
      </c>
      <c r="CY74">
        <f t="shared" ca="1" si="78"/>
        <v>427.97204999999997</v>
      </c>
      <c r="CZ74">
        <f t="shared" ca="1" si="44"/>
        <v>437.90049165998664</v>
      </c>
      <c r="DA74">
        <f t="shared" ca="1" si="47"/>
        <v>437.99777642815525</v>
      </c>
      <c r="DB74">
        <f t="shared" ca="1" si="46"/>
        <v>-9.7284768168606206E-2</v>
      </c>
      <c r="DC74">
        <f t="shared" ca="1" si="48"/>
        <v>3.5780399787422033</v>
      </c>
      <c r="DD74">
        <f t="shared" ca="1" si="49"/>
        <v>-3.6753247469108095</v>
      </c>
    </row>
    <row r="75" spans="51:108" x14ac:dyDescent="0.25">
      <c r="AY75" t="str">
        <f>"日K!A"&amp;日K!$E$3-239+1+BF75-8</f>
        <v>日K!A6667</v>
      </c>
      <c r="AZ75" s="4">
        <f t="shared" ca="1" si="56"/>
        <v>44138</v>
      </c>
      <c r="BA75" s="13">
        <f t="shared" ca="1" si="57"/>
        <v>433.77050000000003</v>
      </c>
      <c r="BB75" s="13">
        <f t="shared" ca="1" si="58"/>
        <v>437.22480000000002</v>
      </c>
      <c r="BC75" s="13">
        <f t="shared" ca="1" si="59"/>
        <v>432.29</v>
      </c>
      <c r="BD75" s="13">
        <f t="shared" ca="1" si="60"/>
        <v>435.2509</v>
      </c>
      <c r="BE75" s="13">
        <f t="shared" ca="1" si="61"/>
        <v>31462</v>
      </c>
      <c r="BF75">
        <f>ROW()</f>
        <v>75</v>
      </c>
      <c r="BH75" t="str">
        <f t="shared" si="62"/>
        <v>BC71:BC75</v>
      </c>
      <c r="BI75">
        <f t="shared" si="41"/>
        <v>63</v>
      </c>
      <c r="BJ75">
        <f t="shared" ca="1" si="63"/>
        <v>429.62520000000006</v>
      </c>
      <c r="BL75" t="str">
        <f t="shared" si="64"/>
        <v>BC56:BC75</v>
      </c>
      <c r="BM75">
        <f t="shared" si="42"/>
        <v>48</v>
      </c>
      <c r="BN75">
        <f t="shared" ca="1" si="65"/>
        <v>440.01298500000013</v>
      </c>
      <c r="BP75" t="str">
        <f t="shared" si="66"/>
        <v>BC16:BC75</v>
      </c>
      <c r="BQ75">
        <f t="shared" si="43"/>
        <v>8</v>
      </c>
      <c r="BR75">
        <f t="shared" ca="1" si="67"/>
        <v>428.36867666666689</v>
      </c>
      <c r="BT75">
        <f t="shared" ca="1" si="45"/>
        <v>442.82585500000005</v>
      </c>
      <c r="BU75">
        <f t="shared" ca="1" si="50"/>
        <v>4.1654156924198542</v>
      </c>
      <c r="BV75">
        <f t="shared" ca="1" si="51"/>
        <v>451.15668638483976</v>
      </c>
      <c r="BW75">
        <f t="shared" ca="1" si="52"/>
        <v>434.49502361516033</v>
      </c>
      <c r="BY75">
        <f t="shared" ca="1" si="53"/>
        <v>429.62520000000006</v>
      </c>
      <c r="BZ75">
        <f t="shared" ca="1" si="54"/>
        <v>440.01298500000013</v>
      </c>
      <c r="CA75">
        <f t="shared" ca="1" si="55"/>
        <v>428.36867666666689</v>
      </c>
      <c r="CD75" t="str">
        <f>IF(周K!$E$3+CK75-12&gt;工作底稿!$CE$5,"周K!A"&amp;周K!$E$3-$CE$5+1+CK75-8,0)</f>
        <v>周K!A235</v>
      </c>
      <c r="CE75" s="4">
        <f t="shared" ca="1" si="68"/>
        <v>43059</v>
      </c>
      <c r="CF75" s="13">
        <f ca="1">IF($CD75=0,"",VLOOKUP($CE75,周K!$A$6:$F$6842,2,0))</f>
        <v>241</v>
      </c>
      <c r="CG75" s="13">
        <f ca="1">IF($CD75=0,"",VLOOKUP($CE75,周K!$A$6:$F$6842,3,0))</f>
        <v>244.5</v>
      </c>
      <c r="CH75" s="13">
        <f ca="1">IF($CD75=0,"",VLOOKUP($CE75,周K!$A$6:$F$6842,4,0))</f>
        <v>238</v>
      </c>
      <c r="CI75" s="13">
        <f ca="1">IF($CD75=0,"",VLOOKUP($CE75,周K!$A$6:$F$6842,5,0))</f>
        <v>244</v>
      </c>
      <c r="CJ75" s="13">
        <f ca="1">IF($CD75=0,"",VLOOKUP($CE75,周K!$A$6:$F$6842,6,0))</f>
        <v>90908</v>
      </c>
      <c r="CK75">
        <f>ROW()</f>
        <v>75</v>
      </c>
      <c r="CM75" t="str">
        <f t="shared" si="69"/>
        <v>CG71:CG75</v>
      </c>
      <c r="CN75">
        <f t="shared" si="70"/>
        <v>63</v>
      </c>
      <c r="CO75">
        <f t="shared" ca="1" si="71"/>
        <v>243.2</v>
      </c>
      <c r="CQ75" t="str">
        <f t="shared" si="72"/>
        <v>CG56:CG75</v>
      </c>
      <c r="CR75">
        <f t="shared" si="73"/>
        <v>48</v>
      </c>
      <c r="CS75">
        <f t="shared" ca="1" si="74"/>
        <v>226.625</v>
      </c>
      <c r="CU75" t="str">
        <f t="shared" si="75"/>
        <v>CG16:CG75</v>
      </c>
      <c r="CV75">
        <f t="shared" si="76"/>
        <v>8</v>
      </c>
      <c r="CW75">
        <f t="shared" ca="1" si="77"/>
        <v>204.875</v>
      </c>
      <c r="CY75">
        <f t="shared" ca="1" si="78"/>
        <v>435.00414999999998</v>
      </c>
      <c r="CZ75">
        <f t="shared" ca="1" si="44"/>
        <v>437.45490063537329</v>
      </c>
      <c r="DA75">
        <f t="shared" ca="1" si="47"/>
        <v>437.77602632236596</v>
      </c>
      <c r="DB75">
        <f t="shared" ca="1" si="46"/>
        <v>-0.32112568699267285</v>
      </c>
      <c r="DC75">
        <f t="shared" ca="1" si="48"/>
        <v>2.9085864552618861</v>
      </c>
      <c r="DD75">
        <f t="shared" ca="1" si="49"/>
        <v>-3.2297121422545589</v>
      </c>
    </row>
    <row r="76" spans="51:108" x14ac:dyDescent="0.25">
      <c r="AY76" t="str">
        <f>"日K!A"&amp;日K!$E$3-239+1+BF76-8</f>
        <v>日K!A6668</v>
      </c>
      <c r="AZ76" s="4">
        <f t="shared" ca="1" si="56"/>
        <v>44139</v>
      </c>
      <c r="BA76" s="13">
        <f t="shared" ca="1" si="57"/>
        <v>438.70530000000002</v>
      </c>
      <c r="BB76" s="13">
        <f t="shared" ca="1" si="58"/>
        <v>445.61399999999998</v>
      </c>
      <c r="BC76" s="13">
        <f t="shared" ca="1" si="59"/>
        <v>437.22480000000002</v>
      </c>
      <c r="BD76" s="13">
        <f t="shared" ca="1" si="60"/>
        <v>444.1336</v>
      </c>
      <c r="BE76" s="13">
        <f t="shared" ca="1" si="61"/>
        <v>37930</v>
      </c>
      <c r="BF76">
        <f>ROW()</f>
        <v>76</v>
      </c>
      <c r="BH76" t="str">
        <f t="shared" si="62"/>
        <v>BC72:BC76</v>
      </c>
      <c r="BI76">
        <f t="shared" si="41"/>
        <v>64</v>
      </c>
      <c r="BJ76">
        <f t="shared" ca="1" si="63"/>
        <v>429.62520000000006</v>
      </c>
      <c r="BL76" t="str">
        <f t="shared" si="64"/>
        <v>BC57:BC76</v>
      </c>
      <c r="BM76">
        <f t="shared" si="42"/>
        <v>49</v>
      </c>
      <c r="BN76">
        <f t="shared" ca="1" si="65"/>
        <v>440.28440000000001</v>
      </c>
      <c r="BP76" t="str">
        <f t="shared" si="66"/>
        <v>BC17:BC76</v>
      </c>
      <c r="BQ76">
        <f t="shared" si="43"/>
        <v>9</v>
      </c>
      <c r="BR76">
        <f t="shared" ca="1" si="67"/>
        <v>428.65384666666688</v>
      </c>
      <c r="BT76">
        <f t="shared" ca="1" si="45"/>
        <v>443.34401000000008</v>
      </c>
      <c r="BU76">
        <f t="shared" ca="1" si="50"/>
        <v>3.887087848947</v>
      </c>
      <c r="BV76">
        <f t="shared" ca="1" si="51"/>
        <v>451.11818569789409</v>
      </c>
      <c r="BW76">
        <f t="shared" ca="1" si="52"/>
        <v>435.56983430210607</v>
      </c>
      <c r="BY76">
        <f t="shared" ca="1" si="53"/>
        <v>429.62520000000006</v>
      </c>
      <c r="BZ76">
        <f t="shared" ca="1" si="54"/>
        <v>440.28440000000001</v>
      </c>
      <c r="CA76">
        <f t="shared" ca="1" si="55"/>
        <v>428.65384666666688</v>
      </c>
      <c r="CD76" t="str">
        <f>IF(周K!$E$3+CK76-12&gt;工作底稿!$CE$5,"周K!A"&amp;周K!$E$3-$CE$5+1+CK76-8,0)</f>
        <v>周K!A236</v>
      </c>
      <c r="CE76" s="4">
        <f t="shared" ca="1" si="68"/>
        <v>43066</v>
      </c>
      <c r="CF76" s="13">
        <f ca="1">IF($CD76=0,"",VLOOKUP($CE76,周K!$A$6:$F$6842,2,0))</f>
        <v>240</v>
      </c>
      <c r="CG76" s="13">
        <f ca="1">IF($CD76=0,"",VLOOKUP($CE76,周K!$A$6:$F$6842,3,0))</f>
        <v>240</v>
      </c>
      <c r="CH76" s="13">
        <f ca="1">IF($CD76=0,"",VLOOKUP($CE76,周K!$A$6:$F$6842,4,0))</f>
        <v>226</v>
      </c>
      <c r="CI76" s="13">
        <f ca="1">IF($CD76=0,"",VLOOKUP($CE76,周K!$A$6:$F$6842,5,0))</f>
        <v>231</v>
      </c>
      <c r="CJ76" s="13">
        <f ca="1">IF($CD76=0,"",VLOOKUP($CE76,周K!$A$6:$F$6842,6,0))</f>
        <v>257236</v>
      </c>
      <c r="CK76">
        <f>ROW()</f>
        <v>76</v>
      </c>
      <c r="CM76" t="str">
        <f t="shared" si="69"/>
        <v>CG72:CG76</v>
      </c>
      <c r="CN76">
        <f t="shared" si="70"/>
        <v>64</v>
      </c>
      <c r="CO76">
        <f t="shared" ca="1" si="71"/>
        <v>243.2</v>
      </c>
      <c r="CQ76" t="str">
        <f t="shared" si="72"/>
        <v>CG57:CG76</v>
      </c>
      <c r="CR76">
        <f t="shared" si="73"/>
        <v>49</v>
      </c>
      <c r="CS76">
        <f t="shared" ca="1" si="74"/>
        <v>227.82499999999999</v>
      </c>
      <c r="CU76" t="str">
        <f t="shared" si="75"/>
        <v>CG17:CG76</v>
      </c>
      <c r="CV76">
        <f t="shared" si="76"/>
        <v>9</v>
      </c>
      <c r="CW76">
        <f t="shared" ca="1" si="77"/>
        <v>205.74166666666667</v>
      </c>
      <c r="CY76">
        <f t="shared" ca="1" si="78"/>
        <v>442.7765</v>
      </c>
      <c r="CZ76">
        <f t="shared" ca="1" si="44"/>
        <v>438.27360822993126</v>
      </c>
      <c r="DA76">
        <f t="shared" ca="1" si="47"/>
        <v>438.14643177996845</v>
      </c>
      <c r="DB76">
        <f t="shared" ca="1" si="46"/>
        <v>0.12717644996280342</v>
      </c>
      <c r="DC76">
        <f t="shared" ca="1" si="48"/>
        <v>2.3071994077774951</v>
      </c>
      <c r="DD76">
        <f t="shared" ca="1" si="49"/>
        <v>-2.1800229578146917</v>
      </c>
    </row>
    <row r="77" spans="51:108" x14ac:dyDescent="0.25">
      <c r="AY77" t="str">
        <f>"日K!A"&amp;日K!$E$3-239+1+BF77-8</f>
        <v>日K!A6669</v>
      </c>
      <c r="AZ77" s="4">
        <f t="shared" ca="1" si="56"/>
        <v>44140</v>
      </c>
      <c r="BA77" s="13">
        <f t="shared" ca="1" si="57"/>
        <v>445.61399999999998</v>
      </c>
      <c r="BB77" s="13">
        <f t="shared" ca="1" si="58"/>
        <v>445.61399999999998</v>
      </c>
      <c r="BC77" s="13">
        <f t="shared" ca="1" si="59"/>
        <v>439.69220000000001</v>
      </c>
      <c r="BD77" s="13">
        <f t="shared" ca="1" si="60"/>
        <v>445.12049999999999</v>
      </c>
      <c r="BE77" s="13">
        <f t="shared" ca="1" si="61"/>
        <v>36539</v>
      </c>
      <c r="BF77">
        <f>ROW()</f>
        <v>77</v>
      </c>
      <c r="BH77" t="str">
        <f t="shared" si="62"/>
        <v>BC73:BC77</v>
      </c>
      <c r="BI77">
        <f t="shared" ref="BI77:BI140" si="79">$BF77-BJ$5-7</f>
        <v>65</v>
      </c>
      <c r="BJ77">
        <f t="shared" ca="1" si="63"/>
        <v>431.59912000000003</v>
      </c>
      <c r="BL77" t="str">
        <f t="shared" si="64"/>
        <v>BC58:BC77</v>
      </c>
      <c r="BM77">
        <f t="shared" ref="BM77:BM140" si="80">$BF77-BN$5-7</f>
        <v>50</v>
      </c>
      <c r="BN77">
        <f t="shared" ca="1" si="65"/>
        <v>440.80255500000004</v>
      </c>
      <c r="BP77" t="str">
        <f t="shared" si="66"/>
        <v>BC18:BC77</v>
      </c>
      <c r="BQ77">
        <f t="shared" ref="BQ77:BQ140" si="81">$BF77-BR$5-7</f>
        <v>10</v>
      </c>
      <c r="BR77">
        <f t="shared" ca="1" si="67"/>
        <v>428.98832000000021</v>
      </c>
      <c r="BT77">
        <f t="shared" ca="1" si="45"/>
        <v>443.73879500000004</v>
      </c>
      <c r="BU77">
        <f t="shared" ca="1" si="50"/>
        <v>3.5960571354813622</v>
      </c>
      <c r="BV77">
        <f t="shared" ca="1" si="51"/>
        <v>450.93090927096279</v>
      </c>
      <c r="BW77">
        <f t="shared" ca="1" si="52"/>
        <v>436.54668072903729</v>
      </c>
      <c r="BY77">
        <f t="shared" ca="1" si="53"/>
        <v>431.59912000000003</v>
      </c>
      <c r="BZ77">
        <f t="shared" ca="1" si="54"/>
        <v>440.80255500000004</v>
      </c>
      <c r="CA77">
        <f t="shared" ca="1" si="55"/>
        <v>428.98832000000021</v>
      </c>
      <c r="CD77" t="str">
        <f>IF(周K!$E$3+CK77-12&gt;工作底稿!$CE$5,"周K!A"&amp;周K!$E$3-$CE$5+1+CK77-8,0)</f>
        <v>周K!A237</v>
      </c>
      <c r="CE77" s="4">
        <f t="shared" ca="1" si="68"/>
        <v>43073</v>
      </c>
      <c r="CF77" s="13">
        <f ca="1">IF($CD77=0,"",VLOOKUP($CE77,周K!$A$6:$F$6842,2,0))</f>
        <v>232.5</v>
      </c>
      <c r="CG77" s="13">
        <f ca="1">IF($CD77=0,"",VLOOKUP($CE77,周K!$A$6:$F$6842,3,0))</f>
        <v>234.5</v>
      </c>
      <c r="CH77" s="13">
        <f ca="1">IF($CD77=0,"",VLOOKUP($CE77,周K!$A$6:$F$6842,4,0))</f>
        <v>222.5</v>
      </c>
      <c r="CI77" s="13">
        <f ca="1">IF($CD77=0,"",VLOOKUP($CE77,周K!$A$6:$F$6842,5,0))</f>
        <v>227</v>
      </c>
      <c r="CJ77" s="13">
        <f ca="1">IF($CD77=0,"",VLOOKUP($CE77,周K!$A$6:$F$6842,6,0))</f>
        <v>166964</v>
      </c>
      <c r="CK77">
        <f>ROW()</f>
        <v>77</v>
      </c>
      <c r="CM77" t="str">
        <f t="shared" si="69"/>
        <v>CG73:CG77</v>
      </c>
      <c r="CN77">
        <f t="shared" si="70"/>
        <v>65</v>
      </c>
      <c r="CO77">
        <f t="shared" ca="1" si="71"/>
        <v>241.1</v>
      </c>
      <c r="CQ77" t="str">
        <f t="shared" si="72"/>
        <v>CG58:CG77</v>
      </c>
      <c r="CR77">
        <f t="shared" si="73"/>
        <v>50</v>
      </c>
      <c r="CS77">
        <f t="shared" ca="1" si="74"/>
        <v>228.77500000000001</v>
      </c>
      <c r="CU77" t="str">
        <f t="shared" si="75"/>
        <v>CG18:CG77</v>
      </c>
      <c r="CV77">
        <f t="shared" si="76"/>
        <v>10</v>
      </c>
      <c r="CW77">
        <f t="shared" ca="1" si="77"/>
        <v>206.46666666666667</v>
      </c>
      <c r="CY77">
        <f t="shared" ca="1" si="78"/>
        <v>443.88679999999999</v>
      </c>
      <c r="CZ77">
        <f t="shared" ca="1" si="44"/>
        <v>439.13717619455724</v>
      </c>
      <c r="DA77">
        <f t="shared" ca="1" si="47"/>
        <v>438.57164424071152</v>
      </c>
      <c r="DB77">
        <f t="shared" ca="1" si="46"/>
        <v>0.56553195384572064</v>
      </c>
      <c r="DC77">
        <f t="shared" ca="1" si="48"/>
        <v>1.7780225096439546</v>
      </c>
      <c r="DD77">
        <f t="shared" ca="1" si="49"/>
        <v>-1.2124905557982339</v>
      </c>
    </row>
    <row r="78" spans="51:108" x14ac:dyDescent="0.25">
      <c r="AY78" t="str">
        <f>"日K!A"&amp;日K!$E$3-239+1+BF78-8</f>
        <v>日K!A6670</v>
      </c>
      <c r="AZ78" s="4">
        <f t="shared" ca="1" si="56"/>
        <v>44141</v>
      </c>
      <c r="BA78" s="13">
        <f t="shared" ca="1" si="57"/>
        <v>449.0684</v>
      </c>
      <c r="BB78" s="13">
        <f t="shared" ca="1" si="58"/>
        <v>449.56189999999998</v>
      </c>
      <c r="BC78" s="13">
        <f t="shared" ca="1" si="59"/>
        <v>444.1336</v>
      </c>
      <c r="BD78" s="13">
        <f t="shared" ca="1" si="60"/>
        <v>446.601</v>
      </c>
      <c r="BE78" s="13">
        <f t="shared" ca="1" si="61"/>
        <v>32644</v>
      </c>
      <c r="BF78">
        <f>ROW()</f>
        <v>78</v>
      </c>
      <c r="BH78" t="str">
        <f t="shared" si="62"/>
        <v>BC74:BC78</v>
      </c>
      <c r="BI78">
        <f t="shared" si="79"/>
        <v>66</v>
      </c>
      <c r="BJ78">
        <f t="shared" ca="1" si="63"/>
        <v>435.15219999999999</v>
      </c>
      <c r="BL78" t="str">
        <f t="shared" si="64"/>
        <v>BC59:BC78</v>
      </c>
      <c r="BM78">
        <f t="shared" si="80"/>
        <v>51</v>
      </c>
      <c r="BN78">
        <f t="shared" ca="1" si="65"/>
        <v>440.87657999999999</v>
      </c>
      <c r="BP78" t="str">
        <f t="shared" si="66"/>
        <v>BC19:BC78</v>
      </c>
      <c r="BQ78">
        <f t="shared" si="81"/>
        <v>11</v>
      </c>
      <c r="BR78">
        <f t="shared" ca="1" si="67"/>
        <v>429.37227666666695</v>
      </c>
      <c r="BT78">
        <f t="shared" ca="1" si="45"/>
        <v>443.71412000000009</v>
      </c>
      <c r="BU78">
        <f t="shared" ca="1" si="50"/>
        <v>3.2976453168472437</v>
      </c>
      <c r="BV78">
        <f t="shared" ca="1" si="51"/>
        <v>450.3094106336946</v>
      </c>
      <c r="BW78">
        <f t="shared" ca="1" si="52"/>
        <v>437.11882936630559</v>
      </c>
      <c r="BY78">
        <f t="shared" ca="1" si="53"/>
        <v>435.15219999999999</v>
      </c>
      <c r="BZ78">
        <f t="shared" ca="1" si="54"/>
        <v>440.87657999999999</v>
      </c>
      <c r="CA78">
        <f t="shared" ca="1" si="55"/>
        <v>429.37227666666695</v>
      </c>
      <c r="CD78" t="str">
        <f>IF(周K!$E$3+CK78-12&gt;工作底稿!$CE$5,"周K!A"&amp;周K!$E$3-$CE$5+1+CK78-8,0)</f>
        <v>周K!A238</v>
      </c>
      <c r="CE78" s="4">
        <f t="shared" ca="1" si="68"/>
        <v>43080</v>
      </c>
      <c r="CF78" s="13">
        <f ca="1">IF($CD78=0,"",VLOOKUP($CE78,周K!$A$6:$F$6842,2,0))</f>
        <v>228.5</v>
      </c>
      <c r="CG78" s="13">
        <f ca="1">IF($CD78=0,"",VLOOKUP($CE78,周K!$A$6:$F$6842,3,0))</f>
        <v>230.5</v>
      </c>
      <c r="CH78" s="13">
        <f ca="1">IF($CD78=0,"",VLOOKUP($CE78,周K!$A$6:$F$6842,4,0))</f>
        <v>225</v>
      </c>
      <c r="CI78" s="13">
        <f ca="1">IF($CD78=0,"",VLOOKUP($CE78,周K!$A$6:$F$6842,5,0))</f>
        <v>230</v>
      </c>
      <c r="CJ78" s="13">
        <f ca="1">IF($CD78=0,"",VLOOKUP($CE78,周K!$A$6:$F$6842,6,0))</f>
        <v>128447</v>
      </c>
      <c r="CK78">
        <f>ROW()</f>
        <v>78</v>
      </c>
      <c r="CM78" t="str">
        <f t="shared" si="69"/>
        <v>CG74:CG78</v>
      </c>
      <c r="CN78">
        <f t="shared" si="70"/>
        <v>66</v>
      </c>
      <c r="CO78">
        <f t="shared" ca="1" si="71"/>
        <v>238.4</v>
      </c>
      <c r="CQ78" t="str">
        <f t="shared" si="72"/>
        <v>CG59:CG78</v>
      </c>
      <c r="CR78">
        <f t="shared" si="73"/>
        <v>51</v>
      </c>
      <c r="CS78">
        <f t="shared" ca="1" si="74"/>
        <v>229.5</v>
      </c>
      <c r="CU78" t="str">
        <f t="shared" si="75"/>
        <v>CG19:CG78</v>
      </c>
      <c r="CV78">
        <f t="shared" si="76"/>
        <v>11</v>
      </c>
      <c r="CW78">
        <f t="shared" ca="1" si="77"/>
        <v>207.10833333333332</v>
      </c>
      <c r="CY78">
        <f t="shared" ca="1" si="78"/>
        <v>446.72437500000001</v>
      </c>
      <c r="CZ78">
        <f t="shared" ca="1" si="44"/>
        <v>440.30443754924073</v>
      </c>
      <c r="DA78">
        <f t="shared" ca="1" si="47"/>
        <v>439.17555022288104</v>
      </c>
      <c r="DB78">
        <f t="shared" ca="1" si="46"/>
        <v>1.1288873263596884</v>
      </c>
      <c r="DC78">
        <f t="shared" ca="1" si="48"/>
        <v>1.3551913816832994</v>
      </c>
      <c r="DD78">
        <f t="shared" ca="1" si="49"/>
        <v>-0.22630405532361109</v>
      </c>
    </row>
    <row r="79" spans="51:108" x14ac:dyDescent="0.25">
      <c r="AY79" t="str">
        <f>"日K!A"&amp;日K!$E$3-239+1+BF79-8</f>
        <v>日K!A6671</v>
      </c>
      <c r="AZ79" s="4">
        <f t="shared" ca="1" si="56"/>
        <v>44144</v>
      </c>
      <c r="BA79" s="13">
        <f t="shared" ca="1" si="57"/>
        <v>452.02929999999998</v>
      </c>
      <c r="BB79" s="13">
        <f t="shared" ca="1" si="58"/>
        <v>454.00319999999999</v>
      </c>
      <c r="BC79" s="13">
        <f t="shared" ca="1" si="59"/>
        <v>448.08139999999997</v>
      </c>
      <c r="BD79" s="13">
        <f t="shared" ca="1" si="60"/>
        <v>452.52280000000002</v>
      </c>
      <c r="BE79" s="13">
        <f t="shared" ca="1" si="61"/>
        <v>43416</v>
      </c>
      <c r="BF79">
        <f>ROW()</f>
        <v>79</v>
      </c>
      <c r="BH79" t="str">
        <f t="shared" si="62"/>
        <v>BC75:BC79</v>
      </c>
      <c r="BI79">
        <f t="shared" si="79"/>
        <v>67</v>
      </c>
      <c r="BJ79">
        <f t="shared" ca="1" si="63"/>
        <v>440.28440000000001</v>
      </c>
      <c r="BL79" t="str">
        <f t="shared" si="64"/>
        <v>BC60:BC79</v>
      </c>
      <c r="BM79">
        <f t="shared" si="80"/>
        <v>52</v>
      </c>
      <c r="BN79">
        <f t="shared" ca="1" si="65"/>
        <v>440.70385999999996</v>
      </c>
      <c r="BP79" t="str">
        <f t="shared" si="66"/>
        <v>BC20:BC79</v>
      </c>
      <c r="BQ79">
        <f t="shared" si="81"/>
        <v>12</v>
      </c>
      <c r="BR79">
        <f t="shared" ca="1" si="67"/>
        <v>429.98562666666686</v>
      </c>
      <c r="BT79">
        <f t="shared" ca="1" si="45"/>
        <v>443.64010000000007</v>
      </c>
      <c r="BU79">
        <f t="shared" ca="1" si="50"/>
        <v>3.0679237816025977</v>
      </c>
      <c r="BV79">
        <f t="shared" ca="1" si="51"/>
        <v>449.77594756320525</v>
      </c>
      <c r="BW79">
        <f t="shared" ca="1" si="52"/>
        <v>437.5042524367949</v>
      </c>
      <c r="BY79">
        <f t="shared" ca="1" si="53"/>
        <v>440.28440000000001</v>
      </c>
      <c r="BZ79">
        <f t="shared" ca="1" si="54"/>
        <v>440.70385999999996</v>
      </c>
      <c r="CA79">
        <f t="shared" ca="1" si="55"/>
        <v>429.98562666666686</v>
      </c>
      <c r="CD79" t="str">
        <f>IF(周K!$E$3+CK79-12&gt;工作底稿!$CE$5,"周K!A"&amp;周K!$E$3-$CE$5+1+CK79-8,0)</f>
        <v>周K!A239</v>
      </c>
      <c r="CE79" s="4">
        <f t="shared" ca="1" si="68"/>
        <v>43087</v>
      </c>
      <c r="CF79" s="13">
        <f ca="1">IF($CD79=0,"",VLOOKUP($CE79,周K!$A$6:$F$6842,2,0))</f>
        <v>227</v>
      </c>
      <c r="CG79" s="13">
        <f ca="1">IF($CD79=0,"",VLOOKUP($CE79,周K!$A$6:$F$6842,3,0))</f>
        <v>228.5</v>
      </c>
      <c r="CH79" s="13">
        <f ca="1">IF($CD79=0,"",VLOOKUP($CE79,周K!$A$6:$F$6842,4,0))</f>
        <v>223.5</v>
      </c>
      <c r="CI79" s="13">
        <f ca="1">IF($CD79=0,"",VLOOKUP($CE79,周K!$A$6:$F$6842,5,0))</f>
        <v>227.5</v>
      </c>
      <c r="CJ79" s="13">
        <f ca="1">IF($CD79=0,"",VLOOKUP($CE79,周K!$A$6:$F$6842,6,0))</f>
        <v>116049</v>
      </c>
      <c r="CK79">
        <f>ROW()</f>
        <v>79</v>
      </c>
      <c r="CM79" t="str">
        <f t="shared" si="69"/>
        <v>CG75:CG79</v>
      </c>
      <c r="CN79">
        <f t="shared" si="70"/>
        <v>67</v>
      </c>
      <c r="CO79">
        <f t="shared" ca="1" si="71"/>
        <v>235.6</v>
      </c>
      <c r="CQ79" t="str">
        <f t="shared" si="72"/>
        <v>CG60:CG79</v>
      </c>
      <c r="CR79">
        <f t="shared" si="73"/>
        <v>52</v>
      </c>
      <c r="CS79">
        <f t="shared" ca="1" si="74"/>
        <v>230.125</v>
      </c>
      <c r="CU79" t="str">
        <f t="shared" si="75"/>
        <v>CG20:CG79</v>
      </c>
      <c r="CV79">
        <f t="shared" si="76"/>
        <v>12</v>
      </c>
      <c r="CW79">
        <f t="shared" ca="1" si="77"/>
        <v>207.7</v>
      </c>
      <c r="CY79">
        <f t="shared" ca="1" si="78"/>
        <v>451.78255000000001</v>
      </c>
      <c r="CZ79">
        <f t="shared" ca="1" si="44"/>
        <v>442.07030100320367</v>
      </c>
      <c r="DA79">
        <f t="shared" ca="1" si="47"/>
        <v>440.10940205822317</v>
      </c>
      <c r="DB79">
        <f t="shared" ca="1" si="46"/>
        <v>1.9608989449804994</v>
      </c>
      <c r="DC79">
        <f t="shared" ca="1" si="48"/>
        <v>1.1025109665382489</v>
      </c>
      <c r="DD79">
        <f t="shared" ca="1" si="49"/>
        <v>0.85838797844225057</v>
      </c>
    </row>
    <row r="80" spans="51:108" x14ac:dyDescent="0.25">
      <c r="AY80" t="str">
        <f>"日K!A"&amp;日K!$E$3-239+1+BF80-8</f>
        <v>日K!A6672</v>
      </c>
      <c r="AZ80" s="4">
        <f t="shared" ca="1" si="56"/>
        <v>44145</v>
      </c>
      <c r="BA80" s="13">
        <f t="shared" ca="1" si="57"/>
        <v>446.10750000000002</v>
      </c>
      <c r="BB80" s="13">
        <f t="shared" ca="1" si="58"/>
        <v>448.57490000000001</v>
      </c>
      <c r="BC80" s="13">
        <f t="shared" ca="1" si="59"/>
        <v>442.65309999999999</v>
      </c>
      <c r="BD80" s="13">
        <f t="shared" ca="1" si="60"/>
        <v>445.12049999999999</v>
      </c>
      <c r="BE80" s="13">
        <f t="shared" ca="1" si="61"/>
        <v>36787</v>
      </c>
      <c r="BF80">
        <f>ROW()</f>
        <v>80</v>
      </c>
      <c r="BH80" t="str">
        <f t="shared" si="62"/>
        <v>BC76:BC80</v>
      </c>
      <c r="BI80">
        <f t="shared" si="79"/>
        <v>68</v>
      </c>
      <c r="BJ80">
        <f t="shared" ca="1" si="63"/>
        <v>442.35702000000003</v>
      </c>
      <c r="BL80" t="str">
        <f t="shared" si="64"/>
        <v>BC61:BC80</v>
      </c>
      <c r="BM80">
        <f t="shared" si="80"/>
        <v>53</v>
      </c>
      <c r="BN80">
        <f t="shared" ca="1" si="65"/>
        <v>440.30907500000001</v>
      </c>
      <c r="BP80" t="str">
        <f t="shared" si="66"/>
        <v>BC21:BC80</v>
      </c>
      <c r="BQ80">
        <f t="shared" si="81"/>
        <v>13</v>
      </c>
      <c r="BR80">
        <f t="shared" ca="1" si="67"/>
        <v>430.41852666666693</v>
      </c>
      <c r="BT80">
        <f t="shared" ca="1" si="45"/>
        <v>443.09727000000004</v>
      </c>
      <c r="BU80">
        <f t="shared" ca="1" si="50"/>
        <v>2.8647211982409697</v>
      </c>
      <c r="BV80">
        <f t="shared" ca="1" si="51"/>
        <v>448.82671239648198</v>
      </c>
      <c r="BW80">
        <f t="shared" ca="1" si="52"/>
        <v>437.36782760351809</v>
      </c>
      <c r="BY80">
        <f t="shared" ca="1" si="53"/>
        <v>442.35702000000003</v>
      </c>
      <c r="BZ80">
        <f t="shared" ca="1" si="54"/>
        <v>440.30907500000001</v>
      </c>
      <c r="CA80">
        <f t="shared" ca="1" si="55"/>
        <v>430.41852666666693</v>
      </c>
      <c r="CD80" t="str">
        <f>IF(周K!$E$3+CK80-12&gt;工作底稿!$CE$5,"周K!A"&amp;周K!$E$3-$CE$5+1+CK80-8,0)</f>
        <v>周K!A240</v>
      </c>
      <c r="CE80" s="4">
        <f t="shared" ca="1" si="68"/>
        <v>43094</v>
      </c>
      <c r="CF80" s="13">
        <f ca="1">IF($CD80=0,"",VLOOKUP($CE80,周K!$A$6:$F$6842,2,0))</f>
        <v>228</v>
      </c>
      <c r="CG80" s="13">
        <f ca="1">IF($CD80=0,"",VLOOKUP($CE80,周K!$A$6:$F$6842,3,0))</f>
        <v>230</v>
      </c>
      <c r="CH80" s="13">
        <f ca="1">IF($CD80=0,"",VLOOKUP($CE80,周K!$A$6:$F$6842,4,0))</f>
        <v>225</v>
      </c>
      <c r="CI80" s="13">
        <f ca="1">IF($CD80=0,"",VLOOKUP($CE80,周K!$A$6:$F$6842,5,0))</f>
        <v>229.5</v>
      </c>
      <c r="CJ80" s="13">
        <f ca="1">IF($CD80=0,"",VLOOKUP($CE80,周K!$A$6:$F$6842,6,0))</f>
        <v>80832</v>
      </c>
      <c r="CK80">
        <f>ROW()</f>
        <v>80</v>
      </c>
      <c r="CM80" t="str">
        <f t="shared" si="69"/>
        <v>CG76:CG80</v>
      </c>
      <c r="CN80">
        <f t="shared" si="70"/>
        <v>68</v>
      </c>
      <c r="CO80">
        <f t="shared" ca="1" si="71"/>
        <v>232.7</v>
      </c>
      <c r="CQ80" t="str">
        <f t="shared" si="72"/>
        <v>CG61:CG80</v>
      </c>
      <c r="CR80">
        <f t="shared" si="73"/>
        <v>53</v>
      </c>
      <c r="CS80">
        <f t="shared" ca="1" si="74"/>
        <v>230.67500000000001</v>
      </c>
      <c r="CU80" t="str">
        <f t="shared" si="75"/>
        <v>CG21:CG80</v>
      </c>
      <c r="CV80">
        <f t="shared" si="76"/>
        <v>13</v>
      </c>
      <c r="CW80">
        <f t="shared" ca="1" si="77"/>
        <v>208.35833333333332</v>
      </c>
      <c r="CY80">
        <f t="shared" ca="1" si="78"/>
        <v>445.36725000000001</v>
      </c>
      <c r="CZ80">
        <f t="shared" ca="1" si="44"/>
        <v>442.57752392578772</v>
      </c>
      <c r="DA80">
        <f t="shared" ca="1" si="47"/>
        <v>440.49887227613254</v>
      </c>
      <c r="DB80">
        <f t="shared" ca="1" si="46"/>
        <v>2.0786516496551712</v>
      </c>
      <c r="DC80">
        <f t="shared" ca="1" si="48"/>
        <v>0.95102659734566763</v>
      </c>
      <c r="DD80">
        <f t="shared" ca="1" si="49"/>
        <v>1.1276250523095035</v>
      </c>
    </row>
    <row r="81" spans="51:108" x14ac:dyDescent="0.25">
      <c r="AY81" t="str">
        <f>"日K!A"&amp;日K!$E$3-239+1+BF81-8</f>
        <v>日K!A6673</v>
      </c>
      <c r="AZ81" s="4">
        <f t="shared" ca="1" si="56"/>
        <v>44146</v>
      </c>
      <c r="BA81" s="13">
        <f t="shared" ca="1" si="57"/>
        <v>442.65309999999999</v>
      </c>
      <c r="BB81" s="13">
        <f t="shared" ca="1" si="58"/>
        <v>451.04230000000001</v>
      </c>
      <c r="BC81" s="13">
        <f t="shared" ca="1" si="59"/>
        <v>442.65309999999999</v>
      </c>
      <c r="BD81" s="13">
        <f t="shared" ca="1" si="60"/>
        <v>451.04230000000001</v>
      </c>
      <c r="BE81" s="13">
        <f t="shared" ca="1" si="61"/>
        <v>40356</v>
      </c>
      <c r="BF81">
        <f>ROW()</f>
        <v>81</v>
      </c>
      <c r="BH81" t="str">
        <f t="shared" si="62"/>
        <v>BC77:BC81</v>
      </c>
      <c r="BI81">
        <f t="shared" si="79"/>
        <v>69</v>
      </c>
      <c r="BJ81">
        <f t="shared" ca="1" si="63"/>
        <v>443.44268</v>
      </c>
      <c r="BL81" t="str">
        <f t="shared" si="64"/>
        <v>BC62:BC81</v>
      </c>
      <c r="BM81">
        <f t="shared" si="80"/>
        <v>54</v>
      </c>
      <c r="BN81">
        <f t="shared" ca="1" si="65"/>
        <v>439.88961500000005</v>
      </c>
      <c r="BP81" t="str">
        <f t="shared" si="66"/>
        <v>BC22:BC81</v>
      </c>
      <c r="BQ81">
        <f t="shared" si="81"/>
        <v>14</v>
      </c>
      <c r="BR81">
        <f t="shared" ca="1" si="67"/>
        <v>430.87596666666684</v>
      </c>
      <c r="BT81">
        <f t="shared" ca="1" si="45"/>
        <v>442.99857000000003</v>
      </c>
      <c r="BU81">
        <f t="shared" ca="1" si="50"/>
        <v>2.7053155903824928</v>
      </c>
      <c r="BV81">
        <f t="shared" ca="1" si="51"/>
        <v>448.40920118076502</v>
      </c>
      <c r="BW81">
        <f t="shared" ca="1" si="52"/>
        <v>437.58793881923503</v>
      </c>
      <c r="BY81">
        <f t="shared" ca="1" si="53"/>
        <v>443.44268</v>
      </c>
      <c r="BZ81">
        <f t="shared" ca="1" si="54"/>
        <v>439.88961500000005</v>
      </c>
      <c r="CA81">
        <f t="shared" ca="1" si="55"/>
        <v>430.87596666666684</v>
      </c>
      <c r="CD81" t="str">
        <f>IF(周K!$E$3+CK81-12&gt;工作底稿!$CE$5,"周K!A"&amp;周K!$E$3-$CE$5+1+CK81-8,0)</f>
        <v>周K!A241</v>
      </c>
      <c r="CE81" s="4">
        <f t="shared" ca="1" si="68"/>
        <v>43102</v>
      </c>
      <c r="CF81" s="13">
        <f ca="1">IF($CD81=0,"",VLOOKUP($CE81,周K!$A$6:$F$6842,2,0))</f>
        <v>231.5</v>
      </c>
      <c r="CG81" s="13">
        <f ca="1">IF($CD81=0,"",VLOOKUP($CE81,周K!$A$6:$F$6842,3,0))</f>
        <v>240</v>
      </c>
      <c r="CH81" s="13">
        <f ca="1">IF($CD81=0,"",VLOOKUP($CE81,周K!$A$6:$F$6842,4,0))</f>
        <v>231</v>
      </c>
      <c r="CI81" s="13">
        <f ca="1">IF($CD81=0,"",VLOOKUP($CE81,周K!$A$6:$F$6842,5,0))</f>
        <v>240</v>
      </c>
      <c r="CJ81" s="13">
        <f ca="1">IF($CD81=0,"",VLOOKUP($CE81,周K!$A$6:$F$6842,6,0))</f>
        <v>102662</v>
      </c>
      <c r="CK81">
        <f>ROW()</f>
        <v>81</v>
      </c>
      <c r="CM81" t="str">
        <f t="shared" si="69"/>
        <v>CG77:CG81</v>
      </c>
      <c r="CN81">
        <f t="shared" si="70"/>
        <v>69</v>
      </c>
      <c r="CO81">
        <f t="shared" ca="1" si="71"/>
        <v>232.7</v>
      </c>
      <c r="CQ81" t="str">
        <f t="shared" si="72"/>
        <v>CG62:CG81</v>
      </c>
      <c r="CR81">
        <f t="shared" si="73"/>
        <v>54</v>
      </c>
      <c r="CS81">
        <f t="shared" ca="1" si="74"/>
        <v>231.95</v>
      </c>
      <c r="CU81" t="str">
        <f t="shared" si="75"/>
        <v>CG22:CG81</v>
      </c>
      <c r="CV81">
        <f t="shared" si="76"/>
        <v>14</v>
      </c>
      <c r="CW81">
        <f t="shared" ca="1" si="77"/>
        <v>209.18333333333334</v>
      </c>
      <c r="CY81">
        <f t="shared" ca="1" si="78"/>
        <v>448.94500000000005</v>
      </c>
      <c r="CZ81">
        <f t="shared" ca="1" si="44"/>
        <v>443.55713562951269</v>
      </c>
      <c r="DA81">
        <f t="shared" ca="1" si="47"/>
        <v>441.12451136678942</v>
      </c>
      <c r="DB81">
        <f t="shared" ca="1" si="46"/>
        <v>2.4326242627232659</v>
      </c>
      <c r="DC81">
        <f t="shared" ca="1" si="48"/>
        <v>0.97568760676128052</v>
      </c>
      <c r="DD81">
        <f t="shared" ca="1" si="49"/>
        <v>1.4569366559619854</v>
      </c>
    </row>
    <row r="82" spans="51:108" x14ac:dyDescent="0.25">
      <c r="AY82" t="str">
        <f>"日K!A"&amp;日K!$E$3-239+1+BF82-8</f>
        <v>日K!A6674</v>
      </c>
      <c r="AZ82" s="4">
        <f t="shared" ca="1" si="56"/>
        <v>44147</v>
      </c>
      <c r="BA82" s="13">
        <f t="shared" ca="1" si="57"/>
        <v>456.96409999999997</v>
      </c>
      <c r="BB82" s="13">
        <f t="shared" ca="1" si="58"/>
        <v>457.45760000000001</v>
      </c>
      <c r="BC82" s="13">
        <f t="shared" ca="1" si="59"/>
        <v>451.53579999999999</v>
      </c>
      <c r="BD82" s="13">
        <f t="shared" ca="1" si="60"/>
        <v>452.02929999999998</v>
      </c>
      <c r="BE82" s="13">
        <f t="shared" ca="1" si="61"/>
        <v>57994</v>
      </c>
      <c r="BF82">
        <f>ROW()</f>
        <v>82</v>
      </c>
      <c r="BH82" t="str">
        <f t="shared" si="62"/>
        <v>BC78:BC82</v>
      </c>
      <c r="BI82">
        <f t="shared" si="79"/>
        <v>70</v>
      </c>
      <c r="BJ82">
        <f t="shared" ca="1" si="63"/>
        <v>445.81139999999994</v>
      </c>
      <c r="BL82" t="str">
        <f t="shared" si="64"/>
        <v>BC63:BC82</v>
      </c>
      <c r="BM82">
        <f t="shared" si="80"/>
        <v>55</v>
      </c>
      <c r="BN82">
        <f t="shared" ca="1" si="65"/>
        <v>440.259725</v>
      </c>
      <c r="BP82" t="str">
        <f t="shared" si="66"/>
        <v>BC23:BC82</v>
      </c>
      <c r="BQ82">
        <f t="shared" si="81"/>
        <v>15</v>
      </c>
      <c r="BR82">
        <f t="shared" ca="1" si="67"/>
        <v>431.44055166666686</v>
      </c>
      <c r="BT82">
        <f t="shared" ca="1" si="45"/>
        <v>443.24530999999996</v>
      </c>
      <c r="BU82">
        <f t="shared" ca="1" si="50"/>
        <v>2.5652841020368791</v>
      </c>
      <c r="BV82">
        <f t="shared" ca="1" si="51"/>
        <v>448.37587820407373</v>
      </c>
      <c r="BW82">
        <f t="shared" ca="1" si="52"/>
        <v>438.11474179592619</v>
      </c>
      <c r="BY82">
        <f t="shared" ca="1" si="53"/>
        <v>445.81139999999994</v>
      </c>
      <c r="BZ82">
        <f t="shared" ca="1" si="54"/>
        <v>440.259725</v>
      </c>
      <c r="CA82">
        <f t="shared" ca="1" si="55"/>
        <v>431.44055166666686</v>
      </c>
      <c r="CD82" t="str">
        <f>IF(周K!$E$3+CK82-12&gt;工作底稿!$CE$5,"周K!A"&amp;周K!$E$3-$CE$5+1+CK82-8,0)</f>
        <v>周K!A242</v>
      </c>
      <c r="CE82" s="4">
        <f t="shared" ca="1" si="68"/>
        <v>43108</v>
      </c>
      <c r="CF82" s="13">
        <f ca="1">IF($CD82=0,"",VLOOKUP($CE82,周K!$A$6:$F$6842,2,0))</f>
        <v>242</v>
      </c>
      <c r="CG82" s="13">
        <f ca="1">IF($CD82=0,"",VLOOKUP($CE82,周K!$A$6:$F$6842,3,0))</f>
        <v>242.5</v>
      </c>
      <c r="CH82" s="13">
        <f ca="1">IF($CD82=0,"",VLOOKUP($CE82,周K!$A$6:$F$6842,4,0))</f>
        <v>232.5</v>
      </c>
      <c r="CI82" s="13">
        <f ca="1">IF($CD82=0,"",VLOOKUP($CE82,周K!$A$6:$F$6842,5,0))</f>
        <v>237</v>
      </c>
      <c r="CJ82" s="13">
        <f ca="1">IF($CD82=0,"",VLOOKUP($CE82,周K!$A$6:$F$6842,6,0))</f>
        <v>121818</v>
      </c>
      <c r="CK82">
        <f>ROW()</f>
        <v>82</v>
      </c>
      <c r="CM82" t="str">
        <f t="shared" si="69"/>
        <v>CG78:CG82</v>
      </c>
      <c r="CN82">
        <f t="shared" si="70"/>
        <v>70</v>
      </c>
      <c r="CO82">
        <f t="shared" ca="1" si="71"/>
        <v>234.3</v>
      </c>
      <c r="CQ82" t="str">
        <f t="shared" si="72"/>
        <v>CG63:CG82</v>
      </c>
      <c r="CR82">
        <f t="shared" si="73"/>
        <v>55</v>
      </c>
      <c r="CS82">
        <f t="shared" ca="1" si="74"/>
        <v>233.2</v>
      </c>
      <c r="CU82" t="str">
        <f t="shared" si="75"/>
        <v>CG23:CG82</v>
      </c>
      <c r="CV82">
        <f t="shared" si="76"/>
        <v>15</v>
      </c>
      <c r="CW82">
        <f t="shared" ca="1" si="77"/>
        <v>210.17500000000001</v>
      </c>
      <c r="CY82">
        <f t="shared" ca="1" si="78"/>
        <v>453.26300000000003</v>
      </c>
      <c r="CZ82">
        <f t="shared" ca="1" si="44"/>
        <v>445.05034553266461</v>
      </c>
      <c r="DA82">
        <f t="shared" ca="1" si="47"/>
        <v>442.02365867295316</v>
      </c>
      <c r="DB82">
        <f t="shared" ca="1" si="46"/>
        <v>3.0266868597114467</v>
      </c>
      <c r="DC82">
        <f t="shared" ca="1" si="48"/>
        <v>1.2113385546752573</v>
      </c>
      <c r="DD82">
        <f t="shared" ca="1" si="49"/>
        <v>1.8153483050361894</v>
      </c>
    </row>
    <row r="83" spans="51:108" x14ac:dyDescent="0.25">
      <c r="AY83" t="str">
        <f>"日K!A"&amp;日K!$E$3-239+1+BF83-8</f>
        <v>日K!A6675</v>
      </c>
      <c r="AZ83" s="4">
        <f t="shared" ca="1" si="56"/>
        <v>44148</v>
      </c>
      <c r="BA83" s="13">
        <f t="shared" ca="1" si="57"/>
        <v>453.0163</v>
      </c>
      <c r="BB83" s="13">
        <f t="shared" ca="1" si="58"/>
        <v>455.97710000000001</v>
      </c>
      <c r="BC83" s="13">
        <f t="shared" ca="1" si="59"/>
        <v>450.54880000000003</v>
      </c>
      <c r="BD83" s="13">
        <f t="shared" ca="1" si="60"/>
        <v>455.97710000000001</v>
      </c>
      <c r="BE83" s="13">
        <f t="shared" ca="1" si="61"/>
        <v>31484</v>
      </c>
      <c r="BF83">
        <f>ROW()</f>
        <v>83</v>
      </c>
      <c r="BH83" t="str">
        <f t="shared" si="62"/>
        <v>BC79:BC83</v>
      </c>
      <c r="BI83">
        <f t="shared" si="79"/>
        <v>71</v>
      </c>
      <c r="BJ83">
        <f t="shared" ca="1" si="63"/>
        <v>447.09444000000002</v>
      </c>
      <c r="BL83" t="str">
        <f t="shared" si="64"/>
        <v>BC64:BC83</v>
      </c>
      <c r="BM83">
        <f t="shared" si="80"/>
        <v>56</v>
      </c>
      <c r="BN83">
        <f t="shared" ca="1" si="65"/>
        <v>440.65451000000002</v>
      </c>
      <c r="BP83" t="str">
        <f t="shared" si="66"/>
        <v>BC24:BC83</v>
      </c>
      <c r="BQ83">
        <f t="shared" si="81"/>
        <v>16</v>
      </c>
      <c r="BR83">
        <f t="shared" ca="1" si="67"/>
        <v>431.8823500000002</v>
      </c>
      <c r="BT83">
        <f t="shared" ca="1" si="45"/>
        <v>443.88683499999996</v>
      </c>
      <c r="BU83">
        <f t="shared" ca="1" si="50"/>
        <v>2.4304553574531274</v>
      </c>
      <c r="BV83">
        <f t="shared" ca="1" si="51"/>
        <v>448.74774571490622</v>
      </c>
      <c r="BW83">
        <f t="shared" ca="1" si="52"/>
        <v>439.02592428509371</v>
      </c>
      <c r="BY83">
        <f t="shared" ca="1" si="53"/>
        <v>447.09444000000002</v>
      </c>
      <c r="BZ83">
        <f t="shared" ca="1" si="54"/>
        <v>440.65451000000002</v>
      </c>
      <c r="CA83">
        <f t="shared" ca="1" si="55"/>
        <v>431.8823500000002</v>
      </c>
      <c r="CD83" t="str">
        <f>IF(周K!$E$3+CK83-12&gt;工作底稿!$CE$5,"周K!A"&amp;周K!$E$3-$CE$5+1+CK83-8,0)</f>
        <v>周K!A243</v>
      </c>
      <c r="CE83" s="4">
        <f t="shared" ca="1" si="68"/>
        <v>43115</v>
      </c>
      <c r="CF83" s="13">
        <f ca="1">IF($CD83=0,"",VLOOKUP($CE83,周K!$A$6:$F$6842,2,0))</f>
        <v>240</v>
      </c>
      <c r="CG83" s="13">
        <f ca="1">IF($CD83=0,"",VLOOKUP($CE83,周K!$A$6:$F$6842,3,0))</f>
        <v>255.5</v>
      </c>
      <c r="CH83" s="13">
        <f ca="1">IF($CD83=0,"",VLOOKUP($CE83,周K!$A$6:$F$6842,4,0))</f>
        <v>238</v>
      </c>
      <c r="CI83" s="13">
        <f ca="1">IF($CD83=0,"",VLOOKUP($CE83,周K!$A$6:$F$6842,5,0))</f>
        <v>255.5</v>
      </c>
      <c r="CJ83" s="13">
        <f ca="1">IF($CD83=0,"",VLOOKUP($CE83,周K!$A$6:$F$6842,6,0))</f>
        <v>195284</v>
      </c>
      <c r="CK83">
        <f>ROW()</f>
        <v>83</v>
      </c>
      <c r="CM83" t="str">
        <f t="shared" si="69"/>
        <v>CG79:CG83</v>
      </c>
      <c r="CN83">
        <f t="shared" si="70"/>
        <v>71</v>
      </c>
      <c r="CO83">
        <f t="shared" ca="1" si="71"/>
        <v>239.3</v>
      </c>
      <c r="CQ83" t="str">
        <f t="shared" si="72"/>
        <v>CG64:CG83</v>
      </c>
      <c r="CR83">
        <f t="shared" si="73"/>
        <v>56</v>
      </c>
      <c r="CS83">
        <f t="shared" ca="1" si="74"/>
        <v>235.07499999999999</v>
      </c>
      <c r="CU83" t="str">
        <f t="shared" si="75"/>
        <v>CG24:CG83</v>
      </c>
      <c r="CV83">
        <f t="shared" si="76"/>
        <v>16</v>
      </c>
      <c r="CW83">
        <f t="shared" ca="1" si="77"/>
        <v>211.32499999999999</v>
      </c>
      <c r="CY83">
        <f t="shared" ca="1" si="78"/>
        <v>454.62002500000006</v>
      </c>
      <c r="CZ83">
        <f t="shared" ca="1" si="44"/>
        <v>446.52260391225468</v>
      </c>
      <c r="DA83">
        <f t="shared" ca="1" si="47"/>
        <v>442.95672284532702</v>
      </c>
      <c r="DB83">
        <f t="shared" ca="1" si="46"/>
        <v>3.565881066927659</v>
      </c>
      <c r="DC83">
        <f t="shared" ca="1" si="48"/>
        <v>1.6183569807970646</v>
      </c>
      <c r="DD83">
        <f t="shared" ca="1" si="49"/>
        <v>1.9475240861305945</v>
      </c>
    </row>
    <row r="84" spans="51:108" x14ac:dyDescent="0.25">
      <c r="AY84" t="str">
        <f>"日K!A"&amp;日K!$E$3-239+1+BF84-8</f>
        <v>日K!A6676</v>
      </c>
      <c r="AZ84" s="4">
        <f t="shared" ca="1" si="56"/>
        <v>44151</v>
      </c>
      <c r="BA84" s="13">
        <f t="shared" ca="1" si="57"/>
        <v>463.87290000000002</v>
      </c>
      <c r="BB84" s="13">
        <f t="shared" ca="1" si="58"/>
        <v>478.18380000000002</v>
      </c>
      <c r="BC84" s="13">
        <f t="shared" ca="1" si="59"/>
        <v>462.88589999999999</v>
      </c>
      <c r="BD84" s="13">
        <f t="shared" ca="1" si="60"/>
        <v>477.69029999999998</v>
      </c>
      <c r="BE84" s="13">
        <f t="shared" ca="1" si="61"/>
        <v>83381</v>
      </c>
      <c r="BF84">
        <f>ROW()</f>
        <v>84</v>
      </c>
      <c r="BH84" t="str">
        <f t="shared" si="62"/>
        <v>BC80:BC84</v>
      </c>
      <c r="BI84">
        <f t="shared" si="79"/>
        <v>72</v>
      </c>
      <c r="BJ84">
        <f t="shared" ca="1" si="63"/>
        <v>450.05534000000006</v>
      </c>
      <c r="BL84" t="str">
        <f t="shared" si="64"/>
        <v>BC65:BC84</v>
      </c>
      <c r="BM84">
        <f t="shared" si="80"/>
        <v>57</v>
      </c>
      <c r="BN84">
        <f t="shared" ca="1" si="65"/>
        <v>441.54277999999994</v>
      </c>
      <c r="BP84" t="str">
        <f t="shared" si="66"/>
        <v>BC25:BC84</v>
      </c>
      <c r="BQ84">
        <f t="shared" si="81"/>
        <v>17</v>
      </c>
      <c r="BR84">
        <f t="shared" ca="1" si="67"/>
        <v>432.60338500000023</v>
      </c>
      <c r="BT84">
        <f t="shared" ca="1" si="45"/>
        <v>445.19456000000002</v>
      </c>
      <c r="BU84">
        <f t="shared" ca="1" si="50"/>
        <v>2.3230789438179338</v>
      </c>
      <c r="BV84">
        <f t="shared" ca="1" si="51"/>
        <v>449.84071788763589</v>
      </c>
      <c r="BW84">
        <f t="shared" ca="1" si="52"/>
        <v>440.54840211236416</v>
      </c>
      <c r="BY84">
        <f t="shared" ca="1" si="53"/>
        <v>450.05534000000006</v>
      </c>
      <c r="BZ84">
        <f t="shared" ca="1" si="54"/>
        <v>441.54277999999994</v>
      </c>
      <c r="CA84">
        <f t="shared" ca="1" si="55"/>
        <v>432.60338500000023</v>
      </c>
      <c r="CD84" t="str">
        <f>IF(周K!$E$3+CK84-12&gt;工作底稿!$CE$5,"周K!A"&amp;周K!$E$3-$CE$5+1+CK84-8,0)</f>
        <v>周K!A244</v>
      </c>
      <c r="CE84" s="4">
        <f t="shared" ca="1" si="68"/>
        <v>43122</v>
      </c>
      <c r="CF84" s="13">
        <f ca="1">IF($CD84=0,"",VLOOKUP($CE84,周K!$A$6:$F$6842,2,0))</f>
        <v>257.5</v>
      </c>
      <c r="CG84" s="13">
        <f ca="1">IF($CD84=0,"",VLOOKUP($CE84,周K!$A$6:$F$6842,3,0))</f>
        <v>266</v>
      </c>
      <c r="CH84" s="13">
        <f ca="1">IF($CD84=0,"",VLOOKUP($CE84,周K!$A$6:$F$6842,4,0))</f>
        <v>253.5</v>
      </c>
      <c r="CI84" s="13">
        <f ca="1">IF($CD84=0,"",VLOOKUP($CE84,周K!$A$6:$F$6842,5,0))</f>
        <v>255</v>
      </c>
      <c r="CJ84" s="13">
        <f ca="1">IF($CD84=0,"",VLOOKUP($CE84,周K!$A$6:$F$6842,6,0))</f>
        <v>212844</v>
      </c>
      <c r="CK84">
        <f>ROW()</f>
        <v>84</v>
      </c>
      <c r="CM84" t="str">
        <f t="shared" si="69"/>
        <v>CG80:CG84</v>
      </c>
      <c r="CN84">
        <f t="shared" si="70"/>
        <v>72</v>
      </c>
      <c r="CO84">
        <f t="shared" ca="1" si="71"/>
        <v>246.8</v>
      </c>
      <c r="CQ84" t="str">
        <f t="shared" si="72"/>
        <v>CG65:CG84</v>
      </c>
      <c r="CR84">
        <f t="shared" si="73"/>
        <v>57</v>
      </c>
      <c r="CS84">
        <f t="shared" ca="1" si="74"/>
        <v>237.45</v>
      </c>
      <c r="CU84" t="str">
        <f t="shared" si="75"/>
        <v>CG25:CG84</v>
      </c>
      <c r="CV84">
        <f t="shared" si="76"/>
        <v>17</v>
      </c>
      <c r="CW84">
        <f t="shared" ca="1" si="77"/>
        <v>212.67500000000001</v>
      </c>
      <c r="CY84">
        <f t="shared" ca="1" si="78"/>
        <v>474.11257499999999</v>
      </c>
      <c r="CZ84">
        <f t="shared" ca="1" si="44"/>
        <v>450.76721484883092</v>
      </c>
      <c r="DA84">
        <f t="shared" ca="1" si="47"/>
        <v>445.26456374567317</v>
      </c>
      <c r="DB84">
        <f t="shared" ca="1" si="46"/>
        <v>5.5026511031577456</v>
      </c>
      <c r="DC84">
        <f t="shared" ca="1" si="48"/>
        <v>2.2654432908137778</v>
      </c>
      <c r="DD84">
        <f t="shared" ca="1" si="49"/>
        <v>3.2372078123439678</v>
      </c>
    </row>
    <row r="85" spans="51:108" x14ac:dyDescent="0.25">
      <c r="AY85" t="str">
        <f>"日K!A"&amp;日K!$E$3-239+1+BF85-8</f>
        <v>日K!A6677</v>
      </c>
      <c r="AZ85" s="4">
        <f t="shared" ca="1" si="56"/>
        <v>44152</v>
      </c>
      <c r="BA85" s="13">
        <f t="shared" ca="1" si="57"/>
        <v>495.45569999999998</v>
      </c>
      <c r="BB85" s="13">
        <f t="shared" ca="1" si="58"/>
        <v>499.40350000000001</v>
      </c>
      <c r="BC85" s="13">
        <f t="shared" ca="1" si="59"/>
        <v>479.17079999999999</v>
      </c>
      <c r="BD85" s="13">
        <f t="shared" ca="1" si="60"/>
        <v>479.17079999999999</v>
      </c>
      <c r="BE85" s="13">
        <f t="shared" ca="1" si="61"/>
        <v>75764</v>
      </c>
      <c r="BF85">
        <f>ROW()</f>
        <v>85</v>
      </c>
      <c r="BH85" t="str">
        <f t="shared" si="62"/>
        <v>BC81:BC85</v>
      </c>
      <c r="BI85">
        <f t="shared" si="79"/>
        <v>73</v>
      </c>
      <c r="BJ85">
        <f t="shared" ca="1" si="63"/>
        <v>457.35888000000006</v>
      </c>
      <c r="BL85" t="str">
        <f t="shared" si="64"/>
        <v>BC66:BC85</v>
      </c>
      <c r="BM85">
        <f t="shared" si="80"/>
        <v>58</v>
      </c>
      <c r="BN85">
        <f t="shared" ca="1" si="65"/>
        <v>443.245295</v>
      </c>
      <c r="BP85" t="str">
        <f t="shared" si="66"/>
        <v>BC26:BC85</v>
      </c>
      <c r="BQ85">
        <f t="shared" si="81"/>
        <v>18</v>
      </c>
      <c r="BR85">
        <f t="shared" ca="1" si="67"/>
        <v>434.02936500000015</v>
      </c>
      <c r="BT85">
        <f t="shared" ca="1" si="45"/>
        <v>446.89707499999997</v>
      </c>
      <c r="BU85">
        <f t="shared" ca="1" si="50"/>
        <v>2.2947000148772343</v>
      </c>
      <c r="BV85">
        <f t="shared" ca="1" si="51"/>
        <v>451.48647502975444</v>
      </c>
      <c r="BW85">
        <f t="shared" ca="1" si="52"/>
        <v>442.3076749702455</v>
      </c>
      <c r="BY85">
        <f t="shared" ca="1" si="53"/>
        <v>457.35888000000006</v>
      </c>
      <c r="BZ85">
        <f t="shared" ca="1" si="54"/>
        <v>443.245295</v>
      </c>
      <c r="CA85">
        <f t="shared" ca="1" si="55"/>
        <v>434.02936500000015</v>
      </c>
      <c r="CD85" t="str">
        <f>IF(周K!$E$3+CK85-12&gt;工作底稿!$CE$5,"周K!A"&amp;周K!$E$3-$CE$5+1+CK85-8,0)</f>
        <v>周K!A245</v>
      </c>
      <c r="CE85" s="4">
        <f t="shared" ca="1" si="68"/>
        <v>43129</v>
      </c>
      <c r="CF85" s="13">
        <f ca="1">IF($CD85=0,"",VLOOKUP($CE85,周K!$A$6:$F$6842,2,0))</f>
        <v>259</v>
      </c>
      <c r="CG85" s="13">
        <f ca="1">IF($CD85=0,"",VLOOKUP($CE85,周K!$A$6:$F$6842,3,0))</f>
        <v>261.5</v>
      </c>
      <c r="CH85" s="13">
        <f ca="1">IF($CD85=0,"",VLOOKUP($CE85,周K!$A$6:$F$6842,4,0))</f>
        <v>252</v>
      </c>
      <c r="CI85" s="13">
        <f ca="1">IF($CD85=0,"",VLOOKUP($CE85,周K!$A$6:$F$6842,5,0))</f>
        <v>259.5</v>
      </c>
      <c r="CJ85" s="13">
        <f ca="1">IF($CD85=0,"",VLOOKUP($CE85,周K!$A$6:$F$6842,6,0))</f>
        <v>171133</v>
      </c>
      <c r="CK85">
        <f>ROW()</f>
        <v>85</v>
      </c>
      <c r="CM85" t="str">
        <f t="shared" si="69"/>
        <v>CG81:CG85</v>
      </c>
      <c r="CN85">
        <f t="shared" si="70"/>
        <v>73</v>
      </c>
      <c r="CO85">
        <f t="shared" ca="1" si="71"/>
        <v>253.1</v>
      </c>
      <c r="CQ85" t="str">
        <f t="shared" si="72"/>
        <v>CG66:CG85</v>
      </c>
      <c r="CR85">
        <f t="shared" si="73"/>
        <v>58</v>
      </c>
      <c r="CS85">
        <f t="shared" ca="1" si="74"/>
        <v>239.55</v>
      </c>
      <c r="CU85" t="str">
        <f t="shared" si="75"/>
        <v>CG26:CG85</v>
      </c>
      <c r="CV85">
        <f t="shared" si="76"/>
        <v>18</v>
      </c>
      <c r="CW85">
        <f t="shared" ca="1" si="77"/>
        <v>213.93333333333334</v>
      </c>
      <c r="CY85">
        <f t="shared" ca="1" si="78"/>
        <v>484.22897499999999</v>
      </c>
      <c r="CZ85">
        <f t="shared" ref="CZ85:CZ148" ca="1" si="82">CZ84*(11/13)+CY85*(2/13)</f>
        <v>455.9151779490108</v>
      </c>
      <c r="DA85">
        <f t="shared" ca="1" si="47"/>
        <v>448.1508164311789</v>
      </c>
      <c r="DB85">
        <f t="shared" ca="1" si="46"/>
        <v>7.764361517831901</v>
      </c>
      <c r="DC85">
        <f t="shared" ca="1" si="48"/>
        <v>3.1140194094658997</v>
      </c>
      <c r="DD85">
        <f t="shared" ca="1" si="49"/>
        <v>4.6503421083660008</v>
      </c>
    </row>
    <row r="86" spans="51:108" x14ac:dyDescent="0.25">
      <c r="AY86" t="str">
        <f>"日K!A"&amp;日K!$E$3-239+1+BF86-8</f>
        <v>日K!A6678</v>
      </c>
      <c r="AZ86" s="4">
        <f t="shared" ca="1" si="56"/>
        <v>44153</v>
      </c>
      <c r="BA86" s="13">
        <f t="shared" ca="1" si="57"/>
        <v>483.6121</v>
      </c>
      <c r="BB86" s="13">
        <f t="shared" ca="1" si="58"/>
        <v>490.52089999999998</v>
      </c>
      <c r="BC86" s="13">
        <f t="shared" ca="1" si="59"/>
        <v>480.15769999999998</v>
      </c>
      <c r="BD86" s="13">
        <f t="shared" ca="1" si="60"/>
        <v>490.52089999999998</v>
      </c>
      <c r="BE86" s="13">
        <f t="shared" ca="1" si="61"/>
        <v>56608</v>
      </c>
      <c r="BF86">
        <f>ROW()</f>
        <v>86</v>
      </c>
      <c r="BH86" t="str">
        <f t="shared" si="62"/>
        <v>BC82:BC86</v>
      </c>
      <c r="BI86">
        <f t="shared" si="79"/>
        <v>74</v>
      </c>
      <c r="BJ86">
        <f t="shared" ca="1" si="63"/>
        <v>464.85980000000001</v>
      </c>
      <c r="BL86" t="str">
        <f t="shared" si="64"/>
        <v>BC67:BC86</v>
      </c>
      <c r="BM86">
        <f t="shared" si="80"/>
        <v>59</v>
      </c>
      <c r="BN86">
        <f t="shared" ca="1" si="65"/>
        <v>444.99715500000002</v>
      </c>
      <c r="BP86" t="str">
        <f t="shared" si="66"/>
        <v>BC27:BC86</v>
      </c>
      <c r="BQ86">
        <f t="shared" si="81"/>
        <v>19</v>
      </c>
      <c r="BR86">
        <f t="shared" ca="1" si="67"/>
        <v>435.1609600000001</v>
      </c>
      <c r="BT86">
        <f t="shared" ca="1" si="45"/>
        <v>449.06839499999995</v>
      </c>
      <c r="BU86">
        <f t="shared" ca="1" si="50"/>
        <v>2.4601552707273457</v>
      </c>
      <c r="BV86">
        <f t="shared" ca="1" si="51"/>
        <v>453.98870554145464</v>
      </c>
      <c r="BW86">
        <f t="shared" ca="1" si="52"/>
        <v>444.14808445854527</v>
      </c>
      <c r="BY86">
        <f t="shared" ca="1" si="53"/>
        <v>464.85980000000001</v>
      </c>
      <c r="BZ86">
        <f t="shared" ca="1" si="54"/>
        <v>444.99715500000002</v>
      </c>
      <c r="CA86">
        <f t="shared" ca="1" si="55"/>
        <v>435.1609600000001</v>
      </c>
      <c r="CD86" t="str">
        <f>IF(周K!$E$3+CK86-12&gt;工作底稿!$CE$5,"周K!A"&amp;周K!$E$3-$CE$5+1+CK86-8,0)</f>
        <v>周K!A246</v>
      </c>
      <c r="CE86" s="4">
        <f t="shared" ca="1" si="68"/>
        <v>43136</v>
      </c>
      <c r="CF86" s="13">
        <f ca="1">IF($CD86=0,"",VLOOKUP($CE86,周K!$A$6:$F$6842,2,0))</f>
        <v>251</v>
      </c>
      <c r="CG86" s="13">
        <f ca="1">IF($CD86=0,"",VLOOKUP($CE86,周K!$A$6:$F$6842,3,0))</f>
        <v>254.5</v>
      </c>
      <c r="CH86" s="13">
        <f ca="1">IF($CD86=0,"",VLOOKUP($CE86,周K!$A$6:$F$6842,4,0))</f>
        <v>228.5</v>
      </c>
      <c r="CI86" s="13">
        <f ca="1">IF($CD86=0,"",VLOOKUP($CE86,周K!$A$6:$F$6842,5,0))</f>
        <v>232.5</v>
      </c>
      <c r="CJ86" s="13">
        <f ca="1">IF($CD86=0,"",VLOOKUP($CE86,周K!$A$6:$F$6842,6,0))</f>
        <v>330433</v>
      </c>
      <c r="CK86">
        <f>ROW()</f>
        <v>86</v>
      </c>
      <c r="CM86" t="str">
        <f t="shared" si="69"/>
        <v>CG82:CG86</v>
      </c>
      <c r="CN86">
        <f t="shared" si="70"/>
        <v>74</v>
      </c>
      <c r="CO86">
        <f t="shared" ca="1" si="71"/>
        <v>256</v>
      </c>
      <c r="CQ86" t="str">
        <f t="shared" si="72"/>
        <v>CG67:CG86</v>
      </c>
      <c r="CR86">
        <f t="shared" si="73"/>
        <v>59</v>
      </c>
      <c r="CS86">
        <f t="shared" ca="1" si="74"/>
        <v>241.125</v>
      </c>
      <c r="CU86" t="str">
        <f t="shared" si="75"/>
        <v>CG27:CG86</v>
      </c>
      <c r="CV86">
        <f t="shared" si="76"/>
        <v>19</v>
      </c>
      <c r="CW86">
        <f t="shared" ca="1" si="77"/>
        <v>215.05</v>
      </c>
      <c r="CY86">
        <f t="shared" ca="1" si="78"/>
        <v>487.93009999999998</v>
      </c>
      <c r="CZ86">
        <f t="shared" ca="1" si="82"/>
        <v>460.84055057223986</v>
      </c>
      <c r="DA86">
        <f t="shared" ca="1" si="47"/>
        <v>451.09743002886933</v>
      </c>
      <c r="DB86">
        <f t="shared" ca="1" si="46"/>
        <v>9.7431205433705372</v>
      </c>
      <c r="DC86">
        <f t="shared" ca="1" si="48"/>
        <v>4.1337514749686575</v>
      </c>
      <c r="DD86">
        <f t="shared" ca="1" si="49"/>
        <v>5.6093690684018798</v>
      </c>
    </row>
    <row r="87" spans="51:108" x14ac:dyDescent="0.25">
      <c r="AY87" t="str">
        <f>"日K!A"&amp;日K!$E$3-239+1+BF87-8</f>
        <v>日K!A6679</v>
      </c>
      <c r="AZ87" s="4">
        <f t="shared" ca="1" si="56"/>
        <v>44154</v>
      </c>
      <c r="BA87" s="13">
        <f t="shared" ca="1" si="57"/>
        <v>492.4948</v>
      </c>
      <c r="BB87" s="13">
        <f t="shared" ca="1" si="58"/>
        <v>492.4948</v>
      </c>
      <c r="BC87" s="13">
        <f t="shared" ca="1" si="59"/>
        <v>483.6121</v>
      </c>
      <c r="BD87" s="13">
        <f t="shared" ca="1" si="60"/>
        <v>483.6121</v>
      </c>
      <c r="BE87" s="13">
        <f t="shared" ca="1" si="61"/>
        <v>47345</v>
      </c>
      <c r="BF87">
        <f>ROW()</f>
        <v>87</v>
      </c>
      <c r="BH87" t="str">
        <f t="shared" si="62"/>
        <v>BC83:BC87</v>
      </c>
      <c r="BI87">
        <f t="shared" si="79"/>
        <v>75</v>
      </c>
      <c r="BJ87">
        <f t="shared" ca="1" si="63"/>
        <v>471.27506000000005</v>
      </c>
      <c r="BL87" t="str">
        <f t="shared" si="64"/>
        <v>BC68:BC87</v>
      </c>
      <c r="BM87">
        <f t="shared" si="80"/>
        <v>60</v>
      </c>
      <c r="BN87">
        <f t="shared" ca="1" si="65"/>
        <v>446.99575500000003</v>
      </c>
      <c r="BP87" t="str">
        <f t="shared" si="66"/>
        <v>BC28:BC87</v>
      </c>
      <c r="BQ87">
        <f t="shared" si="81"/>
        <v>20</v>
      </c>
      <c r="BR87">
        <f t="shared" ca="1" si="67"/>
        <v>436.26833000000011</v>
      </c>
      <c r="BT87">
        <f t="shared" ca="1" si="45"/>
        <v>450.79557999999997</v>
      </c>
      <c r="BU87">
        <f t="shared" ca="1" si="50"/>
        <v>2.782014381161634</v>
      </c>
      <c r="BV87">
        <f t="shared" ca="1" si="51"/>
        <v>456.35960876232326</v>
      </c>
      <c r="BW87">
        <f t="shared" ca="1" si="52"/>
        <v>445.23155123767668</v>
      </c>
      <c r="BY87">
        <f t="shared" ca="1" si="53"/>
        <v>471.27506000000005</v>
      </c>
      <c r="BZ87">
        <f t="shared" ca="1" si="54"/>
        <v>446.99575500000003</v>
      </c>
      <c r="CA87">
        <f t="shared" ca="1" si="55"/>
        <v>436.26833000000011</v>
      </c>
      <c r="CD87" t="str">
        <f>IF(周K!$E$3+CK87-12&gt;工作底稿!$CE$5,"周K!A"&amp;周K!$E$3-$CE$5+1+CK87-8,0)</f>
        <v>周K!A247</v>
      </c>
      <c r="CE87" s="4">
        <f t="shared" ca="1" si="68"/>
        <v>43143</v>
      </c>
      <c r="CF87" s="13">
        <f ca="1">IF($CD87=0,"",VLOOKUP($CE87,周K!$A$6:$F$6842,2,0))</f>
        <v>235.5</v>
      </c>
      <c r="CG87" s="13">
        <f ca="1">IF($CD87=0,"",VLOOKUP($CE87,周K!$A$6:$F$6842,3,0))</f>
        <v>237.5</v>
      </c>
      <c r="CH87" s="13">
        <f ca="1">IF($CD87=0,"",VLOOKUP($CE87,周K!$A$6:$F$6842,4,0))</f>
        <v>235</v>
      </c>
      <c r="CI87" s="13">
        <f ca="1">IF($CD87=0,"",VLOOKUP($CE87,周K!$A$6:$F$6842,5,0))</f>
        <v>236.5</v>
      </c>
      <c r="CJ87" s="13">
        <f ca="1">IF($CD87=0,"",VLOOKUP($CE87,周K!$A$6:$F$6842,6,0))</f>
        <v>42917</v>
      </c>
      <c r="CK87">
        <f>ROW()</f>
        <v>87</v>
      </c>
      <c r="CM87" t="str">
        <f t="shared" si="69"/>
        <v>CG83:CG87</v>
      </c>
      <c r="CN87">
        <f t="shared" si="70"/>
        <v>75</v>
      </c>
      <c r="CO87">
        <f t="shared" ca="1" si="71"/>
        <v>255</v>
      </c>
      <c r="CQ87" t="str">
        <f t="shared" si="72"/>
        <v>CG68:CG87</v>
      </c>
      <c r="CR87">
        <f t="shared" si="73"/>
        <v>60</v>
      </c>
      <c r="CS87">
        <f t="shared" ca="1" si="74"/>
        <v>242.07499999999999</v>
      </c>
      <c r="CU87" t="str">
        <f t="shared" si="75"/>
        <v>CG28:CG87</v>
      </c>
      <c r="CV87">
        <f t="shared" si="76"/>
        <v>20</v>
      </c>
      <c r="CW87">
        <f t="shared" ca="1" si="77"/>
        <v>215.93333333333334</v>
      </c>
      <c r="CY87">
        <f t="shared" ca="1" si="78"/>
        <v>485.83277499999997</v>
      </c>
      <c r="CZ87">
        <f t="shared" ca="1" si="82"/>
        <v>464.68550817651061</v>
      </c>
      <c r="DA87">
        <f t="shared" ca="1" si="47"/>
        <v>453.67041854524933</v>
      </c>
      <c r="DB87">
        <f t="shared" ca="1" si="46"/>
        <v>11.015089631261276</v>
      </c>
      <c r="DC87">
        <f t="shared" ca="1" si="48"/>
        <v>5.2322183977355001</v>
      </c>
      <c r="DD87">
        <f t="shared" ca="1" si="49"/>
        <v>5.7828712335257757</v>
      </c>
    </row>
    <row r="88" spans="51:108" x14ac:dyDescent="0.25">
      <c r="AY88" t="str">
        <f>"日K!A"&amp;日K!$E$3-239+1+BF88-8</f>
        <v>日K!A6680</v>
      </c>
      <c r="AZ88" s="4">
        <f t="shared" ca="1" si="56"/>
        <v>44155</v>
      </c>
      <c r="BA88" s="13">
        <f t="shared" ca="1" si="57"/>
        <v>479.66430000000003</v>
      </c>
      <c r="BB88" s="13">
        <f t="shared" ca="1" si="58"/>
        <v>483.6121</v>
      </c>
      <c r="BC88" s="13">
        <f t="shared" ca="1" si="59"/>
        <v>479.66430000000003</v>
      </c>
      <c r="BD88" s="13">
        <f t="shared" ca="1" si="60"/>
        <v>481.63819999999998</v>
      </c>
      <c r="BE88" s="13">
        <f t="shared" ca="1" si="61"/>
        <v>35243</v>
      </c>
      <c r="BF88">
        <f>ROW()</f>
        <v>88</v>
      </c>
      <c r="BH88" t="str">
        <f t="shared" si="62"/>
        <v>BC84:BC88</v>
      </c>
      <c r="BI88">
        <f t="shared" si="79"/>
        <v>76</v>
      </c>
      <c r="BJ88">
        <f t="shared" ca="1" si="63"/>
        <v>477.09816000000001</v>
      </c>
      <c r="BL88" t="str">
        <f t="shared" si="64"/>
        <v>BC69:BC88</v>
      </c>
      <c r="BM88">
        <f t="shared" si="80"/>
        <v>61</v>
      </c>
      <c r="BN88">
        <f t="shared" ca="1" si="65"/>
        <v>448.69826999999998</v>
      </c>
      <c r="BP88" t="str">
        <f t="shared" si="66"/>
        <v>BC29:BC88</v>
      </c>
      <c r="BQ88">
        <f t="shared" si="81"/>
        <v>21</v>
      </c>
      <c r="BR88">
        <f t="shared" ca="1" si="67"/>
        <v>437.21992666666677</v>
      </c>
      <c r="BT88">
        <f t="shared" ca="1" si="45"/>
        <v>452.57211499999994</v>
      </c>
      <c r="BU88">
        <f t="shared" ca="1" si="50"/>
        <v>3.2297345804574271</v>
      </c>
      <c r="BV88">
        <f t="shared" ca="1" si="51"/>
        <v>459.0315841609148</v>
      </c>
      <c r="BW88">
        <f t="shared" ca="1" si="52"/>
        <v>446.11264583908508</v>
      </c>
      <c r="BY88">
        <f t="shared" ca="1" si="53"/>
        <v>477.09816000000001</v>
      </c>
      <c r="BZ88">
        <f t="shared" ca="1" si="54"/>
        <v>448.69826999999998</v>
      </c>
      <c r="CA88">
        <f t="shared" ca="1" si="55"/>
        <v>437.21992666666677</v>
      </c>
      <c r="CD88" t="str">
        <f>IF(周K!$E$3+CK88-12&gt;工作底稿!$CE$5,"周K!A"&amp;周K!$E$3-$CE$5+1+CK88-8,0)</f>
        <v>周K!A248</v>
      </c>
      <c r="CE88" s="4">
        <f t="shared" ca="1" si="68"/>
        <v>43152</v>
      </c>
      <c r="CF88" s="13">
        <f ca="1">IF($CD88=0,"",VLOOKUP($CE88,周K!$A$6:$F$6842,2,0))</f>
        <v>244.5</v>
      </c>
      <c r="CG88" s="13">
        <f ca="1">IF($CD88=0,"",VLOOKUP($CE88,周K!$A$6:$F$6842,3,0))</f>
        <v>245</v>
      </c>
      <c r="CH88" s="13">
        <f ca="1">IF($CD88=0,"",VLOOKUP($CE88,周K!$A$6:$F$6842,4,0))</f>
        <v>239</v>
      </c>
      <c r="CI88" s="13">
        <f ca="1">IF($CD88=0,"",VLOOKUP($CE88,周K!$A$6:$F$6842,5,0))</f>
        <v>245</v>
      </c>
      <c r="CJ88" s="13">
        <f ca="1">IF($CD88=0,"",VLOOKUP($CE88,周K!$A$6:$F$6842,6,0))</f>
        <v>148875</v>
      </c>
      <c r="CK88">
        <f>ROW()</f>
        <v>88</v>
      </c>
      <c r="CM88" t="str">
        <f t="shared" si="69"/>
        <v>CG84:CG88</v>
      </c>
      <c r="CN88">
        <f t="shared" si="70"/>
        <v>76</v>
      </c>
      <c r="CO88">
        <f t="shared" ca="1" si="71"/>
        <v>252.9</v>
      </c>
      <c r="CQ88" t="str">
        <f t="shared" si="72"/>
        <v>CG69:CG88</v>
      </c>
      <c r="CR88">
        <f t="shared" si="73"/>
        <v>61</v>
      </c>
      <c r="CS88">
        <f t="shared" ca="1" si="74"/>
        <v>243.05</v>
      </c>
      <c r="CU88" t="str">
        <f t="shared" si="75"/>
        <v>CG29:CG88</v>
      </c>
      <c r="CV88">
        <f t="shared" si="76"/>
        <v>21</v>
      </c>
      <c r="CW88">
        <f t="shared" ca="1" si="77"/>
        <v>216.97499999999999</v>
      </c>
      <c r="CY88">
        <f t="shared" ca="1" si="78"/>
        <v>481.63819999999998</v>
      </c>
      <c r="CZ88">
        <f t="shared" ca="1" si="82"/>
        <v>467.29361461089354</v>
      </c>
      <c r="DA88">
        <f t="shared" ca="1" si="47"/>
        <v>455.74210606041606</v>
      </c>
      <c r="DB88">
        <f t="shared" ca="1" si="46"/>
        <v>11.551508550477479</v>
      </c>
      <c r="DC88">
        <f t="shared" ca="1" si="48"/>
        <v>6.2978416872351648</v>
      </c>
      <c r="DD88">
        <f t="shared" ca="1" si="49"/>
        <v>5.253666863242314</v>
      </c>
    </row>
    <row r="89" spans="51:108" x14ac:dyDescent="0.25">
      <c r="AY89" t="str">
        <f>"日K!A"&amp;日K!$E$3-239+1+BF89-8</f>
        <v>日K!A6681</v>
      </c>
      <c r="AZ89" s="4">
        <f t="shared" ca="1" si="56"/>
        <v>44158</v>
      </c>
      <c r="BA89" s="13">
        <f t="shared" ca="1" si="57"/>
        <v>488.05349999999999</v>
      </c>
      <c r="BB89" s="13">
        <f t="shared" ca="1" si="58"/>
        <v>492.00130000000001</v>
      </c>
      <c r="BC89" s="13">
        <f t="shared" ca="1" si="59"/>
        <v>485.58600000000001</v>
      </c>
      <c r="BD89" s="13">
        <f t="shared" ca="1" si="60"/>
        <v>490.0274</v>
      </c>
      <c r="BE89" s="13">
        <f t="shared" ca="1" si="61"/>
        <v>43708</v>
      </c>
      <c r="BF89">
        <f>ROW()</f>
        <v>89</v>
      </c>
      <c r="BH89" t="str">
        <f t="shared" si="62"/>
        <v>BC85:BC89</v>
      </c>
      <c r="BI89">
        <f t="shared" si="79"/>
        <v>77</v>
      </c>
      <c r="BJ89">
        <f t="shared" ca="1" si="63"/>
        <v>481.63817999999992</v>
      </c>
      <c r="BL89" t="str">
        <f t="shared" si="64"/>
        <v>BC70:BC89</v>
      </c>
      <c r="BM89">
        <f t="shared" si="80"/>
        <v>62</v>
      </c>
      <c r="BN89">
        <f t="shared" ca="1" si="65"/>
        <v>450.77088999999995</v>
      </c>
      <c r="BP89" t="str">
        <f t="shared" si="66"/>
        <v>BC30:BC89</v>
      </c>
      <c r="BQ89">
        <f t="shared" si="81"/>
        <v>22</v>
      </c>
      <c r="BR89">
        <f t="shared" ca="1" si="67"/>
        <v>438.19660000000005</v>
      </c>
      <c r="BT89">
        <f t="shared" ca="1" si="45"/>
        <v>454.866805</v>
      </c>
      <c r="BU89">
        <f t="shared" ca="1" si="50"/>
        <v>3.8399494567991375</v>
      </c>
      <c r="BV89">
        <f t="shared" ca="1" si="51"/>
        <v>462.54670391359826</v>
      </c>
      <c r="BW89">
        <f t="shared" ca="1" si="52"/>
        <v>447.18690608640173</v>
      </c>
      <c r="BY89">
        <f t="shared" ca="1" si="53"/>
        <v>481.63817999999992</v>
      </c>
      <c r="BZ89">
        <f t="shared" ca="1" si="54"/>
        <v>450.77088999999995</v>
      </c>
      <c r="CA89">
        <f t="shared" ca="1" si="55"/>
        <v>438.19660000000005</v>
      </c>
      <c r="CD89" t="str">
        <f>IF(周K!$E$3+CK89-12&gt;工作底稿!$CE$5,"周K!A"&amp;周K!$E$3-$CE$5+1+CK89-8,0)</f>
        <v>周K!A249</v>
      </c>
      <c r="CE89" s="4">
        <f t="shared" ca="1" si="68"/>
        <v>43157</v>
      </c>
      <c r="CF89" s="13">
        <f ca="1">IF($CD89=0,"",VLOOKUP($CE89,周K!$A$6:$F$6842,2,0))</f>
        <v>247</v>
      </c>
      <c r="CG89" s="13">
        <f ca="1">IF($CD89=0,"",VLOOKUP($CE89,周K!$A$6:$F$6842,3,0))</f>
        <v>250.5</v>
      </c>
      <c r="CH89" s="13">
        <f ca="1">IF($CD89=0,"",VLOOKUP($CE89,周K!$A$6:$F$6842,4,0))</f>
        <v>238.5</v>
      </c>
      <c r="CI89" s="13">
        <f ca="1">IF($CD89=0,"",VLOOKUP($CE89,周K!$A$6:$F$6842,5,0))</f>
        <v>240</v>
      </c>
      <c r="CJ89" s="13">
        <f ca="1">IF($CD89=0,"",VLOOKUP($CE89,周K!$A$6:$F$6842,6,0))</f>
        <v>160002</v>
      </c>
      <c r="CK89">
        <f>ROW()</f>
        <v>89</v>
      </c>
      <c r="CM89" t="str">
        <f t="shared" si="69"/>
        <v>CG85:CG89</v>
      </c>
      <c r="CN89">
        <f t="shared" si="70"/>
        <v>77</v>
      </c>
      <c r="CO89">
        <f t="shared" ca="1" si="71"/>
        <v>249.8</v>
      </c>
      <c r="CQ89" t="str">
        <f t="shared" si="72"/>
        <v>CG70:CG89</v>
      </c>
      <c r="CR89">
        <f t="shared" si="73"/>
        <v>62</v>
      </c>
      <c r="CS89">
        <f t="shared" ca="1" si="74"/>
        <v>243.7</v>
      </c>
      <c r="CU89" t="str">
        <f t="shared" si="75"/>
        <v>CG30:CG89</v>
      </c>
      <c r="CV89">
        <f t="shared" si="76"/>
        <v>22</v>
      </c>
      <c r="CW89">
        <f t="shared" ca="1" si="77"/>
        <v>218.07499999999999</v>
      </c>
      <c r="CY89">
        <f t="shared" ca="1" si="78"/>
        <v>489.41052500000001</v>
      </c>
      <c r="CZ89">
        <f t="shared" ca="1" si="82"/>
        <v>470.6962162092176</v>
      </c>
      <c r="DA89">
        <f t="shared" ca="1" si="47"/>
        <v>458.23606301890379</v>
      </c>
      <c r="DB89">
        <f t="shared" ca="1" si="46"/>
        <v>12.460153190313804</v>
      </c>
      <c r="DC89">
        <f t="shared" ca="1" si="48"/>
        <v>7.4513418584194575</v>
      </c>
      <c r="DD89">
        <f t="shared" ca="1" si="49"/>
        <v>5.0088113318943464</v>
      </c>
    </row>
    <row r="90" spans="51:108" x14ac:dyDescent="0.25">
      <c r="AY90" t="str">
        <f>"日K!A"&amp;日K!$E$3-239+1+BF90-8</f>
        <v>日K!A6682</v>
      </c>
      <c r="AZ90" s="4">
        <f t="shared" ca="1" si="56"/>
        <v>44159</v>
      </c>
      <c r="BA90" s="13">
        <f t="shared" ca="1" si="57"/>
        <v>492.98829999999998</v>
      </c>
      <c r="BB90" s="13">
        <f t="shared" ca="1" si="58"/>
        <v>493.48180000000002</v>
      </c>
      <c r="BC90" s="13">
        <f t="shared" ca="1" si="59"/>
        <v>485.0926</v>
      </c>
      <c r="BD90" s="13">
        <f t="shared" ca="1" si="60"/>
        <v>485.58600000000001</v>
      </c>
      <c r="BE90" s="13">
        <f t="shared" ca="1" si="61"/>
        <v>38630</v>
      </c>
      <c r="BF90">
        <f>ROW()</f>
        <v>90</v>
      </c>
      <c r="BH90" t="str">
        <f t="shared" si="62"/>
        <v>BC86:BC90</v>
      </c>
      <c r="BI90">
        <f t="shared" si="79"/>
        <v>78</v>
      </c>
      <c r="BJ90">
        <f t="shared" ca="1" si="63"/>
        <v>482.82254</v>
      </c>
      <c r="BL90" t="str">
        <f t="shared" si="64"/>
        <v>BC71:BC90</v>
      </c>
      <c r="BM90">
        <f t="shared" si="80"/>
        <v>63</v>
      </c>
      <c r="BN90">
        <f t="shared" ca="1" si="65"/>
        <v>453.04091000000005</v>
      </c>
      <c r="BP90" t="str">
        <f t="shared" si="66"/>
        <v>BC31:BC90</v>
      </c>
      <c r="BQ90">
        <f t="shared" si="81"/>
        <v>23</v>
      </c>
      <c r="BR90">
        <f t="shared" ca="1" si="67"/>
        <v>439.01781333333344</v>
      </c>
      <c r="BT90">
        <f t="shared" ca="1" si="45"/>
        <v>457.08747000000005</v>
      </c>
      <c r="BU90">
        <f t="shared" ca="1" si="50"/>
        <v>4.5739352918989926</v>
      </c>
      <c r="BV90">
        <f t="shared" ca="1" si="51"/>
        <v>466.23534058379806</v>
      </c>
      <c r="BW90">
        <f t="shared" ca="1" si="52"/>
        <v>447.93959941620204</v>
      </c>
      <c r="BY90">
        <f t="shared" ca="1" si="53"/>
        <v>482.82254</v>
      </c>
      <c r="BZ90">
        <f t="shared" ca="1" si="54"/>
        <v>453.04091000000005</v>
      </c>
      <c r="CA90">
        <f t="shared" ca="1" si="55"/>
        <v>439.01781333333344</v>
      </c>
      <c r="CD90" t="str">
        <f>IF(周K!$E$3+CK90-12&gt;工作底稿!$CE$5,"周K!A"&amp;周K!$E$3-$CE$5+1+CK90-8,0)</f>
        <v>周K!A250</v>
      </c>
      <c r="CE90" s="4">
        <f t="shared" ca="1" si="68"/>
        <v>43164</v>
      </c>
      <c r="CF90" s="13">
        <f ca="1">IF($CD90=0,"",VLOOKUP($CE90,周K!$A$6:$F$6842,2,0))</f>
        <v>242.5</v>
      </c>
      <c r="CG90" s="13">
        <f ca="1">IF($CD90=0,"",VLOOKUP($CE90,周K!$A$6:$F$6842,3,0))</f>
        <v>251.5</v>
      </c>
      <c r="CH90" s="13">
        <f ca="1">IF($CD90=0,"",VLOOKUP($CE90,周K!$A$6:$F$6842,4,0))</f>
        <v>240.5</v>
      </c>
      <c r="CI90" s="13">
        <f ca="1">IF($CD90=0,"",VLOOKUP($CE90,周K!$A$6:$F$6842,5,0))</f>
        <v>250.5</v>
      </c>
      <c r="CJ90" s="13">
        <f ca="1">IF($CD90=0,"",VLOOKUP($CE90,周K!$A$6:$F$6842,6,0))</f>
        <v>138208</v>
      </c>
      <c r="CK90">
        <f>ROW()</f>
        <v>90</v>
      </c>
      <c r="CM90" t="str">
        <f t="shared" si="69"/>
        <v>CG86:CG90</v>
      </c>
      <c r="CN90">
        <f t="shared" si="70"/>
        <v>78</v>
      </c>
      <c r="CO90">
        <f t="shared" ca="1" si="71"/>
        <v>247.8</v>
      </c>
      <c r="CQ90" t="str">
        <f t="shared" si="72"/>
        <v>CG71:CG90</v>
      </c>
      <c r="CR90">
        <f t="shared" si="73"/>
        <v>63</v>
      </c>
      <c r="CS90">
        <f t="shared" ca="1" si="74"/>
        <v>244.2</v>
      </c>
      <c r="CU90" t="str">
        <f t="shared" si="75"/>
        <v>CG31:CG90</v>
      </c>
      <c r="CV90">
        <f t="shared" si="76"/>
        <v>23</v>
      </c>
      <c r="CW90">
        <f t="shared" ca="1" si="77"/>
        <v>219.17500000000001</v>
      </c>
      <c r="CY90">
        <f t="shared" ca="1" si="78"/>
        <v>487.4366</v>
      </c>
      <c r="CZ90">
        <f t="shared" ca="1" si="82"/>
        <v>473.27165986933795</v>
      </c>
      <c r="DA90">
        <f t="shared" ca="1" si="47"/>
        <v>460.39906575824426</v>
      </c>
      <c r="DB90">
        <f t="shared" ca="1" si="46"/>
        <v>12.87259411109369</v>
      </c>
      <c r="DC90">
        <f t="shared" ca="1" si="48"/>
        <v>8.6113385082383935</v>
      </c>
      <c r="DD90">
        <f t="shared" ca="1" si="49"/>
        <v>4.2612556028552966</v>
      </c>
    </row>
    <row r="91" spans="51:108" x14ac:dyDescent="0.25">
      <c r="AY91" t="str">
        <f>"日K!A"&amp;日K!$E$3-239+1+BF91-8</f>
        <v>日K!A6683</v>
      </c>
      <c r="AZ91" s="4">
        <f t="shared" ca="1" si="56"/>
        <v>44160</v>
      </c>
      <c r="BA91" s="13">
        <f t="shared" ca="1" si="57"/>
        <v>488.54689999999999</v>
      </c>
      <c r="BB91" s="13">
        <f t="shared" ca="1" si="58"/>
        <v>489.04039999999998</v>
      </c>
      <c r="BC91" s="13">
        <f t="shared" ca="1" si="59"/>
        <v>480.65120000000002</v>
      </c>
      <c r="BD91" s="13">
        <f t="shared" ca="1" si="60"/>
        <v>480.65120000000002</v>
      </c>
      <c r="BE91" s="13">
        <f t="shared" ca="1" si="61"/>
        <v>47180</v>
      </c>
      <c r="BF91">
        <f>ROW()</f>
        <v>91</v>
      </c>
      <c r="BH91" t="str">
        <f t="shared" si="62"/>
        <v>BC87:BC91</v>
      </c>
      <c r="BI91">
        <f t="shared" si="79"/>
        <v>79</v>
      </c>
      <c r="BJ91">
        <f t="shared" ca="1" si="63"/>
        <v>482.92124000000001</v>
      </c>
      <c r="BL91" t="str">
        <f t="shared" si="64"/>
        <v>BC72:BC91</v>
      </c>
      <c r="BM91">
        <f t="shared" si="80"/>
        <v>64</v>
      </c>
      <c r="BN91">
        <f t="shared" ca="1" si="65"/>
        <v>455.21223000000009</v>
      </c>
      <c r="BP91" t="str">
        <f t="shared" si="66"/>
        <v>BC32:BC91</v>
      </c>
      <c r="BQ91">
        <f t="shared" si="81"/>
        <v>24</v>
      </c>
      <c r="BR91">
        <f t="shared" ca="1" si="67"/>
        <v>439.97767833333336</v>
      </c>
      <c r="BT91">
        <f t="shared" ref="BT91:BT154" ca="1" si="83">AVERAGE(BD72:BD91)</f>
        <v>459.20943999999997</v>
      </c>
      <c r="BU91">
        <f t="shared" ca="1" si="50"/>
        <v>5.3702539837242655</v>
      </c>
      <c r="BV91">
        <f t="shared" ca="1" si="51"/>
        <v>469.94994796744851</v>
      </c>
      <c r="BW91">
        <f t="shared" ca="1" si="52"/>
        <v>448.46893203255144</v>
      </c>
      <c r="BY91">
        <f t="shared" ca="1" si="53"/>
        <v>482.92124000000001</v>
      </c>
      <c r="BZ91">
        <f t="shared" ca="1" si="54"/>
        <v>455.21223000000009</v>
      </c>
      <c r="CA91">
        <f t="shared" ca="1" si="55"/>
        <v>439.97767833333336</v>
      </c>
      <c r="CD91" t="str">
        <f>IF(周K!$E$3+CK91-12&gt;工作底稿!$CE$5,"周K!A"&amp;周K!$E$3-$CE$5+1+CK91-8,0)</f>
        <v>周K!A251</v>
      </c>
      <c r="CE91" s="4">
        <f t="shared" ca="1" si="68"/>
        <v>43171</v>
      </c>
      <c r="CF91" s="13">
        <f ca="1">IF($CD91=0,"",VLOOKUP($CE91,周K!$A$6:$F$6842,2,0))</f>
        <v>252</v>
      </c>
      <c r="CG91" s="13">
        <f ca="1">IF($CD91=0,"",VLOOKUP($CE91,周K!$A$6:$F$6842,3,0))</f>
        <v>259</v>
      </c>
      <c r="CH91" s="13">
        <f ca="1">IF($CD91=0,"",VLOOKUP($CE91,周K!$A$6:$F$6842,4,0))</f>
        <v>249.5</v>
      </c>
      <c r="CI91" s="13">
        <f ca="1">IF($CD91=0,"",VLOOKUP($CE91,周K!$A$6:$F$6842,5,0))</f>
        <v>255</v>
      </c>
      <c r="CJ91" s="13">
        <f ca="1">IF($CD91=0,"",VLOOKUP($CE91,周K!$A$6:$F$6842,6,0))</f>
        <v>166006</v>
      </c>
      <c r="CK91">
        <f>ROW()</f>
        <v>91</v>
      </c>
      <c r="CM91" t="str">
        <f t="shared" si="69"/>
        <v>CG87:CG91</v>
      </c>
      <c r="CN91">
        <f t="shared" si="70"/>
        <v>79</v>
      </c>
      <c r="CO91">
        <f t="shared" ca="1" si="71"/>
        <v>248.7</v>
      </c>
      <c r="CQ91" t="str">
        <f t="shared" si="72"/>
        <v>CG72:CG91</v>
      </c>
      <c r="CR91">
        <f t="shared" si="73"/>
        <v>64</v>
      </c>
      <c r="CS91">
        <f t="shared" ca="1" si="74"/>
        <v>245.15</v>
      </c>
      <c r="CU91" t="str">
        <f t="shared" si="75"/>
        <v>CG32:CG91</v>
      </c>
      <c r="CV91">
        <f t="shared" si="76"/>
        <v>24</v>
      </c>
      <c r="CW91">
        <f t="shared" ca="1" si="77"/>
        <v>220.46666666666667</v>
      </c>
      <c r="CY91">
        <f t="shared" ca="1" si="78"/>
        <v>482.74850000000004</v>
      </c>
      <c r="CZ91">
        <f t="shared" ca="1" si="82"/>
        <v>474.72963527405517</v>
      </c>
      <c r="DA91">
        <f t="shared" ca="1" si="47"/>
        <v>462.05457940578174</v>
      </c>
      <c r="DB91">
        <f t="shared" ca="1" si="46"/>
        <v>12.675055868273432</v>
      </c>
      <c r="DC91">
        <f t="shared" ca="1" si="48"/>
        <v>9.6833795091897255</v>
      </c>
      <c r="DD91">
        <f t="shared" ca="1" si="49"/>
        <v>2.9916763590837068</v>
      </c>
    </row>
    <row r="92" spans="51:108" x14ac:dyDescent="0.25">
      <c r="AY92" t="str">
        <f>"日K!A"&amp;日K!$E$3-239+1+BF92-8</f>
        <v>日K!A6684</v>
      </c>
      <c r="AZ92" s="4">
        <f t="shared" ca="1" si="56"/>
        <v>44161</v>
      </c>
      <c r="BA92" s="13">
        <f t="shared" ca="1" si="57"/>
        <v>482.62520000000001</v>
      </c>
      <c r="BB92" s="13">
        <f t="shared" ca="1" si="58"/>
        <v>487.06650000000002</v>
      </c>
      <c r="BC92" s="13">
        <f t="shared" ca="1" si="59"/>
        <v>481.63819999999998</v>
      </c>
      <c r="BD92" s="13">
        <f t="shared" ca="1" si="60"/>
        <v>482.62520000000001</v>
      </c>
      <c r="BE92" s="13">
        <f t="shared" ca="1" si="61"/>
        <v>31844</v>
      </c>
      <c r="BF92">
        <f>ROW()</f>
        <v>92</v>
      </c>
      <c r="BH92" t="str">
        <f t="shared" si="62"/>
        <v>BC88:BC92</v>
      </c>
      <c r="BI92">
        <f t="shared" si="79"/>
        <v>80</v>
      </c>
      <c r="BJ92">
        <f t="shared" ca="1" si="63"/>
        <v>482.52646000000004</v>
      </c>
      <c r="BL92" t="str">
        <f t="shared" si="64"/>
        <v>BC73:BC92</v>
      </c>
      <c r="BM92">
        <f t="shared" si="80"/>
        <v>65</v>
      </c>
      <c r="BN92">
        <f t="shared" ca="1" si="65"/>
        <v>457.80300999999997</v>
      </c>
      <c r="BP92" t="str">
        <f t="shared" si="66"/>
        <v>BC33:BC92</v>
      </c>
      <c r="BQ92">
        <f t="shared" si="81"/>
        <v>25</v>
      </c>
      <c r="BR92">
        <f t="shared" ca="1" si="67"/>
        <v>441.0276116666667</v>
      </c>
      <c r="BT92">
        <f t="shared" ca="1" si="83"/>
        <v>461.77554500000008</v>
      </c>
      <c r="BU92">
        <f t="shared" ca="1" si="50"/>
        <v>6.2320519259081895</v>
      </c>
      <c r="BV92">
        <f t="shared" ca="1" si="51"/>
        <v>474.23964885181647</v>
      </c>
      <c r="BW92">
        <f t="shared" ca="1" si="52"/>
        <v>449.31144114818369</v>
      </c>
      <c r="BY92">
        <f t="shared" ca="1" si="53"/>
        <v>482.52646000000004</v>
      </c>
      <c r="BZ92">
        <f t="shared" ca="1" si="54"/>
        <v>457.80300999999997</v>
      </c>
      <c r="CA92">
        <f t="shared" ca="1" si="55"/>
        <v>441.0276116666667</v>
      </c>
      <c r="CD92" t="str">
        <f>IF(周K!$E$3+CK92-12&gt;工作底稿!$CE$5,"周K!A"&amp;周K!$E$3-$CE$5+1+CK92-8,0)</f>
        <v>周K!A252</v>
      </c>
      <c r="CE92" s="4">
        <f t="shared" ca="1" si="68"/>
        <v>43178</v>
      </c>
      <c r="CF92" s="13">
        <f ca="1">IF($CD92=0,"",VLOOKUP($CE92,周K!$A$6:$F$6842,2,0))</f>
        <v>252.5</v>
      </c>
      <c r="CG92" s="13">
        <f ca="1">IF($CD92=0,"",VLOOKUP($CE92,周K!$A$6:$F$6842,3,0))</f>
        <v>255.5</v>
      </c>
      <c r="CH92" s="13">
        <f ca="1">IF($CD92=0,"",VLOOKUP($CE92,周K!$A$6:$F$6842,4,0))</f>
        <v>244</v>
      </c>
      <c r="CI92" s="13">
        <f ca="1">IF($CD92=0,"",VLOOKUP($CE92,周K!$A$6:$F$6842,5,0))</f>
        <v>245</v>
      </c>
      <c r="CJ92" s="13">
        <f ca="1">IF($CD92=0,"",VLOOKUP($CE92,周K!$A$6:$F$6842,6,0))</f>
        <v>157729</v>
      </c>
      <c r="CK92">
        <f>ROW()</f>
        <v>92</v>
      </c>
      <c r="CM92" t="str">
        <f t="shared" si="69"/>
        <v>CG88:CG92</v>
      </c>
      <c r="CN92">
        <f t="shared" si="70"/>
        <v>80</v>
      </c>
      <c r="CO92">
        <f t="shared" ca="1" si="71"/>
        <v>252.3</v>
      </c>
      <c r="CQ92" t="str">
        <f t="shared" si="72"/>
        <v>CG73:CG92</v>
      </c>
      <c r="CR92">
        <f t="shared" si="73"/>
        <v>65</v>
      </c>
      <c r="CS92">
        <f t="shared" ca="1" si="74"/>
        <v>245.67500000000001</v>
      </c>
      <c r="CU92" t="str">
        <f t="shared" si="75"/>
        <v>CG33:CG92</v>
      </c>
      <c r="CV92">
        <f t="shared" si="76"/>
        <v>25</v>
      </c>
      <c r="CW92">
        <f t="shared" ca="1" si="77"/>
        <v>221.61666666666667</v>
      </c>
      <c r="CY92">
        <f t="shared" ca="1" si="78"/>
        <v>483.48877500000003</v>
      </c>
      <c r="CZ92">
        <f t="shared" ca="1" si="82"/>
        <v>476.07719523189286</v>
      </c>
      <c r="DA92">
        <f t="shared" ca="1" si="47"/>
        <v>463.64229759794608</v>
      </c>
      <c r="DB92">
        <f t="shared" ca="1" si="46"/>
        <v>12.434897633946775</v>
      </c>
      <c r="DC92">
        <f t="shared" ca="1" si="48"/>
        <v>10.668825794414071</v>
      </c>
      <c r="DD92">
        <f t="shared" ca="1" si="49"/>
        <v>1.7660718395327049</v>
      </c>
    </row>
    <row r="93" spans="51:108" x14ac:dyDescent="0.25">
      <c r="AY93" t="str">
        <f>"日K!A"&amp;日K!$E$3-239+1+BF93-8</f>
        <v>日K!A6685</v>
      </c>
      <c r="AZ93" s="4">
        <f t="shared" ca="1" si="56"/>
        <v>44162</v>
      </c>
      <c r="BA93" s="13">
        <f t="shared" ca="1" si="57"/>
        <v>481.1447</v>
      </c>
      <c r="BB93" s="13">
        <f t="shared" ca="1" si="58"/>
        <v>485.58600000000001</v>
      </c>
      <c r="BC93" s="13">
        <f t="shared" ca="1" si="59"/>
        <v>480.15769999999998</v>
      </c>
      <c r="BD93" s="13">
        <f t="shared" ca="1" si="60"/>
        <v>482.62520000000001</v>
      </c>
      <c r="BE93" s="13">
        <f t="shared" ca="1" si="61"/>
        <v>35197</v>
      </c>
      <c r="BF93">
        <f>ROW()</f>
        <v>93</v>
      </c>
      <c r="BH93" t="str">
        <f t="shared" si="62"/>
        <v>BC89:BC93</v>
      </c>
      <c r="BI93">
        <f t="shared" si="79"/>
        <v>81</v>
      </c>
      <c r="BJ93">
        <f t="shared" ca="1" si="63"/>
        <v>482.62513999999993</v>
      </c>
      <c r="BL93" t="str">
        <f t="shared" si="64"/>
        <v>BC74:BC93</v>
      </c>
      <c r="BM93">
        <f t="shared" si="80"/>
        <v>66</v>
      </c>
      <c r="BN93">
        <f t="shared" ca="1" si="65"/>
        <v>460.49248500000004</v>
      </c>
      <c r="BP93" t="str">
        <f t="shared" si="66"/>
        <v>BC34:BC93</v>
      </c>
      <c r="BQ93">
        <f t="shared" si="81"/>
        <v>26</v>
      </c>
      <c r="BR93">
        <f t="shared" ca="1" si="67"/>
        <v>442.02833000000004</v>
      </c>
      <c r="BT93">
        <f t="shared" ca="1" si="83"/>
        <v>464.58839500000005</v>
      </c>
      <c r="BU93">
        <f t="shared" ca="1" si="50"/>
        <v>7.1522762598117557</v>
      </c>
      <c r="BV93">
        <f t="shared" ca="1" si="51"/>
        <v>478.89294751962353</v>
      </c>
      <c r="BW93">
        <f t="shared" ca="1" si="52"/>
        <v>450.28384248037656</v>
      </c>
      <c r="BY93">
        <f t="shared" ca="1" si="53"/>
        <v>482.62513999999993</v>
      </c>
      <c r="BZ93">
        <f t="shared" ca="1" si="54"/>
        <v>460.49248500000004</v>
      </c>
      <c r="CA93">
        <f t="shared" ca="1" si="55"/>
        <v>442.02833000000004</v>
      </c>
      <c r="CD93" t="str">
        <f>IF(周K!$E$3+CK93-12&gt;工作底稿!$CE$5,"周K!A"&amp;周K!$E$3-$CE$5+1+CK93-8,0)</f>
        <v>周K!A253</v>
      </c>
      <c r="CE93" s="4">
        <f t="shared" ca="1" si="68"/>
        <v>43185</v>
      </c>
      <c r="CF93" s="13">
        <f ca="1">IF($CD93=0,"",VLOOKUP($CE93,周K!$A$6:$F$6842,2,0))</f>
        <v>241.5</v>
      </c>
      <c r="CG93" s="13">
        <f ca="1">IF($CD93=0,"",VLOOKUP($CE93,周K!$A$6:$F$6842,3,0))</f>
        <v>251</v>
      </c>
      <c r="CH93" s="13">
        <f ca="1">IF($CD93=0,"",VLOOKUP($CE93,周K!$A$6:$F$6842,4,0))</f>
        <v>241.5</v>
      </c>
      <c r="CI93" s="13">
        <f ca="1">IF($CD93=0,"",VLOOKUP($CE93,周K!$A$6:$F$6842,5,0))</f>
        <v>247.5</v>
      </c>
      <c r="CJ93" s="13">
        <f ca="1">IF($CD93=0,"",VLOOKUP($CE93,周K!$A$6:$F$6842,6,0))</f>
        <v>157540</v>
      </c>
      <c r="CK93">
        <f>ROW()</f>
        <v>93</v>
      </c>
      <c r="CM93" t="str">
        <f t="shared" si="69"/>
        <v>CG89:CG93</v>
      </c>
      <c r="CN93">
        <f t="shared" si="70"/>
        <v>81</v>
      </c>
      <c r="CO93">
        <f t="shared" ca="1" si="71"/>
        <v>253.5</v>
      </c>
      <c r="CQ93" t="str">
        <f t="shared" si="72"/>
        <v>CG74:CG93</v>
      </c>
      <c r="CR93">
        <f t="shared" si="73"/>
        <v>66</v>
      </c>
      <c r="CS93">
        <f t="shared" ca="1" si="74"/>
        <v>246.02500000000001</v>
      </c>
      <c r="CU93" t="str">
        <f t="shared" si="75"/>
        <v>CG34:CG93</v>
      </c>
      <c r="CV93">
        <f t="shared" si="76"/>
        <v>26</v>
      </c>
      <c r="CW93">
        <f t="shared" ca="1" si="77"/>
        <v>222.65833333333333</v>
      </c>
      <c r="CY93">
        <f t="shared" ca="1" si="78"/>
        <v>482.74852499999997</v>
      </c>
      <c r="CZ93">
        <f t="shared" ca="1" si="82"/>
        <v>477.10355365775547</v>
      </c>
      <c r="DA93">
        <f t="shared" ca="1" si="47"/>
        <v>465.05757370180191</v>
      </c>
      <c r="DB93">
        <f t="shared" ca="1" si="46"/>
        <v>12.045979955953555</v>
      </c>
      <c r="DC93">
        <f t="shared" ca="1" si="48"/>
        <v>11.395862333613605</v>
      </c>
      <c r="DD93">
        <f t="shared" ca="1" si="49"/>
        <v>0.65011762233995007</v>
      </c>
    </row>
    <row r="94" spans="51:108" x14ac:dyDescent="0.25">
      <c r="AY94" t="str">
        <f>"日K!A"&amp;日K!$E$3-239+1+BF94-8</f>
        <v>日K!A6686</v>
      </c>
      <c r="AZ94" s="4">
        <f t="shared" ca="1" si="56"/>
        <v>44165</v>
      </c>
      <c r="BA94" s="13">
        <f t="shared" ca="1" si="57"/>
        <v>486.57299999999998</v>
      </c>
      <c r="BB94" s="13">
        <f t="shared" ca="1" si="58"/>
        <v>487.06650000000002</v>
      </c>
      <c r="BC94" s="13">
        <f t="shared" ca="1" si="59"/>
        <v>474.23599999999999</v>
      </c>
      <c r="BD94" s="13">
        <f t="shared" ca="1" si="60"/>
        <v>474.23599999999999</v>
      </c>
      <c r="BE94" s="13">
        <f t="shared" ca="1" si="61"/>
        <v>149312</v>
      </c>
      <c r="BF94">
        <f>ROW()</f>
        <v>94</v>
      </c>
      <c r="BH94" t="str">
        <f t="shared" si="62"/>
        <v>BC90:BC94</v>
      </c>
      <c r="BI94">
        <f t="shared" si="79"/>
        <v>82</v>
      </c>
      <c r="BJ94">
        <f t="shared" ca="1" si="63"/>
        <v>480.35514000000001</v>
      </c>
      <c r="BL94" t="str">
        <f t="shared" si="64"/>
        <v>BC75:BC94</v>
      </c>
      <c r="BM94">
        <f t="shared" si="80"/>
        <v>67</v>
      </c>
      <c r="BN94">
        <f t="shared" ca="1" si="65"/>
        <v>463.08326500000004</v>
      </c>
      <c r="BP94" t="str">
        <f t="shared" si="66"/>
        <v>BC35:BC94</v>
      </c>
      <c r="BQ94">
        <f t="shared" si="81"/>
        <v>27</v>
      </c>
      <c r="BR94">
        <f t="shared" ca="1" si="67"/>
        <v>442.88945500000011</v>
      </c>
      <c r="BT94">
        <f t="shared" ca="1" si="83"/>
        <v>466.80906500000009</v>
      </c>
      <c r="BU94">
        <f t="shared" ca="1" si="50"/>
        <v>8.0399516180907025</v>
      </c>
      <c r="BV94">
        <f t="shared" ca="1" si="51"/>
        <v>482.88896823618148</v>
      </c>
      <c r="BW94">
        <f t="shared" ca="1" si="52"/>
        <v>450.72916176381869</v>
      </c>
      <c r="BY94">
        <f t="shared" ca="1" si="53"/>
        <v>480.35514000000001</v>
      </c>
      <c r="BZ94">
        <f t="shared" ca="1" si="54"/>
        <v>463.08326500000004</v>
      </c>
      <c r="CA94">
        <f t="shared" ca="1" si="55"/>
        <v>442.88945500000011</v>
      </c>
      <c r="CD94" t="str">
        <f>IF(周K!$E$3+CK94-12&gt;工作底稿!$CE$5,"周K!A"&amp;周K!$E$3-$CE$5+1+CK94-8,0)</f>
        <v>周K!A254</v>
      </c>
      <c r="CE94" s="4">
        <f t="shared" ca="1" si="68"/>
        <v>43192</v>
      </c>
      <c r="CF94" s="13">
        <f ca="1">IF($CD94=0,"",VLOOKUP($CE94,周K!$A$6:$F$6842,2,0))</f>
        <v>248.5</v>
      </c>
      <c r="CG94" s="13">
        <f ca="1">IF($CD94=0,"",VLOOKUP($CE94,周K!$A$6:$F$6842,3,0))</f>
        <v>249</v>
      </c>
      <c r="CH94" s="13">
        <f ca="1">IF($CD94=0,"",VLOOKUP($CE94,周K!$A$6:$F$6842,4,0))</f>
        <v>242</v>
      </c>
      <c r="CI94" s="13">
        <f ca="1">IF($CD94=0,"",VLOOKUP($CE94,周K!$A$6:$F$6842,5,0))</f>
        <v>244</v>
      </c>
      <c r="CJ94" s="13">
        <f ca="1">IF($CD94=0,"",VLOOKUP($CE94,周K!$A$6:$F$6842,6,0))</f>
        <v>54843</v>
      </c>
      <c r="CK94">
        <f>ROW()</f>
        <v>94</v>
      </c>
      <c r="CM94" t="str">
        <f t="shared" si="69"/>
        <v>CG90:CG94</v>
      </c>
      <c r="CN94">
        <f t="shared" si="70"/>
        <v>82</v>
      </c>
      <c r="CO94">
        <f t="shared" ca="1" si="71"/>
        <v>253.2</v>
      </c>
      <c r="CQ94" t="str">
        <f t="shared" si="72"/>
        <v>CG75:CG94</v>
      </c>
      <c r="CR94">
        <f t="shared" si="73"/>
        <v>67</v>
      </c>
      <c r="CS94">
        <f t="shared" ca="1" si="74"/>
        <v>246.35</v>
      </c>
      <c r="CU94" t="str">
        <f t="shared" si="75"/>
        <v>CG35:CG94</v>
      </c>
      <c r="CV94">
        <f t="shared" si="76"/>
        <v>27</v>
      </c>
      <c r="CW94">
        <f t="shared" ca="1" si="77"/>
        <v>223.71666666666667</v>
      </c>
      <c r="CY94">
        <f t="shared" ca="1" si="78"/>
        <v>477.443625</v>
      </c>
      <c r="CZ94">
        <f t="shared" ca="1" si="82"/>
        <v>477.1558723257931</v>
      </c>
      <c r="DA94">
        <f t="shared" ca="1" si="47"/>
        <v>465.97505898314989</v>
      </c>
      <c r="DB94">
        <f t="shared" ca="1" si="46"/>
        <v>11.180813342643205</v>
      </c>
      <c r="DC94">
        <f t="shared" ca="1" si="48"/>
        <v>11.775468091925973</v>
      </c>
      <c r="DD94">
        <f t="shared" ca="1" si="49"/>
        <v>-0.59465474928276763</v>
      </c>
    </row>
    <row r="95" spans="51:108" x14ac:dyDescent="0.25">
      <c r="AY95" t="str">
        <f>"日K!A"&amp;日K!$E$3-239+1+BF95-8</f>
        <v>日K!A6687</v>
      </c>
      <c r="AZ95" s="4">
        <f t="shared" ca="1" si="56"/>
        <v>44166</v>
      </c>
      <c r="BA95" s="13">
        <f t="shared" ca="1" si="57"/>
        <v>483.11860000000001</v>
      </c>
      <c r="BB95" s="13">
        <f t="shared" ca="1" si="58"/>
        <v>483.6121</v>
      </c>
      <c r="BC95" s="13">
        <f t="shared" ca="1" si="59"/>
        <v>477.19690000000003</v>
      </c>
      <c r="BD95" s="13">
        <f t="shared" ca="1" si="60"/>
        <v>483.6121</v>
      </c>
      <c r="BE95" s="13">
        <f t="shared" ca="1" si="61"/>
        <v>38341</v>
      </c>
      <c r="BF95">
        <f>ROW()</f>
        <v>95</v>
      </c>
      <c r="BH95" t="str">
        <f t="shared" si="62"/>
        <v>BC91:BC95</v>
      </c>
      <c r="BI95">
        <f t="shared" si="79"/>
        <v>83</v>
      </c>
      <c r="BJ95">
        <f t="shared" ca="1" si="63"/>
        <v>478.77599999999995</v>
      </c>
      <c r="BL95" t="str">
        <f t="shared" si="64"/>
        <v>BC76:BC95</v>
      </c>
      <c r="BM95">
        <f t="shared" si="80"/>
        <v>68</v>
      </c>
      <c r="BN95">
        <f t="shared" ca="1" si="65"/>
        <v>465.32861000000014</v>
      </c>
      <c r="BP95" t="str">
        <f t="shared" si="66"/>
        <v>BC36:BC95</v>
      </c>
      <c r="BQ95">
        <f t="shared" si="81"/>
        <v>28</v>
      </c>
      <c r="BR95">
        <f t="shared" ca="1" si="67"/>
        <v>443.75084833333335</v>
      </c>
      <c r="BT95">
        <f t="shared" ca="1" si="83"/>
        <v>469.22712500000006</v>
      </c>
      <c r="BU95">
        <f t="shared" ca="1" si="50"/>
        <v>8.9243614198296495</v>
      </c>
      <c r="BV95">
        <f t="shared" ca="1" si="51"/>
        <v>487.07584783965933</v>
      </c>
      <c r="BW95">
        <f t="shared" ca="1" si="52"/>
        <v>451.37840216034078</v>
      </c>
      <c r="BY95">
        <f t="shared" ca="1" si="53"/>
        <v>478.77599999999995</v>
      </c>
      <c r="BZ95">
        <f t="shared" ca="1" si="54"/>
        <v>465.32861000000014</v>
      </c>
      <c r="CA95">
        <f t="shared" ca="1" si="55"/>
        <v>443.75084833333335</v>
      </c>
      <c r="CD95" t="str">
        <f>IF(周K!$E$3+CK95-12&gt;工作底稿!$CE$5,"周K!A"&amp;周K!$E$3-$CE$5+1+CK95-8,0)</f>
        <v>周K!A255</v>
      </c>
      <c r="CE95" s="4">
        <f t="shared" ca="1" si="68"/>
        <v>43199</v>
      </c>
      <c r="CF95" s="13">
        <f ca="1">IF($CD95=0,"",VLOOKUP($CE95,周K!$A$6:$F$6842,2,0))</f>
        <v>248</v>
      </c>
      <c r="CG95" s="13">
        <f ca="1">IF($CD95=0,"",VLOOKUP($CE95,周K!$A$6:$F$6842,3,0))</f>
        <v>249</v>
      </c>
      <c r="CH95" s="13">
        <f ca="1">IF($CD95=0,"",VLOOKUP($CE95,周K!$A$6:$F$6842,4,0))</f>
        <v>243.5</v>
      </c>
      <c r="CI95" s="13">
        <f ca="1">IF($CD95=0,"",VLOOKUP($CE95,周K!$A$6:$F$6842,5,0))</f>
        <v>244.5</v>
      </c>
      <c r="CJ95" s="13">
        <f ca="1">IF($CD95=0,"",VLOOKUP($CE95,周K!$A$6:$F$6842,6,0))</f>
        <v>122936</v>
      </c>
      <c r="CK95">
        <f>ROW()</f>
        <v>95</v>
      </c>
      <c r="CM95" t="str">
        <f t="shared" si="69"/>
        <v>CG91:CG95</v>
      </c>
      <c r="CN95">
        <f t="shared" si="70"/>
        <v>83</v>
      </c>
      <c r="CO95">
        <f t="shared" ca="1" si="71"/>
        <v>252.7</v>
      </c>
      <c r="CQ95" t="str">
        <f t="shared" si="72"/>
        <v>CG76:CG95</v>
      </c>
      <c r="CR95">
        <f t="shared" si="73"/>
        <v>68</v>
      </c>
      <c r="CS95">
        <f t="shared" ca="1" si="74"/>
        <v>246.57499999999999</v>
      </c>
      <c r="CU95" t="str">
        <f t="shared" si="75"/>
        <v>CG36:CG95</v>
      </c>
      <c r="CV95">
        <f t="shared" si="76"/>
        <v>28</v>
      </c>
      <c r="CW95">
        <f t="shared" ca="1" si="77"/>
        <v>224.69166666666666</v>
      </c>
      <c r="CY95">
        <f t="shared" ca="1" si="78"/>
        <v>482.00829999999996</v>
      </c>
      <c r="CZ95">
        <f t="shared" ca="1" si="82"/>
        <v>477.90239966028645</v>
      </c>
      <c r="DA95">
        <f t="shared" ca="1" si="47"/>
        <v>467.16270646587952</v>
      </c>
      <c r="DB95">
        <f t="shared" ca="1" si="46"/>
        <v>10.739693194406925</v>
      </c>
      <c r="DC95">
        <f t="shared" ca="1" si="48"/>
        <v>11.886198386485571</v>
      </c>
      <c r="DD95">
        <f t="shared" ca="1" si="49"/>
        <v>-1.1465051920786458</v>
      </c>
    </row>
    <row r="96" spans="51:108" x14ac:dyDescent="0.25">
      <c r="AY96" t="str">
        <f>"日K!A"&amp;日K!$E$3-239+1+BF96-8</f>
        <v>日K!A6688</v>
      </c>
      <c r="AZ96" s="4">
        <f t="shared" ca="1" si="56"/>
        <v>44167</v>
      </c>
      <c r="BA96" s="13">
        <f t="shared" ca="1" si="57"/>
        <v>492.98829999999998</v>
      </c>
      <c r="BB96" s="13">
        <f t="shared" ca="1" si="58"/>
        <v>493.48180000000002</v>
      </c>
      <c r="BC96" s="13">
        <f t="shared" ca="1" si="59"/>
        <v>487.06650000000002</v>
      </c>
      <c r="BD96" s="13">
        <f t="shared" ca="1" si="60"/>
        <v>492.4948</v>
      </c>
      <c r="BE96" s="13">
        <f t="shared" ca="1" si="61"/>
        <v>60208</v>
      </c>
      <c r="BF96">
        <f>ROW()</f>
        <v>96</v>
      </c>
      <c r="BH96" t="str">
        <f t="shared" si="62"/>
        <v>BC92:BC96</v>
      </c>
      <c r="BI96">
        <f t="shared" si="79"/>
        <v>84</v>
      </c>
      <c r="BJ96">
        <f t="shared" ca="1" si="63"/>
        <v>480.05905999999993</v>
      </c>
      <c r="BL96" t="str">
        <f t="shared" si="64"/>
        <v>BC77:BC96</v>
      </c>
      <c r="BM96">
        <f t="shared" si="80"/>
        <v>69</v>
      </c>
      <c r="BN96">
        <f t="shared" ca="1" si="65"/>
        <v>467.82069500000017</v>
      </c>
      <c r="BP96" t="str">
        <f t="shared" si="66"/>
        <v>BC37:BC96</v>
      </c>
      <c r="BQ96">
        <f t="shared" si="81"/>
        <v>29</v>
      </c>
      <c r="BR96">
        <f t="shared" ca="1" si="67"/>
        <v>444.88307333333341</v>
      </c>
      <c r="BT96">
        <f t="shared" ca="1" si="83"/>
        <v>471.64518500000014</v>
      </c>
      <c r="BU96">
        <f t="shared" ca="1" si="50"/>
        <v>9.7993291015523454</v>
      </c>
      <c r="BV96">
        <f t="shared" ca="1" si="51"/>
        <v>491.2438432031048</v>
      </c>
      <c r="BW96">
        <f t="shared" ca="1" si="52"/>
        <v>452.04652679689548</v>
      </c>
      <c r="BY96">
        <f t="shared" ca="1" si="53"/>
        <v>480.05905999999993</v>
      </c>
      <c r="BZ96">
        <f t="shared" ca="1" si="54"/>
        <v>467.82069500000017</v>
      </c>
      <c r="CA96">
        <f t="shared" ca="1" si="55"/>
        <v>444.88307333333341</v>
      </c>
      <c r="CD96" t="str">
        <f>IF(周K!$E$3+CK96-12&gt;工作底稿!$CE$5,"周K!A"&amp;周K!$E$3-$CE$5+1+CK96-8,0)</f>
        <v>周K!A256</v>
      </c>
      <c r="CE96" s="4">
        <f t="shared" ca="1" si="68"/>
        <v>43206</v>
      </c>
      <c r="CF96" s="13">
        <f ca="1">IF($CD96=0,"",VLOOKUP($CE96,周K!$A$6:$F$6842,2,0))</f>
        <v>243</v>
      </c>
      <c r="CG96" s="13">
        <f ca="1">IF($CD96=0,"",VLOOKUP($CE96,周K!$A$6:$F$6842,3,0))</f>
        <v>244.5</v>
      </c>
      <c r="CH96" s="13">
        <f ca="1">IF($CD96=0,"",VLOOKUP($CE96,周K!$A$6:$F$6842,4,0))</f>
        <v>228</v>
      </c>
      <c r="CI96" s="13">
        <f ca="1">IF($CD96=0,"",VLOOKUP($CE96,周K!$A$6:$F$6842,5,0))</f>
        <v>229</v>
      </c>
      <c r="CJ96" s="13">
        <f ca="1">IF($CD96=0,"",VLOOKUP($CE96,周K!$A$6:$F$6842,6,0))</f>
        <v>272254</v>
      </c>
      <c r="CK96">
        <f>ROW()</f>
        <v>96</v>
      </c>
      <c r="CM96" t="str">
        <f t="shared" si="69"/>
        <v>CG92:CG96</v>
      </c>
      <c r="CN96">
        <f t="shared" si="70"/>
        <v>84</v>
      </c>
      <c r="CO96">
        <f t="shared" ca="1" si="71"/>
        <v>249.8</v>
      </c>
      <c r="CQ96" t="str">
        <f t="shared" si="72"/>
        <v>CG77:CG96</v>
      </c>
      <c r="CR96">
        <f t="shared" si="73"/>
        <v>69</v>
      </c>
      <c r="CS96">
        <f t="shared" ca="1" si="74"/>
        <v>246.8</v>
      </c>
      <c r="CU96" t="str">
        <f t="shared" si="75"/>
        <v>CG37:CG96</v>
      </c>
      <c r="CV96">
        <f t="shared" si="76"/>
        <v>29</v>
      </c>
      <c r="CW96">
        <f t="shared" ca="1" si="77"/>
        <v>225.58333333333334</v>
      </c>
      <c r="CY96">
        <f t="shared" ca="1" si="78"/>
        <v>491.38447500000001</v>
      </c>
      <c r="CZ96">
        <f t="shared" ca="1" si="82"/>
        <v>479.97656509716546</v>
      </c>
      <c r="DA96">
        <f t="shared" ca="1" si="47"/>
        <v>468.95691154248101</v>
      </c>
      <c r="DB96">
        <f t="shared" ca="1" si="46"/>
        <v>11.019653554684453</v>
      </c>
      <c r="DC96">
        <f t="shared" ca="1" si="48"/>
        <v>11.886705489088147</v>
      </c>
      <c r="DD96">
        <f t="shared" ca="1" si="49"/>
        <v>-0.86705193440369399</v>
      </c>
    </row>
    <row r="97" spans="51:108" x14ac:dyDescent="0.25">
      <c r="AY97" t="str">
        <f>"日K!A"&amp;日K!$E$3-239+1+BF97-8</f>
        <v>日K!A6689</v>
      </c>
      <c r="AZ97" s="4">
        <f t="shared" ca="1" si="56"/>
        <v>44168</v>
      </c>
      <c r="BA97" s="13">
        <f t="shared" ca="1" si="57"/>
        <v>492.98829999999998</v>
      </c>
      <c r="BB97" s="13">
        <f t="shared" ca="1" si="58"/>
        <v>492.98829999999998</v>
      </c>
      <c r="BC97" s="13">
        <f t="shared" ca="1" si="59"/>
        <v>488.54689999999999</v>
      </c>
      <c r="BD97" s="13">
        <f t="shared" ca="1" si="60"/>
        <v>490.52089999999998</v>
      </c>
      <c r="BE97" s="13">
        <f t="shared" ca="1" si="61"/>
        <v>36920</v>
      </c>
      <c r="BF97">
        <f>ROW()</f>
        <v>97</v>
      </c>
      <c r="BH97" t="str">
        <f t="shared" si="62"/>
        <v>BC93:BC97</v>
      </c>
      <c r="BI97">
        <f t="shared" si="79"/>
        <v>85</v>
      </c>
      <c r="BJ97">
        <f t="shared" ca="1" si="63"/>
        <v>481.44079999999997</v>
      </c>
      <c r="BL97" t="str">
        <f t="shared" si="64"/>
        <v>BC78:BC97</v>
      </c>
      <c r="BM97">
        <f t="shared" si="80"/>
        <v>70</v>
      </c>
      <c r="BN97">
        <f t="shared" ca="1" si="65"/>
        <v>470.26343000000008</v>
      </c>
      <c r="BP97" t="str">
        <f t="shared" si="66"/>
        <v>BC38:BC97</v>
      </c>
      <c r="BQ97">
        <f t="shared" si="81"/>
        <v>30</v>
      </c>
      <c r="BR97">
        <f t="shared" ca="1" si="67"/>
        <v>446.07269000000008</v>
      </c>
      <c r="BT97">
        <f t="shared" ca="1" si="83"/>
        <v>473.91520500000007</v>
      </c>
      <c r="BU97">
        <f t="shared" ca="1" si="50"/>
        <v>10.634073399442114</v>
      </c>
      <c r="BV97">
        <f t="shared" ca="1" si="51"/>
        <v>495.1833517988843</v>
      </c>
      <c r="BW97">
        <f t="shared" ca="1" si="52"/>
        <v>452.64705820111584</v>
      </c>
      <c r="BY97">
        <f t="shared" ca="1" si="53"/>
        <v>481.44079999999997</v>
      </c>
      <c r="BZ97">
        <f t="shared" ca="1" si="54"/>
        <v>470.26343000000008</v>
      </c>
      <c r="CA97">
        <f t="shared" ca="1" si="55"/>
        <v>446.07269000000008</v>
      </c>
      <c r="CD97" t="str">
        <f>IF(周K!$E$3+CK97-12&gt;工作底稿!$CE$5,"周K!A"&amp;周K!$E$3-$CE$5+1+CK97-8,0)</f>
        <v>周K!A257</v>
      </c>
      <c r="CE97" s="4">
        <f t="shared" ca="1" si="68"/>
        <v>43213</v>
      </c>
      <c r="CF97" s="13">
        <f ca="1">IF($CD97=0,"",VLOOKUP($CE97,周K!$A$6:$F$6842,2,0))</f>
        <v>226.5</v>
      </c>
      <c r="CG97" s="13">
        <f ca="1">IF($CD97=0,"",VLOOKUP($CE97,周K!$A$6:$F$6842,3,0))</f>
        <v>227.5</v>
      </c>
      <c r="CH97" s="13">
        <f ca="1">IF($CD97=0,"",VLOOKUP($CE97,周K!$A$6:$F$6842,4,0))</f>
        <v>221</v>
      </c>
      <c r="CI97" s="13">
        <f ca="1">IF($CD97=0,"",VLOOKUP($CE97,周K!$A$6:$F$6842,5,0))</f>
        <v>223.5</v>
      </c>
      <c r="CJ97" s="13">
        <f ca="1">IF($CD97=0,"",VLOOKUP($CE97,周K!$A$6:$F$6842,6,0))</f>
        <v>248704</v>
      </c>
      <c r="CK97">
        <f>ROW()</f>
        <v>97</v>
      </c>
      <c r="CM97" t="str">
        <f t="shared" si="69"/>
        <v>CG93:CG97</v>
      </c>
      <c r="CN97">
        <f t="shared" si="70"/>
        <v>85</v>
      </c>
      <c r="CO97">
        <f t="shared" ca="1" si="71"/>
        <v>244.2</v>
      </c>
      <c r="CQ97" t="str">
        <f t="shared" si="72"/>
        <v>CG78:CG97</v>
      </c>
      <c r="CR97">
        <f t="shared" si="73"/>
        <v>70</v>
      </c>
      <c r="CS97">
        <f t="shared" ca="1" si="74"/>
        <v>246.45</v>
      </c>
      <c r="CU97" t="str">
        <f t="shared" si="75"/>
        <v>CG38:CG97</v>
      </c>
      <c r="CV97">
        <f t="shared" si="76"/>
        <v>30</v>
      </c>
      <c r="CW97">
        <f t="shared" ca="1" si="77"/>
        <v>226.23333333333332</v>
      </c>
      <c r="CY97">
        <f t="shared" ca="1" si="78"/>
        <v>490.64425</v>
      </c>
      <c r="CZ97">
        <f t="shared" ca="1" si="82"/>
        <v>481.6177473899092</v>
      </c>
      <c r="DA97">
        <f t="shared" ca="1" si="47"/>
        <v>470.56338105785278</v>
      </c>
      <c r="DB97">
        <f t="shared" ca="1" si="46"/>
        <v>11.054366332056418</v>
      </c>
      <c r="DC97">
        <f t="shared" ca="1" si="48"/>
        <v>11.83146746481914</v>
      </c>
      <c r="DD97">
        <f t="shared" ca="1" si="49"/>
        <v>-0.77710113276272175</v>
      </c>
    </row>
    <row r="98" spans="51:108" x14ac:dyDescent="0.25">
      <c r="AY98" t="str">
        <f>"日K!A"&amp;日K!$E$3-239+1+BF98-8</f>
        <v>日K!A6690</v>
      </c>
      <c r="AZ98" s="4">
        <f t="shared" ca="1" si="56"/>
        <v>44169</v>
      </c>
      <c r="BA98" s="13">
        <f t="shared" ca="1" si="57"/>
        <v>492.00130000000001</v>
      </c>
      <c r="BB98" s="13">
        <f t="shared" ca="1" si="58"/>
        <v>498.41660000000002</v>
      </c>
      <c r="BC98" s="13">
        <f t="shared" ca="1" si="59"/>
        <v>491.01429999999999</v>
      </c>
      <c r="BD98" s="13">
        <f t="shared" ca="1" si="60"/>
        <v>496.44260000000003</v>
      </c>
      <c r="BE98" s="13">
        <f t="shared" ca="1" si="61"/>
        <v>54471</v>
      </c>
      <c r="BF98">
        <f>ROW()</f>
        <v>98</v>
      </c>
      <c r="BH98" t="str">
        <f t="shared" si="62"/>
        <v>BC94:BC98</v>
      </c>
      <c r="BI98">
        <f t="shared" si="79"/>
        <v>86</v>
      </c>
      <c r="BJ98">
        <f t="shared" ca="1" si="63"/>
        <v>483.61212000000006</v>
      </c>
      <c r="BL98" t="str">
        <f t="shared" si="64"/>
        <v>BC79:BC98</v>
      </c>
      <c r="BM98">
        <f t="shared" si="80"/>
        <v>71</v>
      </c>
      <c r="BN98">
        <f t="shared" ca="1" si="65"/>
        <v>472.60746500000005</v>
      </c>
      <c r="BP98" t="str">
        <f t="shared" si="66"/>
        <v>BC39:BC98</v>
      </c>
      <c r="BQ98">
        <f t="shared" si="81"/>
        <v>31</v>
      </c>
      <c r="BR98">
        <f t="shared" ca="1" si="67"/>
        <v>447.26253166666669</v>
      </c>
      <c r="BT98">
        <f t="shared" ca="1" si="83"/>
        <v>476.40728500000006</v>
      </c>
      <c r="BU98">
        <f t="shared" ca="1" si="50"/>
        <v>11.419256452295301</v>
      </c>
      <c r="BV98">
        <f t="shared" ca="1" si="51"/>
        <v>499.24579790459063</v>
      </c>
      <c r="BW98">
        <f t="shared" ca="1" si="52"/>
        <v>453.56877209540949</v>
      </c>
      <c r="BY98">
        <f t="shared" ca="1" si="53"/>
        <v>483.61212000000006</v>
      </c>
      <c r="BZ98">
        <f t="shared" ca="1" si="54"/>
        <v>472.60746500000005</v>
      </c>
      <c r="CA98">
        <f t="shared" ca="1" si="55"/>
        <v>447.26253166666669</v>
      </c>
      <c r="CD98" t="str">
        <f>IF(周K!$E$3+CK98-12&gt;工作底稿!$CE$5,"周K!A"&amp;周K!$E$3-$CE$5+1+CK98-8,0)</f>
        <v>周K!A258</v>
      </c>
      <c r="CE98" s="4">
        <f t="shared" ca="1" si="68"/>
        <v>43220</v>
      </c>
      <c r="CF98" s="13">
        <f ca="1">IF($CD98=0,"",VLOOKUP($CE98,周K!$A$6:$F$6842,2,0))</f>
        <v>224.5</v>
      </c>
      <c r="CG98" s="13">
        <f ca="1">IF($CD98=0,"",VLOOKUP($CE98,周K!$A$6:$F$6842,3,0))</f>
        <v>228</v>
      </c>
      <c r="CH98" s="13">
        <f ca="1">IF($CD98=0,"",VLOOKUP($CE98,周K!$A$6:$F$6842,4,0))</f>
        <v>220</v>
      </c>
      <c r="CI98" s="13">
        <f ca="1">IF($CD98=0,"",VLOOKUP($CE98,周K!$A$6:$F$6842,5,0))</f>
        <v>223</v>
      </c>
      <c r="CJ98" s="13">
        <f ca="1">IF($CD98=0,"",VLOOKUP($CE98,周K!$A$6:$F$6842,6,0))</f>
        <v>128923</v>
      </c>
      <c r="CK98">
        <f>ROW()</f>
        <v>98</v>
      </c>
      <c r="CM98" t="str">
        <f t="shared" si="69"/>
        <v>CG94:CG98</v>
      </c>
      <c r="CN98">
        <f t="shared" si="70"/>
        <v>86</v>
      </c>
      <c r="CO98">
        <f t="shared" ca="1" si="71"/>
        <v>239.6</v>
      </c>
      <c r="CQ98" t="str">
        <f t="shared" si="72"/>
        <v>CG79:CG98</v>
      </c>
      <c r="CR98">
        <f t="shared" si="73"/>
        <v>71</v>
      </c>
      <c r="CS98">
        <f t="shared" ca="1" si="74"/>
        <v>246.32499999999999</v>
      </c>
      <c r="CU98" t="str">
        <f t="shared" si="75"/>
        <v>CG39:CG98</v>
      </c>
      <c r="CV98">
        <f t="shared" si="76"/>
        <v>31</v>
      </c>
      <c r="CW98">
        <f t="shared" ca="1" si="77"/>
        <v>226.9</v>
      </c>
      <c r="CY98">
        <f t="shared" ca="1" si="78"/>
        <v>495.579025</v>
      </c>
      <c r="CZ98">
        <f t="shared" ca="1" si="82"/>
        <v>483.76563625300008</v>
      </c>
      <c r="DA98">
        <f t="shared" ca="1" si="47"/>
        <v>472.41639172023406</v>
      </c>
      <c r="DB98">
        <f t="shared" ref="DB98:DB161" ca="1" si="84">CZ98-DA98</f>
        <v>11.349244532766022</v>
      </c>
      <c r="DC98">
        <f t="shared" ca="1" si="48"/>
        <v>11.708033169536053</v>
      </c>
      <c r="DD98">
        <f t="shared" ca="1" si="49"/>
        <v>-0.35878863677003103</v>
      </c>
    </row>
    <row r="99" spans="51:108" x14ac:dyDescent="0.25">
      <c r="AY99" t="str">
        <f>"日K!A"&amp;日K!$E$3-239+1+BF99-8</f>
        <v>日K!A6691</v>
      </c>
      <c r="AZ99" s="4">
        <f t="shared" ca="1" si="56"/>
        <v>44172</v>
      </c>
      <c r="BA99" s="13">
        <f t="shared" ca="1" si="57"/>
        <v>505.32530000000003</v>
      </c>
      <c r="BB99" s="13">
        <f t="shared" ca="1" si="58"/>
        <v>508.28620000000001</v>
      </c>
      <c r="BC99" s="13">
        <f t="shared" ca="1" si="59"/>
        <v>499.40350000000001</v>
      </c>
      <c r="BD99" s="13">
        <f t="shared" ca="1" si="60"/>
        <v>507.29919999999998</v>
      </c>
      <c r="BE99" s="13">
        <f t="shared" ca="1" si="61"/>
        <v>45494</v>
      </c>
      <c r="BF99">
        <f>ROW()</f>
        <v>99</v>
      </c>
      <c r="BH99" t="str">
        <f t="shared" si="62"/>
        <v>BC95:BC99</v>
      </c>
      <c r="BI99">
        <f t="shared" si="79"/>
        <v>87</v>
      </c>
      <c r="BJ99">
        <f t="shared" ca="1" si="63"/>
        <v>488.64562000000006</v>
      </c>
      <c r="BL99" t="str">
        <f t="shared" si="64"/>
        <v>BC80:BC99</v>
      </c>
      <c r="BM99">
        <f t="shared" si="80"/>
        <v>72</v>
      </c>
      <c r="BN99">
        <f t="shared" ca="1" si="65"/>
        <v>475.17357000000004</v>
      </c>
      <c r="BP99" t="str">
        <f t="shared" si="66"/>
        <v>BC40:BC99</v>
      </c>
      <c r="BQ99">
        <f t="shared" si="81"/>
        <v>32</v>
      </c>
      <c r="BR99">
        <f t="shared" ca="1" si="67"/>
        <v>448.66581166666674</v>
      </c>
      <c r="BT99">
        <f t="shared" ca="1" si="83"/>
        <v>479.14610500000009</v>
      </c>
      <c r="BU99">
        <f t="shared" ca="1" si="50"/>
        <v>12.15782181255047</v>
      </c>
      <c r="BV99">
        <f t="shared" ca="1" si="51"/>
        <v>503.46174862510105</v>
      </c>
      <c r="BW99">
        <f t="shared" ca="1" si="52"/>
        <v>454.83046137489913</v>
      </c>
      <c r="BY99">
        <f t="shared" ca="1" si="53"/>
        <v>488.64562000000006</v>
      </c>
      <c r="BZ99">
        <f t="shared" ca="1" si="54"/>
        <v>475.17357000000004</v>
      </c>
      <c r="CA99">
        <f t="shared" ca="1" si="55"/>
        <v>448.66581166666674</v>
      </c>
      <c r="CD99" t="str">
        <f>IF(周K!$E$3+CK99-12&gt;工作底稿!$CE$5,"周K!A"&amp;周K!$E$3-$CE$5+1+CK99-8,0)</f>
        <v>周K!A259</v>
      </c>
      <c r="CE99" s="4">
        <f t="shared" ca="1" si="68"/>
        <v>43227</v>
      </c>
      <c r="CF99" s="13">
        <f ca="1">IF($CD99=0,"",VLOOKUP($CE99,周K!$A$6:$F$6842,2,0))</f>
        <v>225</v>
      </c>
      <c r="CG99" s="13">
        <f ca="1">IF($CD99=0,"",VLOOKUP($CE99,周K!$A$6:$F$6842,3,0))</f>
        <v>234</v>
      </c>
      <c r="CH99" s="13">
        <f ca="1">IF($CD99=0,"",VLOOKUP($CE99,周K!$A$6:$F$6842,4,0))</f>
        <v>221.5</v>
      </c>
      <c r="CI99" s="13">
        <f ca="1">IF($CD99=0,"",VLOOKUP($CE99,周K!$A$6:$F$6842,5,0))</f>
        <v>233</v>
      </c>
      <c r="CJ99" s="13">
        <f ca="1">IF($CD99=0,"",VLOOKUP($CE99,周K!$A$6:$F$6842,6,0))</f>
        <v>157899</v>
      </c>
      <c r="CK99">
        <f>ROW()</f>
        <v>99</v>
      </c>
      <c r="CM99" t="str">
        <f t="shared" si="69"/>
        <v>CG95:CG99</v>
      </c>
      <c r="CN99">
        <f t="shared" si="70"/>
        <v>87</v>
      </c>
      <c r="CO99">
        <f t="shared" ca="1" si="71"/>
        <v>236.6</v>
      </c>
      <c r="CQ99" t="str">
        <f t="shared" si="72"/>
        <v>CG80:CG99</v>
      </c>
      <c r="CR99">
        <f t="shared" si="73"/>
        <v>72</v>
      </c>
      <c r="CS99">
        <f t="shared" ca="1" si="74"/>
        <v>246.6</v>
      </c>
      <c r="CU99" t="str">
        <f t="shared" si="75"/>
        <v>CG40:CG99</v>
      </c>
      <c r="CV99">
        <f t="shared" si="76"/>
        <v>32</v>
      </c>
      <c r="CW99">
        <f t="shared" ca="1" si="77"/>
        <v>227.60833333333332</v>
      </c>
      <c r="CY99">
        <f t="shared" ca="1" si="78"/>
        <v>505.572025</v>
      </c>
      <c r="CZ99">
        <f t="shared" ca="1" si="82"/>
        <v>487.12046529100007</v>
      </c>
      <c r="DA99">
        <f t="shared" ref="DA99:DA162" ca="1" si="85">DA98*(25/27)+CY99*(2/27)</f>
        <v>474.87236455577226</v>
      </c>
      <c r="DB99">
        <f t="shared" ca="1" si="84"/>
        <v>12.248100735227808</v>
      </c>
      <c r="DC99">
        <f t="shared" ca="1" si="48"/>
        <v>11.638645016662066</v>
      </c>
      <c r="DD99">
        <f t="shared" ca="1" si="49"/>
        <v>0.60945571856574254</v>
      </c>
    </row>
    <row r="100" spans="51:108" x14ac:dyDescent="0.25">
      <c r="AY100" t="str">
        <f>"日K!A"&amp;日K!$E$3-239+1+BF100-8</f>
        <v>日K!A6692</v>
      </c>
      <c r="AZ100" s="4">
        <f t="shared" ca="1" si="56"/>
        <v>44173</v>
      </c>
      <c r="BA100" s="13">
        <f t="shared" ca="1" si="57"/>
        <v>507.29919999999998</v>
      </c>
      <c r="BB100" s="13">
        <f t="shared" ca="1" si="58"/>
        <v>518.1558</v>
      </c>
      <c r="BC100" s="13">
        <f t="shared" ca="1" si="59"/>
        <v>502.36439999999999</v>
      </c>
      <c r="BD100" s="13">
        <f t="shared" ca="1" si="60"/>
        <v>517.16890000000001</v>
      </c>
      <c r="BE100" s="13">
        <f t="shared" ca="1" si="61"/>
        <v>41830</v>
      </c>
      <c r="BF100">
        <f>ROW()</f>
        <v>100</v>
      </c>
      <c r="BH100" t="str">
        <f t="shared" si="62"/>
        <v>BC96:BC100</v>
      </c>
      <c r="BI100">
        <f t="shared" si="79"/>
        <v>88</v>
      </c>
      <c r="BJ100">
        <f t="shared" ca="1" si="63"/>
        <v>493.67911999999995</v>
      </c>
      <c r="BL100" t="str">
        <f t="shared" si="64"/>
        <v>BC81:BC100</v>
      </c>
      <c r="BM100">
        <f t="shared" si="80"/>
        <v>73</v>
      </c>
      <c r="BN100">
        <f t="shared" ca="1" si="65"/>
        <v>478.15913500000005</v>
      </c>
      <c r="BP100" t="str">
        <f t="shared" si="66"/>
        <v>BC41:BC100</v>
      </c>
      <c r="BQ100">
        <f t="shared" si="81"/>
        <v>33</v>
      </c>
      <c r="BR100">
        <f t="shared" ca="1" si="67"/>
        <v>449.99574333333328</v>
      </c>
      <c r="BT100">
        <f t="shared" ca="1" si="83"/>
        <v>482.74852500000009</v>
      </c>
      <c r="BU100">
        <f t="shared" ca="1" si="50"/>
        <v>12.876395778607064</v>
      </c>
      <c r="BV100">
        <f t="shared" ca="1" si="51"/>
        <v>508.50131655721424</v>
      </c>
      <c r="BW100">
        <f t="shared" ca="1" si="52"/>
        <v>456.99573344278593</v>
      </c>
      <c r="BY100">
        <f t="shared" ca="1" si="53"/>
        <v>493.67911999999995</v>
      </c>
      <c r="BZ100">
        <f t="shared" ca="1" si="54"/>
        <v>478.15913500000005</v>
      </c>
      <c r="CA100">
        <f t="shared" ca="1" si="55"/>
        <v>449.99574333333328</v>
      </c>
      <c r="CD100" t="str">
        <f>IF(周K!$E$3+CK100-12&gt;工作底稿!$CE$5,"周K!A"&amp;周K!$E$3-$CE$5+1+CK100-8,0)</f>
        <v>周K!A260</v>
      </c>
      <c r="CE100" s="4">
        <f t="shared" ca="1" si="68"/>
        <v>43234</v>
      </c>
      <c r="CF100" s="13">
        <f ca="1">IF($CD100=0,"",VLOOKUP($CE100,周K!$A$6:$F$6842,2,0))</f>
        <v>234.5</v>
      </c>
      <c r="CG100" s="13">
        <f ca="1">IF($CD100=0,"",VLOOKUP($CE100,周K!$A$6:$F$6842,3,0))</f>
        <v>234.5</v>
      </c>
      <c r="CH100" s="13">
        <f ca="1">IF($CD100=0,"",VLOOKUP($CE100,周K!$A$6:$F$6842,4,0))</f>
        <v>223.5</v>
      </c>
      <c r="CI100" s="13">
        <f ca="1">IF($CD100=0,"",VLOOKUP($CE100,周K!$A$6:$F$6842,5,0))</f>
        <v>223.5</v>
      </c>
      <c r="CJ100" s="13">
        <f ca="1">IF($CD100=0,"",VLOOKUP($CE100,周K!$A$6:$F$6842,6,0))</f>
        <v>118074</v>
      </c>
      <c r="CK100">
        <f>ROW()</f>
        <v>100</v>
      </c>
      <c r="CM100" t="str">
        <f t="shared" si="69"/>
        <v>CG96:CG100</v>
      </c>
      <c r="CN100">
        <f t="shared" si="70"/>
        <v>88</v>
      </c>
      <c r="CO100">
        <f t="shared" ca="1" si="71"/>
        <v>233.7</v>
      </c>
      <c r="CQ100" t="str">
        <f t="shared" si="72"/>
        <v>CG81:CG100</v>
      </c>
      <c r="CR100">
        <f t="shared" si="73"/>
        <v>73</v>
      </c>
      <c r="CS100">
        <f t="shared" ca="1" si="74"/>
        <v>246.82499999999999</v>
      </c>
      <c r="CU100" t="str">
        <f t="shared" si="75"/>
        <v>CG41:CG100</v>
      </c>
      <c r="CV100">
        <f t="shared" si="76"/>
        <v>33</v>
      </c>
      <c r="CW100">
        <f t="shared" ca="1" si="77"/>
        <v>228.26666666666668</v>
      </c>
      <c r="CY100">
        <f t="shared" ca="1" si="78"/>
        <v>513.71450000000004</v>
      </c>
      <c r="CZ100">
        <f t="shared" ca="1" si="82"/>
        <v>491.21185524623087</v>
      </c>
      <c r="DA100">
        <f t="shared" ca="1" si="85"/>
        <v>477.74955977386321</v>
      </c>
      <c r="DB100">
        <f t="shared" ca="1" si="84"/>
        <v>13.462295472367657</v>
      </c>
      <c r="DC100">
        <f t="shared" ca="1" si="48"/>
        <v>11.726116083783646</v>
      </c>
      <c r="DD100">
        <f t="shared" ca="1" si="49"/>
        <v>1.7361793885840111</v>
      </c>
    </row>
    <row r="101" spans="51:108" x14ac:dyDescent="0.25">
      <c r="AY101" t="str">
        <f>"日K!A"&amp;日K!$E$3-239+1+BF101-8</f>
        <v>日K!A6693</v>
      </c>
      <c r="AZ101" s="4">
        <f t="shared" ca="1" si="56"/>
        <v>44174</v>
      </c>
      <c r="BA101" s="13">
        <f t="shared" ca="1" si="57"/>
        <v>514.20799999999997</v>
      </c>
      <c r="BB101" s="13">
        <f t="shared" ca="1" si="58"/>
        <v>517.16890000000001</v>
      </c>
      <c r="BC101" s="13">
        <f t="shared" ca="1" si="59"/>
        <v>513.221</v>
      </c>
      <c r="BD101" s="13">
        <f t="shared" ca="1" si="60"/>
        <v>513.221</v>
      </c>
      <c r="BE101" s="13">
        <f t="shared" ca="1" si="61"/>
        <v>46832</v>
      </c>
      <c r="BF101">
        <f>ROW()</f>
        <v>101</v>
      </c>
      <c r="BH101" t="str">
        <f t="shared" si="62"/>
        <v>BC97:BC101</v>
      </c>
      <c r="BI101">
        <f t="shared" si="79"/>
        <v>89</v>
      </c>
      <c r="BJ101">
        <f t="shared" ca="1" si="63"/>
        <v>498.91001999999997</v>
      </c>
      <c r="BL101" t="str">
        <f t="shared" si="64"/>
        <v>BC82:BC101</v>
      </c>
      <c r="BM101">
        <f t="shared" si="80"/>
        <v>74</v>
      </c>
      <c r="BN101">
        <f t="shared" ca="1" si="65"/>
        <v>481.68752999999998</v>
      </c>
      <c r="BP101" t="str">
        <f t="shared" si="66"/>
        <v>BC42:BC101</v>
      </c>
      <c r="BQ101">
        <f t="shared" si="81"/>
        <v>34</v>
      </c>
      <c r="BR101">
        <f t="shared" ca="1" si="67"/>
        <v>451.47389833333335</v>
      </c>
      <c r="BT101">
        <f t="shared" ca="1" si="83"/>
        <v>485.85746000000006</v>
      </c>
      <c r="BU101">
        <f t="shared" ca="1" si="50"/>
        <v>13.517765617208406</v>
      </c>
      <c r="BV101">
        <f t="shared" ca="1" si="51"/>
        <v>512.89299123441685</v>
      </c>
      <c r="BW101">
        <f t="shared" ca="1" si="52"/>
        <v>458.82192876558327</v>
      </c>
      <c r="BY101">
        <f t="shared" ca="1" si="53"/>
        <v>498.91001999999997</v>
      </c>
      <c r="BZ101">
        <f t="shared" ca="1" si="54"/>
        <v>481.68752999999998</v>
      </c>
      <c r="CA101">
        <f t="shared" ca="1" si="55"/>
        <v>451.47389833333335</v>
      </c>
      <c r="CD101" t="str">
        <f>IF(周K!$E$3+CK101-12&gt;工作底稿!$CE$5,"周K!A"&amp;周K!$E$3-$CE$5+1+CK101-8,0)</f>
        <v>周K!A261</v>
      </c>
      <c r="CE101" s="4">
        <f t="shared" ca="1" si="68"/>
        <v>43241</v>
      </c>
      <c r="CF101" s="13">
        <f ca="1">IF($CD101=0,"",VLOOKUP($CE101,周K!$A$6:$F$6842,2,0))</f>
        <v>225</v>
      </c>
      <c r="CG101" s="13">
        <f ca="1">IF($CD101=0,"",VLOOKUP($CE101,周K!$A$6:$F$6842,3,0))</f>
        <v>233.5</v>
      </c>
      <c r="CH101" s="13">
        <f ca="1">IF($CD101=0,"",VLOOKUP($CE101,周K!$A$6:$F$6842,4,0))</f>
        <v>225</v>
      </c>
      <c r="CI101" s="13">
        <f ca="1">IF($CD101=0,"",VLOOKUP($CE101,周K!$A$6:$F$6842,5,0))</f>
        <v>228.5</v>
      </c>
      <c r="CJ101" s="13">
        <f ca="1">IF($CD101=0,"",VLOOKUP($CE101,周K!$A$6:$F$6842,6,0))</f>
        <v>95515</v>
      </c>
      <c r="CK101">
        <f>ROW()</f>
        <v>101</v>
      </c>
      <c r="CM101" t="str">
        <f t="shared" si="69"/>
        <v>CG97:CG101</v>
      </c>
      <c r="CN101">
        <f t="shared" si="70"/>
        <v>89</v>
      </c>
      <c r="CO101">
        <f t="shared" ca="1" si="71"/>
        <v>231.5</v>
      </c>
      <c r="CQ101" t="str">
        <f t="shared" si="72"/>
        <v>CG82:CG101</v>
      </c>
      <c r="CR101">
        <f t="shared" si="73"/>
        <v>74</v>
      </c>
      <c r="CS101">
        <f t="shared" ca="1" si="74"/>
        <v>246.5</v>
      </c>
      <c r="CU101" t="str">
        <f t="shared" si="75"/>
        <v>CG42:CG101</v>
      </c>
      <c r="CV101">
        <f t="shared" si="76"/>
        <v>34</v>
      </c>
      <c r="CW101">
        <f t="shared" ca="1" si="77"/>
        <v>228.90833333333333</v>
      </c>
      <c r="CY101">
        <f t="shared" ca="1" si="78"/>
        <v>514.20797500000003</v>
      </c>
      <c r="CZ101">
        <f t="shared" ca="1" si="82"/>
        <v>494.74971982373381</v>
      </c>
      <c r="DA101">
        <f t="shared" ca="1" si="85"/>
        <v>480.45018312394745</v>
      </c>
      <c r="DB101">
        <f t="shared" ca="1" si="84"/>
        <v>14.299536699786358</v>
      </c>
      <c r="DC101">
        <f t="shared" ca="1" si="48"/>
        <v>11.933298202210267</v>
      </c>
      <c r="DD101">
        <f t="shared" ca="1" si="49"/>
        <v>2.3662384975760915</v>
      </c>
    </row>
    <row r="102" spans="51:108" x14ac:dyDescent="0.25">
      <c r="AY102" t="str">
        <f>"日K!A"&amp;日K!$E$3-239+1+BF102-8</f>
        <v>日K!A6694</v>
      </c>
      <c r="AZ102" s="4">
        <f t="shared" ca="1" si="56"/>
        <v>44175</v>
      </c>
      <c r="BA102" s="13">
        <f t="shared" ca="1" si="57"/>
        <v>504.33839999999998</v>
      </c>
      <c r="BB102" s="13">
        <f t="shared" ca="1" si="58"/>
        <v>508.28620000000001</v>
      </c>
      <c r="BC102" s="13">
        <f t="shared" ca="1" si="59"/>
        <v>503.35140000000001</v>
      </c>
      <c r="BD102" s="13">
        <f t="shared" ca="1" si="60"/>
        <v>505.32530000000003</v>
      </c>
      <c r="BE102" s="13">
        <f t="shared" ca="1" si="61"/>
        <v>43991</v>
      </c>
      <c r="BF102">
        <f>ROW()</f>
        <v>102</v>
      </c>
      <c r="BH102" t="str">
        <f t="shared" si="62"/>
        <v>BC98:BC102</v>
      </c>
      <c r="BI102">
        <f t="shared" si="79"/>
        <v>90</v>
      </c>
      <c r="BJ102">
        <f t="shared" ca="1" si="63"/>
        <v>501.87091999999996</v>
      </c>
      <c r="BL102" t="str">
        <f t="shared" si="64"/>
        <v>BC83:BC102</v>
      </c>
      <c r="BM102">
        <f t="shared" si="80"/>
        <v>75</v>
      </c>
      <c r="BN102">
        <f t="shared" ca="1" si="65"/>
        <v>484.27830999999998</v>
      </c>
      <c r="BP102" t="str">
        <f t="shared" si="66"/>
        <v>BC43:BC102</v>
      </c>
      <c r="BQ102">
        <f t="shared" si="81"/>
        <v>35</v>
      </c>
      <c r="BR102">
        <f t="shared" ca="1" si="67"/>
        <v>452.73848166666664</v>
      </c>
      <c r="BT102">
        <f t="shared" ca="1" si="83"/>
        <v>488.52226000000007</v>
      </c>
      <c r="BU102">
        <f t="shared" ca="1" si="50"/>
        <v>14.037460984848304</v>
      </c>
      <c r="BV102">
        <f t="shared" ca="1" si="51"/>
        <v>516.59718196969663</v>
      </c>
      <c r="BW102">
        <f t="shared" ca="1" si="52"/>
        <v>460.44733803030346</v>
      </c>
      <c r="BY102">
        <f t="shared" ca="1" si="53"/>
        <v>501.87091999999996</v>
      </c>
      <c r="BZ102">
        <f t="shared" ca="1" si="54"/>
        <v>484.27830999999998</v>
      </c>
      <c r="CA102">
        <f t="shared" ca="1" si="55"/>
        <v>452.73848166666664</v>
      </c>
      <c r="CD102" t="str">
        <f>IF(周K!$E$3+CK102-12&gt;工作底稿!$CE$5,"周K!A"&amp;周K!$E$3-$CE$5+1+CK102-8,0)</f>
        <v>周K!A262</v>
      </c>
      <c r="CE102" s="4">
        <f t="shared" ca="1" si="68"/>
        <v>43248</v>
      </c>
      <c r="CF102" s="13">
        <f ca="1">IF($CD102=0,"",VLOOKUP($CE102,周K!$A$6:$F$6842,2,0))</f>
        <v>229.5</v>
      </c>
      <c r="CG102" s="13">
        <f ca="1">IF($CD102=0,"",VLOOKUP($CE102,周K!$A$6:$F$6842,3,0))</f>
        <v>230</v>
      </c>
      <c r="CH102" s="13">
        <f ca="1">IF($CD102=0,"",VLOOKUP($CE102,周K!$A$6:$F$6842,4,0))</f>
        <v>220.5</v>
      </c>
      <c r="CI102" s="13">
        <f ca="1">IF($CD102=0,"",VLOOKUP($CE102,周K!$A$6:$F$6842,5,0))</f>
        <v>224</v>
      </c>
      <c r="CJ102" s="13">
        <f ca="1">IF($CD102=0,"",VLOOKUP($CE102,周K!$A$6:$F$6842,6,0))</f>
        <v>226351</v>
      </c>
      <c r="CK102">
        <f>ROW()</f>
        <v>102</v>
      </c>
      <c r="CM102" t="str">
        <f t="shared" si="69"/>
        <v>CG98:CG102</v>
      </c>
      <c r="CN102">
        <f t="shared" si="70"/>
        <v>90</v>
      </c>
      <c r="CO102">
        <f t="shared" ca="1" si="71"/>
        <v>232</v>
      </c>
      <c r="CQ102" t="str">
        <f t="shared" si="72"/>
        <v>CG83:CG102</v>
      </c>
      <c r="CR102">
        <f t="shared" si="73"/>
        <v>75</v>
      </c>
      <c r="CS102">
        <f t="shared" ca="1" si="74"/>
        <v>245.875</v>
      </c>
      <c r="CU102" t="str">
        <f t="shared" si="75"/>
        <v>CG43:CG102</v>
      </c>
      <c r="CV102">
        <f t="shared" si="76"/>
        <v>35</v>
      </c>
      <c r="CW102">
        <f t="shared" ca="1" si="77"/>
        <v>229.52500000000001</v>
      </c>
      <c r="CY102">
        <f t="shared" ca="1" si="78"/>
        <v>505.57204999999999</v>
      </c>
      <c r="CZ102">
        <f t="shared" ca="1" si="82"/>
        <v>496.41469369700553</v>
      </c>
      <c r="DA102">
        <f t="shared" ca="1" si="85"/>
        <v>482.31106215180318</v>
      </c>
      <c r="DB102">
        <f t="shared" ca="1" si="84"/>
        <v>14.103631545202347</v>
      </c>
      <c r="DC102">
        <f t="shared" ca="1" si="48"/>
        <v>12.161926156571244</v>
      </c>
      <c r="DD102">
        <f t="shared" ca="1" si="49"/>
        <v>1.9417053886311031</v>
      </c>
    </row>
    <row r="103" spans="51:108" x14ac:dyDescent="0.25">
      <c r="AY103" t="str">
        <f>"日K!A"&amp;日K!$E$3-239+1+BF103-8</f>
        <v>日K!A6695</v>
      </c>
      <c r="AZ103" s="4">
        <f t="shared" ca="1" si="56"/>
        <v>44176</v>
      </c>
      <c r="BA103" s="13">
        <f t="shared" ca="1" si="57"/>
        <v>510.26010000000002</v>
      </c>
      <c r="BB103" s="13">
        <f t="shared" ca="1" si="58"/>
        <v>510.26010000000002</v>
      </c>
      <c r="BC103" s="13">
        <f t="shared" ca="1" si="59"/>
        <v>498.41660000000002</v>
      </c>
      <c r="BD103" s="13">
        <f t="shared" ca="1" si="60"/>
        <v>509.27319999999997</v>
      </c>
      <c r="BE103" s="13">
        <f t="shared" ca="1" si="61"/>
        <v>51297</v>
      </c>
      <c r="BF103">
        <f>ROW()</f>
        <v>103</v>
      </c>
      <c r="BH103" t="str">
        <f t="shared" si="62"/>
        <v>BC99:BC103</v>
      </c>
      <c r="BI103">
        <f t="shared" si="79"/>
        <v>91</v>
      </c>
      <c r="BJ103">
        <f t="shared" ca="1" si="63"/>
        <v>503.35138000000006</v>
      </c>
      <c r="BL103" t="str">
        <f t="shared" si="64"/>
        <v>BC84:BC103</v>
      </c>
      <c r="BM103">
        <f t="shared" si="80"/>
        <v>76</v>
      </c>
      <c r="BN103">
        <f t="shared" ca="1" si="65"/>
        <v>486.67169999999999</v>
      </c>
      <c r="BP103" t="str">
        <f t="shared" si="66"/>
        <v>BC44:BC103</v>
      </c>
      <c r="BQ103">
        <f t="shared" si="81"/>
        <v>36</v>
      </c>
      <c r="BR103">
        <f t="shared" ca="1" si="67"/>
        <v>453.85538000000003</v>
      </c>
      <c r="BT103">
        <f t="shared" ca="1" si="83"/>
        <v>491.18706500000008</v>
      </c>
      <c r="BU103">
        <f t="shared" ca="1" si="50"/>
        <v>14.447080887530426</v>
      </c>
      <c r="BV103">
        <f t="shared" ca="1" si="51"/>
        <v>520.08122677506094</v>
      </c>
      <c r="BW103">
        <f t="shared" ca="1" si="52"/>
        <v>462.29290322493921</v>
      </c>
      <c r="BY103">
        <f t="shared" ca="1" si="53"/>
        <v>503.35138000000006</v>
      </c>
      <c r="BZ103">
        <f t="shared" ca="1" si="54"/>
        <v>486.67169999999999</v>
      </c>
      <c r="CA103">
        <f t="shared" ca="1" si="55"/>
        <v>453.85538000000003</v>
      </c>
      <c r="CD103" t="str">
        <f>IF(周K!$E$3+CK103-12&gt;工作底稿!$CE$5,"周K!A"&amp;周K!$E$3-$CE$5+1+CK103-8,0)</f>
        <v>周K!A263</v>
      </c>
      <c r="CE103" s="4">
        <f t="shared" ca="1" si="68"/>
        <v>43255</v>
      </c>
      <c r="CF103" s="13">
        <f ca="1">IF($CD103=0,"",VLOOKUP($CE103,周K!$A$6:$F$6842,2,0))</f>
        <v>227.5</v>
      </c>
      <c r="CG103" s="13">
        <f ca="1">IF($CD103=0,"",VLOOKUP($CE103,周K!$A$6:$F$6842,3,0))</f>
        <v>231.5</v>
      </c>
      <c r="CH103" s="13">
        <f ca="1">IF($CD103=0,"",VLOOKUP($CE103,周K!$A$6:$F$6842,4,0))</f>
        <v>226</v>
      </c>
      <c r="CI103" s="13">
        <f ca="1">IF($CD103=0,"",VLOOKUP($CE103,周K!$A$6:$F$6842,5,0))</f>
        <v>227</v>
      </c>
      <c r="CJ103" s="13">
        <f ca="1">IF($CD103=0,"",VLOOKUP($CE103,周K!$A$6:$F$6842,6,0))</f>
        <v>138817</v>
      </c>
      <c r="CK103">
        <f>ROW()</f>
        <v>103</v>
      </c>
      <c r="CM103" t="str">
        <f t="shared" si="69"/>
        <v>CG99:CG103</v>
      </c>
      <c r="CN103">
        <f t="shared" si="70"/>
        <v>91</v>
      </c>
      <c r="CO103">
        <f t="shared" ca="1" si="71"/>
        <v>232.7</v>
      </c>
      <c r="CQ103" t="str">
        <f t="shared" si="72"/>
        <v>CG84:CG103</v>
      </c>
      <c r="CR103">
        <f t="shared" si="73"/>
        <v>76</v>
      </c>
      <c r="CS103">
        <f t="shared" ca="1" si="74"/>
        <v>244.67500000000001</v>
      </c>
      <c r="CU103" t="str">
        <f t="shared" si="75"/>
        <v>CG44:CG103</v>
      </c>
      <c r="CV103">
        <f t="shared" si="76"/>
        <v>36</v>
      </c>
      <c r="CW103">
        <f t="shared" ca="1" si="77"/>
        <v>230.18333333333334</v>
      </c>
      <c r="CY103">
        <f t="shared" ca="1" si="78"/>
        <v>506.80577499999998</v>
      </c>
      <c r="CZ103">
        <f t="shared" ca="1" si="82"/>
        <v>498.01332158977391</v>
      </c>
      <c r="DA103">
        <f t="shared" ca="1" si="85"/>
        <v>484.12548532574368</v>
      </c>
      <c r="DB103">
        <f t="shared" ca="1" si="84"/>
        <v>13.887836264030227</v>
      </c>
      <c r="DC103">
        <f t="shared" ca="1" si="48"/>
        <v>12.462706481169802</v>
      </c>
      <c r="DD103">
        <f t="shared" ca="1" si="49"/>
        <v>1.4251297828604255</v>
      </c>
    </row>
    <row r="104" spans="51:108" x14ac:dyDescent="0.25">
      <c r="AY104" t="str">
        <f>"日K!A"&amp;日K!$E$3-239+1+BF104-8</f>
        <v>日K!A6696</v>
      </c>
      <c r="AZ104" s="4">
        <f t="shared" ca="1" si="56"/>
        <v>44179</v>
      </c>
      <c r="BA104" s="13">
        <f t="shared" ca="1" si="57"/>
        <v>505.32530000000003</v>
      </c>
      <c r="BB104" s="13">
        <f t="shared" ca="1" si="58"/>
        <v>506.31229999999999</v>
      </c>
      <c r="BC104" s="13">
        <f t="shared" ca="1" si="59"/>
        <v>501.3775</v>
      </c>
      <c r="BD104" s="13">
        <f t="shared" ca="1" si="60"/>
        <v>501.3775</v>
      </c>
      <c r="BE104" s="13">
        <f t="shared" ca="1" si="61"/>
        <v>30810</v>
      </c>
      <c r="BF104">
        <f>ROW()</f>
        <v>104</v>
      </c>
      <c r="BH104" t="str">
        <f t="shared" si="62"/>
        <v>BC100:BC104</v>
      </c>
      <c r="BI104">
        <f t="shared" si="79"/>
        <v>92</v>
      </c>
      <c r="BJ104">
        <f t="shared" ca="1" si="63"/>
        <v>503.74617999999998</v>
      </c>
      <c r="BL104" t="str">
        <f t="shared" si="64"/>
        <v>BC85:BC104</v>
      </c>
      <c r="BM104">
        <f t="shared" si="80"/>
        <v>77</v>
      </c>
      <c r="BN104">
        <f t="shared" ca="1" si="65"/>
        <v>488.59628000000004</v>
      </c>
      <c r="BP104" t="str">
        <f t="shared" si="66"/>
        <v>BC45:BC104</v>
      </c>
      <c r="BQ104">
        <f t="shared" si="81"/>
        <v>37</v>
      </c>
      <c r="BR104">
        <f t="shared" ca="1" si="67"/>
        <v>454.75987333333336</v>
      </c>
      <c r="BT104">
        <f t="shared" ca="1" si="83"/>
        <v>492.3714250000001</v>
      </c>
      <c r="BU104">
        <f t="shared" ca="1" si="50"/>
        <v>14.656537169950401</v>
      </c>
      <c r="BV104">
        <f t="shared" ca="1" si="51"/>
        <v>521.68449933990087</v>
      </c>
      <c r="BW104">
        <f t="shared" ca="1" si="52"/>
        <v>463.05835066009928</v>
      </c>
      <c r="BY104">
        <f t="shared" ca="1" si="53"/>
        <v>503.74617999999998</v>
      </c>
      <c r="BZ104">
        <f t="shared" ca="1" si="54"/>
        <v>488.59628000000004</v>
      </c>
      <c r="CA104">
        <f t="shared" ca="1" si="55"/>
        <v>454.75987333333336</v>
      </c>
      <c r="CD104" t="str">
        <f>IF(周K!$E$3+CK104-12&gt;工作底稿!$CE$5,"周K!A"&amp;周K!$E$3-$CE$5+1+CK104-8,0)</f>
        <v>周K!A264</v>
      </c>
      <c r="CE104" s="4">
        <f t="shared" ca="1" si="68"/>
        <v>43262</v>
      </c>
      <c r="CF104" s="13">
        <f ca="1">IF($CD104=0,"",VLOOKUP($CE104,周K!$A$6:$F$6842,2,0))</f>
        <v>226.5</v>
      </c>
      <c r="CG104" s="13">
        <f ca="1">IF($CD104=0,"",VLOOKUP($CE104,周K!$A$6:$F$6842,3,0))</f>
        <v>232</v>
      </c>
      <c r="CH104" s="13">
        <f ca="1">IF($CD104=0,"",VLOOKUP($CE104,周K!$A$6:$F$6842,4,0))</f>
        <v>224</v>
      </c>
      <c r="CI104" s="13">
        <f ca="1">IF($CD104=0,"",VLOOKUP($CE104,周K!$A$6:$F$6842,5,0))</f>
        <v>231</v>
      </c>
      <c r="CJ104" s="13">
        <f ca="1">IF($CD104=0,"",VLOOKUP($CE104,周K!$A$6:$F$6842,6,0))</f>
        <v>174738</v>
      </c>
      <c r="CK104">
        <f>ROW()</f>
        <v>104</v>
      </c>
      <c r="CM104" t="str">
        <f t="shared" si="69"/>
        <v>CG100:CG104</v>
      </c>
      <c r="CN104">
        <f t="shared" si="70"/>
        <v>92</v>
      </c>
      <c r="CO104">
        <f t="shared" ca="1" si="71"/>
        <v>232.3</v>
      </c>
      <c r="CQ104" t="str">
        <f t="shared" si="72"/>
        <v>CG85:CG104</v>
      </c>
      <c r="CR104">
        <f t="shared" si="73"/>
        <v>77</v>
      </c>
      <c r="CS104">
        <f t="shared" ca="1" si="74"/>
        <v>242.97499999999999</v>
      </c>
      <c r="CU104" t="str">
        <f t="shared" si="75"/>
        <v>CG45:CG104</v>
      </c>
      <c r="CV104">
        <f t="shared" si="76"/>
        <v>37</v>
      </c>
      <c r="CW104">
        <f t="shared" ca="1" si="77"/>
        <v>230.88333333333333</v>
      </c>
      <c r="CY104">
        <f t="shared" ca="1" si="78"/>
        <v>502.6112</v>
      </c>
      <c r="CZ104">
        <f t="shared" ca="1" si="82"/>
        <v>498.72068749903951</v>
      </c>
      <c r="DA104">
        <f t="shared" ca="1" si="85"/>
        <v>485.49479752383672</v>
      </c>
      <c r="DB104">
        <f t="shared" ca="1" si="84"/>
        <v>13.22588997520279</v>
      </c>
      <c r="DC104">
        <f t="shared" ca="1" si="48"/>
        <v>12.738950567924897</v>
      </c>
      <c r="DD104">
        <f t="shared" ca="1" si="49"/>
        <v>0.48693940727789276</v>
      </c>
    </row>
    <row r="105" spans="51:108" x14ac:dyDescent="0.25">
      <c r="AY105" t="str">
        <f>"日K!A"&amp;日K!$E$3-239+1+BF105-8</f>
        <v>日K!A6697</v>
      </c>
      <c r="AZ105" s="4">
        <f t="shared" ca="1" si="56"/>
        <v>44180</v>
      </c>
      <c r="BA105" s="13">
        <f t="shared" ca="1" si="57"/>
        <v>500.39049999999997</v>
      </c>
      <c r="BB105" s="13">
        <f t="shared" ca="1" si="58"/>
        <v>503.35140000000001</v>
      </c>
      <c r="BC105" s="13">
        <f t="shared" ca="1" si="59"/>
        <v>497.42959999999999</v>
      </c>
      <c r="BD105" s="13">
        <f t="shared" ca="1" si="60"/>
        <v>497.42959999999999</v>
      </c>
      <c r="BE105" s="13">
        <f t="shared" ca="1" si="61"/>
        <v>43060</v>
      </c>
      <c r="BF105">
        <f>ROW()</f>
        <v>105</v>
      </c>
      <c r="BH105" t="str">
        <f t="shared" si="62"/>
        <v>BC101:BC105</v>
      </c>
      <c r="BI105">
        <f t="shared" si="79"/>
        <v>93</v>
      </c>
      <c r="BJ105">
        <f t="shared" ca="1" si="63"/>
        <v>502.75922000000003</v>
      </c>
      <c r="BL105" t="str">
        <f t="shared" si="64"/>
        <v>BC86:BC105</v>
      </c>
      <c r="BM105">
        <f t="shared" si="80"/>
        <v>78</v>
      </c>
      <c r="BN105">
        <f t="shared" ca="1" si="65"/>
        <v>489.50922000000003</v>
      </c>
      <c r="BP105" t="str">
        <f t="shared" si="66"/>
        <v>BC46:BC105</v>
      </c>
      <c r="BQ105">
        <f t="shared" si="81"/>
        <v>38</v>
      </c>
      <c r="BR105">
        <f t="shared" ca="1" si="67"/>
        <v>455.70571333333322</v>
      </c>
      <c r="BT105">
        <f t="shared" ca="1" si="83"/>
        <v>493.28436500000009</v>
      </c>
      <c r="BU105">
        <f t="shared" ca="1" si="50"/>
        <v>14.689176744591819</v>
      </c>
      <c r="BV105">
        <f t="shared" ca="1" si="51"/>
        <v>522.6627184891837</v>
      </c>
      <c r="BW105">
        <f t="shared" ca="1" si="52"/>
        <v>463.90601151081648</v>
      </c>
      <c r="BY105">
        <f t="shared" ca="1" si="53"/>
        <v>502.75922000000003</v>
      </c>
      <c r="BZ105">
        <f t="shared" ca="1" si="54"/>
        <v>489.50922000000003</v>
      </c>
      <c r="CA105">
        <f t="shared" ca="1" si="55"/>
        <v>455.70571333333322</v>
      </c>
      <c r="CD105" t="str">
        <f>IF(周K!$E$3+CK105-12&gt;工作底稿!$CE$5,"周K!A"&amp;周K!$E$3-$CE$5+1+CK105-8,0)</f>
        <v>周K!A265</v>
      </c>
      <c r="CE105" s="4">
        <f t="shared" ca="1" si="68"/>
        <v>43270</v>
      </c>
      <c r="CF105" s="13">
        <f ca="1">IF($CD105=0,"",VLOOKUP($CE105,周K!$A$6:$F$6842,2,0))</f>
        <v>225.5</v>
      </c>
      <c r="CG105" s="13">
        <f ca="1">IF($CD105=0,"",VLOOKUP($CE105,周K!$A$6:$F$6842,3,0))</f>
        <v>228</v>
      </c>
      <c r="CH105" s="13">
        <f ca="1">IF($CD105=0,"",VLOOKUP($CE105,周K!$A$6:$F$6842,4,0))</f>
        <v>223.5</v>
      </c>
      <c r="CI105" s="13">
        <f ca="1">IF($CD105=0,"",VLOOKUP($CE105,周K!$A$6:$F$6842,5,0))</f>
        <v>227.5</v>
      </c>
      <c r="CJ105" s="13">
        <f ca="1">IF($CD105=0,"",VLOOKUP($CE105,周K!$A$6:$F$6842,6,0))</f>
        <v>178635</v>
      </c>
      <c r="CK105">
        <f>ROW()</f>
        <v>105</v>
      </c>
      <c r="CM105" t="str">
        <f t="shared" si="69"/>
        <v>CG101:CG105</v>
      </c>
      <c r="CN105">
        <f t="shared" si="70"/>
        <v>93</v>
      </c>
      <c r="CO105">
        <f t="shared" ca="1" si="71"/>
        <v>231</v>
      </c>
      <c r="CQ105" t="str">
        <f t="shared" si="72"/>
        <v>CG86:CG105</v>
      </c>
      <c r="CR105">
        <f t="shared" si="73"/>
        <v>78</v>
      </c>
      <c r="CS105">
        <f t="shared" ca="1" si="74"/>
        <v>241.3</v>
      </c>
      <c r="CU105" t="str">
        <f t="shared" si="75"/>
        <v>CG46:CG105</v>
      </c>
      <c r="CV105">
        <f t="shared" si="76"/>
        <v>38</v>
      </c>
      <c r="CW105">
        <f t="shared" ca="1" si="77"/>
        <v>231.44166666666666</v>
      </c>
      <c r="CY105">
        <f t="shared" ca="1" si="78"/>
        <v>498.91004999999996</v>
      </c>
      <c r="CZ105">
        <f t="shared" ca="1" si="82"/>
        <v>498.74982019149496</v>
      </c>
      <c r="DA105">
        <f t="shared" ca="1" si="85"/>
        <v>486.48851992947846</v>
      </c>
      <c r="DB105">
        <f t="shared" ca="1" si="84"/>
        <v>12.261300262016505</v>
      </c>
      <c r="DC105">
        <f t="shared" ca="1" si="48"/>
        <v>12.876911313184015</v>
      </c>
      <c r="DD105">
        <f t="shared" ca="1" si="49"/>
        <v>-0.61561105116751058</v>
      </c>
    </row>
    <row r="106" spans="51:108" x14ac:dyDescent="0.25">
      <c r="AY106" t="str">
        <f>"日K!A"&amp;日K!$E$3-239+1+BF106-8</f>
        <v>日K!A6698</v>
      </c>
      <c r="AZ106" s="4">
        <f t="shared" ca="1" si="56"/>
        <v>44181</v>
      </c>
      <c r="BA106" s="13">
        <f t="shared" ca="1" si="57"/>
        <v>502.36439999999999</v>
      </c>
      <c r="BB106" s="13">
        <f t="shared" ca="1" si="58"/>
        <v>508.28620000000001</v>
      </c>
      <c r="BC106" s="13">
        <f t="shared" ca="1" si="59"/>
        <v>500.39049999999997</v>
      </c>
      <c r="BD106" s="13">
        <f t="shared" ca="1" si="60"/>
        <v>505.32530000000003</v>
      </c>
      <c r="BE106" s="13">
        <f t="shared" ca="1" si="61"/>
        <v>53661</v>
      </c>
      <c r="BF106">
        <f>ROW()</f>
        <v>106</v>
      </c>
      <c r="BH106" t="str">
        <f t="shared" si="62"/>
        <v>BC102:BC106</v>
      </c>
      <c r="BI106">
        <f t="shared" si="79"/>
        <v>94</v>
      </c>
      <c r="BJ106">
        <f t="shared" ca="1" si="63"/>
        <v>500.19312000000002</v>
      </c>
      <c r="BL106" t="str">
        <f t="shared" si="64"/>
        <v>BC87:BC106</v>
      </c>
      <c r="BM106">
        <f t="shared" si="80"/>
        <v>79</v>
      </c>
      <c r="BN106">
        <f t="shared" ca="1" si="65"/>
        <v>490.52085999999997</v>
      </c>
      <c r="BP106" t="str">
        <f t="shared" si="66"/>
        <v>BC47:BC106</v>
      </c>
      <c r="BQ106">
        <f t="shared" si="81"/>
        <v>39</v>
      </c>
      <c r="BR106">
        <f t="shared" ca="1" si="67"/>
        <v>456.75847499999992</v>
      </c>
      <c r="BT106">
        <f t="shared" ca="1" si="83"/>
        <v>494.024585</v>
      </c>
      <c r="BU106">
        <f t="shared" ca="1" si="50"/>
        <v>14.5870755806173</v>
      </c>
      <c r="BV106">
        <f t="shared" ca="1" si="51"/>
        <v>523.19873616123459</v>
      </c>
      <c r="BW106">
        <f t="shared" ca="1" si="52"/>
        <v>464.85043383876541</v>
      </c>
      <c r="BY106">
        <f t="shared" ca="1" si="53"/>
        <v>500.19312000000002</v>
      </c>
      <c r="BZ106">
        <f t="shared" ca="1" si="54"/>
        <v>490.52085999999997</v>
      </c>
      <c r="CA106">
        <f t="shared" ca="1" si="55"/>
        <v>456.75847499999992</v>
      </c>
      <c r="CD106" t="str">
        <f>IF(周K!$E$3+CK106-12&gt;工作底稿!$CE$5,"周K!A"&amp;周K!$E$3-$CE$5+1+CK106-8,0)</f>
        <v>周K!A266</v>
      </c>
      <c r="CE106" s="4">
        <f t="shared" ca="1" si="68"/>
        <v>43276</v>
      </c>
      <c r="CF106" s="13">
        <f ca="1">IF($CD106=0,"",VLOOKUP($CE106,周K!$A$6:$F$6842,2,0))</f>
        <v>220</v>
      </c>
      <c r="CG106" s="13">
        <f ca="1">IF($CD106=0,"",VLOOKUP($CE106,周K!$A$6:$F$6842,3,0))</f>
        <v>220.5</v>
      </c>
      <c r="CH106" s="13">
        <f ca="1">IF($CD106=0,"",VLOOKUP($CE106,周K!$A$6:$F$6842,4,0))</f>
        <v>210</v>
      </c>
      <c r="CI106" s="13">
        <f ca="1">IF($CD106=0,"",VLOOKUP($CE106,周K!$A$6:$F$6842,5,0))</f>
        <v>216.5</v>
      </c>
      <c r="CJ106" s="13">
        <f ca="1">IF($CD106=0,"",VLOOKUP($CE106,周K!$A$6:$F$6842,6,0))</f>
        <v>208667</v>
      </c>
      <c r="CK106">
        <f>ROW()</f>
        <v>106</v>
      </c>
      <c r="CM106" t="str">
        <f t="shared" si="69"/>
        <v>CG102:CG106</v>
      </c>
      <c r="CN106">
        <f t="shared" si="70"/>
        <v>94</v>
      </c>
      <c r="CO106">
        <f t="shared" ca="1" si="71"/>
        <v>228.4</v>
      </c>
      <c r="CQ106" t="str">
        <f t="shared" si="72"/>
        <v>CG87:CG106</v>
      </c>
      <c r="CR106">
        <f t="shared" si="73"/>
        <v>79</v>
      </c>
      <c r="CS106">
        <f t="shared" ca="1" si="74"/>
        <v>239.6</v>
      </c>
      <c r="CU106" t="str">
        <f t="shared" si="75"/>
        <v>CG47:CG106</v>
      </c>
      <c r="CV106">
        <f t="shared" si="76"/>
        <v>39</v>
      </c>
      <c r="CW106">
        <f t="shared" ca="1" si="77"/>
        <v>231.8</v>
      </c>
      <c r="CY106">
        <f t="shared" ca="1" si="78"/>
        <v>504.83182499999998</v>
      </c>
      <c r="CZ106">
        <f t="shared" ca="1" si="82"/>
        <v>499.6855132389573</v>
      </c>
      <c r="DA106">
        <f t="shared" ca="1" si="85"/>
        <v>487.8472832680356</v>
      </c>
      <c r="DB106">
        <f t="shared" ca="1" si="84"/>
        <v>11.838229970921702</v>
      </c>
      <c r="DC106">
        <f t="shared" ref="DC106:DC169" ca="1" si="86">AVERAGE(DB98:DB106)</f>
        <v>12.964007273057936</v>
      </c>
      <c r="DD106">
        <f t="shared" ref="DD106:DD169" ca="1" si="87">DB106-DC106</f>
        <v>-1.1257773021362336</v>
      </c>
    </row>
    <row r="107" spans="51:108" x14ac:dyDescent="0.25">
      <c r="AY107" t="str">
        <f>"日K!A"&amp;日K!$E$3-239+1+BF107-8</f>
        <v>日K!A6699</v>
      </c>
      <c r="AZ107" s="4">
        <f t="shared" ca="1" si="56"/>
        <v>44182</v>
      </c>
      <c r="BA107" s="13">
        <f t="shared" ca="1" si="57"/>
        <v>510.78030000000001</v>
      </c>
      <c r="BB107" s="13">
        <f t="shared" ca="1" si="58"/>
        <v>510.78030000000001</v>
      </c>
      <c r="BC107" s="13">
        <f t="shared" ca="1" si="59"/>
        <v>503.83760000000001</v>
      </c>
      <c r="BD107" s="13">
        <f t="shared" ca="1" si="60"/>
        <v>503.83760000000001</v>
      </c>
      <c r="BE107" s="13">
        <f t="shared" ca="1" si="61"/>
        <v>39286</v>
      </c>
      <c r="BF107">
        <f>ROW()</f>
        <v>107</v>
      </c>
      <c r="BH107" t="str">
        <f t="shared" si="62"/>
        <v>BC103:BC107</v>
      </c>
      <c r="BI107">
        <f t="shared" si="79"/>
        <v>95</v>
      </c>
      <c r="BJ107">
        <f t="shared" ca="1" si="63"/>
        <v>500.29035999999996</v>
      </c>
      <c r="BL107" t="str">
        <f t="shared" si="64"/>
        <v>BC88:BC107</v>
      </c>
      <c r="BM107">
        <f t="shared" si="80"/>
        <v>80</v>
      </c>
      <c r="BN107">
        <f t="shared" ca="1" si="65"/>
        <v>491.53213500000004</v>
      </c>
      <c r="BP107" t="str">
        <f t="shared" si="66"/>
        <v>BC48:BC107</v>
      </c>
      <c r="BQ107">
        <f t="shared" si="81"/>
        <v>40</v>
      </c>
      <c r="BR107">
        <f t="shared" ca="1" si="67"/>
        <v>457.91803666666664</v>
      </c>
      <c r="BT107">
        <f t="shared" ca="1" si="83"/>
        <v>495.03586000000007</v>
      </c>
      <c r="BU107">
        <f t="shared" ca="1" si="50"/>
        <v>14.346886459051381</v>
      </c>
      <c r="BV107">
        <f t="shared" ca="1" si="51"/>
        <v>523.72963291810288</v>
      </c>
      <c r="BW107">
        <f t="shared" ca="1" si="52"/>
        <v>466.34208708189732</v>
      </c>
      <c r="BY107">
        <f t="shared" ca="1" si="53"/>
        <v>500.29035999999996</v>
      </c>
      <c r="BZ107">
        <f t="shared" ca="1" si="54"/>
        <v>491.53213500000004</v>
      </c>
      <c r="CA107">
        <f t="shared" ca="1" si="55"/>
        <v>457.91803666666664</v>
      </c>
      <c r="CD107" t="str">
        <f>IF(周K!$E$3+CK107-12&gt;工作底稿!$CE$5,"周K!A"&amp;周K!$E$3-$CE$5+1+CK107-8,0)</f>
        <v>周K!A267</v>
      </c>
      <c r="CE107" s="4">
        <f t="shared" ca="1" si="68"/>
        <v>43283</v>
      </c>
      <c r="CF107" s="13">
        <f ca="1">IF($CD107=0,"",VLOOKUP($CE107,周K!$A$6:$F$6842,2,0))</f>
        <v>218.5</v>
      </c>
      <c r="CG107" s="13">
        <f ca="1">IF($CD107=0,"",VLOOKUP($CE107,周K!$A$6:$F$6842,3,0))</f>
        <v>219</v>
      </c>
      <c r="CH107" s="13">
        <f ca="1">IF($CD107=0,"",VLOOKUP($CE107,周K!$A$6:$F$6842,4,0))</f>
        <v>213</v>
      </c>
      <c r="CI107" s="13">
        <f ca="1">IF($CD107=0,"",VLOOKUP($CE107,周K!$A$6:$F$6842,5,0))</f>
        <v>217</v>
      </c>
      <c r="CJ107" s="13">
        <f ca="1">IF($CD107=0,"",VLOOKUP($CE107,周K!$A$6:$F$6842,6,0))</f>
        <v>127089</v>
      </c>
      <c r="CK107">
        <f>ROW()</f>
        <v>107</v>
      </c>
      <c r="CM107" t="str">
        <f t="shared" si="69"/>
        <v>CG103:CG107</v>
      </c>
      <c r="CN107">
        <f t="shared" si="70"/>
        <v>95</v>
      </c>
      <c r="CO107">
        <f t="shared" ca="1" si="71"/>
        <v>226.2</v>
      </c>
      <c r="CQ107" t="str">
        <f t="shared" si="72"/>
        <v>CG88:CG107</v>
      </c>
      <c r="CR107">
        <f t="shared" si="73"/>
        <v>80</v>
      </c>
      <c r="CS107">
        <f t="shared" ca="1" si="74"/>
        <v>238.67500000000001</v>
      </c>
      <c r="CU107" t="str">
        <f t="shared" si="75"/>
        <v>CG48:CG107</v>
      </c>
      <c r="CV107">
        <f t="shared" si="76"/>
        <v>40</v>
      </c>
      <c r="CW107">
        <f t="shared" ca="1" si="77"/>
        <v>231.97499999999999</v>
      </c>
      <c r="CY107">
        <f t="shared" ca="1" si="78"/>
        <v>505.57327499999997</v>
      </c>
      <c r="CZ107">
        <f t="shared" ca="1" si="82"/>
        <v>500.59132274065621</v>
      </c>
      <c r="DA107">
        <f t="shared" ca="1" si="85"/>
        <v>489.16031969262554</v>
      </c>
      <c r="DB107">
        <f t="shared" ca="1" si="84"/>
        <v>11.431003048030675</v>
      </c>
      <c r="DC107">
        <f t="shared" ca="1" si="86"/>
        <v>12.973091552531786</v>
      </c>
      <c r="DD107">
        <f t="shared" ca="1" si="87"/>
        <v>-1.5420885045011108</v>
      </c>
    </row>
    <row r="108" spans="51:108" x14ac:dyDescent="0.25">
      <c r="AY108" t="str">
        <f>"日K!A"&amp;日K!$E$3-239+1+BF108-8</f>
        <v>日K!A6700</v>
      </c>
      <c r="AZ108" s="4">
        <f t="shared" ca="1" si="56"/>
        <v>44183</v>
      </c>
      <c r="BA108" s="13">
        <f t="shared" ca="1" si="57"/>
        <v>503.83760000000001</v>
      </c>
      <c r="BB108" s="13">
        <f t="shared" ca="1" si="58"/>
        <v>507.8048</v>
      </c>
      <c r="BC108" s="13">
        <f t="shared" ca="1" si="59"/>
        <v>502.8458</v>
      </c>
      <c r="BD108" s="13">
        <f t="shared" ca="1" si="60"/>
        <v>505.82119999999998</v>
      </c>
      <c r="BE108" s="13">
        <f t="shared" ca="1" si="61"/>
        <v>40626</v>
      </c>
      <c r="BF108">
        <f>ROW()</f>
        <v>108</v>
      </c>
      <c r="BH108" t="str">
        <f t="shared" si="62"/>
        <v>BC104:BC108</v>
      </c>
      <c r="BI108">
        <f t="shared" si="79"/>
        <v>96</v>
      </c>
      <c r="BJ108">
        <f t="shared" ca="1" si="63"/>
        <v>501.17619999999999</v>
      </c>
      <c r="BL108" t="str">
        <f t="shared" si="64"/>
        <v>BC89:BC108</v>
      </c>
      <c r="BM108">
        <f t="shared" si="80"/>
        <v>81</v>
      </c>
      <c r="BN108">
        <f t="shared" ca="1" si="65"/>
        <v>492.69120999999996</v>
      </c>
      <c r="BP108" t="str">
        <f t="shared" si="66"/>
        <v>BC49:BC108</v>
      </c>
      <c r="BQ108">
        <f t="shared" si="81"/>
        <v>41</v>
      </c>
      <c r="BR108">
        <f t="shared" ca="1" si="67"/>
        <v>459.1268649999999</v>
      </c>
      <c r="BT108">
        <f t="shared" ca="1" si="83"/>
        <v>496.24501000000009</v>
      </c>
      <c r="BU108">
        <f t="shared" ca="1" si="50"/>
        <v>13.990415626656207</v>
      </c>
      <c r="BV108">
        <f t="shared" ca="1" si="51"/>
        <v>524.22584125331252</v>
      </c>
      <c r="BW108">
        <f t="shared" ca="1" si="52"/>
        <v>468.26417874668766</v>
      </c>
      <c r="BY108">
        <f t="shared" ca="1" si="53"/>
        <v>501.17619999999999</v>
      </c>
      <c r="BZ108">
        <f t="shared" ca="1" si="54"/>
        <v>492.69120999999996</v>
      </c>
      <c r="CA108">
        <f t="shared" ca="1" si="55"/>
        <v>459.1268649999999</v>
      </c>
      <c r="CD108" t="str">
        <f>IF(周K!$E$3+CK108-12&gt;工作底稿!$CE$5,"周K!A"&amp;周K!$E$3-$CE$5+1+CK108-8,0)</f>
        <v>周K!A268</v>
      </c>
      <c r="CE108" s="4">
        <f t="shared" ca="1" si="68"/>
        <v>43290</v>
      </c>
      <c r="CF108" s="13">
        <f ca="1">IF($CD108=0,"",VLOOKUP($CE108,周K!$A$6:$F$6842,2,0))</f>
        <v>219.5</v>
      </c>
      <c r="CG108" s="13">
        <f ca="1">IF($CD108=0,"",VLOOKUP($CE108,周K!$A$6:$F$6842,3,0))</f>
        <v>224.5</v>
      </c>
      <c r="CH108" s="13">
        <f ca="1">IF($CD108=0,"",VLOOKUP($CE108,周K!$A$6:$F$6842,4,0))</f>
        <v>218</v>
      </c>
      <c r="CI108" s="13">
        <f ca="1">IF($CD108=0,"",VLOOKUP($CE108,周K!$A$6:$F$6842,5,0))</f>
        <v>224.5</v>
      </c>
      <c r="CJ108" s="13">
        <f ca="1">IF($CD108=0,"",VLOOKUP($CE108,周K!$A$6:$F$6842,6,0))</f>
        <v>135443</v>
      </c>
      <c r="CK108">
        <f>ROW()</f>
        <v>108</v>
      </c>
      <c r="CM108" t="str">
        <f t="shared" si="69"/>
        <v>CG104:CG108</v>
      </c>
      <c r="CN108">
        <f t="shared" si="70"/>
        <v>96</v>
      </c>
      <c r="CO108">
        <f t="shared" ca="1" si="71"/>
        <v>224.8</v>
      </c>
      <c r="CQ108" t="str">
        <f t="shared" si="72"/>
        <v>CG89:CG108</v>
      </c>
      <c r="CR108">
        <f t="shared" si="73"/>
        <v>81</v>
      </c>
      <c r="CS108">
        <f t="shared" ca="1" si="74"/>
        <v>237.65</v>
      </c>
      <c r="CU108" t="str">
        <f t="shared" si="75"/>
        <v>CG49:CG108</v>
      </c>
      <c r="CV108">
        <f t="shared" si="76"/>
        <v>41</v>
      </c>
      <c r="CW108">
        <f t="shared" ca="1" si="77"/>
        <v>232.28333333333333</v>
      </c>
      <c r="CY108">
        <f t="shared" ca="1" si="78"/>
        <v>505.57324999999997</v>
      </c>
      <c r="CZ108">
        <f t="shared" ca="1" si="82"/>
        <v>501.3577730882476</v>
      </c>
      <c r="DA108">
        <f t="shared" ca="1" si="85"/>
        <v>490.3760923079866</v>
      </c>
      <c r="DB108">
        <f t="shared" ca="1" si="84"/>
        <v>10.981680780261001</v>
      </c>
      <c r="DC108">
        <f t="shared" ca="1" si="86"/>
        <v>12.83237822420214</v>
      </c>
      <c r="DD108">
        <f t="shared" ca="1" si="87"/>
        <v>-1.8506974439411383</v>
      </c>
    </row>
    <row r="109" spans="51:108" x14ac:dyDescent="0.25">
      <c r="AY109" t="str">
        <f>"日K!A"&amp;日K!$E$3-239+1+BF109-8</f>
        <v>日K!A6701</v>
      </c>
      <c r="AZ109" s="4">
        <f t="shared" ca="1" si="56"/>
        <v>44186</v>
      </c>
      <c r="BA109" s="13">
        <f t="shared" ca="1" si="57"/>
        <v>507.8048</v>
      </c>
      <c r="BB109" s="13">
        <f t="shared" ca="1" si="58"/>
        <v>512.76390000000004</v>
      </c>
      <c r="BC109" s="13">
        <f t="shared" ca="1" si="59"/>
        <v>503.83760000000001</v>
      </c>
      <c r="BD109" s="13">
        <f t="shared" ca="1" si="60"/>
        <v>511.77210000000002</v>
      </c>
      <c r="BE109" s="13">
        <f t="shared" ca="1" si="61"/>
        <v>35153</v>
      </c>
      <c r="BF109">
        <f>ROW()</f>
        <v>109</v>
      </c>
      <c r="BH109" t="str">
        <f t="shared" si="62"/>
        <v>BC105:BC109</v>
      </c>
      <c r="BI109">
        <f t="shared" si="79"/>
        <v>97</v>
      </c>
      <c r="BJ109">
        <f t="shared" ca="1" si="63"/>
        <v>501.66822000000002</v>
      </c>
      <c r="BL109" t="str">
        <f t="shared" si="64"/>
        <v>BC90:BC109</v>
      </c>
      <c r="BM109">
        <f t="shared" si="80"/>
        <v>82</v>
      </c>
      <c r="BN109">
        <f t="shared" ca="1" si="65"/>
        <v>493.60379</v>
      </c>
      <c r="BP109" t="str">
        <f t="shared" si="66"/>
        <v>BC50:BC109</v>
      </c>
      <c r="BQ109">
        <f t="shared" si="81"/>
        <v>42</v>
      </c>
      <c r="BR109">
        <f t="shared" ca="1" si="67"/>
        <v>460.4180216666665</v>
      </c>
      <c r="BT109">
        <f t="shared" ca="1" si="83"/>
        <v>497.33224500000006</v>
      </c>
      <c r="BU109">
        <f t="shared" ca="1" si="50"/>
        <v>13.558842532271063</v>
      </c>
      <c r="BV109">
        <f t="shared" ca="1" si="51"/>
        <v>524.44993006454217</v>
      </c>
      <c r="BW109">
        <f t="shared" ca="1" si="52"/>
        <v>470.21455993545794</v>
      </c>
      <c r="BY109">
        <f t="shared" ca="1" si="53"/>
        <v>501.66822000000002</v>
      </c>
      <c r="BZ109">
        <f t="shared" ca="1" si="54"/>
        <v>493.60379</v>
      </c>
      <c r="CA109">
        <f t="shared" ca="1" si="55"/>
        <v>460.4180216666665</v>
      </c>
      <c r="CD109" t="str">
        <f>IF(周K!$E$3+CK109-12&gt;工作底稿!$CE$5,"周K!A"&amp;周K!$E$3-$CE$5+1+CK109-8,0)</f>
        <v>周K!A269</v>
      </c>
      <c r="CE109" s="4">
        <f t="shared" ca="1" si="68"/>
        <v>43297</v>
      </c>
      <c r="CF109" s="13">
        <f ca="1">IF($CD109=0,"",VLOOKUP($CE109,周K!$A$6:$F$6842,2,0))</f>
        <v>224.5</v>
      </c>
      <c r="CG109" s="13">
        <f ca="1">IF($CD109=0,"",VLOOKUP($CE109,周K!$A$6:$F$6842,3,0))</f>
        <v>237.5</v>
      </c>
      <c r="CH109" s="13">
        <f ca="1">IF($CD109=0,"",VLOOKUP($CE109,周K!$A$6:$F$6842,4,0))</f>
        <v>221</v>
      </c>
      <c r="CI109" s="13">
        <f ca="1">IF($CD109=0,"",VLOOKUP($CE109,周K!$A$6:$F$6842,5,0))</f>
        <v>237.5</v>
      </c>
      <c r="CJ109" s="13">
        <f ca="1">IF($CD109=0,"",VLOOKUP($CE109,周K!$A$6:$F$6842,6,0))</f>
        <v>232093</v>
      </c>
      <c r="CK109">
        <f>ROW()</f>
        <v>109</v>
      </c>
      <c r="CM109" t="str">
        <f t="shared" si="69"/>
        <v>CG105:CG109</v>
      </c>
      <c r="CN109">
        <f t="shared" si="70"/>
        <v>97</v>
      </c>
      <c r="CO109">
        <f t="shared" ca="1" si="71"/>
        <v>225.9</v>
      </c>
      <c r="CQ109" t="str">
        <f t="shared" si="72"/>
        <v>CG90:CG109</v>
      </c>
      <c r="CR109">
        <f t="shared" si="73"/>
        <v>82</v>
      </c>
      <c r="CS109">
        <f t="shared" ca="1" si="74"/>
        <v>237</v>
      </c>
      <c r="CU109" t="str">
        <f t="shared" si="75"/>
        <v>CG50:CG109</v>
      </c>
      <c r="CV109">
        <f t="shared" si="76"/>
        <v>42</v>
      </c>
      <c r="CW109">
        <f t="shared" ca="1" si="77"/>
        <v>232.79166666666666</v>
      </c>
      <c r="CY109">
        <f t="shared" ca="1" si="78"/>
        <v>510.03642500000001</v>
      </c>
      <c r="CZ109">
        <f t="shared" ca="1" si="82"/>
        <v>502.69295030544026</v>
      </c>
      <c r="DA109">
        <f t="shared" ca="1" si="85"/>
        <v>491.83241324813577</v>
      </c>
      <c r="DB109">
        <f t="shared" ca="1" si="84"/>
        <v>10.860537057304498</v>
      </c>
      <c r="DC109">
        <f t="shared" ca="1" si="86"/>
        <v>12.54329395586179</v>
      </c>
      <c r="DD109">
        <f t="shared" ca="1" si="87"/>
        <v>-1.682756898557292</v>
      </c>
    </row>
    <row r="110" spans="51:108" x14ac:dyDescent="0.25">
      <c r="AY110" t="str">
        <f>"日K!A"&amp;日K!$E$3-239+1+BF110-8</f>
        <v>日K!A6702</v>
      </c>
      <c r="AZ110" s="4">
        <f t="shared" ca="1" si="56"/>
        <v>44187</v>
      </c>
      <c r="BA110" s="13">
        <f t="shared" ca="1" si="57"/>
        <v>507.8048</v>
      </c>
      <c r="BB110" s="13">
        <f t="shared" ca="1" si="58"/>
        <v>511.77210000000002</v>
      </c>
      <c r="BC110" s="13">
        <f t="shared" ca="1" si="59"/>
        <v>504.82940000000002</v>
      </c>
      <c r="BD110" s="13">
        <f t="shared" ca="1" si="60"/>
        <v>504.82940000000002</v>
      </c>
      <c r="BE110" s="13">
        <f t="shared" ca="1" si="61"/>
        <v>25632</v>
      </c>
      <c r="BF110">
        <f>ROW()</f>
        <v>110</v>
      </c>
      <c r="BH110" t="str">
        <f t="shared" si="62"/>
        <v>BC106:BC110</v>
      </c>
      <c r="BI110">
        <f t="shared" si="79"/>
        <v>98</v>
      </c>
      <c r="BJ110">
        <f t="shared" ca="1" si="63"/>
        <v>503.14818000000002</v>
      </c>
      <c r="BL110" t="str">
        <f t="shared" si="64"/>
        <v>BC91:BC110</v>
      </c>
      <c r="BM110">
        <f t="shared" si="80"/>
        <v>83</v>
      </c>
      <c r="BN110">
        <f t="shared" ca="1" si="65"/>
        <v>494.59063000000003</v>
      </c>
      <c r="BP110" t="str">
        <f t="shared" si="66"/>
        <v>BC51:BC110</v>
      </c>
      <c r="BQ110">
        <f t="shared" si="81"/>
        <v>43</v>
      </c>
      <c r="BR110">
        <f t="shared" ca="1" si="67"/>
        <v>461.87375166666646</v>
      </c>
      <c r="BT110">
        <f t="shared" ca="1" si="83"/>
        <v>498.29441500000013</v>
      </c>
      <c r="BU110">
        <f t="shared" ca="1" si="50"/>
        <v>13.043563912070558</v>
      </c>
      <c r="BV110">
        <f t="shared" ca="1" si="51"/>
        <v>524.38154282414121</v>
      </c>
      <c r="BW110">
        <f t="shared" ca="1" si="52"/>
        <v>472.20728717585899</v>
      </c>
      <c r="BY110">
        <f t="shared" ca="1" si="53"/>
        <v>503.14818000000002</v>
      </c>
      <c r="BZ110">
        <f t="shared" ca="1" si="54"/>
        <v>494.59063000000003</v>
      </c>
      <c r="CA110">
        <f t="shared" ca="1" si="55"/>
        <v>461.87375166666646</v>
      </c>
      <c r="CD110" t="str">
        <f>IF(周K!$E$3+CK110-12&gt;工作底稿!$CE$5,"周K!A"&amp;周K!$E$3-$CE$5+1+CK110-8,0)</f>
        <v>周K!A270</v>
      </c>
      <c r="CE110" s="4">
        <f t="shared" ca="1" si="68"/>
        <v>43304</v>
      </c>
      <c r="CF110" s="13">
        <f ca="1">IF($CD110=0,"",VLOOKUP($CE110,周K!$A$6:$F$6842,2,0))</f>
        <v>239</v>
      </c>
      <c r="CG110" s="13">
        <f ca="1">IF($CD110=0,"",VLOOKUP($CE110,周K!$A$6:$F$6842,3,0))</f>
        <v>245</v>
      </c>
      <c r="CH110" s="13">
        <f ca="1">IF($CD110=0,"",VLOOKUP($CE110,周K!$A$6:$F$6842,4,0))</f>
        <v>238.5</v>
      </c>
      <c r="CI110" s="13">
        <f ca="1">IF($CD110=0,"",VLOOKUP($CE110,周K!$A$6:$F$6842,5,0))</f>
        <v>244.5</v>
      </c>
      <c r="CJ110" s="13">
        <f ca="1">IF($CD110=0,"",VLOOKUP($CE110,周K!$A$6:$F$6842,6,0))</f>
        <v>159254</v>
      </c>
      <c r="CK110">
        <f>ROW()</f>
        <v>110</v>
      </c>
      <c r="CM110" t="str">
        <f t="shared" si="69"/>
        <v>CG106:CG110</v>
      </c>
      <c r="CN110">
        <f t="shared" si="70"/>
        <v>98</v>
      </c>
      <c r="CO110">
        <f t="shared" ca="1" si="71"/>
        <v>229.3</v>
      </c>
      <c r="CQ110" t="str">
        <f t="shared" si="72"/>
        <v>CG91:CG110</v>
      </c>
      <c r="CR110">
        <f t="shared" si="73"/>
        <v>83</v>
      </c>
      <c r="CS110">
        <f t="shared" ca="1" si="74"/>
        <v>236.67500000000001</v>
      </c>
      <c r="CU110" t="str">
        <f t="shared" si="75"/>
        <v>CG51:CG110</v>
      </c>
      <c r="CV110">
        <f t="shared" si="76"/>
        <v>43</v>
      </c>
      <c r="CW110">
        <f t="shared" ca="1" si="77"/>
        <v>233.39166666666668</v>
      </c>
      <c r="CY110">
        <f t="shared" ca="1" si="78"/>
        <v>506.56507499999998</v>
      </c>
      <c r="CZ110">
        <f t="shared" ca="1" si="82"/>
        <v>503.28866179691101</v>
      </c>
      <c r="DA110">
        <f t="shared" ca="1" si="85"/>
        <v>492.92372152605162</v>
      </c>
      <c r="DB110">
        <f t="shared" ca="1" si="84"/>
        <v>10.364940270859393</v>
      </c>
      <c r="DC110">
        <f t="shared" ca="1" si="86"/>
        <v>12.106116574869905</v>
      </c>
      <c r="DD110">
        <f t="shared" ca="1" si="87"/>
        <v>-1.7411763040105122</v>
      </c>
    </row>
    <row r="111" spans="51:108" x14ac:dyDescent="0.25">
      <c r="AY111" t="str">
        <f>"日K!A"&amp;日K!$E$3-239+1+BF111-8</f>
        <v>日K!A6703</v>
      </c>
      <c r="AZ111" s="4">
        <f t="shared" ca="1" si="56"/>
        <v>44188</v>
      </c>
      <c r="BA111" s="13">
        <f t="shared" ca="1" si="57"/>
        <v>503.83760000000001</v>
      </c>
      <c r="BB111" s="13">
        <f t="shared" ca="1" si="58"/>
        <v>506.81299999999999</v>
      </c>
      <c r="BC111" s="13">
        <f t="shared" ca="1" si="59"/>
        <v>501.85399999999998</v>
      </c>
      <c r="BD111" s="13">
        <f t="shared" ca="1" si="60"/>
        <v>504.82940000000002</v>
      </c>
      <c r="BE111" s="13">
        <f t="shared" ca="1" si="61"/>
        <v>18321</v>
      </c>
      <c r="BF111">
        <f>ROW()</f>
        <v>111</v>
      </c>
      <c r="BH111" t="str">
        <f t="shared" si="62"/>
        <v>BC107:BC111</v>
      </c>
      <c r="BI111">
        <f t="shared" si="79"/>
        <v>99</v>
      </c>
      <c r="BJ111">
        <f t="shared" ca="1" si="63"/>
        <v>503.44087999999999</v>
      </c>
      <c r="BL111" t="str">
        <f t="shared" si="64"/>
        <v>BC92:BC111</v>
      </c>
      <c r="BM111">
        <f t="shared" si="80"/>
        <v>84</v>
      </c>
      <c r="BN111">
        <f t="shared" ca="1" si="65"/>
        <v>495.65077000000002</v>
      </c>
      <c r="BP111" t="str">
        <f t="shared" si="66"/>
        <v>BC52:BC111</v>
      </c>
      <c r="BQ111">
        <f t="shared" si="81"/>
        <v>44</v>
      </c>
      <c r="BR111">
        <f t="shared" ca="1" si="67"/>
        <v>463.3127916666665</v>
      </c>
      <c r="BT111">
        <f t="shared" ca="1" si="83"/>
        <v>499.50332500000002</v>
      </c>
      <c r="BU111">
        <f t="shared" ref="BU111:BU174" ca="1" si="88">STDEV(BT92:BT111)</f>
        <v>12.456021636677058</v>
      </c>
      <c r="BV111">
        <f t="shared" ref="BV111:BV174" ca="1" si="89">BT111+$BW$5*BU111</f>
        <v>524.41536827335415</v>
      </c>
      <c r="BW111">
        <f t="shared" ref="BW111:BW174" ca="1" si="90">BT111-$BW$5*BU111</f>
        <v>474.59128172664589</v>
      </c>
      <c r="BY111">
        <f t="shared" ca="1" si="53"/>
        <v>503.44087999999999</v>
      </c>
      <c r="BZ111">
        <f t="shared" ca="1" si="54"/>
        <v>495.65077000000002</v>
      </c>
      <c r="CA111">
        <f t="shared" ca="1" si="55"/>
        <v>463.3127916666665</v>
      </c>
      <c r="CD111" t="str">
        <f>IF(周K!$E$3+CK111-12&gt;工作底稿!$CE$5,"周K!A"&amp;周K!$E$3-$CE$5+1+CK111-8,0)</f>
        <v>周K!A271</v>
      </c>
      <c r="CE111" s="4">
        <f t="shared" ca="1" si="68"/>
        <v>43311</v>
      </c>
      <c r="CF111" s="13">
        <f ca="1">IF($CD111=0,"",VLOOKUP($CE111,周K!$A$6:$F$6842,2,0))</f>
        <v>244.5</v>
      </c>
      <c r="CG111" s="13">
        <f ca="1">IF($CD111=0,"",VLOOKUP($CE111,周K!$A$6:$F$6842,3,0))</f>
        <v>249.5</v>
      </c>
      <c r="CH111" s="13">
        <f ca="1">IF($CD111=0,"",VLOOKUP($CE111,周K!$A$6:$F$6842,4,0))</f>
        <v>242</v>
      </c>
      <c r="CI111" s="13">
        <f ca="1">IF($CD111=0,"",VLOOKUP($CE111,周K!$A$6:$F$6842,5,0))</f>
        <v>247</v>
      </c>
      <c r="CJ111" s="13">
        <f ca="1">IF($CD111=0,"",VLOOKUP($CE111,周K!$A$6:$F$6842,6,0))</f>
        <v>128724</v>
      </c>
      <c r="CK111">
        <f>ROW()</f>
        <v>111</v>
      </c>
      <c r="CM111" t="str">
        <f t="shared" si="69"/>
        <v>CG107:CG111</v>
      </c>
      <c r="CN111">
        <f t="shared" si="70"/>
        <v>99</v>
      </c>
      <c r="CO111">
        <f t="shared" ca="1" si="71"/>
        <v>235.1</v>
      </c>
      <c r="CQ111" t="str">
        <f t="shared" si="72"/>
        <v>CG92:CG111</v>
      </c>
      <c r="CR111">
        <f t="shared" si="73"/>
        <v>84</v>
      </c>
      <c r="CS111">
        <f t="shared" ca="1" si="74"/>
        <v>236.2</v>
      </c>
      <c r="CU111" t="str">
        <f t="shared" si="75"/>
        <v>CG52:CG111</v>
      </c>
      <c r="CV111">
        <f t="shared" si="76"/>
        <v>44</v>
      </c>
      <c r="CW111">
        <f t="shared" ca="1" si="77"/>
        <v>233.96666666666667</v>
      </c>
      <c r="CY111">
        <f t="shared" ca="1" si="78"/>
        <v>504.58145000000002</v>
      </c>
      <c r="CZ111">
        <f t="shared" ca="1" si="82"/>
        <v>503.48755228969395</v>
      </c>
      <c r="DA111">
        <f t="shared" ca="1" si="85"/>
        <v>493.78725696856634</v>
      </c>
      <c r="DB111">
        <f t="shared" ca="1" si="84"/>
        <v>9.7002953211276122</v>
      </c>
      <c r="DC111">
        <f t="shared" ca="1" si="86"/>
        <v>11.616856994417155</v>
      </c>
      <c r="DD111">
        <f t="shared" ca="1" si="87"/>
        <v>-1.916561673289543</v>
      </c>
    </row>
    <row r="112" spans="51:108" x14ac:dyDescent="0.25">
      <c r="AY112" t="str">
        <f>"日K!A"&amp;日K!$E$3-239+1+BF112-8</f>
        <v>日K!A6704</v>
      </c>
      <c r="AZ112" s="4">
        <f t="shared" ca="1" si="56"/>
        <v>44189</v>
      </c>
      <c r="BA112" s="13">
        <f t="shared" ca="1" si="57"/>
        <v>506.81299999999999</v>
      </c>
      <c r="BB112" s="13">
        <f t="shared" ca="1" si="58"/>
        <v>507.8048</v>
      </c>
      <c r="BC112" s="13">
        <f t="shared" ca="1" si="59"/>
        <v>503.83760000000001</v>
      </c>
      <c r="BD112" s="13">
        <f t="shared" ca="1" si="60"/>
        <v>505.82119999999998</v>
      </c>
      <c r="BE112" s="13">
        <f t="shared" ca="1" si="61"/>
        <v>15218</v>
      </c>
      <c r="BF112">
        <f>ROW()</f>
        <v>112</v>
      </c>
      <c r="BH112" t="str">
        <f t="shared" si="62"/>
        <v>BC108:BC112</v>
      </c>
      <c r="BI112">
        <f t="shared" si="79"/>
        <v>100</v>
      </c>
      <c r="BJ112">
        <f t="shared" ca="1" si="63"/>
        <v>503.44087999999999</v>
      </c>
      <c r="BL112" t="str">
        <f t="shared" si="64"/>
        <v>BC93:BC112</v>
      </c>
      <c r="BM112">
        <f t="shared" si="80"/>
        <v>85</v>
      </c>
      <c r="BN112">
        <f t="shared" ca="1" si="65"/>
        <v>496.76074</v>
      </c>
      <c r="BP112" t="str">
        <f t="shared" si="66"/>
        <v>BC53:BC112</v>
      </c>
      <c r="BQ112">
        <f t="shared" si="81"/>
        <v>45</v>
      </c>
      <c r="BR112">
        <f t="shared" ca="1" si="67"/>
        <v>464.72731833333324</v>
      </c>
      <c r="BT112">
        <f t="shared" ca="1" si="83"/>
        <v>500.66312500000004</v>
      </c>
      <c r="BU112">
        <f t="shared" ca="1" si="88"/>
        <v>11.841286009370711</v>
      </c>
      <c r="BV112">
        <f t="shared" ca="1" si="89"/>
        <v>524.34569701874148</v>
      </c>
      <c r="BW112">
        <f t="shared" ca="1" si="90"/>
        <v>476.9805529812586</v>
      </c>
      <c r="BY112">
        <f t="shared" ca="1" si="53"/>
        <v>503.44087999999999</v>
      </c>
      <c r="BZ112">
        <f t="shared" ca="1" si="54"/>
        <v>496.76074</v>
      </c>
      <c r="CA112">
        <f t="shared" ca="1" si="55"/>
        <v>464.72731833333324</v>
      </c>
      <c r="CD112" t="str">
        <f>IF(周K!$E$3+CK112-12&gt;工作底稿!$CE$5,"周K!A"&amp;周K!$E$3-$CE$5+1+CK112-8,0)</f>
        <v>周K!A272</v>
      </c>
      <c r="CE112" s="4">
        <f t="shared" ca="1" si="68"/>
        <v>43318</v>
      </c>
      <c r="CF112" s="13">
        <f ca="1">IF($CD112=0,"",VLOOKUP($CE112,周K!$A$6:$F$6842,2,0))</f>
        <v>245</v>
      </c>
      <c r="CG112" s="13">
        <f ca="1">IF($CD112=0,"",VLOOKUP($CE112,周K!$A$6:$F$6842,3,0))</f>
        <v>248</v>
      </c>
      <c r="CH112" s="13">
        <f ca="1">IF($CD112=0,"",VLOOKUP($CE112,周K!$A$6:$F$6842,4,0))</f>
        <v>241.5</v>
      </c>
      <c r="CI112" s="13">
        <f ca="1">IF($CD112=0,"",VLOOKUP($CE112,周K!$A$6:$F$6842,5,0))</f>
        <v>245</v>
      </c>
      <c r="CJ112" s="13">
        <f ca="1">IF($CD112=0,"",VLOOKUP($CE112,周K!$A$6:$F$6842,6,0))</f>
        <v>102354</v>
      </c>
      <c r="CK112">
        <f>ROW()</f>
        <v>112</v>
      </c>
      <c r="CM112" t="str">
        <f t="shared" si="69"/>
        <v>CG108:CG112</v>
      </c>
      <c r="CN112">
        <f t="shared" si="70"/>
        <v>100</v>
      </c>
      <c r="CO112">
        <f t="shared" ca="1" si="71"/>
        <v>240.9</v>
      </c>
      <c r="CQ112" t="str">
        <f t="shared" si="72"/>
        <v>CG93:CG112</v>
      </c>
      <c r="CR112">
        <f t="shared" si="73"/>
        <v>85</v>
      </c>
      <c r="CS112">
        <f t="shared" ca="1" si="74"/>
        <v>235.82499999999999</v>
      </c>
      <c r="CU112" t="str">
        <f t="shared" si="75"/>
        <v>CG53:CG112</v>
      </c>
      <c r="CV112">
        <f t="shared" si="76"/>
        <v>45</v>
      </c>
      <c r="CW112">
        <f t="shared" ca="1" si="77"/>
        <v>234.56666666666666</v>
      </c>
      <c r="CY112">
        <f t="shared" ca="1" si="78"/>
        <v>505.82119999999998</v>
      </c>
      <c r="CZ112">
        <f t="shared" ca="1" si="82"/>
        <v>503.8465750143564</v>
      </c>
      <c r="DA112">
        <f t="shared" ca="1" si="85"/>
        <v>494.67866015607996</v>
      </c>
      <c r="DB112">
        <f t="shared" ca="1" si="84"/>
        <v>9.1679148582764469</v>
      </c>
      <c r="DC112">
        <f t="shared" ca="1" si="86"/>
        <v>11.092421282666736</v>
      </c>
      <c r="DD112">
        <f t="shared" ca="1" si="87"/>
        <v>-1.9245064243902892</v>
      </c>
    </row>
    <row r="113" spans="51:108" x14ac:dyDescent="0.25">
      <c r="AY113" t="str">
        <f>"日K!A"&amp;日K!$E$3-239+1+BF113-8</f>
        <v>日K!A6705</v>
      </c>
      <c r="AZ113" s="4">
        <f t="shared" ca="1" si="56"/>
        <v>44190</v>
      </c>
      <c r="BA113" s="13">
        <f t="shared" ca="1" si="57"/>
        <v>509.78840000000002</v>
      </c>
      <c r="BB113" s="13">
        <f t="shared" ca="1" si="58"/>
        <v>510.78030000000001</v>
      </c>
      <c r="BC113" s="13">
        <f t="shared" ca="1" si="59"/>
        <v>505.82119999999998</v>
      </c>
      <c r="BD113" s="13">
        <f t="shared" ca="1" si="60"/>
        <v>506.81299999999999</v>
      </c>
      <c r="BE113" s="13">
        <f t="shared" ca="1" si="61"/>
        <v>12581</v>
      </c>
      <c r="BF113">
        <f>ROW()</f>
        <v>113</v>
      </c>
      <c r="BH113" t="str">
        <f t="shared" si="62"/>
        <v>BC109:BC113</v>
      </c>
      <c r="BI113">
        <f t="shared" si="79"/>
        <v>101</v>
      </c>
      <c r="BJ113">
        <f t="shared" ca="1" si="63"/>
        <v>504.03595999999999</v>
      </c>
      <c r="BL113" t="str">
        <f t="shared" si="64"/>
        <v>BC94:BC113</v>
      </c>
      <c r="BM113">
        <f t="shared" si="80"/>
        <v>86</v>
      </c>
      <c r="BN113">
        <f t="shared" ca="1" si="65"/>
        <v>498.04391500000003</v>
      </c>
      <c r="BP113" t="str">
        <f t="shared" si="66"/>
        <v>BC54:BC113</v>
      </c>
      <c r="BQ113">
        <f t="shared" si="81"/>
        <v>46</v>
      </c>
      <c r="BR113">
        <f t="shared" ca="1" si="67"/>
        <v>466.11733166666653</v>
      </c>
      <c r="BT113">
        <f t="shared" ca="1" si="83"/>
        <v>501.87251500000013</v>
      </c>
      <c r="BU113">
        <f t="shared" ca="1" si="88"/>
        <v>11.23898439771788</v>
      </c>
      <c r="BV113">
        <f t="shared" ca="1" si="89"/>
        <v>524.35048379543593</v>
      </c>
      <c r="BW113">
        <f t="shared" ca="1" si="90"/>
        <v>479.39454620456439</v>
      </c>
      <c r="BY113">
        <f t="shared" ca="1" si="53"/>
        <v>504.03595999999999</v>
      </c>
      <c r="BZ113">
        <f t="shared" ca="1" si="54"/>
        <v>498.04391500000003</v>
      </c>
      <c r="CA113">
        <f t="shared" ca="1" si="55"/>
        <v>466.11733166666653</v>
      </c>
      <c r="CD113" t="str">
        <f>IF(周K!$E$3+CK113-12&gt;工作底稿!$CE$5,"周K!A"&amp;周K!$E$3-$CE$5+1+CK113-8,0)</f>
        <v>周K!A273</v>
      </c>
      <c r="CE113" s="4">
        <f t="shared" ca="1" si="68"/>
        <v>43325</v>
      </c>
      <c r="CF113" s="13">
        <f ca="1">IF($CD113=0,"",VLOOKUP($CE113,周K!$A$6:$F$6842,2,0))</f>
        <v>241.5</v>
      </c>
      <c r="CG113" s="13">
        <f ca="1">IF($CD113=0,"",VLOOKUP($CE113,周K!$A$6:$F$6842,3,0))</f>
        <v>245</v>
      </c>
      <c r="CH113" s="13">
        <f ca="1">IF($CD113=0,"",VLOOKUP($CE113,周K!$A$6:$F$6842,4,0))</f>
        <v>238</v>
      </c>
      <c r="CI113" s="13">
        <f ca="1">IF($CD113=0,"",VLOOKUP($CE113,周K!$A$6:$F$6842,5,0))</f>
        <v>239.5</v>
      </c>
      <c r="CJ113" s="13">
        <f ca="1">IF($CD113=0,"",VLOOKUP($CE113,周K!$A$6:$F$6842,6,0))</f>
        <v>93397</v>
      </c>
      <c r="CK113">
        <f>ROW()</f>
        <v>113</v>
      </c>
      <c r="CM113" t="str">
        <f t="shared" si="69"/>
        <v>CG109:CG113</v>
      </c>
      <c r="CN113">
        <f t="shared" si="70"/>
        <v>101</v>
      </c>
      <c r="CO113">
        <f t="shared" ca="1" si="71"/>
        <v>245</v>
      </c>
      <c r="CQ113" t="str">
        <f t="shared" si="72"/>
        <v>CG94:CG113</v>
      </c>
      <c r="CR113">
        <f t="shared" si="73"/>
        <v>86</v>
      </c>
      <c r="CS113">
        <f t="shared" ca="1" si="74"/>
        <v>235.52500000000001</v>
      </c>
      <c r="CU113" t="str">
        <f t="shared" si="75"/>
        <v>CG54:CG113</v>
      </c>
      <c r="CV113">
        <f t="shared" si="76"/>
        <v>46</v>
      </c>
      <c r="CW113">
        <f t="shared" ca="1" si="77"/>
        <v>235.00833333333333</v>
      </c>
      <c r="CY113">
        <f t="shared" ca="1" si="78"/>
        <v>507.55687499999999</v>
      </c>
      <c r="CZ113">
        <f t="shared" ca="1" si="82"/>
        <v>504.41739039676315</v>
      </c>
      <c r="DA113">
        <f t="shared" ca="1" si="85"/>
        <v>495.63260199637028</v>
      </c>
      <c r="DB113">
        <f t="shared" ca="1" si="84"/>
        <v>8.7847884003928698</v>
      </c>
      <c r="DC113">
        <f t="shared" ca="1" si="86"/>
        <v>10.598965552132301</v>
      </c>
      <c r="DD113">
        <f t="shared" ca="1" si="87"/>
        <v>-1.8141771517394307</v>
      </c>
    </row>
    <row r="114" spans="51:108" x14ac:dyDescent="0.25">
      <c r="AY114" t="str">
        <f>"日K!A"&amp;日K!$E$3-239+1+BF114-8</f>
        <v>日K!A6706</v>
      </c>
      <c r="AZ114" s="4">
        <f t="shared" ca="1" si="56"/>
        <v>44193</v>
      </c>
      <c r="BA114" s="13">
        <f t="shared" ca="1" si="57"/>
        <v>507.8048</v>
      </c>
      <c r="BB114" s="13">
        <f t="shared" ca="1" si="58"/>
        <v>510.78030000000001</v>
      </c>
      <c r="BC114" s="13">
        <f t="shared" ca="1" si="59"/>
        <v>504.82940000000002</v>
      </c>
      <c r="BD114" s="13">
        <f t="shared" ca="1" si="60"/>
        <v>510.78030000000001</v>
      </c>
      <c r="BE114" s="13">
        <f t="shared" ca="1" si="61"/>
        <v>19521</v>
      </c>
      <c r="BF114">
        <f>ROW()</f>
        <v>114</v>
      </c>
      <c r="BH114" t="str">
        <f t="shared" si="62"/>
        <v>BC110:BC114</v>
      </c>
      <c r="BI114">
        <f t="shared" si="79"/>
        <v>102</v>
      </c>
      <c r="BJ114">
        <f t="shared" ca="1" si="63"/>
        <v>504.23432000000003</v>
      </c>
      <c r="BL114" t="str">
        <f t="shared" si="64"/>
        <v>BC95:BC114</v>
      </c>
      <c r="BM114">
        <f t="shared" si="80"/>
        <v>87</v>
      </c>
      <c r="BN114">
        <f t="shared" ca="1" si="65"/>
        <v>499.57358499999998</v>
      </c>
      <c r="BP114" t="str">
        <f t="shared" si="66"/>
        <v>BC55:BC114</v>
      </c>
      <c r="BQ114">
        <f t="shared" si="81"/>
        <v>47</v>
      </c>
      <c r="BR114">
        <f t="shared" ca="1" si="67"/>
        <v>467.44969166666647</v>
      </c>
      <c r="BT114">
        <f t="shared" ca="1" si="83"/>
        <v>503.6997300000001</v>
      </c>
      <c r="BU114">
        <f t="shared" ca="1" si="88"/>
        <v>10.64042644763818</v>
      </c>
      <c r="BV114">
        <f t="shared" ca="1" si="89"/>
        <v>524.98058289527648</v>
      </c>
      <c r="BW114">
        <f t="shared" ca="1" si="90"/>
        <v>482.41887710472372</v>
      </c>
      <c r="BY114">
        <f t="shared" ca="1" si="53"/>
        <v>504.23432000000003</v>
      </c>
      <c r="BZ114">
        <f t="shared" ca="1" si="54"/>
        <v>499.57358499999998</v>
      </c>
      <c r="CA114">
        <f t="shared" ca="1" si="55"/>
        <v>467.44969166666647</v>
      </c>
      <c r="CD114" t="str">
        <f>IF(周K!$E$3+CK114-12&gt;工作底稿!$CE$5,"周K!A"&amp;周K!$E$3-$CE$5+1+CK114-8,0)</f>
        <v>周K!A274</v>
      </c>
      <c r="CE114" s="4">
        <f t="shared" ca="1" si="68"/>
        <v>43332</v>
      </c>
      <c r="CF114" s="13">
        <f ca="1">IF($CD114=0,"",VLOOKUP($CE114,周K!$A$6:$F$6842,2,0))</f>
        <v>239.5</v>
      </c>
      <c r="CG114" s="13">
        <f ca="1">IF($CD114=0,"",VLOOKUP($CE114,周K!$A$6:$F$6842,3,0))</f>
        <v>246</v>
      </c>
      <c r="CH114" s="13">
        <f ca="1">IF($CD114=0,"",VLOOKUP($CE114,周K!$A$6:$F$6842,4,0))</f>
        <v>238</v>
      </c>
      <c r="CI114" s="13">
        <f ca="1">IF($CD114=0,"",VLOOKUP($CE114,周K!$A$6:$F$6842,5,0))</f>
        <v>243.5</v>
      </c>
      <c r="CJ114" s="13">
        <f ca="1">IF($CD114=0,"",VLOOKUP($CE114,周K!$A$6:$F$6842,6,0))</f>
        <v>76228</v>
      </c>
      <c r="CK114">
        <f>ROW()</f>
        <v>114</v>
      </c>
      <c r="CM114" t="str">
        <f t="shared" si="69"/>
        <v>CG110:CG114</v>
      </c>
      <c r="CN114">
        <f t="shared" si="70"/>
        <v>102</v>
      </c>
      <c r="CO114">
        <f t="shared" ca="1" si="71"/>
        <v>246.7</v>
      </c>
      <c r="CQ114" t="str">
        <f t="shared" si="72"/>
        <v>CG95:CG114</v>
      </c>
      <c r="CR114">
        <f t="shared" si="73"/>
        <v>87</v>
      </c>
      <c r="CS114">
        <f t="shared" ca="1" si="74"/>
        <v>235.375</v>
      </c>
      <c r="CU114" t="str">
        <f t="shared" si="75"/>
        <v>CG55:CG114</v>
      </c>
      <c r="CV114">
        <f t="shared" si="76"/>
        <v>47</v>
      </c>
      <c r="CW114">
        <f t="shared" ca="1" si="77"/>
        <v>235.52500000000001</v>
      </c>
      <c r="CY114">
        <f t="shared" ca="1" si="78"/>
        <v>509.292575</v>
      </c>
      <c r="CZ114">
        <f t="shared" ca="1" si="82"/>
        <v>505.16741879726112</v>
      </c>
      <c r="DA114">
        <f t="shared" ca="1" si="85"/>
        <v>496.64445184849097</v>
      </c>
      <c r="DB114">
        <f t="shared" ca="1" si="84"/>
        <v>8.5229669487701472</v>
      </c>
      <c r="DC114">
        <f t="shared" ca="1" si="86"/>
        <v>10.183595183993816</v>
      </c>
      <c r="DD114">
        <f t="shared" ca="1" si="87"/>
        <v>-1.660628235223669</v>
      </c>
    </row>
    <row r="115" spans="51:108" x14ac:dyDescent="0.25">
      <c r="AY115" t="str">
        <f>"日K!A"&amp;日K!$E$3-239+1+BF115-8</f>
        <v>日K!A6707</v>
      </c>
      <c r="AZ115" s="4">
        <f t="shared" ca="1" si="56"/>
        <v>44194</v>
      </c>
      <c r="BA115" s="13">
        <f t="shared" ca="1" si="57"/>
        <v>510.78030000000001</v>
      </c>
      <c r="BB115" s="13">
        <f t="shared" ca="1" si="58"/>
        <v>512.76390000000004</v>
      </c>
      <c r="BC115" s="13">
        <f t="shared" ca="1" si="59"/>
        <v>508.79660000000001</v>
      </c>
      <c r="BD115" s="13">
        <f t="shared" ca="1" si="60"/>
        <v>510.78030000000001</v>
      </c>
      <c r="BE115" s="13">
        <f t="shared" ca="1" si="61"/>
        <v>20227</v>
      </c>
      <c r="BF115">
        <f>ROW()</f>
        <v>115</v>
      </c>
      <c r="BH115" t="str">
        <f t="shared" si="62"/>
        <v>BC111:BC115</v>
      </c>
      <c r="BI115">
        <f t="shared" si="79"/>
        <v>103</v>
      </c>
      <c r="BJ115">
        <f t="shared" ca="1" si="63"/>
        <v>505.02776000000006</v>
      </c>
      <c r="BL115" t="str">
        <f t="shared" si="64"/>
        <v>BC96:BC115</v>
      </c>
      <c r="BM115">
        <f t="shared" si="80"/>
        <v>88</v>
      </c>
      <c r="BN115">
        <f t="shared" ca="1" si="65"/>
        <v>501.15357000000006</v>
      </c>
      <c r="BP115" t="str">
        <f t="shared" si="66"/>
        <v>BC56:BC115</v>
      </c>
      <c r="BQ115">
        <f t="shared" si="81"/>
        <v>48</v>
      </c>
      <c r="BR115">
        <f t="shared" ca="1" si="67"/>
        <v>468.83172166666651</v>
      </c>
      <c r="BT115">
        <f t="shared" ca="1" si="83"/>
        <v>505.05813999999998</v>
      </c>
      <c r="BU115">
        <f t="shared" ca="1" si="88"/>
        <v>10.038102348869218</v>
      </c>
      <c r="BV115">
        <f t="shared" ca="1" si="89"/>
        <v>525.13434469773847</v>
      </c>
      <c r="BW115">
        <f t="shared" ca="1" si="90"/>
        <v>484.98193530226155</v>
      </c>
      <c r="BY115">
        <f t="shared" ca="1" si="53"/>
        <v>505.02776000000006</v>
      </c>
      <c r="BZ115">
        <f t="shared" ca="1" si="54"/>
        <v>501.15357000000006</v>
      </c>
      <c r="CA115">
        <f t="shared" ca="1" si="55"/>
        <v>468.83172166666651</v>
      </c>
      <c r="CD115" t="str">
        <f>IF(周K!$E$3+CK115-12&gt;工作底稿!$CE$5,"周K!A"&amp;周K!$E$3-$CE$5+1+CK115-8,0)</f>
        <v>周K!A275</v>
      </c>
      <c r="CE115" s="4">
        <f t="shared" ca="1" si="68"/>
        <v>43339</v>
      </c>
      <c r="CF115" s="13">
        <f ca="1">IF($CD115=0,"",VLOOKUP($CE115,周K!$A$6:$F$6842,2,0))</f>
        <v>246</v>
      </c>
      <c r="CG115" s="13">
        <f ca="1">IF($CD115=0,"",VLOOKUP($CE115,周K!$A$6:$F$6842,3,0))</f>
        <v>268</v>
      </c>
      <c r="CH115" s="13">
        <f ca="1">IF($CD115=0,"",VLOOKUP($CE115,周K!$A$6:$F$6842,4,0))</f>
        <v>244.5</v>
      </c>
      <c r="CI115" s="13">
        <f ca="1">IF($CD115=0,"",VLOOKUP($CE115,周K!$A$6:$F$6842,5,0))</f>
        <v>256</v>
      </c>
      <c r="CJ115" s="13">
        <f ca="1">IF($CD115=0,"",VLOOKUP($CE115,周K!$A$6:$F$6842,6,0))</f>
        <v>236246</v>
      </c>
      <c r="CK115">
        <f>ROW()</f>
        <v>115</v>
      </c>
      <c r="CM115" t="str">
        <f t="shared" si="69"/>
        <v>CG111:CG115</v>
      </c>
      <c r="CN115">
        <f t="shared" si="70"/>
        <v>103</v>
      </c>
      <c r="CO115">
        <f t="shared" ca="1" si="71"/>
        <v>251.3</v>
      </c>
      <c r="CQ115" t="str">
        <f t="shared" si="72"/>
        <v>CG96:CG115</v>
      </c>
      <c r="CR115">
        <f t="shared" si="73"/>
        <v>88</v>
      </c>
      <c r="CS115">
        <f t="shared" ca="1" si="74"/>
        <v>236.32499999999999</v>
      </c>
      <c r="CU115" t="str">
        <f t="shared" si="75"/>
        <v>CG56:CG115</v>
      </c>
      <c r="CV115">
        <f t="shared" si="76"/>
        <v>48</v>
      </c>
      <c r="CW115">
        <f t="shared" ca="1" si="77"/>
        <v>236.50833333333333</v>
      </c>
      <c r="CY115">
        <f t="shared" ca="1" si="78"/>
        <v>510.78027500000002</v>
      </c>
      <c r="CZ115">
        <f t="shared" ca="1" si="82"/>
        <v>506.03093513614408</v>
      </c>
      <c r="DA115">
        <f t="shared" ca="1" si="85"/>
        <v>497.69154985971386</v>
      </c>
      <c r="DB115">
        <f t="shared" ca="1" si="84"/>
        <v>8.339385276430221</v>
      </c>
      <c r="DC115">
        <f t="shared" ca="1" si="86"/>
        <v>9.7948346623836517</v>
      </c>
      <c r="DD115">
        <f t="shared" ca="1" si="87"/>
        <v>-1.4554493859534308</v>
      </c>
    </row>
    <row r="116" spans="51:108" x14ac:dyDescent="0.25">
      <c r="AY116" t="str">
        <f>"日K!A"&amp;日K!$E$3-239+1+BF116-8</f>
        <v>日K!A6708</v>
      </c>
      <c r="AZ116" s="4">
        <f t="shared" ca="1" si="56"/>
        <v>44195</v>
      </c>
      <c r="BA116" s="13">
        <f t="shared" ca="1" si="57"/>
        <v>511.77210000000002</v>
      </c>
      <c r="BB116" s="13">
        <f t="shared" ca="1" si="58"/>
        <v>520.69830000000002</v>
      </c>
      <c r="BC116" s="13">
        <f t="shared" ca="1" si="59"/>
        <v>509.78840000000002</v>
      </c>
      <c r="BD116" s="13">
        <f t="shared" ca="1" si="60"/>
        <v>520.69830000000002</v>
      </c>
      <c r="BE116" s="13">
        <f t="shared" ca="1" si="61"/>
        <v>46705</v>
      </c>
      <c r="BF116">
        <f>ROW()</f>
        <v>116</v>
      </c>
      <c r="BH116" t="str">
        <f t="shared" si="62"/>
        <v>BC112:BC116</v>
      </c>
      <c r="BI116">
        <f t="shared" si="79"/>
        <v>104</v>
      </c>
      <c r="BJ116">
        <f t="shared" ca="1" si="63"/>
        <v>506.61463999999995</v>
      </c>
      <c r="BL116" t="str">
        <f t="shared" si="64"/>
        <v>BC97:BC116</v>
      </c>
      <c r="BM116">
        <f t="shared" si="80"/>
        <v>89</v>
      </c>
      <c r="BN116">
        <f t="shared" ca="1" si="65"/>
        <v>502.28966499999996</v>
      </c>
      <c r="BP116" t="str">
        <f t="shared" si="66"/>
        <v>BC57:BC116</v>
      </c>
      <c r="BQ116">
        <f t="shared" si="81"/>
        <v>49</v>
      </c>
      <c r="BR116">
        <f t="shared" ca="1" si="67"/>
        <v>470.13158666666652</v>
      </c>
      <c r="BT116">
        <f t="shared" ca="1" si="83"/>
        <v>506.46831500000008</v>
      </c>
      <c r="BU116">
        <f t="shared" ca="1" si="88"/>
        <v>9.4445918077280382</v>
      </c>
      <c r="BV116">
        <f t="shared" ca="1" si="89"/>
        <v>525.35749861545617</v>
      </c>
      <c r="BW116">
        <f t="shared" ca="1" si="90"/>
        <v>487.57913138454398</v>
      </c>
      <c r="BY116">
        <f t="shared" ca="1" si="53"/>
        <v>506.61463999999995</v>
      </c>
      <c r="BZ116">
        <f t="shared" ca="1" si="54"/>
        <v>502.28966499999996</v>
      </c>
      <c r="CA116">
        <f t="shared" ca="1" si="55"/>
        <v>470.13158666666652</v>
      </c>
      <c r="CD116" t="str">
        <f>IF(周K!$E$3+CK116-12&gt;工作底稿!$CE$5,"周K!A"&amp;周K!$E$3-$CE$5+1+CK116-8,0)</f>
        <v>周K!A276</v>
      </c>
      <c r="CE116" s="4">
        <f t="shared" ca="1" si="68"/>
        <v>43346</v>
      </c>
      <c r="CF116" s="13">
        <f ca="1">IF($CD116=0,"",VLOOKUP($CE116,周K!$A$6:$F$6842,2,0))</f>
        <v>259</v>
      </c>
      <c r="CG116" s="13">
        <f ca="1">IF($CD116=0,"",VLOOKUP($CE116,周K!$A$6:$F$6842,3,0))</f>
        <v>268</v>
      </c>
      <c r="CH116" s="13">
        <f ca="1">IF($CD116=0,"",VLOOKUP($CE116,周K!$A$6:$F$6842,4,0))</f>
        <v>255.5</v>
      </c>
      <c r="CI116" s="13">
        <f ca="1">IF($CD116=0,"",VLOOKUP($CE116,周K!$A$6:$F$6842,5,0))</f>
        <v>264</v>
      </c>
      <c r="CJ116" s="13">
        <f ca="1">IF($CD116=0,"",VLOOKUP($CE116,周K!$A$6:$F$6842,6,0))</f>
        <v>213199</v>
      </c>
      <c r="CK116">
        <f>ROW()</f>
        <v>116</v>
      </c>
      <c r="CM116" t="str">
        <f t="shared" si="69"/>
        <v>CG112:CG116</v>
      </c>
      <c r="CN116">
        <f t="shared" si="70"/>
        <v>104</v>
      </c>
      <c r="CO116">
        <f t="shared" ca="1" si="71"/>
        <v>255</v>
      </c>
      <c r="CQ116" t="str">
        <f t="shared" si="72"/>
        <v>CG97:CG116</v>
      </c>
      <c r="CR116">
        <f t="shared" si="73"/>
        <v>89</v>
      </c>
      <c r="CS116">
        <f t="shared" ca="1" si="74"/>
        <v>237.5</v>
      </c>
      <c r="CU116" t="str">
        <f t="shared" si="75"/>
        <v>CG57:CG116</v>
      </c>
      <c r="CV116">
        <f t="shared" si="76"/>
        <v>49</v>
      </c>
      <c r="CW116">
        <f t="shared" ca="1" si="77"/>
        <v>237.375</v>
      </c>
      <c r="CY116">
        <f t="shared" ca="1" si="78"/>
        <v>517.97082499999999</v>
      </c>
      <c r="CZ116">
        <f t="shared" ca="1" si="82"/>
        <v>507.86784126904502</v>
      </c>
      <c r="DA116">
        <f t="shared" ca="1" si="85"/>
        <v>499.19371838862389</v>
      </c>
      <c r="DB116">
        <f t="shared" ca="1" si="84"/>
        <v>8.6741228804211232</v>
      </c>
      <c r="DC116">
        <f t="shared" ca="1" si="86"/>
        <v>9.488514643760368</v>
      </c>
      <c r="DD116">
        <f t="shared" ca="1" si="87"/>
        <v>-0.81439176333924479</v>
      </c>
    </row>
    <row r="117" spans="51:108" x14ac:dyDescent="0.25">
      <c r="AY117" t="str">
        <f>"日K!A"&amp;日K!$E$3-239+1+BF117-8</f>
        <v>日K!A6709</v>
      </c>
      <c r="AZ117" s="4">
        <f t="shared" ca="1" si="56"/>
        <v>44196</v>
      </c>
      <c r="BA117" s="13">
        <f t="shared" ca="1" si="57"/>
        <v>521.69010000000003</v>
      </c>
      <c r="BB117" s="13">
        <f t="shared" ca="1" si="58"/>
        <v>525.65729999999996</v>
      </c>
      <c r="BC117" s="13">
        <f t="shared" ca="1" si="59"/>
        <v>519.70650000000001</v>
      </c>
      <c r="BD117" s="13">
        <f t="shared" ca="1" si="60"/>
        <v>525.65729999999996</v>
      </c>
      <c r="BE117" s="13">
        <f t="shared" ca="1" si="61"/>
        <v>31173</v>
      </c>
      <c r="BF117">
        <f>ROW()</f>
        <v>117</v>
      </c>
      <c r="BH117" t="str">
        <f t="shared" si="62"/>
        <v>BC113:BC117</v>
      </c>
      <c r="BI117">
        <f t="shared" si="79"/>
        <v>105</v>
      </c>
      <c r="BJ117">
        <f t="shared" ca="1" si="63"/>
        <v>509.78842000000003</v>
      </c>
      <c r="BL117" t="str">
        <f t="shared" si="64"/>
        <v>BC98:BC117</v>
      </c>
      <c r="BM117">
        <f t="shared" si="80"/>
        <v>90</v>
      </c>
      <c r="BN117">
        <f t="shared" ca="1" si="65"/>
        <v>503.84764499999994</v>
      </c>
      <c r="BP117" t="str">
        <f t="shared" si="66"/>
        <v>BC58:BC117</v>
      </c>
      <c r="BQ117">
        <f t="shared" si="81"/>
        <v>50</v>
      </c>
      <c r="BR117">
        <f t="shared" ca="1" si="67"/>
        <v>471.6378766666665</v>
      </c>
      <c r="BT117">
        <f t="shared" ca="1" si="83"/>
        <v>508.22513500000002</v>
      </c>
      <c r="BU117">
        <f t="shared" ca="1" si="88"/>
        <v>8.879030134097869</v>
      </c>
      <c r="BV117">
        <f t="shared" ca="1" si="89"/>
        <v>525.9831952681958</v>
      </c>
      <c r="BW117">
        <f t="shared" ca="1" si="90"/>
        <v>490.4670747318043</v>
      </c>
      <c r="BY117">
        <f t="shared" ca="1" si="53"/>
        <v>509.78842000000003</v>
      </c>
      <c r="BZ117">
        <f t="shared" ca="1" si="54"/>
        <v>503.84764499999994</v>
      </c>
      <c r="CA117">
        <f t="shared" ca="1" si="55"/>
        <v>471.6378766666665</v>
      </c>
      <c r="CD117" t="str">
        <f>IF(周K!$E$3+CK117-12&gt;工作底稿!$CE$5,"周K!A"&amp;周K!$E$3-$CE$5+1+CK117-8,0)</f>
        <v>周K!A277</v>
      </c>
      <c r="CE117" s="4">
        <f t="shared" ca="1" si="68"/>
        <v>43353</v>
      </c>
      <c r="CF117" s="13">
        <f ca="1">IF($CD117=0,"",VLOOKUP($CE117,周K!$A$6:$F$6842,2,0))</f>
        <v>266.5</v>
      </c>
      <c r="CG117" s="13">
        <f ca="1">IF($CD117=0,"",VLOOKUP($CE117,周K!$A$6:$F$6842,3,0))</f>
        <v>266.5</v>
      </c>
      <c r="CH117" s="13">
        <f ca="1">IF($CD117=0,"",VLOOKUP($CE117,周K!$A$6:$F$6842,4,0))</f>
        <v>253.5</v>
      </c>
      <c r="CI117" s="13">
        <f ca="1">IF($CD117=0,"",VLOOKUP($CE117,周K!$A$6:$F$6842,5,0))</f>
        <v>261</v>
      </c>
      <c r="CJ117" s="13">
        <f ca="1">IF($CD117=0,"",VLOOKUP($CE117,周K!$A$6:$F$6842,6,0))</f>
        <v>224242</v>
      </c>
      <c r="CK117">
        <f>ROW()</f>
        <v>117</v>
      </c>
      <c r="CM117" t="str">
        <f t="shared" si="69"/>
        <v>CG113:CG117</v>
      </c>
      <c r="CN117">
        <f t="shared" si="70"/>
        <v>105</v>
      </c>
      <c r="CO117">
        <f t="shared" ca="1" si="71"/>
        <v>258.7</v>
      </c>
      <c r="CQ117" t="str">
        <f t="shared" si="72"/>
        <v>CG98:CG117</v>
      </c>
      <c r="CR117">
        <f t="shared" si="73"/>
        <v>90</v>
      </c>
      <c r="CS117">
        <f t="shared" ca="1" si="74"/>
        <v>239.45</v>
      </c>
      <c r="CU117" t="str">
        <f t="shared" si="75"/>
        <v>CG58:CG117</v>
      </c>
      <c r="CV117">
        <f t="shared" si="76"/>
        <v>50</v>
      </c>
      <c r="CW117">
        <f t="shared" ca="1" si="77"/>
        <v>238.22499999999999</v>
      </c>
      <c r="CY117">
        <f t="shared" ca="1" si="78"/>
        <v>524.16959999999995</v>
      </c>
      <c r="CZ117">
        <f t="shared" ca="1" si="82"/>
        <v>510.3758041507304</v>
      </c>
      <c r="DA117">
        <f t="shared" ca="1" si="85"/>
        <v>501.04378369317027</v>
      </c>
      <c r="DB117">
        <f t="shared" ca="1" si="84"/>
        <v>9.3320204575601338</v>
      </c>
      <c r="DC117">
        <f t="shared" ca="1" si="86"/>
        <v>9.3052190523491607</v>
      </c>
      <c r="DD117">
        <f t="shared" ca="1" si="87"/>
        <v>2.6801405210973073E-2</v>
      </c>
    </row>
    <row r="118" spans="51:108" x14ac:dyDescent="0.25">
      <c r="AY118" t="str">
        <f>"日K!A"&amp;日K!$E$3-239+1+BF118-8</f>
        <v>日K!A6710</v>
      </c>
      <c r="AZ118" s="4">
        <f t="shared" ca="1" si="56"/>
        <v>44200</v>
      </c>
      <c r="BA118" s="13">
        <f t="shared" ca="1" si="57"/>
        <v>525.65729999999996</v>
      </c>
      <c r="BB118" s="13">
        <f t="shared" ca="1" si="58"/>
        <v>535.57539999999995</v>
      </c>
      <c r="BC118" s="13">
        <f t="shared" ca="1" si="59"/>
        <v>523.67370000000005</v>
      </c>
      <c r="BD118" s="13">
        <f t="shared" ca="1" si="60"/>
        <v>531.60820000000001</v>
      </c>
      <c r="BE118" s="13">
        <f t="shared" ca="1" si="61"/>
        <v>39490</v>
      </c>
      <c r="BF118">
        <f>ROW()</f>
        <v>118</v>
      </c>
      <c r="BH118" t="str">
        <f t="shared" si="62"/>
        <v>BC114:BC118</v>
      </c>
      <c r="BI118">
        <f t="shared" si="79"/>
        <v>106</v>
      </c>
      <c r="BJ118">
        <f t="shared" ca="1" si="63"/>
        <v>513.35892000000001</v>
      </c>
      <c r="BL118" t="str">
        <f t="shared" si="64"/>
        <v>BC99:BC118</v>
      </c>
      <c r="BM118">
        <f t="shared" si="80"/>
        <v>91</v>
      </c>
      <c r="BN118">
        <f t="shared" ca="1" si="65"/>
        <v>505.48061499999994</v>
      </c>
      <c r="BP118" t="str">
        <f t="shared" si="66"/>
        <v>BC59:BC118</v>
      </c>
      <c r="BQ118">
        <f t="shared" si="81"/>
        <v>51</v>
      </c>
      <c r="BR118">
        <f t="shared" ca="1" si="67"/>
        <v>472.9882199999999</v>
      </c>
      <c r="BT118">
        <f t="shared" ca="1" si="83"/>
        <v>509.98341500000004</v>
      </c>
      <c r="BU118">
        <f t="shared" ca="1" si="88"/>
        <v>8.3790495939221312</v>
      </c>
      <c r="BV118">
        <f t="shared" ca="1" si="89"/>
        <v>526.74151418784425</v>
      </c>
      <c r="BW118">
        <f t="shared" ca="1" si="90"/>
        <v>493.22531581215577</v>
      </c>
      <c r="BY118">
        <f t="shared" ca="1" si="53"/>
        <v>513.35892000000001</v>
      </c>
      <c r="BZ118">
        <f t="shared" ca="1" si="54"/>
        <v>505.48061499999994</v>
      </c>
      <c r="CA118">
        <f t="shared" ca="1" si="55"/>
        <v>472.9882199999999</v>
      </c>
      <c r="CD118" t="str">
        <f>IF(周K!$E$3+CK118-12&gt;工作底稿!$CE$5,"周K!A"&amp;周K!$E$3-$CE$5+1+CK118-8,0)</f>
        <v>周K!A278</v>
      </c>
      <c r="CE118" s="4">
        <f t="shared" ca="1" si="68"/>
        <v>43360</v>
      </c>
      <c r="CF118" s="13">
        <f ca="1">IF($CD118=0,"",VLOOKUP($CE118,周K!$A$6:$F$6842,2,0))</f>
        <v>262.5</v>
      </c>
      <c r="CG118" s="13">
        <f ca="1">IF($CD118=0,"",VLOOKUP($CE118,周K!$A$6:$F$6842,3,0))</f>
        <v>262.5</v>
      </c>
      <c r="CH118" s="13">
        <f ca="1">IF($CD118=0,"",VLOOKUP($CE118,周K!$A$6:$F$6842,4,0))</f>
        <v>254</v>
      </c>
      <c r="CI118" s="13">
        <f ca="1">IF($CD118=0,"",VLOOKUP($CE118,周K!$A$6:$F$6842,5,0))</f>
        <v>261.5</v>
      </c>
      <c r="CJ118" s="13">
        <f ca="1">IF($CD118=0,"",VLOOKUP($CE118,周K!$A$6:$F$6842,6,0))</f>
        <v>201479</v>
      </c>
      <c r="CK118">
        <f>ROW()</f>
        <v>118</v>
      </c>
      <c r="CM118" t="str">
        <f t="shared" si="69"/>
        <v>CG114:CG118</v>
      </c>
      <c r="CN118">
        <f t="shared" si="70"/>
        <v>106</v>
      </c>
      <c r="CO118">
        <f t="shared" ca="1" si="71"/>
        <v>262.2</v>
      </c>
      <c r="CQ118" t="str">
        <f t="shared" si="72"/>
        <v>CG99:CG118</v>
      </c>
      <c r="CR118">
        <f t="shared" si="73"/>
        <v>91</v>
      </c>
      <c r="CS118">
        <f t="shared" ca="1" si="74"/>
        <v>241.17500000000001</v>
      </c>
      <c r="CU118" t="str">
        <f t="shared" si="75"/>
        <v>CG59:CG118</v>
      </c>
      <c r="CV118">
        <f t="shared" si="76"/>
        <v>51</v>
      </c>
      <c r="CW118">
        <f t="shared" ca="1" si="77"/>
        <v>239</v>
      </c>
      <c r="CY118">
        <f t="shared" ca="1" si="78"/>
        <v>530.61637500000006</v>
      </c>
      <c r="CZ118">
        <f t="shared" ca="1" si="82"/>
        <v>513.48973812754105</v>
      </c>
      <c r="DA118">
        <f t="shared" ca="1" si="85"/>
        <v>503.23434601219469</v>
      </c>
      <c r="DB118">
        <f t="shared" ca="1" si="84"/>
        <v>10.255392115346353</v>
      </c>
      <c r="DC118">
        <f t="shared" ca="1" si="86"/>
        <v>9.2379807254649222</v>
      </c>
      <c r="DD118">
        <f t="shared" ca="1" si="87"/>
        <v>1.0174113898814312</v>
      </c>
    </row>
    <row r="119" spans="51:108" x14ac:dyDescent="0.25">
      <c r="AY119" t="str">
        <f>"日K!A"&amp;日K!$E$3-239+1+BF119-8</f>
        <v>日K!A6711</v>
      </c>
      <c r="AZ119" s="4">
        <f t="shared" ca="1" si="56"/>
        <v>44201</v>
      </c>
      <c r="BA119" s="13">
        <f t="shared" ca="1" si="57"/>
        <v>531.60820000000001</v>
      </c>
      <c r="BB119" s="13">
        <f t="shared" ca="1" si="58"/>
        <v>537.55899999999997</v>
      </c>
      <c r="BC119" s="13">
        <f t="shared" ca="1" si="59"/>
        <v>530.6164</v>
      </c>
      <c r="BD119" s="13">
        <f t="shared" ca="1" si="60"/>
        <v>537.55899999999997</v>
      </c>
      <c r="BE119" s="13">
        <f t="shared" ca="1" si="61"/>
        <v>34839</v>
      </c>
      <c r="BF119">
        <f>ROW()</f>
        <v>119</v>
      </c>
      <c r="BH119" t="str">
        <f t="shared" si="62"/>
        <v>BC115:BC119</v>
      </c>
      <c r="BI119">
        <f t="shared" si="79"/>
        <v>107</v>
      </c>
      <c r="BJ119">
        <f t="shared" ca="1" si="63"/>
        <v>518.51631999999995</v>
      </c>
      <c r="BL119" t="str">
        <f t="shared" si="64"/>
        <v>BC100:BC119</v>
      </c>
      <c r="BM119">
        <f t="shared" si="80"/>
        <v>92</v>
      </c>
      <c r="BN119">
        <f t="shared" ca="1" si="65"/>
        <v>507.04125999999997</v>
      </c>
      <c r="BP119" t="str">
        <f t="shared" si="66"/>
        <v>BC60:BC119</v>
      </c>
      <c r="BQ119">
        <f t="shared" si="81"/>
        <v>52</v>
      </c>
      <c r="BR119">
        <f t="shared" ca="1" si="67"/>
        <v>474.30622999999986</v>
      </c>
      <c r="BT119">
        <f t="shared" ca="1" si="83"/>
        <v>511.49640500000004</v>
      </c>
      <c r="BU119">
        <f t="shared" ca="1" si="88"/>
        <v>7.9700472501030433</v>
      </c>
      <c r="BV119">
        <f t="shared" ca="1" si="89"/>
        <v>527.43649950020608</v>
      </c>
      <c r="BW119">
        <f t="shared" ca="1" si="90"/>
        <v>495.55631049979394</v>
      </c>
      <c r="BY119">
        <f t="shared" ca="1" si="53"/>
        <v>518.51631999999995</v>
      </c>
      <c r="BZ119">
        <f t="shared" ca="1" si="54"/>
        <v>507.04125999999997</v>
      </c>
      <c r="CA119">
        <f t="shared" ca="1" si="55"/>
        <v>474.30622999999986</v>
      </c>
      <c r="CD119" t="str">
        <f>IF(周K!$E$3+CK119-12&gt;工作底稿!$CE$5,"周K!A"&amp;周K!$E$3-$CE$5+1+CK119-8,0)</f>
        <v>周K!A279</v>
      </c>
      <c r="CE119" s="4">
        <f t="shared" ca="1" si="68"/>
        <v>43368</v>
      </c>
      <c r="CF119" s="13">
        <f ca="1">IF($CD119=0,"",VLOOKUP($CE119,周K!$A$6:$F$6842,2,0))</f>
        <v>261.5</v>
      </c>
      <c r="CG119" s="13">
        <f ca="1">IF($CD119=0,"",VLOOKUP($CE119,周K!$A$6:$F$6842,3,0))</f>
        <v>266</v>
      </c>
      <c r="CH119" s="13">
        <f ca="1">IF($CD119=0,"",VLOOKUP($CE119,周K!$A$6:$F$6842,4,0))</f>
        <v>260</v>
      </c>
      <c r="CI119" s="13">
        <f ca="1">IF($CD119=0,"",VLOOKUP($CE119,周K!$A$6:$F$6842,5,0))</f>
        <v>262.5</v>
      </c>
      <c r="CJ119" s="13">
        <f ca="1">IF($CD119=0,"",VLOOKUP($CE119,周K!$A$6:$F$6842,6,0))</f>
        <v>128180</v>
      </c>
      <c r="CK119">
        <f>ROW()</f>
        <v>119</v>
      </c>
      <c r="CM119" t="str">
        <f t="shared" si="69"/>
        <v>CG115:CG119</v>
      </c>
      <c r="CN119">
        <f t="shared" si="70"/>
        <v>107</v>
      </c>
      <c r="CO119">
        <f t="shared" ca="1" si="71"/>
        <v>266.2</v>
      </c>
      <c r="CQ119" t="str">
        <f t="shared" si="72"/>
        <v>CG100:CG119</v>
      </c>
      <c r="CR119">
        <f t="shared" si="73"/>
        <v>92</v>
      </c>
      <c r="CS119">
        <f t="shared" ca="1" si="74"/>
        <v>242.77500000000001</v>
      </c>
      <c r="CU119" t="str">
        <f t="shared" si="75"/>
        <v>CG60:CG119</v>
      </c>
      <c r="CV119">
        <f t="shared" si="76"/>
        <v>52</v>
      </c>
      <c r="CW119">
        <f t="shared" ca="1" si="77"/>
        <v>239.83333333333334</v>
      </c>
      <c r="CY119">
        <f t="shared" ca="1" si="78"/>
        <v>535.82335</v>
      </c>
      <c r="CZ119">
        <f t="shared" ca="1" si="82"/>
        <v>516.92567841561163</v>
      </c>
      <c r="DA119">
        <f t="shared" ca="1" si="85"/>
        <v>505.6483463075877</v>
      </c>
      <c r="DB119">
        <f t="shared" ca="1" si="84"/>
        <v>11.277332108023927</v>
      </c>
      <c r="DC119">
        <f t="shared" ca="1" si="86"/>
        <v>9.3393575962609816</v>
      </c>
      <c r="DD119">
        <f t="shared" ca="1" si="87"/>
        <v>1.9379745117629454</v>
      </c>
    </row>
    <row r="120" spans="51:108" x14ac:dyDescent="0.25">
      <c r="AY120" t="str">
        <f>"日K!A"&amp;日K!$E$3-239+1+BF120-8</f>
        <v>日K!A6712</v>
      </c>
      <c r="AZ120" s="4">
        <f t="shared" ca="1" si="56"/>
        <v>44202</v>
      </c>
      <c r="BA120" s="13">
        <f t="shared" ca="1" si="57"/>
        <v>550.45249999999999</v>
      </c>
      <c r="BB120" s="13">
        <f t="shared" ca="1" si="58"/>
        <v>550.45249999999999</v>
      </c>
      <c r="BC120" s="13">
        <f t="shared" ca="1" si="59"/>
        <v>536.56719999999996</v>
      </c>
      <c r="BD120" s="13">
        <f t="shared" ca="1" si="60"/>
        <v>544.50170000000003</v>
      </c>
      <c r="BE120" s="13">
        <f t="shared" ca="1" si="61"/>
        <v>55614</v>
      </c>
      <c r="BF120">
        <f>ROW()</f>
        <v>120</v>
      </c>
      <c r="BH120" t="str">
        <f t="shared" si="62"/>
        <v>BC116:BC120</v>
      </c>
      <c r="BI120">
        <f t="shared" si="79"/>
        <v>108</v>
      </c>
      <c r="BJ120">
        <f t="shared" ca="1" si="63"/>
        <v>524.07044000000008</v>
      </c>
      <c r="BL120" t="str">
        <f t="shared" si="64"/>
        <v>BC101:BC120</v>
      </c>
      <c r="BM120">
        <f t="shared" si="80"/>
        <v>93</v>
      </c>
      <c r="BN120">
        <f t="shared" ca="1" si="65"/>
        <v>508.75139999999993</v>
      </c>
      <c r="BP120" t="str">
        <f t="shared" si="66"/>
        <v>BC61:BC120</v>
      </c>
      <c r="BQ120">
        <f t="shared" si="81"/>
        <v>53</v>
      </c>
      <c r="BR120">
        <f t="shared" ca="1" si="67"/>
        <v>475.73986999999994</v>
      </c>
      <c r="BT120">
        <f t="shared" ca="1" si="83"/>
        <v>512.86304500000006</v>
      </c>
      <c r="BU120">
        <f t="shared" ca="1" si="88"/>
        <v>7.7603187610970661</v>
      </c>
      <c r="BV120">
        <f t="shared" ca="1" si="89"/>
        <v>528.38368252219414</v>
      </c>
      <c r="BW120">
        <f t="shared" ca="1" si="90"/>
        <v>497.34240747780592</v>
      </c>
      <c r="BY120">
        <f t="shared" ca="1" si="53"/>
        <v>524.07044000000008</v>
      </c>
      <c r="BZ120">
        <f t="shared" ca="1" si="54"/>
        <v>508.75139999999993</v>
      </c>
      <c r="CA120">
        <f t="shared" ca="1" si="55"/>
        <v>475.73986999999994</v>
      </c>
      <c r="CD120" t="str">
        <f>IF(周K!$E$3+CK120-12&gt;工作底稿!$CE$5,"周K!A"&amp;周K!$E$3-$CE$5+1+CK120-8,0)</f>
        <v>周K!A280</v>
      </c>
      <c r="CE120" s="4">
        <f t="shared" ca="1" si="68"/>
        <v>43374</v>
      </c>
      <c r="CF120" s="13">
        <f ca="1">IF($CD120=0,"",VLOOKUP($CE120,周K!$A$6:$F$6842,2,0))</f>
        <v>262</v>
      </c>
      <c r="CG120" s="13">
        <f ca="1">IF($CD120=0,"",VLOOKUP($CE120,周K!$A$6:$F$6842,3,0))</f>
        <v>264</v>
      </c>
      <c r="CH120" s="13">
        <f ca="1">IF($CD120=0,"",VLOOKUP($CE120,周K!$A$6:$F$6842,4,0))</f>
        <v>248.5</v>
      </c>
      <c r="CI120" s="13">
        <f ca="1">IF($CD120=0,"",VLOOKUP($CE120,周K!$A$6:$F$6842,5,0))</f>
        <v>250</v>
      </c>
      <c r="CJ120" s="13">
        <f ca="1">IF($CD120=0,"",VLOOKUP($CE120,周K!$A$6:$F$6842,6,0))</f>
        <v>164436</v>
      </c>
      <c r="CK120">
        <f>ROW()</f>
        <v>120</v>
      </c>
      <c r="CM120" t="str">
        <f t="shared" si="69"/>
        <v>CG116:CG120</v>
      </c>
      <c r="CN120">
        <f t="shared" si="70"/>
        <v>108</v>
      </c>
      <c r="CO120">
        <f t="shared" ca="1" si="71"/>
        <v>265.39999999999998</v>
      </c>
      <c r="CQ120" t="str">
        <f t="shared" si="72"/>
        <v>CG101:CG120</v>
      </c>
      <c r="CR120">
        <f t="shared" si="73"/>
        <v>93</v>
      </c>
      <c r="CS120">
        <f t="shared" ca="1" si="74"/>
        <v>244.25</v>
      </c>
      <c r="CU120" t="str">
        <f t="shared" si="75"/>
        <v>CG61:CG120</v>
      </c>
      <c r="CV120">
        <f t="shared" si="76"/>
        <v>53</v>
      </c>
      <c r="CW120">
        <f t="shared" ca="1" si="77"/>
        <v>240.58333333333334</v>
      </c>
      <c r="CY120">
        <f t="shared" ca="1" si="78"/>
        <v>544.00577499999997</v>
      </c>
      <c r="CZ120">
        <f t="shared" ca="1" si="82"/>
        <v>521.09184712090212</v>
      </c>
      <c r="DA120">
        <f t="shared" ca="1" si="85"/>
        <v>508.48963732184046</v>
      </c>
      <c r="DB120">
        <f t="shared" ca="1" si="84"/>
        <v>12.602209799061654</v>
      </c>
      <c r="DC120">
        <f t="shared" ca="1" si="86"/>
        <v>9.6617925382536534</v>
      </c>
      <c r="DD120">
        <f t="shared" ca="1" si="87"/>
        <v>2.940417260808001</v>
      </c>
    </row>
    <row r="121" spans="51:108" x14ac:dyDescent="0.25">
      <c r="AY121" t="str">
        <f>"日K!A"&amp;日K!$E$3-239+1+BF121-8</f>
        <v>日K!A6713</v>
      </c>
      <c r="AZ121" s="4">
        <f t="shared" ca="1" si="56"/>
        <v>44203</v>
      </c>
      <c r="BA121" s="13">
        <f t="shared" ca="1" si="57"/>
        <v>549.46069999999997</v>
      </c>
      <c r="BB121" s="13">
        <f t="shared" ca="1" si="58"/>
        <v>565.32960000000003</v>
      </c>
      <c r="BC121" s="13">
        <f t="shared" ca="1" si="59"/>
        <v>548.46889999999996</v>
      </c>
      <c r="BD121" s="13">
        <f t="shared" ca="1" si="60"/>
        <v>560.37059999999997</v>
      </c>
      <c r="BE121" s="13">
        <f t="shared" ca="1" si="61"/>
        <v>53393</v>
      </c>
      <c r="BF121">
        <f>ROW()</f>
        <v>121</v>
      </c>
      <c r="BH121" t="str">
        <f t="shared" si="62"/>
        <v>BC117:BC121</v>
      </c>
      <c r="BI121">
        <f t="shared" si="79"/>
        <v>109</v>
      </c>
      <c r="BJ121">
        <f t="shared" ca="1" si="63"/>
        <v>531.80653999999993</v>
      </c>
      <c r="BL121" t="str">
        <f t="shared" si="64"/>
        <v>BC102:BC121</v>
      </c>
      <c r="BM121">
        <f t="shared" si="80"/>
        <v>94</v>
      </c>
      <c r="BN121">
        <f t="shared" ca="1" si="65"/>
        <v>510.51379500000002</v>
      </c>
      <c r="BP121" t="str">
        <f t="shared" si="66"/>
        <v>BC62:BC121</v>
      </c>
      <c r="BQ121">
        <f t="shared" si="81"/>
        <v>54</v>
      </c>
      <c r="BR121">
        <f t="shared" ca="1" si="67"/>
        <v>477.36364666666657</v>
      </c>
      <c r="BT121">
        <f t="shared" ca="1" si="83"/>
        <v>515.22052499999995</v>
      </c>
      <c r="BU121">
        <f t="shared" ca="1" si="88"/>
        <v>7.8011403350111426</v>
      </c>
      <c r="BV121">
        <f t="shared" ca="1" si="89"/>
        <v>530.82280567002226</v>
      </c>
      <c r="BW121">
        <f t="shared" ca="1" si="90"/>
        <v>499.61824432997764</v>
      </c>
      <c r="BY121">
        <f t="shared" ca="1" si="53"/>
        <v>531.80653999999993</v>
      </c>
      <c r="BZ121">
        <f t="shared" ca="1" si="54"/>
        <v>510.51379500000002</v>
      </c>
      <c r="CA121">
        <f t="shared" ca="1" si="55"/>
        <v>477.36364666666657</v>
      </c>
      <c r="CD121" t="str">
        <f>IF(周K!$E$3+CK121-12&gt;工作底稿!$CE$5,"周K!A"&amp;周K!$E$3-$CE$5+1+CK121-8,0)</f>
        <v>周K!A281</v>
      </c>
      <c r="CE121" s="4">
        <f t="shared" ca="1" si="68"/>
        <v>43381</v>
      </c>
      <c r="CF121" s="13">
        <f ca="1">IF($CD121=0,"",VLOOKUP($CE121,周K!$A$6:$F$6842,2,0))</f>
        <v>245.5</v>
      </c>
      <c r="CG121" s="13">
        <f ca="1">IF($CD121=0,"",VLOOKUP($CE121,周K!$A$6:$F$6842,3,0))</f>
        <v>246.5</v>
      </c>
      <c r="CH121" s="13">
        <f ca="1">IF($CD121=0,"",VLOOKUP($CE121,周K!$A$6:$F$6842,4,0))</f>
        <v>227</v>
      </c>
      <c r="CI121" s="13">
        <f ca="1">IF($CD121=0,"",VLOOKUP($CE121,周K!$A$6:$F$6842,5,0))</f>
        <v>237</v>
      </c>
      <c r="CJ121" s="13">
        <f ca="1">IF($CD121=0,"",VLOOKUP($CE121,周K!$A$6:$F$6842,6,0))</f>
        <v>230491</v>
      </c>
      <c r="CK121">
        <f>ROW()</f>
        <v>121</v>
      </c>
      <c r="CM121" t="str">
        <f t="shared" si="69"/>
        <v>CG117:CG121</v>
      </c>
      <c r="CN121">
        <f t="shared" si="70"/>
        <v>109</v>
      </c>
      <c r="CO121">
        <f t="shared" ca="1" si="71"/>
        <v>261.10000000000002</v>
      </c>
      <c r="CQ121" t="str">
        <f t="shared" si="72"/>
        <v>CG102:CG121</v>
      </c>
      <c r="CR121">
        <f t="shared" si="73"/>
        <v>94</v>
      </c>
      <c r="CS121">
        <f t="shared" ca="1" si="74"/>
        <v>244.9</v>
      </c>
      <c r="CU121" t="str">
        <f t="shared" si="75"/>
        <v>CG62:CG121</v>
      </c>
      <c r="CV121">
        <f t="shared" si="76"/>
        <v>54</v>
      </c>
      <c r="CW121">
        <f t="shared" ca="1" si="77"/>
        <v>241.11666666666667</v>
      </c>
      <c r="CY121">
        <f t="shared" ca="1" si="78"/>
        <v>558.63492499999995</v>
      </c>
      <c r="CZ121">
        <f t="shared" ca="1" si="82"/>
        <v>526.86770525614793</v>
      </c>
      <c r="DA121">
        <f t="shared" ca="1" si="85"/>
        <v>512.20410307577822</v>
      </c>
      <c r="DB121">
        <f t="shared" ca="1" si="84"/>
        <v>14.663602180369708</v>
      </c>
      <c r="DC121">
        <f t="shared" ca="1" si="86"/>
        <v>10.272424462930681</v>
      </c>
      <c r="DD121">
        <f t="shared" ca="1" si="87"/>
        <v>4.3911777174390263</v>
      </c>
    </row>
    <row r="122" spans="51:108" x14ac:dyDescent="0.25">
      <c r="AY122" t="str">
        <f>"日K!A"&amp;日K!$E$3-239+1+BF122-8</f>
        <v>日K!A6714</v>
      </c>
      <c r="AZ122" s="4">
        <f t="shared" ca="1" si="56"/>
        <v>44204</v>
      </c>
      <c r="BA122" s="13">
        <f t="shared" ca="1" si="57"/>
        <v>575.24770000000001</v>
      </c>
      <c r="BB122" s="13">
        <f t="shared" ca="1" si="58"/>
        <v>575.24770000000001</v>
      </c>
      <c r="BC122" s="13">
        <f t="shared" ca="1" si="59"/>
        <v>566.32140000000004</v>
      </c>
      <c r="BD122" s="13">
        <f t="shared" ca="1" si="60"/>
        <v>575.24770000000001</v>
      </c>
      <c r="BE122" s="13">
        <f t="shared" ca="1" si="61"/>
        <v>62957</v>
      </c>
      <c r="BF122">
        <f>ROW()</f>
        <v>122</v>
      </c>
      <c r="BH122" t="str">
        <f t="shared" si="62"/>
        <v>BC118:BC122</v>
      </c>
      <c r="BI122">
        <f t="shared" si="79"/>
        <v>110</v>
      </c>
      <c r="BJ122">
        <f t="shared" ca="1" si="63"/>
        <v>541.12952000000007</v>
      </c>
      <c r="BL122" t="str">
        <f t="shared" si="64"/>
        <v>BC103:BC122</v>
      </c>
      <c r="BM122">
        <f t="shared" si="80"/>
        <v>95</v>
      </c>
      <c r="BN122">
        <f t="shared" ca="1" si="65"/>
        <v>513.66229499999997</v>
      </c>
      <c r="BP122" t="str">
        <f t="shared" si="66"/>
        <v>BC63:BC122</v>
      </c>
      <c r="BQ122">
        <f t="shared" si="81"/>
        <v>55</v>
      </c>
      <c r="BR122">
        <f t="shared" ca="1" si="67"/>
        <v>479.40010999999987</v>
      </c>
      <c r="BT122">
        <f t="shared" ca="1" si="83"/>
        <v>518.71664500000009</v>
      </c>
      <c r="BU122">
        <f t="shared" ca="1" si="88"/>
        <v>8.1590102460550344</v>
      </c>
      <c r="BV122">
        <f t="shared" ca="1" si="89"/>
        <v>535.03466549211021</v>
      </c>
      <c r="BW122">
        <f t="shared" ca="1" si="90"/>
        <v>502.39862450789002</v>
      </c>
      <c r="BY122">
        <f t="shared" ca="1" si="53"/>
        <v>541.12952000000007</v>
      </c>
      <c r="BZ122">
        <f t="shared" ca="1" si="54"/>
        <v>513.66229499999997</v>
      </c>
      <c r="CA122">
        <f t="shared" ca="1" si="55"/>
        <v>479.40010999999987</v>
      </c>
      <c r="CD122" t="str">
        <f>IF(周K!$E$3+CK122-12&gt;工作底稿!$CE$5,"周K!A"&amp;周K!$E$3-$CE$5+1+CK122-8,0)</f>
        <v>周K!A282</v>
      </c>
      <c r="CE122" s="4">
        <f t="shared" ca="1" si="68"/>
        <v>43388</v>
      </c>
      <c r="CF122" s="13">
        <f ca="1">IF($CD122=0,"",VLOOKUP($CE122,周K!$A$6:$F$6842,2,0))</f>
        <v>234</v>
      </c>
      <c r="CG122" s="13">
        <f ca="1">IF($CD122=0,"",VLOOKUP($CE122,周K!$A$6:$F$6842,3,0))</f>
        <v>243</v>
      </c>
      <c r="CH122" s="13">
        <f ca="1">IF($CD122=0,"",VLOOKUP($CE122,周K!$A$6:$F$6842,4,0))</f>
        <v>229</v>
      </c>
      <c r="CI122" s="13">
        <f ca="1">IF($CD122=0,"",VLOOKUP($CE122,周K!$A$6:$F$6842,5,0))</f>
        <v>236</v>
      </c>
      <c r="CJ122" s="13">
        <f ca="1">IF($CD122=0,"",VLOOKUP($CE122,周K!$A$6:$F$6842,6,0))</f>
        <v>185930</v>
      </c>
      <c r="CK122">
        <f>ROW()</f>
        <v>122</v>
      </c>
      <c r="CM122" t="str">
        <f t="shared" si="69"/>
        <v>CG118:CG122</v>
      </c>
      <c r="CN122">
        <f t="shared" si="70"/>
        <v>110</v>
      </c>
      <c r="CO122">
        <f t="shared" ca="1" si="71"/>
        <v>256.39999999999998</v>
      </c>
      <c r="CQ122" t="str">
        <f t="shared" si="72"/>
        <v>CG103:CG122</v>
      </c>
      <c r="CR122">
        <f t="shared" si="73"/>
        <v>95</v>
      </c>
      <c r="CS122">
        <f t="shared" ca="1" si="74"/>
        <v>245.55</v>
      </c>
      <c r="CU122" t="str">
        <f t="shared" si="75"/>
        <v>CG63:CG122</v>
      </c>
      <c r="CV122">
        <f t="shared" si="76"/>
        <v>55</v>
      </c>
      <c r="CW122">
        <f t="shared" ca="1" si="77"/>
        <v>241.54166666666666</v>
      </c>
      <c r="CY122">
        <f t="shared" ca="1" si="78"/>
        <v>573.0161250000001</v>
      </c>
      <c r="CZ122">
        <f t="shared" ca="1" si="82"/>
        <v>533.96746213981748</v>
      </c>
      <c r="DA122">
        <f t="shared" ca="1" si="85"/>
        <v>516.70869729238723</v>
      </c>
      <c r="DB122">
        <f t="shared" ca="1" si="84"/>
        <v>17.258764847430257</v>
      </c>
      <c r="DC122">
        <f t="shared" ca="1" si="86"/>
        <v>11.213977401490391</v>
      </c>
      <c r="DD122">
        <f t="shared" ca="1" si="87"/>
        <v>6.0447874459398658</v>
      </c>
    </row>
    <row r="123" spans="51:108" x14ac:dyDescent="0.25">
      <c r="AY123" t="str">
        <f>"日K!A"&amp;日K!$E$3-239+1+BF123-8</f>
        <v>日K!A6715</v>
      </c>
      <c r="AZ123" s="4">
        <f t="shared" ca="1" si="56"/>
        <v>44207</v>
      </c>
      <c r="BA123" s="13">
        <f t="shared" ca="1" si="57"/>
        <v>572.2722</v>
      </c>
      <c r="BB123" s="13">
        <f t="shared" ca="1" si="58"/>
        <v>579.21489999999994</v>
      </c>
      <c r="BC123" s="13">
        <f t="shared" ca="1" si="59"/>
        <v>569.29679999999996</v>
      </c>
      <c r="BD123" s="13">
        <f t="shared" ca="1" si="60"/>
        <v>579.21489999999994</v>
      </c>
      <c r="BE123" s="13">
        <f t="shared" ca="1" si="61"/>
        <v>52772</v>
      </c>
      <c r="BF123">
        <f>ROW()</f>
        <v>123</v>
      </c>
      <c r="BH123" t="str">
        <f t="shared" si="62"/>
        <v>BC119:BC123</v>
      </c>
      <c r="BI123">
        <f t="shared" si="79"/>
        <v>111</v>
      </c>
      <c r="BJ123">
        <f t="shared" ca="1" si="63"/>
        <v>550.25414000000001</v>
      </c>
      <c r="BL123" t="str">
        <f t="shared" si="64"/>
        <v>BC104:BC123</v>
      </c>
      <c r="BM123">
        <f t="shared" si="80"/>
        <v>96</v>
      </c>
      <c r="BN123">
        <f t="shared" ca="1" si="65"/>
        <v>517.20630500000004</v>
      </c>
      <c r="BP123" t="str">
        <f t="shared" si="66"/>
        <v>BC64:BC123</v>
      </c>
      <c r="BQ123">
        <f t="shared" si="81"/>
        <v>56</v>
      </c>
      <c r="BR123">
        <f t="shared" ca="1" si="67"/>
        <v>481.51083833333325</v>
      </c>
      <c r="BT123">
        <f t="shared" ca="1" si="83"/>
        <v>522.21373000000006</v>
      </c>
      <c r="BU123">
        <f t="shared" ca="1" si="88"/>
        <v>8.8035308447091705</v>
      </c>
      <c r="BV123">
        <f t="shared" ca="1" si="89"/>
        <v>539.82079168941834</v>
      </c>
      <c r="BW123">
        <f t="shared" ca="1" si="90"/>
        <v>504.60666831058171</v>
      </c>
      <c r="BY123">
        <f t="shared" ca="1" si="53"/>
        <v>550.25414000000001</v>
      </c>
      <c r="BZ123">
        <f t="shared" ca="1" si="54"/>
        <v>517.20630500000004</v>
      </c>
      <c r="CA123">
        <f t="shared" ca="1" si="55"/>
        <v>481.51083833333325</v>
      </c>
      <c r="CD123" t="str">
        <f>IF(周K!$E$3+CK123-12&gt;工作底稿!$CE$5,"周K!A"&amp;周K!$E$3-$CE$5+1+CK123-8,0)</f>
        <v>周K!A283</v>
      </c>
      <c r="CE123" s="4">
        <f t="shared" ca="1" si="68"/>
        <v>43395</v>
      </c>
      <c r="CF123" s="13">
        <f ca="1">IF($CD123=0,"",VLOOKUP($CE123,周K!$A$6:$F$6842,2,0))</f>
        <v>232.5</v>
      </c>
      <c r="CG123" s="13">
        <f ca="1">IF($CD123=0,"",VLOOKUP($CE123,周K!$A$6:$F$6842,3,0))</f>
        <v>238</v>
      </c>
      <c r="CH123" s="13">
        <f ca="1">IF($CD123=0,"",VLOOKUP($CE123,周K!$A$6:$F$6842,4,0))</f>
        <v>217</v>
      </c>
      <c r="CI123" s="13">
        <f ca="1">IF($CD123=0,"",VLOOKUP($CE123,周K!$A$6:$F$6842,5,0))</f>
        <v>221</v>
      </c>
      <c r="CJ123" s="13">
        <f ca="1">IF($CD123=0,"",VLOOKUP($CE123,周K!$A$6:$F$6842,6,0))</f>
        <v>241112</v>
      </c>
      <c r="CK123">
        <f>ROW()</f>
        <v>123</v>
      </c>
      <c r="CM123" t="str">
        <f t="shared" si="69"/>
        <v>CG119:CG123</v>
      </c>
      <c r="CN123">
        <f t="shared" si="70"/>
        <v>111</v>
      </c>
      <c r="CO123">
        <f t="shared" ca="1" si="71"/>
        <v>251.5</v>
      </c>
      <c r="CQ123" t="str">
        <f t="shared" si="72"/>
        <v>CG104:CG123</v>
      </c>
      <c r="CR123">
        <f t="shared" si="73"/>
        <v>96</v>
      </c>
      <c r="CS123">
        <f t="shared" ca="1" si="74"/>
        <v>245.875</v>
      </c>
      <c r="CU123" t="str">
        <f t="shared" si="75"/>
        <v>CG64:CG123</v>
      </c>
      <c r="CV123">
        <f t="shared" si="76"/>
        <v>56</v>
      </c>
      <c r="CW123">
        <f t="shared" ca="1" si="77"/>
        <v>241.875</v>
      </c>
      <c r="CY123">
        <f t="shared" ca="1" si="78"/>
        <v>576.73537499999998</v>
      </c>
      <c r="CZ123">
        <f t="shared" ca="1" si="82"/>
        <v>540.54714104138407</v>
      </c>
      <c r="DA123">
        <f t="shared" ca="1" si="85"/>
        <v>521.15511786332149</v>
      </c>
      <c r="DB123">
        <f t="shared" ca="1" si="84"/>
        <v>19.392023178062573</v>
      </c>
      <c r="DC123">
        <f t="shared" ca="1" si="86"/>
        <v>12.421650315856217</v>
      </c>
      <c r="DD123">
        <f t="shared" ca="1" si="87"/>
        <v>6.9703728622063554</v>
      </c>
    </row>
    <row r="124" spans="51:108" x14ac:dyDescent="0.25">
      <c r="AY124" t="str">
        <f>"日K!A"&amp;日K!$E$3-239+1+BF124-8</f>
        <v>日K!A6716</v>
      </c>
      <c r="AZ124" s="4">
        <f t="shared" ca="1" si="56"/>
        <v>44208</v>
      </c>
      <c r="BA124" s="13">
        <f t="shared" ca="1" si="57"/>
        <v>578.22310000000004</v>
      </c>
      <c r="BB124" s="13">
        <f t="shared" ca="1" si="58"/>
        <v>592.10839999999996</v>
      </c>
      <c r="BC124" s="13">
        <f t="shared" ca="1" si="59"/>
        <v>577.23130000000003</v>
      </c>
      <c r="BD124" s="13">
        <f t="shared" ca="1" si="60"/>
        <v>586.15750000000003</v>
      </c>
      <c r="BE124" s="13">
        <f t="shared" ca="1" si="61"/>
        <v>52605</v>
      </c>
      <c r="BF124">
        <f>ROW()</f>
        <v>124</v>
      </c>
      <c r="BH124" t="str">
        <f t="shared" si="62"/>
        <v>BC120:BC124</v>
      </c>
      <c r="BI124">
        <f t="shared" si="79"/>
        <v>112</v>
      </c>
      <c r="BJ124">
        <f t="shared" ca="1" si="63"/>
        <v>559.57711999999992</v>
      </c>
      <c r="BL124" t="str">
        <f t="shared" si="64"/>
        <v>BC105:BC124</v>
      </c>
      <c r="BM124">
        <f t="shared" si="80"/>
        <v>97</v>
      </c>
      <c r="BN124">
        <f t="shared" ca="1" si="65"/>
        <v>520.99899500000004</v>
      </c>
      <c r="BP124" t="str">
        <f t="shared" si="66"/>
        <v>BC65:BC124</v>
      </c>
      <c r="BQ124">
        <f t="shared" si="81"/>
        <v>57</v>
      </c>
      <c r="BR124">
        <f t="shared" ca="1" si="67"/>
        <v>483.71268499999991</v>
      </c>
      <c r="BT124">
        <f t="shared" ca="1" si="83"/>
        <v>526.45273000000009</v>
      </c>
      <c r="BU124">
        <f t="shared" ca="1" si="88"/>
        <v>9.664367415947611</v>
      </c>
      <c r="BV124">
        <f t="shared" ca="1" si="89"/>
        <v>545.78146483189528</v>
      </c>
      <c r="BW124">
        <f t="shared" ca="1" si="90"/>
        <v>507.12399516810484</v>
      </c>
      <c r="BY124">
        <f t="shared" ca="1" si="53"/>
        <v>559.57711999999992</v>
      </c>
      <c r="BZ124">
        <f t="shared" ca="1" si="54"/>
        <v>520.99899500000004</v>
      </c>
      <c r="CA124">
        <f t="shared" ca="1" si="55"/>
        <v>483.71268499999991</v>
      </c>
      <c r="CD124" t="str">
        <f>IF(周K!$E$3+CK124-12&gt;工作底稿!$CE$5,"周K!A"&amp;周K!$E$3-$CE$5+1+CK124-8,0)</f>
        <v>周K!A284</v>
      </c>
      <c r="CE124" s="4">
        <f t="shared" ca="1" si="68"/>
        <v>43402</v>
      </c>
      <c r="CF124" s="13">
        <f ca="1">IF($CD124=0,"",VLOOKUP($CE124,周K!$A$6:$F$6842,2,0))</f>
        <v>223</v>
      </c>
      <c r="CG124" s="13">
        <f ca="1">IF($CD124=0,"",VLOOKUP($CE124,周K!$A$6:$F$6842,3,0))</f>
        <v>237</v>
      </c>
      <c r="CH124" s="13">
        <f ca="1">IF($CD124=0,"",VLOOKUP($CE124,周K!$A$6:$F$6842,4,0))</f>
        <v>220.5</v>
      </c>
      <c r="CI124" s="13">
        <f ca="1">IF($CD124=0,"",VLOOKUP($CE124,周K!$A$6:$F$6842,5,0))</f>
        <v>236.5</v>
      </c>
      <c r="CJ124" s="13">
        <f ca="1">IF($CD124=0,"",VLOOKUP($CE124,周K!$A$6:$F$6842,6,0))</f>
        <v>182783</v>
      </c>
      <c r="CK124">
        <f>ROW()</f>
        <v>124</v>
      </c>
      <c r="CM124" t="str">
        <f t="shared" si="69"/>
        <v>CG120:CG124</v>
      </c>
      <c r="CN124">
        <f t="shared" si="70"/>
        <v>112</v>
      </c>
      <c r="CO124">
        <f t="shared" ca="1" si="71"/>
        <v>245.7</v>
      </c>
      <c r="CQ124" t="str">
        <f t="shared" si="72"/>
        <v>CG105:CG124</v>
      </c>
      <c r="CR124">
        <f t="shared" si="73"/>
        <v>97</v>
      </c>
      <c r="CS124">
        <f t="shared" ca="1" si="74"/>
        <v>246.125</v>
      </c>
      <c r="CU124" t="str">
        <f t="shared" si="75"/>
        <v>CG65:CG124</v>
      </c>
      <c r="CV124">
        <f t="shared" si="76"/>
        <v>57</v>
      </c>
      <c r="CW124">
        <f t="shared" ca="1" si="77"/>
        <v>242.18333333333334</v>
      </c>
      <c r="CY124">
        <f t="shared" ca="1" si="78"/>
        <v>585.41367500000001</v>
      </c>
      <c r="CZ124">
        <f t="shared" ca="1" si="82"/>
        <v>547.44968472732501</v>
      </c>
      <c r="DA124">
        <f t="shared" ca="1" si="85"/>
        <v>525.91501098455694</v>
      </c>
      <c r="DB124">
        <f t="shared" ca="1" si="84"/>
        <v>21.534673742768064</v>
      </c>
      <c r="DC124">
        <f t="shared" ca="1" si="86"/>
        <v>13.887793478782644</v>
      </c>
      <c r="DD124">
        <f t="shared" ca="1" si="87"/>
        <v>7.6468802639854196</v>
      </c>
    </row>
    <row r="125" spans="51:108" x14ac:dyDescent="0.25">
      <c r="AY125" t="str">
        <f>"日K!A"&amp;日K!$E$3-239+1+BF125-8</f>
        <v>日K!A6717</v>
      </c>
      <c r="AZ125" s="4">
        <f t="shared" ca="1" si="56"/>
        <v>44209</v>
      </c>
      <c r="BA125" s="13">
        <f t="shared" ca="1" si="57"/>
        <v>590.12480000000005</v>
      </c>
      <c r="BB125" s="13">
        <f t="shared" ca="1" si="58"/>
        <v>600.04280000000006</v>
      </c>
      <c r="BC125" s="13">
        <f t="shared" ca="1" si="59"/>
        <v>588.14110000000005</v>
      </c>
      <c r="BD125" s="13">
        <f t="shared" ca="1" si="60"/>
        <v>600.04280000000006</v>
      </c>
      <c r="BE125" s="13">
        <f t="shared" ca="1" si="61"/>
        <v>75708</v>
      </c>
      <c r="BF125">
        <f>ROW()</f>
        <v>125</v>
      </c>
      <c r="BH125" t="str">
        <f t="shared" si="62"/>
        <v>BC121:BC125</v>
      </c>
      <c r="BI125">
        <f t="shared" si="79"/>
        <v>113</v>
      </c>
      <c r="BJ125">
        <f t="shared" ca="1" si="63"/>
        <v>569.89189999999996</v>
      </c>
      <c r="BL125" t="str">
        <f t="shared" si="64"/>
        <v>BC106:BC125</v>
      </c>
      <c r="BM125">
        <f t="shared" si="80"/>
        <v>98</v>
      </c>
      <c r="BN125">
        <f t="shared" ca="1" si="65"/>
        <v>525.53457000000003</v>
      </c>
      <c r="BP125" t="str">
        <f t="shared" si="66"/>
        <v>BC66:BC125</v>
      </c>
      <c r="BQ125">
        <f t="shared" si="81"/>
        <v>58</v>
      </c>
      <c r="BR125">
        <f t="shared" ca="1" si="67"/>
        <v>486.09636166666661</v>
      </c>
      <c r="BT125">
        <f t="shared" ca="1" si="83"/>
        <v>531.58338999999989</v>
      </c>
      <c r="BU125">
        <f t="shared" ca="1" si="88"/>
        <v>10.77741143120612</v>
      </c>
      <c r="BV125">
        <f t="shared" ca="1" si="89"/>
        <v>553.13821286241216</v>
      </c>
      <c r="BW125">
        <f t="shared" ca="1" si="90"/>
        <v>510.02856713758763</v>
      </c>
      <c r="BY125">
        <f t="shared" ca="1" si="53"/>
        <v>569.89189999999996</v>
      </c>
      <c r="BZ125">
        <f t="shared" ca="1" si="54"/>
        <v>525.53457000000003</v>
      </c>
      <c r="CA125">
        <f t="shared" ca="1" si="55"/>
        <v>486.09636166666661</v>
      </c>
      <c r="CD125" t="str">
        <f>IF(周K!$E$3+CK125-12&gt;工作底稿!$CE$5,"周K!A"&amp;周K!$E$3-$CE$5+1+CK125-8,0)</f>
        <v>周K!A285</v>
      </c>
      <c r="CE125" s="4">
        <f t="shared" ca="1" si="68"/>
        <v>43409</v>
      </c>
      <c r="CF125" s="13">
        <f ca="1">IF($CD125=0,"",VLOOKUP($CE125,周K!$A$6:$F$6842,2,0))</f>
        <v>233</v>
      </c>
      <c r="CG125" s="13">
        <f ca="1">IF($CD125=0,"",VLOOKUP($CE125,周K!$A$6:$F$6842,3,0))</f>
        <v>237.5</v>
      </c>
      <c r="CH125" s="13">
        <f ca="1">IF($CD125=0,"",VLOOKUP($CE125,周K!$A$6:$F$6842,4,0))</f>
        <v>231</v>
      </c>
      <c r="CI125" s="13">
        <f ca="1">IF($CD125=0,"",VLOOKUP($CE125,周K!$A$6:$F$6842,5,0))</f>
        <v>231</v>
      </c>
      <c r="CJ125" s="13">
        <f ca="1">IF($CD125=0,"",VLOOKUP($CE125,周K!$A$6:$F$6842,6,0))</f>
        <v>155379</v>
      </c>
      <c r="CK125">
        <f>ROW()</f>
        <v>125</v>
      </c>
      <c r="CM125" t="str">
        <f t="shared" si="69"/>
        <v>CG121:CG125</v>
      </c>
      <c r="CN125">
        <f t="shared" si="70"/>
        <v>113</v>
      </c>
      <c r="CO125">
        <f t="shared" ca="1" si="71"/>
        <v>240.4</v>
      </c>
      <c r="CQ125" t="str">
        <f t="shared" si="72"/>
        <v>CG106:CG125</v>
      </c>
      <c r="CR125">
        <f t="shared" si="73"/>
        <v>98</v>
      </c>
      <c r="CS125">
        <f t="shared" ca="1" si="74"/>
        <v>246.6</v>
      </c>
      <c r="CU125" t="str">
        <f t="shared" si="75"/>
        <v>CG66:CG125</v>
      </c>
      <c r="CV125">
        <f t="shared" si="76"/>
        <v>58</v>
      </c>
      <c r="CW125">
        <f t="shared" ca="1" si="77"/>
        <v>242.48333333333332</v>
      </c>
      <c r="CY125">
        <f t="shared" ca="1" si="78"/>
        <v>597.06737500000008</v>
      </c>
      <c r="CZ125">
        <f t="shared" ca="1" si="82"/>
        <v>555.08317553850577</v>
      </c>
      <c r="DA125">
        <f t="shared" ca="1" si="85"/>
        <v>531.18555646718232</v>
      </c>
      <c r="DB125">
        <f t="shared" ca="1" si="84"/>
        <v>23.897619071323447</v>
      </c>
      <c r="DC125">
        <f t="shared" ca="1" si="86"/>
        <v>15.579293055549568</v>
      </c>
      <c r="DD125">
        <f t="shared" ca="1" si="87"/>
        <v>8.318326015773879</v>
      </c>
    </row>
    <row r="126" spans="51:108" x14ac:dyDescent="0.25">
      <c r="AY126" t="str">
        <f>"日K!A"&amp;日K!$E$3-239+1+BF126-8</f>
        <v>日K!A6718</v>
      </c>
      <c r="AZ126" s="4">
        <f t="shared" ca="1" si="56"/>
        <v>44210</v>
      </c>
      <c r="BA126" s="13">
        <f t="shared" ca="1" si="57"/>
        <v>582.19029999999998</v>
      </c>
      <c r="BB126" s="13">
        <f t="shared" ca="1" si="58"/>
        <v>592.10839999999996</v>
      </c>
      <c r="BC126" s="13">
        <f t="shared" ca="1" si="59"/>
        <v>582.19029999999998</v>
      </c>
      <c r="BD126" s="13">
        <f t="shared" ca="1" si="60"/>
        <v>587.14930000000004</v>
      </c>
      <c r="BE126" s="13">
        <f t="shared" ca="1" si="61"/>
        <v>90310</v>
      </c>
      <c r="BF126">
        <f>ROW()</f>
        <v>126</v>
      </c>
      <c r="BH126" t="str">
        <f t="shared" si="62"/>
        <v>BC122:BC126</v>
      </c>
      <c r="BI126">
        <f t="shared" si="79"/>
        <v>114</v>
      </c>
      <c r="BJ126">
        <f t="shared" ca="1" si="63"/>
        <v>576.63618000000008</v>
      </c>
      <c r="BL126" t="str">
        <f t="shared" si="64"/>
        <v>BC107:BC126</v>
      </c>
      <c r="BM126">
        <f t="shared" si="80"/>
        <v>99</v>
      </c>
      <c r="BN126">
        <f t="shared" ca="1" si="65"/>
        <v>529.62456000000009</v>
      </c>
      <c r="BP126" t="str">
        <f t="shared" si="66"/>
        <v>BC67:BC126</v>
      </c>
      <c r="BQ126">
        <f t="shared" si="81"/>
        <v>59</v>
      </c>
      <c r="BR126">
        <f t="shared" ca="1" si="67"/>
        <v>488.38085833333326</v>
      </c>
      <c r="BT126">
        <f t="shared" ca="1" si="83"/>
        <v>535.67458999999985</v>
      </c>
      <c r="BU126">
        <f t="shared" ca="1" si="88"/>
        <v>11.946718648610444</v>
      </c>
      <c r="BV126">
        <f t="shared" ca="1" si="89"/>
        <v>559.56802729722074</v>
      </c>
      <c r="BW126">
        <f t="shared" ca="1" si="90"/>
        <v>511.78115270277897</v>
      </c>
      <c r="BY126">
        <f t="shared" ca="1" si="53"/>
        <v>576.63618000000008</v>
      </c>
      <c r="BZ126">
        <f t="shared" ca="1" si="54"/>
        <v>529.62456000000009</v>
      </c>
      <c r="CA126">
        <f t="shared" ca="1" si="55"/>
        <v>488.38085833333326</v>
      </c>
      <c r="CD126" t="str">
        <f>IF(周K!$E$3+CK126-12&gt;工作底稿!$CE$5,"周K!A"&amp;周K!$E$3-$CE$5+1+CK126-8,0)</f>
        <v>周K!A286</v>
      </c>
      <c r="CE126" s="4">
        <f t="shared" ca="1" si="68"/>
        <v>43416</v>
      </c>
      <c r="CF126" s="13">
        <f ca="1">IF($CD126=0,"",VLOOKUP($CE126,周K!$A$6:$F$6842,2,0))</f>
        <v>230</v>
      </c>
      <c r="CG126" s="13">
        <f ca="1">IF($CD126=0,"",VLOOKUP($CE126,周K!$A$6:$F$6842,3,0))</f>
        <v>234.5</v>
      </c>
      <c r="CH126" s="13">
        <f ca="1">IF($CD126=0,"",VLOOKUP($CE126,周K!$A$6:$F$6842,4,0))</f>
        <v>224.5</v>
      </c>
      <c r="CI126" s="13">
        <f ca="1">IF($CD126=0,"",VLOOKUP($CE126,周K!$A$6:$F$6842,5,0))</f>
        <v>226</v>
      </c>
      <c r="CJ126" s="13">
        <f ca="1">IF($CD126=0,"",VLOOKUP($CE126,周K!$A$6:$F$6842,6,0))</f>
        <v>157702</v>
      </c>
      <c r="CK126">
        <f>ROW()</f>
        <v>126</v>
      </c>
      <c r="CM126" t="str">
        <f t="shared" si="69"/>
        <v>CG122:CG126</v>
      </c>
      <c r="CN126">
        <f t="shared" si="70"/>
        <v>114</v>
      </c>
      <c r="CO126">
        <f t="shared" ca="1" si="71"/>
        <v>238</v>
      </c>
      <c r="CQ126" t="str">
        <f t="shared" si="72"/>
        <v>CG107:CG126</v>
      </c>
      <c r="CR126">
        <f t="shared" si="73"/>
        <v>99</v>
      </c>
      <c r="CS126">
        <f t="shared" ca="1" si="74"/>
        <v>247.3</v>
      </c>
      <c r="CU126" t="str">
        <f t="shared" si="75"/>
        <v>CG67:CG126</v>
      </c>
      <c r="CV126">
        <f t="shared" si="76"/>
        <v>59</v>
      </c>
      <c r="CW126">
        <f t="shared" ca="1" si="77"/>
        <v>242.67500000000001</v>
      </c>
      <c r="CY126">
        <f t="shared" ca="1" si="78"/>
        <v>587.14932499999998</v>
      </c>
      <c r="CZ126">
        <f t="shared" ca="1" si="82"/>
        <v>560.01642930181254</v>
      </c>
      <c r="DA126">
        <f t="shared" ca="1" si="85"/>
        <v>535.33102080294657</v>
      </c>
      <c r="DB126">
        <f t="shared" ca="1" si="84"/>
        <v>24.685408498865968</v>
      </c>
      <c r="DC126">
        <f t="shared" ca="1" si="86"/>
        <v>17.285225060139105</v>
      </c>
      <c r="DD126">
        <f t="shared" ca="1" si="87"/>
        <v>7.400183438726863</v>
      </c>
    </row>
    <row r="127" spans="51:108" x14ac:dyDescent="0.25">
      <c r="AY127" t="str">
        <f>"日K!A"&amp;日K!$E$3-239+1+BF127-8</f>
        <v>日K!A6719</v>
      </c>
      <c r="AZ127" s="4">
        <f t="shared" ca="1" si="56"/>
        <v>44211</v>
      </c>
      <c r="BA127" s="13">
        <f t="shared" ca="1" si="57"/>
        <v>615.9117</v>
      </c>
      <c r="BB127" s="13">
        <f t="shared" ca="1" si="58"/>
        <v>619.87890000000004</v>
      </c>
      <c r="BC127" s="13">
        <f t="shared" ca="1" si="59"/>
        <v>596.07560000000001</v>
      </c>
      <c r="BD127" s="13">
        <f t="shared" ca="1" si="60"/>
        <v>596.07560000000001</v>
      </c>
      <c r="BE127" s="13">
        <f t="shared" ca="1" si="61"/>
        <v>100998</v>
      </c>
      <c r="BF127">
        <f>ROW()</f>
        <v>127</v>
      </c>
      <c r="BH127" t="str">
        <f t="shared" si="62"/>
        <v>BC123:BC127</v>
      </c>
      <c r="BI127">
        <f t="shared" si="79"/>
        <v>115</v>
      </c>
      <c r="BJ127">
        <f t="shared" ca="1" si="63"/>
        <v>582.58702000000005</v>
      </c>
      <c r="BL127" t="str">
        <f t="shared" si="64"/>
        <v>BC108:BC127</v>
      </c>
      <c r="BM127">
        <f t="shared" si="80"/>
        <v>100</v>
      </c>
      <c r="BN127">
        <f t="shared" ca="1" si="65"/>
        <v>534.23645999999997</v>
      </c>
      <c r="BP127" t="str">
        <f t="shared" si="66"/>
        <v>BC68:BC127</v>
      </c>
      <c r="BQ127">
        <f t="shared" si="81"/>
        <v>60</v>
      </c>
      <c r="BR127">
        <f t="shared" ca="1" si="67"/>
        <v>490.92144999999988</v>
      </c>
      <c r="BT127">
        <f t="shared" ca="1" si="83"/>
        <v>540.28648999999984</v>
      </c>
      <c r="BU127">
        <f t="shared" ca="1" si="88"/>
        <v>13.215018389234769</v>
      </c>
      <c r="BV127">
        <f t="shared" ca="1" si="89"/>
        <v>566.71652677846942</v>
      </c>
      <c r="BW127">
        <f t="shared" ca="1" si="90"/>
        <v>513.85645322153027</v>
      </c>
      <c r="BY127">
        <f t="shared" ca="1" si="53"/>
        <v>582.58702000000005</v>
      </c>
      <c r="BZ127">
        <f t="shared" ca="1" si="54"/>
        <v>534.23645999999997</v>
      </c>
      <c r="CA127">
        <f t="shared" ca="1" si="55"/>
        <v>490.92144999999988</v>
      </c>
      <c r="CD127" t="str">
        <f>IF(周K!$E$3+CK127-12&gt;工作底稿!$CE$5,"周K!A"&amp;周K!$E$3-$CE$5+1+CK127-8,0)</f>
        <v>周K!A287</v>
      </c>
      <c r="CE127" s="4">
        <f t="shared" ca="1" si="68"/>
        <v>43423</v>
      </c>
      <c r="CF127" s="13">
        <f ca="1">IF($CD127=0,"",VLOOKUP($CE127,周K!$A$6:$F$6842,2,0))</f>
        <v>225</v>
      </c>
      <c r="CG127" s="13">
        <f ca="1">IF($CD127=0,"",VLOOKUP($CE127,周K!$A$6:$F$6842,3,0))</f>
        <v>225</v>
      </c>
      <c r="CH127" s="13">
        <f ca="1">IF($CD127=0,"",VLOOKUP($CE127,周K!$A$6:$F$6842,4,0))</f>
        <v>214</v>
      </c>
      <c r="CI127" s="13">
        <f ca="1">IF($CD127=0,"",VLOOKUP($CE127,周K!$A$6:$F$6842,5,0))</f>
        <v>218.5</v>
      </c>
      <c r="CJ127" s="13">
        <f ca="1">IF($CD127=0,"",VLOOKUP($CE127,周K!$A$6:$F$6842,6,0))</f>
        <v>172814</v>
      </c>
      <c r="CK127">
        <f>ROW()</f>
        <v>127</v>
      </c>
      <c r="CM127" t="str">
        <f t="shared" si="69"/>
        <v>CG123:CG127</v>
      </c>
      <c r="CN127">
        <f t="shared" si="70"/>
        <v>115</v>
      </c>
      <c r="CO127">
        <f t="shared" ca="1" si="71"/>
        <v>234.4</v>
      </c>
      <c r="CQ127" t="str">
        <f t="shared" si="72"/>
        <v>CG108:CG127</v>
      </c>
      <c r="CR127">
        <f t="shared" si="73"/>
        <v>100</v>
      </c>
      <c r="CS127">
        <f t="shared" ca="1" si="74"/>
        <v>247.6</v>
      </c>
      <c r="CU127" t="str">
        <f t="shared" si="75"/>
        <v>CG68:CG127</v>
      </c>
      <c r="CV127">
        <f t="shared" si="76"/>
        <v>60</v>
      </c>
      <c r="CW127">
        <f t="shared" ca="1" si="77"/>
        <v>242.78333333333333</v>
      </c>
      <c r="CY127">
        <f t="shared" ca="1" si="78"/>
        <v>602.02642500000002</v>
      </c>
      <c r="CZ127">
        <f t="shared" ca="1" si="82"/>
        <v>566.47950556307217</v>
      </c>
      <c r="DA127">
        <f t="shared" ca="1" si="85"/>
        <v>540.27142111383944</v>
      </c>
      <c r="DB127">
        <f t="shared" ca="1" si="84"/>
        <v>26.208084449232729</v>
      </c>
      <c r="DC127">
        <f t="shared" ca="1" si="86"/>
        <v>19.057746430570926</v>
      </c>
      <c r="DD127">
        <f t="shared" ca="1" si="87"/>
        <v>7.1503380186618024</v>
      </c>
    </row>
    <row r="128" spans="51:108" x14ac:dyDescent="0.25">
      <c r="AY128" t="str">
        <f>"日K!A"&amp;日K!$E$3-239+1+BF128-8</f>
        <v>日K!A6720</v>
      </c>
      <c r="AZ128" s="4">
        <f t="shared" ca="1" si="56"/>
        <v>44214</v>
      </c>
      <c r="BA128" s="13">
        <f t="shared" ca="1" si="57"/>
        <v>603.01819999999998</v>
      </c>
      <c r="BB128" s="13">
        <f t="shared" ca="1" si="58"/>
        <v>603.01819999999998</v>
      </c>
      <c r="BC128" s="13">
        <f t="shared" ca="1" si="59"/>
        <v>589.13300000000004</v>
      </c>
      <c r="BD128" s="13">
        <f t="shared" ca="1" si="60"/>
        <v>602.02639999999997</v>
      </c>
      <c r="BE128" s="13">
        <f t="shared" ca="1" si="61"/>
        <v>50389</v>
      </c>
      <c r="BF128">
        <f>ROW()</f>
        <v>128</v>
      </c>
      <c r="BH128" t="str">
        <f t="shared" si="62"/>
        <v>BC124:BC128</v>
      </c>
      <c r="BI128">
        <f t="shared" si="79"/>
        <v>116</v>
      </c>
      <c r="BJ128">
        <f t="shared" ca="1" si="63"/>
        <v>586.55426000000011</v>
      </c>
      <c r="BL128" t="str">
        <f t="shared" si="64"/>
        <v>BC109:BC128</v>
      </c>
      <c r="BM128">
        <f t="shared" si="80"/>
        <v>101</v>
      </c>
      <c r="BN128">
        <f t="shared" ca="1" si="65"/>
        <v>538.55082000000004</v>
      </c>
      <c r="BP128" t="str">
        <f t="shared" si="66"/>
        <v>BC69:BC128</v>
      </c>
      <c r="BQ128">
        <f t="shared" si="81"/>
        <v>61</v>
      </c>
      <c r="BR128">
        <f t="shared" ca="1" si="67"/>
        <v>493.31343333333331</v>
      </c>
      <c r="BT128">
        <f t="shared" ca="1" si="83"/>
        <v>545.09674999999993</v>
      </c>
      <c r="BU128">
        <f t="shared" ca="1" si="88"/>
        <v>14.576289684804435</v>
      </c>
      <c r="BV128">
        <f t="shared" ca="1" si="89"/>
        <v>574.24932936960874</v>
      </c>
      <c r="BW128">
        <f t="shared" ca="1" si="90"/>
        <v>515.94417063039111</v>
      </c>
      <c r="BY128">
        <f t="shared" ca="1" si="53"/>
        <v>586.55426000000011</v>
      </c>
      <c r="BZ128">
        <f t="shared" ca="1" si="54"/>
        <v>538.55082000000004</v>
      </c>
      <c r="CA128">
        <f t="shared" ca="1" si="55"/>
        <v>493.31343333333331</v>
      </c>
      <c r="CD128" t="str">
        <f>IF(周K!$E$3+CK128-12&gt;工作底稿!$CE$5,"周K!A"&amp;周K!$E$3-$CE$5+1+CK128-8,0)</f>
        <v>周K!A288</v>
      </c>
      <c r="CE128" s="4">
        <f t="shared" ca="1" si="68"/>
        <v>43430</v>
      </c>
      <c r="CF128" s="13">
        <f ca="1">IF($CD128=0,"",VLOOKUP($CE128,周K!$A$6:$F$6842,2,0))</f>
        <v>219</v>
      </c>
      <c r="CG128" s="13">
        <f ca="1">IF($CD128=0,"",VLOOKUP($CE128,周K!$A$6:$F$6842,3,0))</f>
        <v>231.5</v>
      </c>
      <c r="CH128" s="13">
        <f ca="1">IF($CD128=0,"",VLOOKUP($CE128,周K!$A$6:$F$6842,4,0))</f>
        <v>218.5</v>
      </c>
      <c r="CI128" s="13">
        <f ca="1">IF($CD128=0,"",VLOOKUP($CE128,周K!$A$6:$F$6842,5,0))</f>
        <v>225.5</v>
      </c>
      <c r="CJ128" s="13">
        <f ca="1">IF($CD128=0,"",VLOOKUP($CE128,周K!$A$6:$F$6842,6,0))</f>
        <v>196262</v>
      </c>
      <c r="CK128">
        <f>ROW()</f>
        <v>128</v>
      </c>
      <c r="CM128" t="str">
        <f t="shared" si="69"/>
        <v>CG124:CG128</v>
      </c>
      <c r="CN128">
        <f t="shared" si="70"/>
        <v>116</v>
      </c>
      <c r="CO128">
        <f t="shared" ca="1" si="71"/>
        <v>233.1</v>
      </c>
      <c r="CQ128" t="str">
        <f t="shared" si="72"/>
        <v>CG109:CG128</v>
      </c>
      <c r="CR128">
        <f t="shared" si="73"/>
        <v>101</v>
      </c>
      <c r="CS128">
        <f t="shared" ca="1" si="74"/>
        <v>247.95</v>
      </c>
      <c r="CU128" t="str">
        <f t="shared" si="75"/>
        <v>CG69:CG128</v>
      </c>
      <c r="CV128">
        <f t="shared" si="76"/>
        <v>61</v>
      </c>
      <c r="CW128">
        <f t="shared" ca="1" si="77"/>
        <v>242.88333333333333</v>
      </c>
      <c r="CY128">
        <f t="shared" ca="1" si="78"/>
        <v>599.05099999999993</v>
      </c>
      <c r="CZ128">
        <f t="shared" ca="1" si="82"/>
        <v>571.49050470721488</v>
      </c>
      <c r="DA128">
        <f t="shared" ca="1" si="85"/>
        <v>544.62546399429573</v>
      </c>
      <c r="DB128">
        <f t="shared" ca="1" si="84"/>
        <v>26.865040712919154</v>
      </c>
      <c r="DC128">
        <f t="shared" ca="1" si="86"/>
        <v>20.789714053337061</v>
      </c>
      <c r="DD128">
        <f t="shared" ca="1" si="87"/>
        <v>6.0753266595820925</v>
      </c>
    </row>
    <row r="129" spans="51:108" x14ac:dyDescent="0.25">
      <c r="AY129" t="str">
        <f>"日K!A"&amp;日K!$E$3-239+1+BF129-8</f>
        <v>日K!A6721</v>
      </c>
      <c r="AZ129" s="4">
        <f t="shared" ca="1" si="56"/>
        <v>44215</v>
      </c>
      <c r="BA129" s="13">
        <f t="shared" ca="1" si="57"/>
        <v>612.93629999999996</v>
      </c>
      <c r="BB129" s="13">
        <f t="shared" ca="1" si="58"/>
        <v>626.82159999999999</v>
      </c>
      <c r="BC129" s="13">
        <f t="shared" ca="1" si="59"/>
        <v>607.97730000000001</v>
      </c>
      <c r="BD129" s="13">
        <f t="shared" ca="1" si="60"/>
        <v>621.86260000000004</v>
      </c>
      <c r="BE129" s="13">
        <f t="shared" ca="1" si="61"/>
        <v>52947</v>
      </c>
      <c r="BF129">
        <f>ROW()</f>
        <v>129</v>
      </c>
      <c r="BH129" t="str">
        <f t="shared" si="62"/>
        <v>BC125:BC129</v>
      </c>
      <c r="BI129">
        <f t="shared" si="79"/>
        <v>117</v>
      </c>
      <c r="BJ129">
        <f t="shared" ca="1" si="63"/>
        <v>592.70345999999995</v>
      </c>
      <c r="BL129" t="str">
        <f t="shared" si="64"/>
        <v>BC110:BC129</v>
      </c>
      <c r="BM129">
        <f t="shared" si="80"/>
        <v>102</v>
      </c>
      <c r="BN129">
        <f t="shared" ca="1" si="65"/>
        <v>543.75780500000008</v>
      </c>
      <c r="BP129" t="str">
        <f t="shared" si="66"/>
        <v>BC70:BC129</v>
      </c>
      <c r="BQ129">
        <f t="shared" si="81"/>
        <v>62</v>
      </c>
      <c r="BR129">
        <f t="shared" ca="1" si="67"/>
        <v>496.04416166666664</v>
      </c>
      <c r="BT129">
        <f t="shared" ca="1" si="83"/>
        <v>550.6012750000001</v>
      </c>
      <c r="BU129">
        <f t="shared" ca="1" si="88"/>
        <v>16.058828216562095</v>
      </c>
      <c r="BV129">
        <f t="shared" ca="1" si="89"/>
        <v>582.71893143312434</v>
      </c>
      <c r="BW129">
        <f t="shared" ca="1" si="90"/>
        <v>518.48361856687586</v>
      </c>
      <c r="BY129">
        <f t="shared" ca="1" si="53"/>
        <v>592.70345999999995</v>
      </c>
      <c r="BZ129">
        <f t="shared" ca="1" si="54"/>
        <v>543.75780500000008</v>
      </c>
      <c r="CA129">
        <f t="shared" ca="1" si="55"/>
        <v>496.04416166666664</v>
      </c>
      <c r="CD129" t="str">
        <f>IF(周K!$E$3+CK129-12&gt;工作底稿!$CE$5,"周K!A"&amp;周K!$E$3-$CE$5+1+CK129-8,0)</f>
        <v>周K!A289</v>
      </c>
      <c r="CE129" s="4">
        <f t="shared" ca="1" si="68"/>
        <v>43437</v>
      </c>
      <c r="CF129" s="13">
        <f ca="1">IF($CD129=0,"",VLOOKUP($CE129,周K!$A$6:$F$6842,2,0))</f>
        <v>231</v>
      </c>
      <c r="CG129" s="13">
        <f ca="1">IF($CD129=0,"",VLOOKUP($CE129,周K!$A$6:$F$6842,3,0))</f>
        <v>235</v>
      </c>
      <c r="CH129" s="13">
        <f ca="1">IF($CD129=0,"",VLOOKUP($CE129,周K!$A$6:$F$6842,4,0))</f>
        <v>219.5</v>
      </c>
      <c r="CI129" s="13">
        <f ca="1">IF($CD129=0,"",VLOOKUP($CE129,周K!$A$6:$F$6842,5,0))</f>
        <v>221</v>
      </c>
      <c r="CJ129" s="13">
        <f ca="1">IF($CD129=0,"",VLOOKUP($CE129,周K!$A$6:$F$6842,6,0))</f>
        <v>209373</v>
      </c>
      <c r="CK129">
        <f>ROW()</f>
        <v>129</v>
      </c>
      <c r="CM129" t="str">
        <f t="shared" si="69"/>
        <v>CG125:CG129</v>
      </c>
      <c r="CN129">
        <f t="shared" si="70"/>
        <v>117</v>
      </c>
      <c r="CO129">
        <f t="shared" ca="1" si="71"/>
        <v>232.7</v>
      </c>
      <c r="CQ129" t="str">
        <f t="shared" si="72"/>
        <v>CG110:CG129</v>
      </c>
      <c r="CR129">
        <f t="shared" si="73"/>
        <v>102</v>
      </c>
      <c r="CS129">
        <f t="shared" ca="1" si="74"/>
        <v>247.82499999999999</v>
      </c>
      <c r="CU129" t="str">
        <f t="shared" si="75"/>
        <v>CG70:CG129</v>
      </c>
      <c r="CV129">
        <f t="shared" si="76"/>
        <v>62</v>
      </c>
      <c r="CW129">
        <f t="shared" ca="1" si="77"/>
        <v>242.84166666666667</v>
      </c>
      <c r="CY129">
        <f t="shared" ca="1" si="78"/>
        <v>619.63102500000002</v>
      </c>
      <c r="CZ129">
        <f t="shared" ca="1" si="82"/>
        <v>578.89673859841264</v>
      </c>
      <c r="DA129">
        <f t="shared" ca="1" si="85"/>
        <v>550.1814314761998</v>
      </c>
      <c r="DB129">
        <f t="shared" ca="1" si="84"/>
        <v>28.715307122212835</v>
      </c>
      <c r="DC129">
        <f t="shared" ca="1" si="86"/>
        <v>22.580058200353861</v>
      </c>
      <c r="DD129">
        <f t="shared" ca="1" si="87"/>
        <v>6.1352489218589739</v>
      </c>
    </row>
    <row r="130" spans="51:108" x14ac:dyDescent="0.25">
      <c r="AY130" t="str">
        <f>"日K!A"&amp;日K!$E$3-239+1+BF130-8</f>
        <v>日K!A6722</v>
      </c>
      <c r="AZ130" s="4">
        <f t="shared" ca="1" si="56"/>
        <v>44216</v>
      </c>
      <c r="BA130" s="13">
        <f t="shared" ca="1" si="57"/>
        <v>627.8134</v>
      </c>
      <c r="BB130" s="13">
        <f t="shared" ca="1" si="58"/>
        <v>644.67409999999995</v>
      </c>
      <c r="BC130" s="13">
        <f t="shared" ca="1" si="59"/>
        <v>625.82979999999998</v>
      </c>
      <c r="BD130" s="13">
        <f t="shared" ca="1" si="60"/>
        <v>641.69870000000003</v>
      </c>
      <c r="BE130" s="13">
        <f t="shared" ca="1" si="61"/>
        <v>95484</v>
      </c>
      <c r="BF130">
        <f>ROW()</f>
        <v>130</v>
      </c>
      <c r="BH130" t="str">
        <f t="shared" si="62"/>
        <v>BC126:BC130</v>
      </c>
      <c r="BI130">
        <f t="shared" si="79"/>
        <v>118</v>
      </c>
      <c r="BJ130">
        <f t="shared" ca="1" si="63"/>
        <v>600.24119999999994</v>
      </c>
      <c r="BL130" t="str">
        <f t="shared" si="64"/>
        <v>BC111:BC130</v>
      </c>
      <c r="BM130">
        <f t="shared" si="80"/>
        <v>103</v>
      </c>
      <c r="BN130">
        <f t="shared" ca="1" si="65"/>
        <v>549.80782499999998</v>
      </c>
      <c r="BP130" t="str">
        <f t="shared" si="66"/>
        <v>BC71:BC130</v>
      </c>
      <c r="BQ130">
        <f t="shared" si="81"/>
        <v>63</v>
      </c>
      <c r="BR130">
        <f t="shared" ca="1" si="67"/>
        <v>499.146455</v>
      </c>
      <c r="BT130">
        <f t="shared" ca="1" si="83"/>
        <v>557.44474000000014</v>
      </c>
      <c r="BU130">
        <f t="shared" ca="1" si="88"/>
        <v>17.751603101354196</v>
      </c>
      <c r="BV130">
        <f t="shared" ca="1" si="89"/>
        <v>592.94794620270852</v>
      </c>
      <c r="BW130">
        <f t="shared" ca="1" si="90"/>
        <v>521.94153379729175</v>
      </c>
      <c r="BY130">
        <f t="shared" ca="1" si="53"/>
        <v>600.24119999999994</v>
      </c>
      <c r="BZ130">
        <f t="shared" ca="1" si="54"/>
        <v>549.80782499999998</v>
      </c>
      <c r="CA130">
        <f t="shared" ca="1" si="55"/>
        <v>499.146455</v>
      </c>
      <c r="CD130" t="str">
        <f>IF(周K!$E$3+CK130-12&gt;工作底稿!$CE$5,"周K!A"&amp;周K!$E$3-$CE$5+1+CK130-8,0)</f>
        <v>周K!A290</v>
      </c>
      <c r="CE130" s="4">
        <f t="shared" ca="1" si="68"/>
        <v>43444</v>
      </c>
      <c r="CF130" s="13">
        <f ca="1">IF($CD130=0,"",VLOOKUP($CE130,周K!$A$6:$F$6842,2,0))</f>
        <v>219.5</v>
      </c>
      <c r="CG130" s="13">
        <f ca="1">IF($CD130=0,"",VLOOKUP($CE130,周K!$A$6:$F$6842,3,0))</f>
        <v>227.5</v>
      </c>
      <c r="CH130" s="13">
        <f ca="1">IF($CD130=0,"",VLOOKUP($CE130,周K!$A$6:$F$6842,4,0))</f>
        <v>218.5</v>
      </c>
      <c r="CI130" s="13">
        <f ca="1">IF($CD130=0,"",VLOOKUP($CE130,周K!$A$6:$F$6842,5,0))</f>
        <v>222.5</v>
      </c>
      <c r="CJ130" s="13">
        <f ca="1">IF($CD130=0,"",VLOOKUP($CE130,周K!$A$6:$F$6842,6,0))</f>
        <v>162210</v>
      </c>
      <c r="CK130">
        <f>ROW()</f>
        <v>130</v>
      </c>
      <c r="CM130" t="str">
        <f t="shared" si="69"/>
        <v>CG126:CG130</v>
      </c>
      <c r="CN130">
        <f t="shared" si="70"/>
        <v>118</v>
      </c>
      <c r="CO130">
        <f t="shared" ca="1" si="71"/>
        <v>230.7</v>
      </c>
      <c r="CQ130" t="str">
        <f t="shared" si="72"/>
        <v>CG111:CG130</v>
      </c>
      <c r="CR130">
        <f t="shared" si="73"/>
        <v>103</v>
      </c>
      <c r="CS130">
        <f t="shared" ca="1" si="74"/>
        <v>246.95</v>
      </c>
      <c r="CU130" t="str">
        <f t="shared" si="75"/>
        <v>CG71:CG130</v>
      </c>
      <c r="CV130">
        <f t="shared" si="76"/>
        <v>63</v>
      </c>
      <c r="CW130">
        <f t="shared" ca="1" si="77"/>
        <v>242.60833333333332</v>
      </c>
      <c r="CY130">
        <f t="shared" ca="1" si="78"/>
        <v>638.475325</v>
      </c>
      <c r="CZ130">
        <f t="shared" ca="1" si="82"/>
        <v>588.06267496788757</v>
      </c>
      <c r="DA130">
        <f t="shared" ca="1" si="85"/>
        <v>556.72171988537025</v>
      </c>
      <c r="DB130">
        <f t="shared" ca="1" si="84"/>
        <v>31.340955082517326</v>
      </c>
      <c r="DC130">
        <f t="shared" ca="1" si="86"/>
        <v>24.433097411703596</v>
      </c>
      <c r="DD130">
        <f t="shared" ca="1" si="87"/>
        <v>6.9078576708137298</v>
      </c>
    </row>
    <row r="131" spans="51:108" x14ac:dyDescent="0.25">
      <c r="AY131" t="str">
        <f>"日K!A"&amp;日K!$E$3-239+1+BF131-8</f>
        <v>日K!A6723</v>
      </c>
      <c r="AZ131" s="4">
        <f t="shared" ca="1" si="56"/>
        <v>44217</v>
      </c>
      <c r="BA131" s="13">
        <f t="shared" ca="1" si="57"/>
        <v>634.75599999999997</v>
      </c>
      <c r="BB131" s="13">
        <f t="shared" ca="1" si="58"/>
        <v>673.43650000000002</v>
      </c>
      <c r="BC131" s="13">
        <f t="shared" ca="1" si="59"/>
        <v>634.75599999999997</v>
      </c>
      <c r="BD131" s="13">
        <f t="shared" ca="1" si="60"/>
        <v>667.48569999999995</v>
      </c>
      <c r="BE131" s="13">
        <f t="shared" ca="1" si="61"/>
        <v>97590</v>
      </c>
      <c r="BF131">
        <f>ROW()</f>
        <v>131</v>
      </c>
      <c r="BH131" t="str">
        <f t="shared" si="62"/>
        <v>BC127:BC131</v>
      </c>
      <c r="BI131">
        <f t="shared" si="79"/>
        <v>119</v>
      </c>
      <c r="BJ131">
        <f t="shared" ca="1" si="63"/>
        <v>610.75433999999996</v>
      </c>
      <c r="BL131" t="str">
        <f t="shared" si="64"/>
        <v>BC112:BC131</v>
      </c>
      <c r="BM131">
        <f t="shared" si="80"/>
        <v>104</v>
      </c>
      <c r="BN131">
        <f t="shared" ca="1" si="65"/>
        <v>556.45292499999994</v>
      </c>
      <c r="BP131" t="str">
        <f t="shared" si="66"/>
        <v>BC72:BC131</v>
      </c>
      <c r="BQ131">
        <f t="shared" si="81"/>
        <v>64</v>
      </c>
      <c r="BR131">
        <f t="shared" ca="1" si="67"/>
        <v>502.43864166666663</v>
      </c>
      <c r="BT131">
        <f t="shared" ca="1" si="83"/>
        <v>565.57755500000007</v>
      </c>
      <c r="BU131">
        <f t="shared" ca="1" si="88"/>
        <v>19.742469306903573</v>
      </c>
      <c r="BV131">
        <f t="shared" ca="1" si="89"/>
        <v>605.06249361380719</v>
      </c>
      <c r="BW131">
        <f t="shared" ca="1" si="90"/>
        <v>526.09261638619296</v>
      </c>
      <c r="BY131">
        <f t="shared" ca="1" si="53"/>
        <v>610.75433999999996</v>
      </c>
      <c r="BZ131">
        <f t="shared" ca="1" si="54"/>
        <v>556.45292499999994</v>
      </c>
      <c r="CA131">
        <f t="shared" ca="1" si="55"/>
        <v>502.43864166666663</v>
      </c>
      <c r="CD131" t="str">
        <f>IF(周K!$E$3+CK131-12&gt;工作底稿!$CE$5,"周K!A"&amp;周K!$E$3-$CE$5+1+CK131-8,0)</f>
        <v>周K!A291</v>
      </c>
      <c r="CE131" s="4">
        <f t="shared" ca="1" si="68"/>
        <v>43451</v>
      </c>
      <c r="CF131" s="13">
        <f ca="1">IF($CD131=0,"",VLOOKUP($CE131,周K!$A$6:$F$6842,2,0))</f>
        <v>221</v>
      </c>
      <c r="CG131" s="13">
        <f ca="1">IF($CD131=0,"",VLOOKUP($CE131,周K!$A$6:$F$6842,3,0))</f>
        <v>225.5</v>
      </c>
      <c r="CH131" s="13">
        <f ca="1">IF($CD131=0,"",VLOOKUP($CE131,周K!$A$6:$F$6842,4,0))</f>
        <v>219</v>
      </c>
      <c r="CI131" s="13">
        <f ca="1">IF($CD131=0,"",VLOOKUP($CE131,周K!$A$6:$F$6842,5,0))</f>
        <v>221.5</v>
      </c>
      <c r="CJ131" s="13">
        <f ca="1">IF($CD131=0,"",VLOOKUP($CE131,周K!$A$6:$F$6842,6,0))</f>
        <v>163480</v>
      </c>
      <c r="CK131">
        <f>ROW()</f>
        <v>131</v>
      </c>
      <c r="CM131" t="str">
        <f t="shared" si="69"/>
        <v>CG127:CG131</v>
      </c>
      <c r="CN131">
        <f t="shared" si="70"/>
        <v>119</v>
      </c>
      <c r="CO131">
        <f t="shared" ca="1" si="71"/>
        <v>228.9</v>
      </c>
      <c r="CQ131" t="str">
        <f t="shared" si="72"/>
        <v>CG112:CG131</v>
      </c>
      <c r="CR131">
        <f t="shared" si="73"/>
        <v>104</v>
      </c>
      <c r="CS131">
        <f t="shared" ca="1" si="74"/>
        <v>245.75</v>
      </c>
      <c r="CU131" t="str">
        <f t="shared" si="75"/>
        <v>CG72:CG131</v>
      </c>
      <c r="CV131">
        <f t="shared" si="76"/>
        <v>64</v>
      </c>
      <c r="CW131">
        <f t="shared" ca="1" si="77"/>
        <v>242.36666666666667</v>
      </c>
      <c r="CY131">
        <f t="shared" ca="1" si="78"/>
        <v>660.790975</v>
      </c>
      <c r="CZ131">
        <f t="shared" ca="1" si="82"/>
        <v>599.25164420359715</v>
      </c>
      <c r="DA131">
        <f t="shared" ca="1" si="85"/>
        <v>564.43055359756499</v>
      </c>
      <c r="DB131">
        <f t="shared" ca="1" si="84"/>
        <v>34.821090606032158</v>
      </c>
      <c r="DC131">
        <f t="shared" ca="1" si="86"/>
        <v>26.384466940437139</v>
      </c>
      <c r="DD131">
        <f t="shared" ca="1" si="87"/>
        <v>8.4366236655950182</v>
      </c>
    </row>
    <row r="132" spans="51:108" x14ac:dyDescent="0.25">
      <c r="AY132" t="str">
        <f>"日K!A"&amp;日K!$E$3-239+1+BF132-8</f>
        <v>日K!A6724</v>
      </c>
      <c r="AZ132" s="4">
        <f t="shared" ca="1" si="56"/>
        <v>44218</v>
      </c>
      <c r="BA132" s="13">
        <f t="shared" ca="1" si="57"/>
        <v>643.68230000000005</v>
      </c>
      <c r="BB132" s="13">
        <f t="shared" ca="1" si="58"/>
        <v>659.55119999999999</v>
      </c>
      <c r="BC132" s="13">
        <f t="shared" ca="1" si="59"/>
        <v>643.68230000000005</v>
      </c>
      <c r="BD132" s="13">
        <f t="shared" ca="1" si="60"/>
        <v>643.68230000000005</v>
      </c>
      <c r="BE132" s="13">
        <f t="shared" ca="1" si="61"/>
        <v>134238</v>
      </c>
      <c r="BF132">
        <f>ROW()</f>
        <v>132</v>
      </c>
      <c r="BH132" t="str">
        <f t="shared" si="62"/>
        <v>BC128:BC132</v>
      </c>
      <c r="BI132">
        <f t="shared" si="79"/>
        <v>120</v>
      </c>
      <c r="BJ132">
        <f t="shared" ca="1" si="63"/>
        <v>620.27567999999997</v>
      </c>
      <c r="BL132" t="str">
        <f t="shared" si="64"/>
        <v>BC113:BC132</v>
      </c>
      <c r="BM132">
        <f t="shared" si="80"/>
        <v>105</v>
      </c>
      <c r="BN132">
        <f t="shared" ca="1" si="65"/>
        <v>563.44515999999999</v>
      </c>
      <c r="BP132" t="str">
        <f t="shared" si="66"/>
        <v>BC73:BC132</v>
      </c>
      <c r="BQ132">
        <f t="shared" si="81"/>
        <v>65</v>
      </c>
      <c r="BR132">
        <f t="shared" ca="1" si="67"/>
        <v>506.00296999999995</v>
      </c>
      <c r="BT132">
        <f t="shared" ca="1" si="83"/>
        <v>572.47061000000008</v>
      </c>
      <c r="BU132">
        <f t="shared" ca="1" si="88"/>
        <v>21.80062291754334</v>
      </c>
      <c r="BV132">
        <f t="shared" ca="1" si="89"/>
        <v>616.07185583508681</v>
      </c>
      <c r="BW132">
        <f t="shared" ca="1" si="90"/>
        <v>528.86936416491335</v>
      </c>
      <c r="BY132">
        <f t="shared" ca="1" si="53"/>
        <v>620.27567999999997</v>
      </c>
      <c r="BZ132">
        <f t="shared" ca="1" si="54"/>
        <v>563.44515999999999</v>
      </c>
      <c r="CA132">
        <f t="shared" ca="1" si="55"/>
        <v>506.00296999999995</v>
      </c>
      <c r="CD132" t="str">
        <f>IF(周K!$E$3+CK132-12&gt;工作底稿!$CE$5,"周K!A"&amp;周K!$E$3-$CE$5+1+CK132-8,0)</f>
        <v>周K!A292</v>
      </c>
      <c r="CE132" s="4">
        <f t="shared" ca="1" si="68"/>
        <v>43458</v>
      </c>
      <c r="CF132" s="13">
        <f ca="1">IF($CD132=0,"",VLOOKUP($CE132,周K!$A$6:$F$6842,2,0))</f>
        <v>221.5</v>
      </c>
      <c r="CG132" s="13">
        <f ca="1">IF($CD132=0,"",VLOOKUP($CE132,周K!$A$6:$F$6842,3,0))</f>
        <v>225.5</v>
      </c>
      <c r="CH132" s="13">
        <f ca="1">IF($CD132=0,"",VLOOKUP($CE132,周K!$A$6:$F$6842,4,0))</f>
        <v>215</v>
      </c>
      <c r="CI132" s="13">
        <f ca="1">IF($CD132=0,"",VLOOKUP($CE132,周K!$A$6:$F$6842,5,0))</f>
        <v>225.5</v>
      </c>
      <c r="CJ132" s="13">
        <f ca="1">IF($CD132=0,"",VLOOKUP($CE132,周K!$A$6:$F$6842,6,0))</f>
        <v>111744</v>
      </c>
      <c r="CK132">
        <f>ROW()</f>
        <v>132</v>
      </c>
      <c r="CM132" t="str">
        <f t="shared" si="69"/>
        <v>CG128:CG132</v>
      </c>
      <c r="CN132">
        <f t="shared" si="70"/>
        <v>120</v>
      </c>
      <c r="CO132">
        <f t="shared" ca="1" si="71"/>
        <v>229</v>
      </c>
      <c r="CQ132" t="str">
        <f t="shared" si="72"/>
        <v>CG113:CG132</v>
      </c>
      <c r="CR132">
        <f t="shared" si="73"/>
        <v>105</v>
      </c>
      <c r="CS132">
        <f t="shared" ca="1" si="74"/>
        <v>244.625</v>
      </c>
      <c r="CU132" t="str">
        <f t="shared" si="75"/>
        <v>CG73:CG132</v>
      </c>
      <c r="CV132">
        <f t="shared" si="76"/>
        <v>65</v>
      </c>
      <c r="CW132">
        <f t="shared" ca="1" si="77"/>
        <v>242.04166666666666</v>
      </c>
      <c r="CY132">
        <f t="shared" ca="1" si="78"/>
        <v>647.64952500000004</v>
      </c>
      <c r="CZ132">
        <f t="shared" ca="1" si="82"/>
        <v>606.69747201842836</v>
      </c>
      <c r="DA132">
        <f t="shared" ca="1" si="85"/>
        <v>570.5949218495972</v>
      </c>
      <c r="DB132">
        <f t="shared" ca="1" si="84"/>
        <v>36.102550168831158</v>
      </c>
      <c r="DC132">
        <f t="shared" ca="1" si="86"/>
        <v>28.241192161633649</v>
      </c>
      <c r="DD132">
        <f t="shared" ca="1" si="87"/>
        <v>7.8613580071975093</v>
      </c>
    </row>
    <row r="133" spans="51:108" x14ac:dyDescent="0.25">
      <c r="AY133" t="str">
        <f>"日K!A"&amp;日K!$E$3-239+1+BF133-8</f>
        <v>日K!A6725</v>
      </c>
      <c r="AZ133" s="4">
        <f t="shared" ca="1" si="56"/>
        <v>44221</v>
      </c>
      <c r="BA133" s="13">
        <f t="shared" ca="1" si="57"/>
        <v>636.73969999999997</v>
      </c>
      <c r="BB133" s="13">
        <f t="shared" ca="1" si="58"/>
        <v>640.70690000000002</v>
      </c>
      <c r="BC133" s="13">
        <f t="shared" ca="1" si="59"/>
        <v>620.87080000000003</v>
      </c>
      <c r="BD133" s="13">
        <f t="shared" ca="1" si="60"/>
        <v>627.8134</v>
      </c>
      <c r="BE133" s="13">
        <f t="shared" ca="1" si="61"/>
        <v>98608</v>
      </c>
      <c r="BF133">
        <f>ROW()</f>
        <v>133</v>
      </c>
      <c r="BH133" t="str">
        <f t="shared" si="62"/>
        <v>BC129:BC133</v>
      </c>
      <c r="BI133">
        <f t="shared" si="79"/>
        <v>121</v>
      </c>
      <c r="BJ133">
        <f t="shared" ca="1" si="63"/>
        <v>626.62324000000001</v>
      </c>
      <c r="BL133" t="str">
        <f t="shared" si="64"/>
        <v>BC114:BC133</v>
      </c>
      <c r="BM133">
        <f t="shared" si="80"/>
        <v>106</v>
      </c>
      <c r="BN133">
        <f t="shared" ca="1" si="65"/>
        <v>569.19764000000009</v>
      </c>
      <c r="BP133" t="str">
        <f t="shared" si="66"/>
        <v>BC74:BC133</v>
      </c>
      <c r="BQ133">
        <f t="shared" si="81"/>
        <v>66</v>
      </c>
      <c r="BR133">
        <f t="shared" ca="1" si="67"/>
        <v>509.24468000000002</v>
      </c>
      <c r="BT133">
        <f t="shared" ca="1" si="83"/>
        <v>578.52063000000021</v>
      </c>
      <c r="BU133">
        <f t="shared" ca="1" si="88"/>
        <v>23.788105650020871</v>
      </c>
      <c r="BV133">
        <f t="shared" ca="1" si="89"/>
        <v>626.096841300042</v>
      </c>
      <c r="BW133">
        <f t="shared" ca="1" si="90"/>
        <v>530.94441869995842</v>
      </c>
      <c r="BY133">
        <f t="shared" ca="1" si="53"/>
        <v>626.62324000000001</v>
      </c>
      <c r="BZ133">
        <f t="shared" ca="1" si="54"/>
        <v>569.19764000000009</v>
      </c>
      <c r="CA133">
        <f t="shared" ca="1" si="55"/>
        <v>509.24468000000002</v>
      </c>
      <c r="CD133" t="str">
        <f>IF(周K!$E$3+CK133-12&gt;工作底稿!$CE$5,"周K!A"&amp;周K!$E$3-$CE$5+1+CK133-8,0)</f>
        <v>周K!A293</v>
      </c>
      <c r="CE133" s="4">
        <f t="shared" ca="1" si="68"/>
        <v>43467</v>
      </c>
      <c r="CF133" s="13">
        <f ca="1">IF($CD133=0,"",VLOOKUP($CE133,周K!$A$6:$F$6842,2,0))</f>
        <v>226.5</v>
      </c>
      <c r="CG133" s="13">
        <f ca="1">IF($CD133=0,"",VLOOKUP($CE133,周K!$A$6:$F$6842,3,0))</f>
        <v>226.5</v>
      </c>
      <c r="CH133" s="13">
        <f ca="1">IF($CD133=0,"",VLOOKUP($CE133,周K!$A$6:$F$6842,4,0))</f>
        <v>206.5</v>
      </c>
      <c r="CI133" s="13">
        <f ca="1">IF($CD133=0,"",VLOOKUP($CE133,周K!$A$6:$F$6842,5,0))</f>
        <v>208</v>
      </c>
      <c r="CJ133" s="13">
        <f ca="1">IF($CD133=0,"",VLOOKUP($CE133,周K!$A$6:$F$6842,6,0))</f>
        <v>134560</v>
      </c>
      <c r="CK133">
        <f>ROW()</f>
        <v>133</v>
      </c>
      <c r="CM133" t="str">
        <f t="shared" si="69"/>
        <v>CG129:CG133</v>
      </c>
      <c r="CN133">
        <f t="shared" si="70"/>
        <v>121</v>
      </c>
      <c r="CO133">
        <f t="shared" ca="1" si="71"/>
        <v>228</v>
      </c>
      <c r="CQ133" t="str">
        <f t="shared" si="72"/>
        <v>CG114:CG133</v>
      </c>
      <c r="CR133">
        <f t="shared" si="73"/>
        <v>106</v>
      </c>
      <c r="CS133">
        <f t="shared" ca="1" si="74"/>
        <v>243.7</v>
      </c>
      <c r="CU133" t="str">
        <f t="shared" si="75"/>
        <v>CG74:CG133</v>
      </c>
      <c r="CV133">
        <f t="shared" si="76"/>
        <v>66</v>
      </c>
      <c r="CW133">
        <f t="shared" ca="1" si="77"/>
        <v>241.75</v>
      </c>
      <c r="CY133">
        <f t="shared" ca="1" si="78"/>
        <v>629.30112499999996</v>
      </c>
      <c r="CZ133">
        <f t="shared" ca="1" si="82"/>
        <v>610.17495709251637</v>
      </c>
      <c r="DA133">
        <f t="shared" ca="1" si="85"/>
        <v>574.94352949036784</v>
      </c>
      <c r="DB133">
        <f t="shared" ca="1" si="84"/>
        <v>35.231427602148528</v>
      </c>
      <c r="DC133">
        <f t="shared" ca="1" si="86"/>
        <v>29.763053701564811</v>
      </c>
      <c r="DD133">
        <f t="shared" ca="1" si="87"/>
        <v>5.4683739005837175</v>
      </c>
    </row>
    <row r="134" spans="51:108" x14ac:dyDescent="0.25">
      <c r="AY134" t="str">
        <f>"日K!A"&amp;日K!$E$3-239+1+BF134-8</f>
        <v>日K!A6726</v>
      </c>
      <c r="AZ134" s="4">
        <f t="shared" ca="1" si="56"/>
        <v>44222</v>
      </c>
      <c r="BA134" s="13">
        <f t="shared" ca="1" si="57"/>
        <v>626.82159999999999</v>
      </c>
      <c r="BB134" s="13">
        <f t="shared" ca="1" si="58"/>
        <v>634.75599999999997</v>
      </c>
      <c r="BC134" s="13">
        <f t="shared" ca="1" si="59"/>
        <v>605.00189999999998</v>
      </c>
      <c r="BD134" s="13">
        <f t="shared" ca="1" si="60"/>
        <v>611.94449999999995</v>
      </c>
      <c r="BE134" s="13">
        <f t="shared" ca="1" si="61"/>
        <v>114798</v>
      </c>
      <c r="BF134">
        <f>ROW()</f>
        <v>134</v>
      </c>
      <c r="BH134" t="str">
        <f t="shared" si="62"/>
        <v>BC130:BC134</v>
      </c>
      <c r="BI134">
        <f t="shared" si="79"/>
        <v>122</v>
      </c>
      <c r="BJ134">
        <f t="shared" ca="1" si="63"/>
        <v>626.02816000000007</v>
      </c>
      <c r="BL134" t="str">
        <f t="shared" si="64"/>
        <v>BC115:BC134</v>
      </c>
      <c r="BM134">
        <f t="shared" si="80"/>
        <v>107</v>
      </c>
      <c r="BN134">
        <f t="shared" ca="1" si="65"/>
        <v>574.20626500000003</v>
      </c>
      <c r="BP134" t="str">
        <f t="shared" si="66"/>
        <v>BC75:BC134</v>
      </c>
      <c r="BQ134">
        <f t="shared" si="81"/>
        <v>67</v>
      </c>
      <c r="BR134">
        <f t="shared" ca="1" si="67"/>
        <v>512.28770499999996</v>
      </c>
      <c r="BT134">
        <f t="shared" ca="1" si="83"/>
        <v>583.57884000000001</v>
      </c>
      <c r="BU134">
        <f t="shared" ca="1" si="88"/>
        <v>25.619218092961557</v>
      </c>
      <c r="BV134">
        <f t="shared" ca="1" si="89"/>
        <v>634.81727618592311</v>
      </c>
      <c r="BW134">
        <f t="shared" ca="1" si="90"/>
        <v>532.34040381407692</v>
      </c>
      <c r="BY134">
        <f t="shared" ca="1" si="53"/>
        <v>626.02816000000007</v>
      </c>
      <c r="BZ134">
        <f t="shared" ca="1" si="54"/>
        <v>574.20626500000003</v>
      </c>
      <c r="CA134">
        <f t="shared" ca="1" si="55"/>
        <v>512.28770499999996</v>
      </c>
      <c r="CD134" t="str">
        <f>IF(周K!$E$3+CK134-12&gt;工作底稿!$CE$5,"周K!A"&amp;周K!$E$3-$CE$5+1+CK134-8,0)</f>
        <v>周K!A294</v>
      </c>
      <c r="CE134" s="4">
        <f t="shared" ca="1" si="68"/>
        <v>43472</v>
      </c>
      <c r="CF134" s="13">
        <f ca="1">IF($CD134=0,"",VLOOKUP($CE134,周K!$A$6:$F$6842,2,0))</f>
        <v>212</v>
      </c>
      <c r="CG134" s="13">
        <f ca="1">IF($CD134=0,"",VLOOKUP($CE134,周K!$A$6:$F$6842,3,0))</f>
        <v>220.5</v>
      </c>
      <c r="CH134" s="13">
        <f ca="1">IF($CD134=0,"",VLOOKUP($CE134,周K!$A$6:$F$6842,4,0))</f>
        <v>210</v>
      </c>
      <c r="CI134" s="13">
        <f ca="1">IF($CD134=0,"",VLOOKUP($CE134,周K!$A$6:$F$6842,5,0))</f>
        <v>220.5</v>
      </c>
      <c r="CJ134" s="13">
        <f ca="1">IF($CD134=0,"",VLOOKUP($CE134,周K!$A$6:$F$6842,6,0))</f>
        <v>160236</v>
      </c>
      <c r="CK134">
        <f>ROW()</f>
        <v>134</v>
      </c>
      <c r="CM134" t="str">
        <f t="shared" si="69"/>
        <v>CG130:CG134</v>
      </c>
      <c r="CN134">
        <f t="shared" si="70"/>
        <v>122</v>
      </c>
      <c r="CO134">
        <f t="shared" ca="1" si="71"/>
        <v>225.1</v>
      </c>
      <c r="CQ134" t="str">
        <f t="shared" si="72"/>
        <v>CG115:CG134</v>
      </c>
      <c r="CR134">
        <f t="shared" si="73"/>
        <v>107</v>
      </c>
      <c r="CS134">
        <f t="shared" ca="1" si="74"/>
        <v>242.42500000000001</v>
      </c>
      <c r="CU134" t="str">
        <f t="shared" si="75"/>
        <v>CG75:CG134</v>
      </c>
      <c r="CV134">
        <f t="shared" si="76"/>
        <v>67</v>
      </c>
      <c r="CW134">
        <f t="shared" ca="1" si="77"/>
        <v>241.38333333333333</v>
      </c>
      <c r="CY134">
        <f t="shared" ca="1" si="78"/>
        <v>615.91172499999993</v>
      </c>
      <c r="CZ134">
        <f t="shared" ca="1" si="82"/>
        <v>611.05753677059067</v>
      </c>
      <c r="DA134">
        <f t="shared" ca="1" si="85"/>
        <v>577.97821063922947</v>
      </c>
      <c r="DB134">
        <f t="shared" ca="1" si="84"/>
        <v>33.079326131361199</v>
      </c>
      <c r="DC134">
        <f t="shared" ca="1" si="86"/>
        <v>30.783243374902341</v>
      </c>
      <c r="DD134">
        <f t="shared" ca="1" si="87"/>
        <v>2.2960827564588584</v>
      </c>
    </row>
    <row r="135" spans="51:108" x14ac:dyDescent="0.25">
      <c r="AY135" t="str">
        <f>"日K!A"&amp;日K!$E$3-239+1+BF135-8</f>
        <v>日K!A6727</v>
      </c>
      <c r="AZ135" s="4">
        <f t="shared" ca="1" si="56"/>
        <v>44223</v>
      </c>
      <c r="BA135" s="13">
        <f t="shared" ca="1" si="57"/>
        <v>612.93629999999996</v>
      </c>
      <c r="BB135" s="13">
        <f t="shared" ca="1" si="58"/>
        <v>619.87890000000004</v>
      </c>
      <c r="BC135" s="13">
        <f t="shared" ca="1" si="59"/>
        <v>605.99369999999999</v>
      </c>
      <c r="BD135" s="13">
        <f t="shared" ca="1" si="60"/>
        <v>609.96090000000004</v>
      </c>
      <c r="BE135" s="13">
        <f t="shared" ca="1" si="61"/>
        <v>72824</v>
      </c>
      <c r="BF135">
        <f>ROW()</f>
        <v>135</v>
      </c>
      <c r="BH135" t="str">
        <f t="shared" si="62"/>
        <v>BC131:BC135</v>
      </c>
      <c r="BI135">
        <f t="shared" si="79"/>
        <v>123</v>
      </c>
      <c r="BJ135">
        <f t="shared" ca="1" si="63"/>
        <v>622.06093999999996</v>
      </c>
      <c r="BL135" t="str">
        <f t="shared" si="64"/>
        <v>BC116:BC135</v>
      </c>
      <c r="BM135">
        <f t="shared" si="80"/>
        <v>108</v>
      </c>
      <c r="BN135">
        <f t="shared" ca="1" si="65"/>
        <v>579.06612000000007</v>
      </c>
      <c r="BP135" t="str">
        <f t="shared" si="66"/>
        <v>BC76:BC135</v>
      </c>
      <c r="BQ135">
        <f t="shared" si="81"/>
        <v>68</v>
      </c>
      <c r="BR135">
        <f t="shared" ca="1" si="67"/>
        <v>515.18276666666668</v>
      </c>
      <c r="BT135">
        <f t="shared" ca="1" si="83"/>
        <v>588.53786999999988</v>
      </c>
      <c r="BU135">
        <f t="shared" ca="1" si="88"/>
        <v>27.25366463150392</v>
      </c>
      <c r="BV135">
        <f t="shared" ca="1" si="89"/>
        <v>643.0451992630077</v>
      </c>
      <c r="BW135">
        <f t="shared" ca="1" si="90"/>
        <v>534.03054073699207</v>
      </c>
      <c r="BY135">
        <f t="shared" ca="1" si="53"/>
        <v>622.06093999999996</v>
      </c>
      <c r="BZ135">
        <f t="shared" ca="1" si="54"/>
        <v>579.06612000000007</v>
      </c>
      <c r="CA135">
        <f t="shared" ca="1" si="55"/>
        <v>515.18276666666668</v>
      </c>
      <c r="CD135" t="str">
        <f>IF(周K!$E$3+CK135-12&gt;工作底稿!$CE$5,"周K!A"&amp;周K!$E$3-$CE$5+1+CK135-8,0)</f>
        <v>周K!A295</v>
      </c>
      <c r="CE135" s="4">
        <f t="shared" ca="1" si="68"/>
        <v>43479</v>
      </c>
      <c r="CF135" s="13">
        <f ca="1">IF($CD135=0,"",VLOOKUP($CE135,周K!$A$6:$F$6842,2,0))</f>
        <v>218.5</v>
      </c>
      <c r="CG135" s="13">
        <f ca="1">IF($CD135=0,"",VLOOKUP($CE135,周K!$A$6:$F$6842,3,0))</f>
        <v>221</v>
      </c>
      <c r="CH135" s="13">
        <f ca="1">IF($CD135=0,"",VLOOKUP($CE135,周K!$A$6:$F$6842,4,0))</f>
        <v>215.5</v>
      </c>
      <c r="CI135" s="13">
        <f ca="1">IF($CD135=0,"",VLOOKUP($CE135,周K!$A$6:$F$6842,5,0))</f>
        <v>218.5</v>
      </c>
      <c r="CJ135" s="13">
        <f ca="1">IF($CD135=0,"",VLOOKUP($CE135,周K!$A$6:$F$6842,6,0))</f>
        <v>164483</v>
      </c>
      <c r="CK135">
        <f>ROW()</f>
        <v>135</v>
      </c>
      <c r="CM135" t="str">
        <f t="shared" si="69"/>
        <v>CG131:CG135</v>
      </c>
      <c r="CN135">
        <f t="shared" si="70"/>
        <v>123</v>
      </c>
      <c r="CO135">
        <f t="shared" ca="1" si="71"/>
        <v>223.8</v>
      </c>
      <c r="CQ135" t="str">
        <f t="shared" si="72"/>
        <v>CG116:CG135</v>
      </c>
      <c r="CR135">
        <f t="shared" si="73"/>
        <v>108</v>
      </c>
      <c r="CS135">
        <f t="shared" ca="1" si="74"/>
        <v>240.07499999999999</v>
      </c>
      <c r="CU135" t="str">
        <f t="shared" si="75"/>
        <v>CG76:CG135</v>
      </c>
      <c r="CV135">
        <f t="shared" si="76"/>
        <v>68</v>
      </c>
      <c r="CW135">
        <f t="shared" ca="1" si="77"/>
        <v>240.99166666666667</v>
      </c>
      <c r="CY135">
        <f t="shared" ca="1" si="78"/>
        <v>611.44860000000006</v>
      </c>
      <c r="CZ135">
        <f t="shared" ca="1" si="82"/>
        <v>611.11770034434585</v>
      </c>
      <c r="DA135">
        <f t="shared" ca="1" si="85"/>
        <v>580.45749874002729</v>
      </c>
      <c r="DB135">
        <f t="shared" ca="1" si="84"/>
        <v>30.660201604318559</v>
      </c>
      <c r="DC135">
        <f t="shared" ca="1" si="86"/>
        <v>31.447109275508183</v>
      </c>
      <c r="DD135">
        <f t="shared" ca="1" si="87"/>
        <v>-0.78690767118962412</v>
      </c>
    </row>
    <row r="136" spans="51:108" x14ac:dyDescent="0.25">
      <c r="AY136" t="str">
        <f>"日K!A"&amp;日K!$E$3-239+1+BF136-8</f>
        <v>日K!A6728</v>
      </c>
      <c r="AZ136" s="4">
        <f t="shared" ca="1" si="56"/>
        <v>44224</v>
      </c>
      <c r="BA136" s="13">
        <f t="shared" ca="1" si="57"/>
        <v>595.0838</v>
      </c>
      <c r="BB136" s="13">
        <f t="shared" ca="1" si="58"/>
        <v>603.01819999999998</v>
      </c>
      <c r="BC136" s="13">
        <f t="shared" ca="1" si="59"/>
        <v>593.10019999999997</v>
      </c>
      <c r="BD136" s="13">
        <f t="shared" ca="1" si="60"/>
        <v>596.07560000000001</v>
      </c>
      <c r="BE136" s="13">
        <f t="shared" ca="1" si="61"/>
        <v>104182</v>
      </c>
      <c r="BF136">
        <f>ROW()</f>
        <v>136</v>
      </c>
      <c r="BH136" t="str">
        <f t="shared" si="62"/>
        <v>BC132:BC136</v>
      </c>
      <c r="BI136">
        <f t="shared" si="79"/>
        <v>124</v>
      </c>
      <c r="BJ136">
        <f t="shared" ca="1" si="63"/>
        <v>613.72978000000001</v>
      </c>
      <c r="BL136" t="str">
        <f t="shared" si="64"/>
        <v>BC117:BC136</v>
      </c>
      <c r="BM136">
        <f t="shared" si="80"/>
        <v>109</v>
      </c>
      <c r="BN136">
        <f t="shared" ca="1" si="65"/>
        <v>583.23171000000002</v>
      </c>
      <c r="BP136" t="str">
        <f t="shared" si="66"/>
        <v>BC77:BC136</v>
      </c>
      <c r="BQ136">
        <f t="shared" si="81"/>
        <v>69</v>
      </c>
      <c r="BR136">
        <f t="shared" ca="1" si="67"/>
        <v>517.78069000000005</v>
      </c>
      <c r="BT136">
        <f t="shared" ca="1" si="83"/>
        <v>592.30673499999989</v>
      </c>
      <c r="BU136">
        <f t="shared" ca="1" si="88"/>
        <v>28.579230131304936</v>
      </c>
      <c r="BV136">
        <f t="shared" ca="1" si="89"/>
        <v>649.46519526260977</v>
      </c>
      <c r="BW136">
        <f t="shared" ca="1" si="90"/>
        <v>535.14827473739001</v>
      </c>
      <c r="BY136">
        <f t="shared" ref="BY136:BY199" ca="1" si="91">IF($BZ$5="MA",BJ136,BT136)</f>
        <v>613.72978000000001</v>
      </c>
      <c r="BZ136">
        <f t="shared" ref="BZ136:BZ199" ca="1" si="92">IF($BZ$5="MA",BN136,BV136)</f>
        <v>583.23171000000002</v>
      </c>
      <c r="CA136">
        <f t="shared" ref="CA136:CA199" ca="1" si="93">IF($BZ$5="MA",BR136,BW136)</f>
        <v>517.78069000000005</v>
      </c>
      <c r="CD136" t="str">
        <f>IF(周K!$E$3+CK136-12&gt;工作底稿!$CE$5,"周K!A"&amp;周K!$E$3-$CE$5+1+CK136-8,0)</f>
        <v>周K!A296</v>
      </c>
      <c r="CE136" s="4">
        <f t="shared" ca="1" si="68"/>
        <v>43486</v>
      </c>
      <c r="CF136" s="13">
        <f ca="1">IF($CD136=0,"",VLOOKUP($CE136,周K!$A$6:$F$6842,2,0))</f>
        <v>220</v>
      </c>
      <c r="CG136" s="13">
        <f ca="1">IF($CD136=0,"",VLOOKUP($CE136,周K!$A$6:$F$6842,3,0))</f>
        <v>227</v>
      </c>
      <c r="CH136" s="13">
        <f ca="1">IF($CD136=0,"",VLOOKUP($CE136,周K!$A$6:$F$6842,4,0))</f>
        <v>219</v>
      </c>
      <c r="CI136" s="13">
        <f ca="1">IF($CD136=0,"",VLOOKUP($CE136,周K!$A$6:$F$6842,5,0))</f>
        <v>226</v>
      </c>
      <c r="CJ136" s="13">
        <f ca="1">IF($CD136=0,"",VLOOKUP($CE136,周K!$A$6:$F$6842,6,0))</f>
        <v>161534</v>
      </c>
      <c r="CK136">
        <f>ROW()</f>
        <v>136</v>
      </c>
      <c r="CM136" t="str">
        <f t="shared" si="69"/>
        <v>CG132:CG136</v>
      </c>
      <c r="CN136">
        <f t="shared" si="70"/>
        <v>124</v>
      </c>
      <c r="CO136">
        <f t="shared" ca="1" si="71"/>
        <v>224.1</v>
      </c>
      <c r="CQ136" t="str">
        <f t="shared" si="72"/>
        <v>CG117:CG136</v>
      </c>
      <c r="CR136">
        <f t="shared" si="73"/>
        <v>109</v>
      </c>
      <c r="CS136">
        <f t="shared" ca="1" si="74"/>
        <v>238.02500000000001</v>
      </c>
      <c r="CU136" t="str">
        <f t="shared" si="75"/>
        <v>CG77:CG136</v>
      </c>
      <c r="CV136">
        <f t="shared" si="76"/>
        <v>69</v>
      </c>
      <c r="CW136">
        <f t="shared" ca="1" si="77"/>
        <v>240.77500000000001</v>
      </c>
      <c r="CY136">
        <f t="shared" ca="1" si="78"/>
        <v>597.06739999999991</v>
      </c>
      <c r="CZ136">
        <f t="shared" ca="1" si="82"/>
        <v>608.95611567598496</v>
      </c>
      <c r="DA136">
        <f t="shared" ca="1" si="85"/>
        <v>581.68786179632161</v>
      </c>
      <c r="DB136">
        <f t="shared" ca="1" si="84"/>
        <v>27.268253879663348</v>
      </c>
      <c r="DC136">
        <f t="shared" ca="1" si="86"/>
        <v>31.564905878889363</v>
      </c>
      <c r="DD136">
        <f t="shared" ca="1" si="87"/>
        <v>-4.2966519992260146</v>
      </c>
    </row>
    <row r="137" spans="51:108" x14ac:dyDescent="0.25">
      <c r="AY137" t="str">
        <f>"日K!A"&amp;日K!$E$3-239+1+BF137-8</f>
        <v>日K!A6729</v>
      </c>
      <c r="AZ137" s="4">
        <f t="shared" ref="AZ137:AZ200" ca="1" si="94">INDIRECT(AY137)</f>
        <v>44225</v>
      </c>
      <c r="BA137" s="13">
        <f t="shared" ref="BA137:BA200" ca="1" si="95">VLOOKUP($AZ137,INDIRECT($AY$7),2,0)</f>
        <v>613.92809999999997</v>
      </c>
      <c r="BB137" s="13">
        <f t="shared" ref="BB137:BB200" ca="1" si="96">VLOOKUP($AZ137,INDIRECT($AY$7),3,0)</f>
        <v>613.92809999999997</v>
      </c>
      <c r="BC137" s="13">
        <f t="shared" ref="BC137:BC200" ca="1" si="97">VLOOKUP($AZ137,INDIRECT($AY$7),4,0)</f>
        <v>586.15750000000003</v>
      </c>
      <c r="BD137" s="13">
        <f t="shared" ref="BD137:BD200" ca="1" si="98">VLOOKUP($AZ137,INDIRECT($AY$7),5,0)</f>
        <v>586.15750000000003</v>
      </c>
      <c r="BE137" s="13">
        <f t="shared" ref="BE137:BE200" ca="1" si="99">VLOOKUP($AZ137,INDIRECT($AY$7),6,0)</f>
        <v>96876</v>
      </c>
      <c r="BF137">
        <f>ROW()</f>
        <v>137</v>
      </c>
      <c r="BH137" t="str">
        <f t="shared" ref="BH137:BH200" si="100">"BC"&amp;$BF137-BJ$5+1&amp;":"&amp;"BC"&amp;$BF137</f>
        <v>BC133:BC137</v>
      </c>
      <c r="BI137">
        <f t="shared" si="79"/>
        <v>125</v>
      </c>
      <c r="BJ137">
        <f t="shared" ref="BJ137:BJ200" ca="1" si="101">IF(BI137&gt;=0,AVERAGE(INDIRECT(BH137)),NA())</f>
        <v>602.22482000000002</v>
      </c>
      <c r="BL137" t="str">
        <f t="shared" ref="BL137:BL200" si="102">"BC"&amp;$BF137-BN$5+1&amp;":"&amp;"BC"&amp;$BF137</f>
        <v>BC118:BC137</v>
      </c>
      <c r="BM137">
        <f t="shared" si="80"/>
        <v>110</v>
      </c>
      <c r="BN137">
        <f t="shared" ref="BN137:BN200" ca="1" si="103">IF(BM137&gt;=0,AVERAGE(INDIRECT(BL137)),NA())</f>
        <v>586.55426</v>
      </c>
      <c r="BP137" t="str">
        <f t="shared" ref="BP137:BP200" si="104">"BC"&amp;$BF137-BR$5+1&amp;":"&amp;"BC"&amp;$BF137</f>
        <v>BC78:BC137</v>
      </c>
      <c r="BQ137">
        <f t="shared" si="81"/>
        <v>70</v>
      </c>
      <c r="BR137">
        <f t="shared" ref="BR137:BR200" ca="1" si="105">IF(BQ137&gt;=0,AVERAGE(INDIRECT(BP137)),NA())</f>
        <v>520.22177833333342</v>
      </c>
      <c r="BT137">
        <f t="shared" ca="1" si="83"/>
        <v>595.33174499999996</v>
      </c>
      <c r="BU137">
        <f t="shared" ca="1" si="88"/>
        <v>29.566107973778507</v>
      </c>
      <c r="BV137">
        <f t="shared" ca="1" si="89"/>
        <v>654.46396094755698</v>
      </c>
      <c r="BW137">
        <f t="shared" ca="1" si="90"/>
        <v>536.19952905244293</v>
      </c>
      <c r="BY137">
        <f t="shared" ca="1" si="91"/>
        <v>602.22482000000002</v>
      </c>
      <c r="BZ137">
        <f t="shared" ca="1" si="92"/>
        <v>586.55426</v>
      </c>
      <c r="CA137">
        <f t="shared" ca="1" si="93"/>
        <v>520.22177833333342</v>
      </c>
      <c r="CD137" t="str">
        <f>IF(周K!$E$3+CK137-12&gt;工作底稿!$CE$5,"周K!A"&amp;周K!$E$3-$CE$5+1+CK137-8,0)</f>
        <v>周K!A297</v>
      </c>
      <c r="CE137" s="4">
        <f t="shared" ref="CE137:CE200" ca="1" si="106">IF($CD137=0,"",INDIRECT(CD137))</f>
        <v>43493</v>
      </c>
      <c r="CF137" s="13">
        <f ca="1">IF($CD137=0,"",VLOOKUP($CE137,周K!$A$6:$F$6842,2,0))</f>
        <v>229.5</v>
      </c>
      <c r="CG137" s="13">
        <f ca="1">IF($CD137=0,"",VLOOKUP($CE137,周K!$A$6:$F$6842,3,0))</f>
        <v>229.5</v>
      </c>
      <c r="CH137" s="13">
        <f ca="1">IF($CD137=0,"",VLOOKUP($CE137,周K!$A$6:$F$6842,4,0))</f>
        <v>220</v>
      </c>
      <c r="CI137" s="13">
        <f ca="1">IF($CD137=0,"",VLOOKUP($CE137,周K!$A$6:$F$6842,5,0))</f>
        <v>221</v>
      </c>
      <c r="CJ137" s="13">
        <f ca="1">IF($CD137=0,"",VLOOKUP($CE137,周K!$A$6:$F$6842,6,0))</f>
        <v>123591</v>
      </c>
      <c r="CK137">
        <f>ROW()</f>
        <v>137</v>
      </c>
      <c r="CM137" t="str">
        <f t="shared" ref="CM137:CM200" si="107">"CG"&amp;$CK137-CO$5+1&amp;":"&amp;"CG"&amp;$CK137</f>
        <v>CG133:CG137</v>
      </c>
      <c r="CN137">
        <f t="shared" ref="CN137:CN200" si="108">$CK137-CO$5-7</f>
        <v>125</v>
      </c>
      <c r="CO137">
        <f t="shared" ref="CO137:CO200" ca="1" si="109">IF(CN137&gt;=0,AVERAGE(INDIRECT(CM137)),NA())</f>
        <v>224.9</v>
      </c>
      <c r="CQ137" t="str">
        <f t="shared" ref="CQ137:CQ200" si="110">"CG"&amp;$CK137-CS$5+1&amp;":"&amp;"CG"&amp;$CK137</f>
        <v>CG118:CG137</v>
      </c>
      <c r="CR137">
        <f t="shared" ref="CR137:CR200" si="111">$CK137-CS$5-7</f>
        <v>110</v>
      </c>
      <c r="CS137">
        <f t="shared" ref="CS137:CS200" ca="1" si="112">IF(CR137&gt;=0,AVERAGE(INDIRECT(CQ137)),NA())</f>
        <v>236.17500000000001</v>
      </c>
      <c r="CU137" t="str">
        <f t="shared" ref="CU137:CU200" si="113">"CG"&amp;$CK137-CW$5+1&amp;":"&amp;"CG"&amp;$CK137</f>
        <v>CG78:CG137</v>
      </c>
      <c r="CV137">
        <f t="shared" ref="CV137:CV200" si="114">$CK137-CW$5-7</f>
        <v>70</v>
      </c>
      <c r="CW137">
        <f t="shared" ref="CW137:CW200" ca="1" si="115">IF(CV137&gt;=0,AVERAGE(INDIRECT(CU137)),NA())</f>
        <v>240.69166666666666</v>
      </c>
      <c r="CY137">
        <f t="shared" ref="CY137:CY200" ca="1" si="116">(BB137+BC137+2*BD137)/4</f>
        <v>593.10014999999999</v>
      </c>
      <c r="CZ137">
        <f t="shared" ca="1" si="82"/>
        <v>606.51673634121812</v>
      </c>
      <c r="DA137">
        <f t="shared" ca="1" si="85"/>
        <v>582.53321647807547</v>
      </c>
      <c r="DB137">
        <f t="shared" ca="1" si="84"/>
        <v>23.983519863142646</v>
      </c>
      <c r="DC137">
        <f t="shared" ca="1" si="86"/>
        <v>31.244736895580861</v>
      </c>
      <c r="DD137">
        <f t="shared" ca="1" si="87"/>
        <v>-7.2612170324382141</v>
      </c>
    </row>
    <row r="138" spans="51:108" x14ac:dyDescent="0.25">
      <c r="AY138" t="str">
        <f>"日K!A"&amp;日K!$E$3-239+1+BF138-8</f>
        <v>日K!A6730</v>
      </c>
      <c r="AZ138" s="4">
        <f t="shared" ca="1" si="94"/>
        <v>44228</v>
      </c>
      <c r="BA138" s="13">
        <f t="shared" ca="1" si="95"/>
        <v>590.12480000000005</v>
      </c>
      <c r="BB138" s="13">
        <f t="shared" ca="1" si="96"/>
        <v>606.9855</v>
      </c>
      <c r="BC138" s="13">
        <f t="shared" ca="1" si="97"/>
        <v>582.19029999999998</v>
      </c>
      <c r="BD138" s="13">
        <f t="shared" ca="1" si="98"/>
        <v>605.99369999999999</v>
      </c>
      <c r="BE138" s="13">
        <f t="shared" ca="1" si="99"/>
        <v>70162</v>
      </c>
      <c r="BF138">
        <f>ROW()</f>
        <v>138</v>
      </c>
      <c r="BH138" t="str">
        <f t="shared" si="100"/>
        <v>BC134:BC138</v>
      </c>
      <c r="BI138">
        <f t="shared" si="79"/>
        <v>126</v>
      </c>
      <c r="BJ138">
        <f t="shared" ca="1" si="101"/>
        <v>594.48872000000006</v>
      </c>
      <c r="BL138" t="str">
        <f t="shared" si="102"/>
        <v>BC119:BC138</v>
      </c>
      <c r="BM138">
        <f t="shared" si="80"/>
        <v>111</v>
      </c>
      <c r="BN138">
        <f t="shared" ca="1" si="103"/>
        <v>589.48009000000002</v>
      </c>
      <c r="BP138" t="str">
        <f t="shared" si="104"/>
        <v>BC79:BC138</v>
      </c>
      <c r="BQ138">
        <f t="shared" si="81"/>
        <v>71</v>
      </c>
      <c r="BR138">
        <f t="shared" ca="1" si="105"/>
        <v>522.52272333333337</v>
      </c>
      <c r="BT138">
        <f t="shared" ca="1" si="83"/>
        <v>599.05102000000011</v>
      </c>
      <c r="BU138">
        <f t="shared" ca="1" si="88"/>
        <v>30.285528291447772</v>
      </c>
      <c r="BV138">
        <f t="shared" ca="1" si="89"/>
        <v>659.6220765828956</v>
      </c>
      <c r="BW138">
        <f t="shared" ca="1" si="90"/>
        <v>538.47996341710461</v>
      </c>
      <c r="BY138">
        <f t="shared" ca="1" si="91"/>
        <v>594.48872000000006</v>
      </c>
      <c r="BZ138">
        <f t="shared" ca="1" si="92"/>
        <v>589.48009000000002</v>
      </c>
      <c r="CA138">
        <f t="shared" ca="1" si="93"/>
        <v>522.52272333333337</v>
      </c>
      <c r="CD138" t="str">
        <f>IF(周K!$E$3+CK138-12&gt;工作底稿!$CE$5,"周K!A"&amp;周K!$E$3-$CE$5+1+CK138-8,0)</f>
        <v>周K!A298</v>
      </c>
      <c r="CE138" s="4">
        <f t="shared" ca="1" si="106"/>
        <v>43507</v>
      </c>
      <c r="CF138" s="13">
        <f ca="1">IF($CD138=0,"",VLOOKUP($CE138,周K!$A$6:$F$6842,2,0))</f>
        <v>228</v>
      </c>
      <c r="CG138" s="13">
        <f ca="1">IF($CD138=0,"",VLOOKUP($CE138,周K!$A$6:$F$6842,3,0))</f>
        <v>232</v>
      </c>
      <c r="CH138" s="13">
        <f ca="1">IF($CD138=0,"",VLOOKUP($CE138,周K!$A$6:$F$6842,4,0))</f>
        <v>226</v>
      </c>
      <c r="CI138" s="13">
        <f ca="1">IF($CD138=0,"",VLOOKUP($CE138,周K!$A$6:$F$6842,5,0))</f>
        <v>227</v>
      </c>
      <c r="CJ138" s="13">
        <f ca="1">IF($CD138=0,"",VLOOKUP($CE138,周K!$A$6:$F$6842,6,0))</f>
        <v>186138</v>
      </c>
      <c r="CK138">
        <f>ROW()</f>
        <v>138</v>
      </c>
      <c r="CM138" t="str">
        <f t="shared" si="107"/>
        <v>CG134:CG138</v>
      </c>
      <c r="CN138">
        <f t="shared" si="108"/>
        <v>126</v>
      </c>
      <c r="CO138">
        <f t="shared" ca="1" si="109"/>
        <v>226</v>
      </c>
      <c r="CQ138" t="str">
        <f t="shared" si="110"/>
        <v>CG119:CG138</v>
      </c>
      <c r="CR138">
        <f t="shared" si="111"/>
        <v>111</v>
      </c>
      <c r="CS138">
        <f t="shared" ca="1" si="112"/>
        <v>234.65</v>
      </c>
      <c r="CU138" t="str">
        <f t="shared" si="113"/>
        <v>CG79:CG138</v>
      </c>
      <c r="CV138">
        <f t="shared" si="114"/>
        <v>71</v>
      </c>
      <c r="CW138">
        <f t="shared" ca="1" si="115"/>
        <v>240.71666666666667</v>
      </c>
      <c r="CY138">
        <f t="shared" ca="1" si="116"/>
        <v>600.29079999999999</v>
      </c>
      <c r="CZ138">
        <f t="shared" ca="1" si="82"/>
        <v>605.55889998103066</v>
      </c>
      <c r="DA138">
        <f t="shared" ca="1" si="85"/>
        <v>583.84859303525513</v>
      </c>
      <c r="DB138">
        <f t="shared" ca="1" si="84"/>
        <v>21.710306945775528</v>
      </c>
      <c r="DC138">
        <f t="shared" ca="1" si="86"/>
        <v>30.466403542643384</v>
      </c>
      <c r="DD138">
        <f t="shared" ca="1" si="87"/>
        <v>-8.7560965968678559</v>
      </c>
    </row>
    <row r="139" spans="51:108" x14ac:dyDescent="0.25">
      <c r="AY139" t="str">
        <f>"日K!A"&amp;日K!$E$3-239+1+BF139-8</f>
        <v>日K!A6731</v>
      </c>
      <c r="AZ139" s="4">
        <f t="shared" ca="1" si="94"/>
        <v>44229</v>
      </c>
      <c r="BA139" s="13">
        <f t="shared" ca="1" si="95"/>
        <v>623.84619999999995</v>
      </c>
      <c r="BB139" s="13">
        <f t="shared" ca="1" si="96"/>
        <v>632.77239999999995</v>
      </c>
      <c r="BC139" s="13">
        <f t="shared" ca="1" si="97"/>
        <v>616.90350000000001</v>
      </c>
      <c r="BD139" s="13">
        <f t="shared" ca="1" si="98"/>
        <v>626.82159999999999</v>
      </c>
      <c r="BE139" s="13">
        <f t="shared" ca="1" si="99"/>
        <v>80724</v>
      </c>
      <c r="BF139">
        <f>ROW()</f>
        <v>139</v>
      </c>
      <c r="BH139" t="str">
        <f t="shared" si="100"/>
        <v>BC135:BC139</v>
      </c>
      <c r="BI139">
        <f t="shared" si="79"/>
        <v>127</v>
      </c>
      <c r="BJ139">
        <f t="shared" ca="1" si="101"/>
        <v>596.86903999999993</v>
      </c>
      <c r="BL139" t="str">
        <f t="shared" si="102"/>
        <v>BC120:BC139</v>
      </c>
      <c r="BM139">
        <f t="shared" si="80"/>
        <v>112</v>
      </c>
      <c r="BN139">
        <f t="shared" ca="1" si="103"/>
        <v>593.79444499999988</v>
      </c>
      <c r="BP139" t="str">
        <f t="shared" si="104"/>
        <v>BC80:BC139</v>
      </c>
      <c r="BQ139">
        <f t="shared" si="81"/>
        <v>72</v>
      </c>
      <c r="BR139">
        <f t="shared" ca="1" si="105"/>
        <v>525.33642500000008</v>
      </c>
      <c r="BT139">
        <f t="shared" ca="1" si="83"/>
        <v>603.51414999999997</v>
      </c>
      <c r="BU139">
        <f t="shared" ca="1" si="88"/>
        <v>30.769958105160629</v>
      </c>
      <c r="BV139">
        <f t="shared" ca="1" si="89"/>
        <v>665.05406621032125</v>
      </c>
      <c r="BW139">
        <f t="shared" ca="1" si="90"/>
        <v>541.97423378967869</v>
      </c>
      <c r="BY139">
        <f t="shared" ca="1" si="91"/>
        <v>596.86903999999993</v>
      </c>
      <c r="BZ139">
        <f t="shared" ca="1" si="92"/>
        <v>593.79444499999988</v>
      </c>
      <c r="CA139">
        <f t="shared" ca="1" si="93"/>
        <v>525.33642500000008</v>
      </c>
      <c r="CD139" t="str">
        <f>IF(周K!$E$3+CK139-12&gt;工作底稿!$CE$5,"周K!A"&amp;周K!$E$3-$CE$5+1+CK139-8,0)</f>
        <v>周K!A299</v>
      </c>
      <c r="CE139" s="4">
        <f t="shared" ca="1" si="106"/>
        <v>43514</v>
      </c>
      <c r="CF139" s="13">
        <f ca="1">IF($CD139=0,"",VLOOKUP($CE139,周K!$A$6:$F$6842,2,0))</f>
        <v>229</v>
      </c>
      <c r="CG139" s="13">
        <f ca="1">IF($CD139=0,"",VLOOKUP($CE139,周K!$A$6:$F$6842,3,0))</f>
        <v>236.5</v>
      </c>
      <c r="CH139" s="13">
        <f ca="1">IF($CD139=0,"",VLOOKUP($CE139,周K!$A$6:$F$6842,4,0))</f>
        <v>228.5</v>
      </c>
      <c r="CI139" s="13">
        <f ca="1">IF($CD139=0,"",VLOOKUP($CE139,周K!$A$6:$F$6842,5,0))</f>
        <v>236.5</v>
      </c>
      <c r="CJ139" s="13">
        <f ca="1">IF($CD139=0,"",VLOOKUP($CE139,周K!$A$6:$F$6842,6,0))</f>
        <v>124520</v>
      </c>
      <c r="CK139">
        <f>ROW()</f>
        <v>139</v>
      </c>
      <c r="CM139" t="str">
        <f t="shared" si="107"/>
        <v>CG135:CG139</v>
      </c>
      <c r="CN139">
        <f t="shared" si="108"/>
        <v>127</v>
      </c>
      <c r="CO139">
        <f t="shared" ca="1" si="109"/>
        <v>229.2</v>
      </c>
      <c r="CQ139" t="str">
        <f t="shared" si="110"/>
        <v>CG120:CG139</v>
      </c>
      <c r="CR139">
        <f t="shared" si="111"/>
        <v>112</v>
      </c>
      <c r="CS139">
        <f t="shared" ca="1" si="112"/>
        <v>233.17500000000001</v>
      </c>
      <c r="CU139" t="str">
        <f t="shared" si="113"/>
        <v>CG80:CG139</v>
      </c>
      <c r="CV139">
        <f t="shared" si="114"/>
        <v>72</v>
      </c>
      <c r="CW139">
        <f t="shared" ca="1" si="115"/>
        <v>240.85</v>
      </c>
      <c r="CY139">
        <f t="shared" ca="1" si="116"/>
        <v>625.82977499999993</v>
      </c>
      <c r="CZ139">
        <f t="shared" ca="1" si="82"/>
        <v>608.67749613779506</v>
      </c>
      <c r="DA139">
        <f t="shared" ca="1" si="85"/>
        <v>586.95831021782885</v>
      </c>
      <c r="DB139">
        <f t="shared" ca="1" si="84"/>
        <v>21.719185919966208</v>
      </c>
      <c r="DC139">
        <f t="shared" ca="1" si="86"/>
        <v>29.397318080137705</v>
      </c>
      <c r="DD139">
        <f t="shared" ca="1" si="87"/>
        <v>-7.6781321601714971</v>
      </c>
    </row>
    <row r="140" spans="51:108" x14ac:dyDescent="0.25">
      <c r="AY140" t="str">
        <f>"日K!A"&amp;日K!$E$3-239+1+BF140-8</f>
        <v>日K!A6732</v>
      </c>
      <c r="AZ140" s="4">
        <f t="shared" ca="1" si="94"/>
        <v>44230</v>
      </c>
      <c r="BA140" s="13">
        <f t="shared" ca="1" si="95"/>
        <v>632.77239999999995</v>
      </c>
      <c r="BB140" s="13">
        <f t="shared" ca="1" si="96"/>
        <v>636.73969999999997</v>
      </c>
      <c r="BC140" s="13">
        <f t="shared" ca="1" si="97"/>
        <v>624.83799999999997</v>
      </c>
      <c r="BD140" s="13">
        <f t="shared" ca="1" si="98"/>
        <v>624.83799999999997</v>
      </c>
      <c r="BE140" s="13">
        <f t="shared" ca="1" si="99"/>
        <v>59763</v>
      </c>
      <c r="BF140">
        <f>ROW()</f>
        <v>140</v>
      </c>
      <c r="BH140" t="str">
        <f t="shared" si="100"/>
        <v>BC136:BC140</v>
      </c>
      <c r="BI140">
        <f t="shared" si="79"/>
        <v>128</v>
      </c>
      <c r="BJ140">
        <f t="shared" ca="1" si="101"/>
        <v>600.63790000000006</v>
      </c>
      <c r="BL140" t="str">
        <f t="shared" si="102"/>
        <v>BC121:BC140</v>
      </c>
      <c r="BM140">
        <f t="shared" si="80"/>
        <v>113</v>
      </c>
      <c r="BN140">
        <f t="shared" ca="1" si="103"/>
        <v>598.20798500000001</v>
      </c>
      <c r="BP140" t="str">
        <f t="shared" si="104"/>
        <v>BC81:BC140</v>
      </c>
      <c r="BQ140">
        <f t="shared" si="81"/>
        <v>73</v>
      </c>
      <c r="BR140">
        <f t="shared" ca="1" si="105"/>
        <v>528.37284000000011</v>
      </c>
      <c r="BT140">
        <f t="shared" ca="1" si="83"/>
        <v>607.53096499999992</v>
      </c>
      <c r="BU140">
        <f t="shared" ca="1" si="88"/>
        <v>30.944049049499565</v>
      </c>
      <c r="BV140">
        <f t="shared" ca="1" si="89"/>
        <v>669.419063098999</v>
      </c>
      <c r="BW140">
        <f t="shared" ca="1" si="90"/>
        <v>545.64286690100084</v>
      </c>
      <c r="BY140">
        <f t="shared" ca="1" si="91"/>
        <v>600.63790000000006</v>
      </c>
      <c r="BZ140">
        <f t="shared" ca="1" si="92"/>
        <v>598.20798500000001</v>
      </c>
      <c r="CA140">
        <f t="shared" ca="1" si="93"/>
        <v>528.37284000000011</v>
      </c>
      <c r="CD140" t="str">
        <f>IF(周K!$E$3+CK140-12&gt;工作底稿!$CE$5,"周K!A"&amp;周K!$E$3-$CE$5+1+CK140-8,0)</f>
        <v>周K!A300</v>
      </c>
      <c r="CE140" s="4">
        <f t="shared" ca="1" si="106"/>
        <v>43521</v>
      </c>
      <c r="CF140" s="13">
        <f ca="1">IF($CD140=0,"",VLOOKUP($CE140,周K!$A$6:$F$6842,2,0))</f>
        <v>237.5</v>
      </c>
      <c r="CG140" s="13">
        <f ca="1">IF($CD140=0,"",VLOOKUP($CE140,周K!$A$6:$F$6842,3,0))</f>
        <v>240</v>
      </c>
      <c r="CH140" s="13">
        <f ca="1">IF($CD140=0,"",VLOOKUP($CE140,周K!$A$6:$F$6842,4,0))</f>
        <v>236</v>
      </c>
      <c r="CI140" s="13">
        <f ca="1">IF($CD140=0,"",VLOOKUP($CE140,周K!$A$6:$F$6842,5,0))</f>
        <v>239</v>
      </c>
      <c r="CJ140" s="13">
        <f ca="1">IF($CD140=0,"",VLOOKUP($CE140,周K!$A$6:$F$6842,6,0))</f>
        <v>87762</v>
      </c>
      <c r="CK140">
        <f>ROW()</f>
        <v>140</v>
      </c>
      <c r="CM140" t="str">
        <f t="shared" si="107"/>
        <v>CG136:CG140</v>
      </c>
      <c r="CN140">
        <f t="shared" si="108"/>
        <v>128</v>
      </c>
      <c r="CO140">
        <f t="shared" ca="1" si="109"/>
        <v>233</v>
      </c>
      <c r="CQ140" t="str">
        <f t="shared" si="110"/>
        <v>CG121:CG140</v>
      </c>
      <c r="CR140">
        <f t="shared" si="111"/>
        <v>113</v>
      </c>
      <c r="CS140">
        <f t="shared" ca="1" si="112"/>
        <v>231.97499999999999</v>
      </c>
      <c r="CU140" t="str">
        <f t="shared" si="113"/>
        <v>CG81:CG140</v>
      </c>
      <c r="CV140">
        <f t="shared" si="114"/>
        <v>73</v>
      </c>
      <c r="CW140">
        <f t="shared" ca="1" si="115"/>
        <v>241.01666666666668</v>
      </c>
      <c r="CY140">
        <f t="shared" ca="1" si="116"/>
        <v>627.81342499999994</v>
      </c>
      <c r="CZ140">
        <f t="shared" ca="1" si="82"/>
        <v>611.62148519351888</v>
      </c>
      <c r="DA140">
        <f t="shared" ca="1" si="85"/>
        <v>589.9846150165082</v>
      </c>
      <c r="DB140">
        <f t="shared" ca="1" si="84"/>
        <v>21.636870177010678</v>
      </c>
      <c r="DC140">
        <f t="shared" ca="1" si="86"/>
        <v>27.932404699135319</v>
      </c>
      <c r="DD140">
        <f t="shared" ca="1" si="87"/>
        <v>-6.2955345221246404</v>
      </c>
    </row>
    <row r="141" spans="51:108" x14ac:dyDescent="0.25">
      <c r="AY141" t="str">
        <f>"日K!A"&amp;日K!$E$3-239+1+BF141-8</f>
        <v>日K!A6733</v>
      </c>
      <c r="AZ141" s="4">
        <f t="shared" ca="1" si="94"/>
        <v>44231</v>
      </c>
      <c r="BA141" s="13">
        <f t="shared" ca="1" si="95"/>
        <v>620.87080000000003</v>
      </c>
      <c r="BB141" s="13">
        <f t="shared" ca="1" si="96"/>
        <v>626.82159999999999</v>
      </c>
      <c r="BC141" s="13">
        <f t="shared" ca="1" si="97"/>
        <v>614.91989999999998</v>
      </c>
      <c r="BD141" s="13">
        <f t="shared" ca="1" si="98"/>
        <v>621.86260000000004</v>
      </c>
      <c r="BE141" s="13">
        <f t="shared" ca="1" si="99"/>
        <v>47548</v>
      </c>
      <c r="BF141">
        <f>ROW()</f>
        <v>141</v>
      </c>
      <c r="BH141" t="str">
        <f t="shared" si="100"/>
        <v>BC137:BC141</v>
      </c>
      <c r="BI141">
        <f t="shared" ref="BI141:BI204" si="117">$BF141-BJ$5-7</f>
        <v>129</v>
      </c>
      <c r="BJ141">
        <f t="shared" ca="1" si="101"/>
        <v>605.0018399999999</v>
      </c>
      <c r="BL141" t="str">
        <f t="shared" si="102"/>
        <v>BC122:BC141</v>
      </c>
      <c r="BM141">
        <f t="shared" ref="BM141:BM204" si="118">$BF141-BN$5-7</f>
        <v>114</v>
      </c>
      <c r="BN141">
        <f t="shared" ca="1" si="103"/>
        <v>601.5305350000001</v>
      </c>
      <c r="BP141" t="str">
        <f t="shared" si="104"/>
        <v>BC82:BC141</v>
      </c>
      <c r="BQ141">
        <f t="shared" ref="BQ141:BQ204" si="119">$BF141-BR$5-7</f>
        <v>74</v>
      </c>
      <c r="BR141">
        <f t="shared" ca="1" si="105"/>
        <v>531.24395333333337</v>
      </c>
      <c r="BT141">
        <f t="shared" ca="1" si="83"/>
        <v>610.60556500000007</v>
      </c>
      <c r="BU141">
        <f t="shared" ca="1" si="88"/>
        <v>30.788375664933181</v>
      </c>
      <c r="BV141">
        <f t="shared" ca="1" si="89"/>
        <v>672.18231632986647</v>
      </c>
      <c r="BW141">
        <f t="shared" ca="1" si="90"/>
        <v>549.02881367013367</v>
      </c>
      <c r="BY141">
        <f t="shared" ca="1" si="91"/>
        <v>605.0018399999999</v>
      </c>
      <c r="BZ141">
        <f t="shared" ca="1" si="92"/>
        <v>601.5305350000001</v>
      </c>
      <c r="CA141">
        <f t="shared" ca="1" si="93"/>
        <v>531.24395333333337</v>
      </c>
      <c r="CD141" t="str">
        <f>IF(周K!$E$3+CK141-12&gt;工作底稿!$CE$5,"周K!A"&amp;周K!$E$3-$CE$5+1+CK141-8,0)</f>
        <v>周K!A301</v>
      </c>
      <c r="CE141" s="4">
        <f t="shared" ca="1" si="106"/>
        <v>43528</v>
      </c>
      <c r="CF141" s="13">
        <f ca="1">IF($CD141=0,"",VLOOKUP($CE141,周K!$A$6:$F$6842,2,0))</f>
        <v>239.5</v>
      </c>
      <c r="CG141" s="13">
        <f ca="1">IF($CD141=0,"",VLOOKUP($CE141,周K!$A$6:$F$6842,3,0))</f>
        <v>239.5</v>
      </c>
      <c r="CH141" s="13">
        <f ca="1">IF($CD141=0,"",VLOOKUP($CE141,周K!$A$6:$F$6842,4,0))</f>
        <v>229</v>
      </c>
      <c r="CI141" s="13">
        <f ca="1">IF($CD141=0,"",VLOOKUP($CE141,周K!$A$6:$F$6842,5,0))</f>
        <v>230</v>
      </c>
      <c r="CJ141" s="13">
        <f ca="1">IF($CD141=0,"",VLOOKUP($CE141,周K!$A$6:$F$6842,6,0))</f>
        <v>129446</v>
      </c>
      <c r="CK141">
        <f>ROW()</f>
        <v>141</v>
      </c>
      <c r="CM141" t="str">
        <f t="shared" si="107"/>
        <v>CG137:CG141</v>
      </c>
      <c r="CN141">
        <f t="shared" si="108"/>
        <v>129</v>
      </c>
      <c r="CO141">
        <f t="shared" ca="1" si="109"/>
        <v>235.5</v>
      </c>
      <c r="CQ141" t="str">
        <f t="shared" si="110"/>
        <v>CG122:CG141</v>
      </c>
      <c r="CR141">
        <f t="shared" si="111"/>
        <v>114</v>
      </c>
      <c r="CS141">
        <f t="shared" ca="1" si="112"/>
        <v>231.625</v>
      </c>
      <c r="CU141" t="str">
        <f t="shared" si="113"/>
        <v>CG82:CG141</v>
      </c>
      <c r="CV141">
        <f t="shared" si="114"/>
        <v>74</v>
      </c>
      <c r="CW141">
        <f t="shared" ca="1" si="115"/>
        <v>241.00833333333333</v>
      </c>
      <c r="CY141">
        <f t="shared" ca="1" si="116"/>
        <v>621.36667499999999</v>
      </c>
      <c r="CZ141">
        <f t="shared" ca="1" si="82"/>
        <v>613.12074516374673</v>
      </c>
      <c r="DA141">
        <f t="shared" ca="1" si="85"/>
        <v>592.30921205232244</v>
      </c>
      <c r="DB141">
        <f t="shared" ca="1" si="84"/>
        <v>20.811533111424296</v>
      </c>
      <c r="DC141">
        <f t="shared" ca="1" si="86"/>
        <v>26.233402803867889</v>
      </c>
      <c r="DD141">
        <f t="shared" ca="1" si="87"/>
        <v>-5.4218696924435932</v>
      </c>
    </row>
    <row r="142" spans="51:108" x14ac:dyDescent="0.25">
      <c r="AY142" t="str">
        <f>"日K!A"&amp;日K!$E$3-239+1+BF142-8</f>
        <v>日K!A6734</v>
      </c>
      <c r="AZ142" s="4">
        <f t="shared" ca="1" si="94"/>
        <v>44232</v>
      </c>
      <c r="BA142" s="13">
        <f t="shared" ca="1" si="95"/>
        <v>632.77239999999995</v>
      </c>
      <c r="BB142" s="13">
        <f t="shared" ca="1" si="96"/>
        <v>635.74779999999998</v>
      </c>
      <c r="BC142" s="13">
        <f t="shared" ca="1" si="97"/>
        <v>625.82979999999998</v>
      </c>
      <c r="BD142" s="13">
        <f t="shared" ca="1" si="98"/>
        <v>626.82159999999999</v>
      </c>
      <c r="BE142" s="13">
        <f t="shared" ca="1" si="99"/>
        <v>57351</v>
      </c>
      <c r="BF142">
        <f>ROW()</f>
        <v>142</v>
      </c>
      <c r="BH142" t="str">
        <f t="shared" si="100"/>
        <v>BC138:BC142</v>
      </c>
      <c r="BI142">
        <f t="shared" si="117"/>
        <v>130</v>
      </c>
      <c r="BJ142">
        <f t="shared" ca="1" si="101"/>
        <v>612.93630000000007</v>
      </c>
      <c r="BL142" t="str">
        <f t="shared" si="102"/>
        <v>BC123:BC142</v>
      </c>
      <c r="BM142">
        <f t="shared" si="118"/>
        <v>115</v>
      </c>
      <c r="BN142">
        <f t="shared" ca="1" si="103"/>
        <v>604.50595500000009</v>
      </c>
      <c r="BP142" t="str">
        <f t="shared" si="104"/>
        <v>BC83:BC142</v>
      </c>
      <c r="BQ142">
        <f t="shared" si="119"/>
        <v>75</v>
      </c>
      <c r="BR142">
        <f t="shared" ca="1" si="105"/>
        <v>534.14885333333336</v>
      </c>
      <c r="BT142">
        <f t="shared" ca="1" si="83"/>
        <v>613.18425999999999</v>
      </c>
      <c r="BU142">
        <f t="shared" ca="1" si="88"/>
        <v>30.354786954791717</v>
      </c>
      <c r="BV142">
        <f t="shared" ca="1" si="89"/>
        <v>673.89383390958346</v>
      </c>
      <c r="BW142">
        <f t="shared" ca="1" si="90"/>
        <v>552.47468609041653</v>
      </c>
      <c r="BY142">
        <f t="shared" ca="1" si="91"/>
        <v>612.93630000000007</v>
      </c>
      <c r="BZ142">
        <f t="shared" ca="1" si="92"/>
        <v>604.50595500000009</v>
      </c>
      <c r="CA142">
        <f t="shared" ca="1" si="93"/>
        <v>534.14885333333336</v>
      </c>
      <c r="CD142" t="str">
        <f>IF(周K!$E$3+CK142-12&gt;工作底稿!$CE$5,"周K!A"&amp;周K!$E$3-$CE$5+1+CK142-8,0)</f>
        <v>周K!A302</v>
      </c>
      <c r="CE142" s="4">
        <f t="shared" ca="1" si="106"/>
        <v>43535</v>
      </c>
      <c r="CF142" s="13">
        <f ca="1">IF($CD142=0,"",VLOOKUP($CE142,周K!$A$6:$F$6842,2,0))</f>
        <v>228</v>
      </c>
      <c r="CG142" s="13">
        <f ca="1">IF($CD142=0,"",VLOOKUP($CE142,周K!$A$6:$F$6842,3,0))</f>
        <v>239.5</v>
      </c>
      <c r="CH142" s="13">
        <f ca="1">IF($CD142=0,"",VLOOKUP($CE142,周K!$A$6:$F$6842,4,0))</f>
        <v>227.5</v>
      </c>
      <c r="CI142" s="13">
        <f ca="1">IF($CD142=0,"",VLOOKUP($CE142,周K!$A$6:$F$6842,5,0))</f>
        <v>239</v>
      </c>
      <c r="CJ142" s="13">
        <f ca="1">IF($CD142=0,"",VLOOKUP($CE142,周K!$A$6:$F$6842,6,0))</f>
        <v>132440</v>
      </c>
      <c r="CK142">
        <f>ROW()</f>
        <v>142</v>
      </c>
      <c r="CM142" t="str">
        <f t="shared" si="107"/>
        <v>CG138:CG142</v>
      </c>
      <c r="CN142">
        <f t="shared" si="108"/>
        <v>130</v>
      </c>
      <c r="CO142">
        <f t="shared" ca="1" si="109"/>
        <v>237.5</v>
      </c>
      <c r="CQ142" t="str">
        <f t="shared" si="110"/>
        <v>CG123:CG142</v>
      </c>
      <c r="CR142">
        <f t="shared" si="111"/>
        <v>115</v>
      </c>
      <c r="CS142">
        <f t="shared" ca="1" si="112"/>
        <v>231.45</v>
      </c>
      <c r="CU142" t="str">
        <f t="shared" si="113"/>
        <v>CG83:CG142</v>
      </c>
      <c r="CV142">
        <f t="shared" si="114"/>
        <v>75</v>
      </c>
      <c r="CW142">
        <f t="shared" ca="1" si="115"/>
        <v>240.95833333333334</v>
      </c>
      <c r="CY142">
        <f t="shared" ca="1" si="116"/>
        <v>628.80520000000001</v>
      </c>
      <c r="CZ142">
        <f t="shared" ca="1" si="82"/>
        <v>615.53373821547791</v>
      </c>
      <c r="DA142">
        <f t="shared" ca="1" si="85"/>
        <v>595.01261856696522</v>
      </c>
      <c r="DB142">
        <f t="shared" ca="1" si="84"/>
        <v>20.521119648512695</v>
      </c>
      <c r="DC142">
        <f t="shared" ca="1" si="86"/>
        <v>24.598924142352796</v>
      </c>
      <c r="DD142">
        <f t="shared" ca="1" si="87"/>
        <v>-4.0778044938401017</v>
      </c>
    </row>
    <row r="143" spans="51:108" x14ac:dyDescent="0.25">
      <c r="AY143" t="str">
        <f>"日K!A"&amp;日K!$E$3-239+1+BF143-8</f>
        <v>日K!A6735</v>
      </c>
      <c r="AZ143" s="4">
        <f t="shared" ca="1" si="94"/>
        <v>44244</v>
      </c>
      <c r="BA143" s="13">
        <f t="shared" ca="1" si="95"/>
        <v>657.56759999999997</v>
      </c>
      <c r="BB143" s="13">
        <f t="shared" ca="1" si="96"/>
        <v>662.52660000000003</v>
      </c>
      <c r="BC143" s="13">
        <f t="shared" ca="1" si="97"/>
        <v>654.59220000000005</v>
      </c>
      <c r="BD143" s="13">
        <f t="shared" ca="1" si="98"/>
        <v>657.56759999999997</v>
      </c>
      <c r="BE143" s="13">
        <f t="shared" ca="1" si="99"/>
        <v>115578</v>
      </c>
      <c r="BF143">
        <f>ROW()</f>
        <v>143</v>
      </c>
      <c r="BH143" t="str">
        <f t="shared" si="100"/>
        <v>BC139:BC143</v>
      </c>
      <c r="BI143">
        <f t="shared" si="117"/>
        <v>131</v>
      </c>
      <c r="BJ143">
        <f t="shared" ca="1" si="101"/>
        <v>627.41668000000004</v>
      </c>
      <c r="BL143" t="str">
        <f t="shared" si="102"/>
        <v>BC124:BC143</v>
      </c>
      <c r="BM143">
        <f t="shared" si="118"/>
        <v>116</v>
      </c>
      <c r="BN143">
        <f t="shared" ca="1" si="103"/>
        <v>608.77072500000008</v>
      </c>
      <c r="BP143" t="str">
        <f t="shared" si="104"/>
        <v>BC84:BC143</v>
      </c>
      <c r="BQ143">
        <f t="shared" si="119"/>
        <v>76</v>
      </c>
      <c r="BR143">
        <f t="shared" ca="1" si="105"/>
        <v>537.54957666666667</v>
      </c>
      <c r="BT143">
        <f t="shared" ca="1" si="83"/>
        <v>617.10189500000001</v>
      </c>
      <c r="BU143">
        <f t="shared" ca="1" si="88"/>
        <v>29.741062929663411</v>
      </c>
      <c r="BV143">
        <f t="shared" ca="1" si="89"/>
        <v>676.58402085932687</v>
      </c>
      <c r="BW143">
        <f t="shared" ca="1" si="90"/>
        <v>557.61976914067316</v>
      </c>
      <c r="BY143">
        <f t="shared" ca="1" si="91"/>
        <v>627.41668000000004</v>
      </c>
      <c r="BZ143">
        <f t="shared" ca="1" si="92"/>
        <v>608.77072500000008</v>
      </c>
      <c r="CA143">
        <f t="shared" ca="1" si="93"/>
        <v>537.54957666666667</v>
      </c>
      <c r="CD143" t="str">
        <f>IF(周K!$E$3+CK143-12&gt;工作底稿!$CE$5,"周K!A"&amp;周K!$E$3-$CE$5+1+CK143-8,0)</f>
        <v>周K!A303</v>
      </c>
      <c r="CE143" s="4">
        <f t="shared" ca="1" si="106"/>
        <v>43542</v>
      </c>
      <c r="CF143" s="13">
        <f ca="1">IF($CD143=0,"",VLOOKUP($CE143,周K!$A$6:$F$6842,2,0))</f>
        <v>239.5</v>
      </c>
      <c r="CG143" s="13">
        <f ca="1">IF($CD143=0,"",VLOOKUP($CE143,周K!$A$6:$F$6842,3,0))</f>
        <v>248.5</v>
      </c>
      <c r="CH143" s="13">
        <f ca="1">IF($CD143=0,"",VLOOKUP($CE143,周K!$A$6:$F$6842,4,0))</f>
        <v>238</v>
      </c>
      <c r="CI143" s="13">
        <f ca="1">IF($CD143=0,"",VLOOKUP($CE143,周K!$A$6:$F$6842,5,0))</f>
        <v>248.5</v>
      </c>
      <c r="CJ143" s="13">
        <f ca="1">IF($CD143=0,"",VLOOKUP($CE143,周K!$A$6:$F$6842,6,0))</f>
        <v>115227</v>
      </c>
      <c r="CK143">
        <f>ROW()</f>
        <v>143</v>
      </c>
      <c r="CM143" t="str">
        <f t="shared" si="107"/>
        <v>CG139:CG143</v>
      </c>
      <c r="CN143">
        <f t="shared" si="108"/>
        <v>131</v>
      </c>
      <c r="CO143">
        <f t="shared" ca="1" si="109"/>
        <v>240.8</v>
      </c>
      <c r="CQ143" t="str">
        <f t="shared" si="110"/>
        <v>CG124:CG143</v>
      </c>
      <c r="CR143">
        <f t="shared" si="111"/>
        <v>116</v>
      </c>
      <c r="CS143">
        <f t="shared" ca="1" si="112"/>
        <v>231.97499999999999</v>
      </c>
      <c r="CU143" t="str">
        <f t="shared" si="113"/>
        <v>CG84:CG143</v>
      </c>
      <c r="CV143">
        <f t="shared" si="114"/>
        <v>76</v>
      </c>
      <c r="CW143">
        <f t="shared" ca="1" si="115"/>
        <v>240.84166666666667</v>
      </c>
      <c r="CY143">
        <f t="shared" ca="1" si="116"/>
        <v>658.06349999999998</v>
      </c>
      <c r="CZ143">
        <f t="shared" ca="1" si="82"/>
        <v>622.07677849001971</v>
      </c>
      <c r="DA143">
        <f t="shared" ca="1" si="85"/>
        <v>599.68305422867149</v>
      </c>
      <c r="DB143">
        <f t="shared" ca="1" si="84"/>
        <v>22.393724261348211</v>
      </c>
      <c r="DC143">
        <f t="shared" ca="1" si="86"/>
        <v>23.411635045684687</v>
      </c>
      <c r="DD143">
        <f t="shared" ca="1" si="87"/>
        <v>-1.0179107843364754</v>
      </c>
    </row>
    <row r="144" spans="51:108" x14ac:dyDescent="0.25">
      <c r="AY144" t="str">
        <f>"日K!A"&amp;日K!$E$3-239+1+BF144-8</f>
        <v>日K!A6736</v>
      </c>
      <c r="AZ144" s="4">
        <f t="shared" ca="1" si="94"/>
        <v>44245</v>
      </c>
      <c r="BA144" s="13">
        <f t="shared" ca="1" si="95"/>
        <v>658.55939999999998</v>
      </c>
      <c r="BB144" s="13">
        <f t="shared" ca="1" si="96"/>
        <v>659.55119999999999</v>
      </c>
      <c r="BC144" s="13">
        <f t="shared" ca="1" si="97"/>
        <v>650.62490000000003</v>
      </c>
      <c r="BD144" s="13">
        <f t="shared" ca="1" si="98"/>
        <v>654.59220000000005</v>
      </c>
      <c r="BE144" s="13">
        <f t="shared" ca="1" si="99"/>
        <v>54520</v>
      </c>
      <c r="BF144">
        <f>ROW()</f>
        <v>144</v>
      </c>
      <c r="BH144" t="str">
        <f t="shared" si="100"/>
        <v>BC140:BC144</v>
      </c>
      <c r="BI144">
        <f t="shared" si="117"/>
        <v>132</v>
      </c>
      <c r="BJ144">
        <f t="shared" ca="1" si="101"/>
        <v>634.16095999999993</v>
      </c>
      <c r="BL144" t="str">
        <f t="shared" si="102"/>
        <v>BC125:BC144</v>
      </c>
      <c r="BM144">
        <f t="shared" si="118"/>
        <v>117</v>
      </c>
      <c r="BN144">
        <f t="shared" ca="1" si="103"/>
        <v>612.44040500000006</v>
      </c>
      <c r="BP144" t="str">
        <f t="shared" si="104"/>
        <v>BC85:BC144</v>
      </c>
      <c r="BQ144">
        <f t="shared" si="119"/>
        <v>77</v>
      </c>
      <c r="BR144">
        <f t="shared" ca="1" si="105"/>
        <v>540.67855999999995</v>
      </c>
      <c r="BT144">
        <f t="shared" ca="1" si="83"/>
        <v>620.52363000000003</v>
      </c>
      <c r="BU144">
        <f t="shared" ca="1" si="88"/>
        <v>28.967525357875321</v>
      </c>
      <c r="BV144">
        <f t="shared" ca="1" si="89"/>
        <v>678.45868071575069</v>
      </c>
      <c r="BW144">
        <f t="shared" ca="1" si="90"/>
        <v>562.58857928424936</v>
      </c>
      <c r="BY144">
        <f t="shared" ca="1" si="91"/>
        <v>634.16095999999993</v>
      </c>
      <c r="BZ144">
        <f t="shared" ca="1" si="92"/>
        <v>612.44040500000006</v>
      </c>
      <c r="CA144">
        <f t="shared" ca="1" si="93"/>
        <v>540.67855999999995</v>
      </c>
      <c r="CD144" t="str">
        <f>IF(周K!$E$3+CK144-12&gt;工作底稿!$CE$5,"周K!A"&amp;周K!$E$3-$CE$5+1+CK144-8,0)</f>
        <v>周K!A304</v>
      </c>
      <c r="CE144" s="4">
        <f t="shared" ca="1" si="106"/>
        <v>43549</v>
      </c>
      <c r="CF144" s="13">
        <f ca="1">IF($CD144=0,"",VLOOKUP($CE144,周K!$A$6:$F$6842,2,0))</f>
        <v>240.5</v>
      </c>
      <c r="CG144" s="13">
        <f ca="1">IF($CD144=0,"",VLOOKUP($CE144,周K!$A$6:$F$6842,3,0))</f>
        <v>245.5</v>
      </c>
      <c r="CH144" s="13">
        <f ca="1">IF($CD144=0,"",VLOOKUP($CE144,周K!$A$6:$F$6842,4,0))</f>
        <v>240</v>
      </c>
      <c r="CI144" s="13">
        <f ca="1">IF($CD144=0,"",VLOOKUP($CE144,周K!$A$6:$F$6842,5,0))</f>
        <v>245.5</v>
      </c>
      <c r="CJ144" s="13">
        <f ca="1">IF($CD144=0,"",VLOOKUP($CE144,周K!$A$6:$F$6842,6,0))</f>
        <v>108971</v>
      </c>
      <c r="CK144">
        <f>ROW()</f>
        <v>144</v>
      </c>
      <c r="CM144" t="str">
        <f t="shared" si="107"/>
        <v>CG140:CG144</v>
      </c>
      <c r="CN144">
        <f t="shared" si="108"/>
        <v>132</v>
      </c>
      <c r="CO144">
        <f t="shared" ca="1" si="109"/>
        <v>242.6</v>
      </c>
      <c r="CQ144" t="str">
        <f t="shared" si="110"/>
        <v>CG125:CG144</v>
      </c>
      <c r="CR144">
        <f t="shared" si="111"/>
        <v>117</v>
      </c>
      <c r="CS144">
        <f t="shared" ca="1" si="112"/>
        <v>232.4</v>
      </c>
      <c r="CU144" t="str">
        <f t="shared" si="113"/>
        <v>CG85:CG144</v>
      </c>
      <c r="CV144">
        <f t="shared" si="114"/>
        <v>77</v>
      </c>
      <c r="CW144">
        <f t="shared" ca="1" si="115"/>
        <v>240.5</v>
      </c>
      <c r="CY144">
        <f t="shared" ca="1" si="116"/>
        <v>654.84012500000006</v>
      </c>
      <c r="CZ144">
        <f t="shared" ca="1" si="82"/>
        <v>627.11729333770893</v>
      </c>
      <c r="DA144">
        <f t="shared" ca="1" si="85"/>
        <v>603.76876317469589</v>
      </c>
      <c r="DB144">
        <f t="shared" ca="1" si="84"/>
        <v>23.348530163013038</v>
      </c>
      <c r="DC144">
        <f t="shared" ca="1" si="86"/>
        <v>22.599227107761848</v>
      </c>
      <c r="DD144">
        <f t="shared" ca="1" si="87"/>
        <v>0.74930305525118968</v>
      </c>
    </row>
    <row r="145" spans="51:108" x14ac:dyDescent="0.25">
      <c r="AY145" t="str">
        <f>"日K!A"&amp;日K!$E$3-239+1+BF145-8</f>
        <v>日K!A6737</v>
      </c>
      <c r="AZ145" s="4">
        <f t="shared" ca="1" si="94"/>
        <v>44246</v>
      </c>
      <c r="BA145" s="13">
        <f t="shared" ca="1" si="95"/>
        <v>650.62490000000003</v>
      </c>
      <c r="BB145" s="13">
        <f t="shared" ca="1" si="96"/>
        <v>651.61680000000001</v>
      </c>
      <c r="BC145" s="13">
        <f t="shared" ca="1" si="97"/>
        <v>641.69870000000003</v>
      </c>
      <c r="BD145" s="13">
        <f t="shared" ca="1" si="98"/>
        <v>646.65769999999998</v>
      </c>
      <c r="BE145" s="13">
        <f t="shared" ca="1" si="99"/>
        <v>51652</v>
      </c>
      <c r="BF145">
        <f>ROW()</f>
        <v>145</v>
      </c>
      <c r="BH145" t="str">
        <f t="shared" si="100"/>
        <v>BC141:BC145</v>
      </c>
      <c r="BI145">
        <f t="shared" si="117"/>
        <v>133</v>
      </c>
      <c r="BJ145">
        <f t="shared" ca="1" si="101"/>
        <v>637.53309999999999</v>
      </c>
      <c r="BL145" t="str">
        <f t="shared" si="102"/>
        <v>BC126:BC145</v>
      </c>
      <c r="BM145">
        <f t="shared" si="118"/>
        <v>118</v>
      </c>
      <c r="BN145">
        <f t="shared" ca="1" si="103"/>
        <v>615.11828500000001</v>
      </c>
      <c r="BP145" t="str">
        <f t="shared" si="104"/>
        <v>BC86:BC145</v>
      </c>
      <c r="BQ145">
        <f t="shared" si="119"/>
        <v>78</v>
      </c>
      <c r="BR145">
        <f t="shared" ca="1" si="105"/>
        <v>543.38735833333328</v>
      </c>
      <c r="BT145">
        <f t="shared" ca="1" si="83"/>
        <v>622.85437500000012</v>
      </c>
      <c r="BU145">
        <f t="shared" ca="1" si="88"/>
        <v>28.042500743849708</v>
      </c>
      <c r="BV145">
        <f t="shared" ca="1" si="89"/>
        <v>678.93937648769952</v>
      </c>
      <c r="BW145">
        <f t="shared" ca="1" si="90"/>
        <v>566.76937351230072</v>
      </c>
      <c r="BY145">
        <f t="shared" ca="1" si="91"/>
        <v>637.53309999999999</v>
      </c>
      <c r="BZ145">
        <f t="shared" ca="1" si="92"/>
        <v>615.11828500000001</v>
      </c>
      <c r="CA145">
        <f t="shared" ca="1" si="93"/>
        <v>543.38735833333328</v>
      </c>
      <c r="CD145" t="str">
        <f>IF(周K!$E$3+CK145-12&gt;工作底稿!$CE$5,"周K!A"&amp;周K!$E$3-$CE$5+1+CK145-8,0)</f>
        <v>周K!A305</v>
      </c>
      <c r="CE145" s="4">
        <f t="shared" ca="1" si="106"/>
        <v>43556</v>
      </c>
      <c r="CF145" s="13">
        <f ca="1">IF($CD145=0,"",VLOOKUP($CE145,周K!$A$6:$F$6842,2,0))</f>
        <v>251</v>
      </c>
      <c r="CG145" s="13">
        <f ca="1">IF($CD145=0,"",VLOOKUP($CE145,周K!$A$6:$F$6842,3,0))</f>
        <v>251</v>
      </c>
      <c r="CH145" s="13">
        <f ca="1">IF($CD145=0,"",VLOOKUP($CE145,周K!$A$6:$F$6842,4,0))</f>
        <v>245</v>
      </c>
      <c r="CI145" s="13">
        <f ca="1">IF($CD145=0,"",VLOOKUP($CE145,周K!$A$6:$F$6842,5,0))</f>
        <v>246.5</v>
      </c>
      <c r="CJ145" s="13">
        <f ca="1">IF($CD145=0,"",VLOOKUP($CE145,周K!$A$6:$F$6842,6,0))</f>
        <v>89101</v>
      </c>
      <c r="CK145">
        <f>ROW()</f>
        <v>145</v>
      </c>
      <c r="CM145" t="str">
        <f t="shared" si="107"/>
        <v>CG141:CG145</v>
      </c>
      <c r="CN145">
        <f t="shared" si="108"/>
        <v>133</v>
      </c>
      <c r="CO145">
        <f t="shared" ca="1" si="109"/>
        <v>244.8</v>
      </c>
      <c r="CQ145" t="str">
        <f t="shared" si="110"/>
        <v>CG126:CG145</v>
      </c>
      <c r="CR145">
        <f t="shared" si="111"/>
        <v>118</v>
      </c>
      <c r="CS145">
        <f t="shared" ca="1" si="112"/>
        <v>233.07499999999999</v>
      </c>
      <c r="CU145" t="str">
        <f t="shared" si="113"/>
        <v>CG86:CG145</v>
      </c>
      <c r="CV145">
        <f t="shared" si="114"/>
        <v>78</v>
      </c>
      <c r="CW145">
        <f t="shared" ca="1" si="115"/>
        <v>240.32499999999999</v>
      </c>
      <c r="CY145">
        <f t="shared" ca="1" si="116"/>
        <v>646.65772500000003</v>
      </c>
      <c r="CZ145">
        <f t="shared" ca="1" si="82"/>
        <v>630.12351359344609</v>
      </c>
      <c r="DA145">
        <f t="shared" ca="1" si="85"/>
        <v>606.94572330990354</v>
      </c>
      <c r="DB145">
        <f t="shared" ca="1" si="84"/>
        <v>23.177790283542549</v>
      </c>
      <c r="DC145">
        <f t="shared" ca="1" si="86"/>
        <v>22.144731152637316</v>
      </c>
      <c r="DD145">
        <f t="shared" ca="1" si="87"/>
        <v>1.033059130905233</v>
      </c>
    </row>
    <row r="146" spans="51:108" x14ac:dyDescent="0.25">
      <c r="AY146" t="str">
        <f>"日K!A"&amp;日K!$E$3-239+1+BF146-8</f>
        <v>日K!A6738</v>
      </c>
      <c r="AZ146" s="4">
        <f t="shared" ca="1" si="94"/>
        <v>44249</v>
      </c>
      <c r="BA146" s="13">
        <f t="shared" ca="1" si="95"/>
        <v>654.59220000000005</v>
      </c>
      <c r="BB146" s="13">
        <f t="shared" ca="1" si="96"/>
        <v>656.57579999999996</v>
      </c>
      <c r="BC146" s="13">
        <f t="shared" ca="1" si="97"/>
        <v>644.67409999999995</v>
      </c>
      <c r="BD146" s="13">
        <f t="shared" ca="1" si="98"/>
        <v>644.67409999999995</v>
      </c>
      <c r="BE146" s="13">
        <f t="shared" ca="1" si="99"/>
        <v>39512</v>
      </c>
      <c r="BF146">
        <f>ROW()</f>
        <v>146</v>
      </c>
      <c r="BH146" t="str">
        <f t="shared" si="100"/>
        <v>BC142:BC146</v>
      </c>
      <c r="BI146">
        <f t="shared" si="117"/>
        <v>134</v>
      </c>
      <c r="BJ146">
        <f t="shared" ca="1" si="101"/>
        <v>643.48394000000008</v>
      </c>
      <c r="BL146" t="str">
        <f t="shared" si="102"/>
        <v>BC127:BC146</v>
      </c>
      <c r="BM146">
        <f t="shared" si="118"/>
        <v>119</v>
      </c>
      <c r="BN146">
        <f t="shared" ca="1" si="103"/>
        <v>618.24247500000013</v>
      </c>
      <c r="BP146" t="str">
        <f t="shared" si="104"/>
        <v>BC87:BC146</v>
      </c>
      <c r="BQ146">
        <f t="shared" si="119"/>
        <v>79</v>
      </c>
      <c r="BR146">
        <f t="shared" ca="1" si="105"/>
        <v>546.1292983333334</v>
      </c>
      <c r="BT146">
        <f t="shared" ca="1" si="83"/>
        <v>625.73061500000006</v>
      </c>
      <c r="BU146">
        <f t="shared" ca="1" si="88"/>
        <v>26.914675709036384</v>
      </c>
      <c r="BV146">
        <f t="shared" ca="1" si="89"/>
        <v>679.5599664180728</v>
      </c>
      <c r="BW146">
        <f t="shared" ca="1" si="90"/>
        <v>571.90126358192731</v>
      </c>
      <c r="BY146">
        <f t="shared" ca="1" si="91"/>
        <v>643.48394000000008</v>
      </c>
      <c r="BZ146">
        <f t="shared" ca="1" si="92"/>
        <v>618.24247500000013</v>
      </c>
      <c r="CA146">
        <f t="shared" ca="1" si="93"/>
        <v>546.1292983333334</v>
      </c>
      <c r="CD146" t="str">
        <f>IF(周K!$E$3+CK146-12&gt;工作底稿!$CE$5,"周K!A"&amp;周K!$E$3-$CE$5+1+CK146-8,0)</f>
        <v>周K!A306</v>
      </c>
      <c r="CE146" s="4">
        <f t="shared" ca="1" si="106"/>
        <v>43563</v>
      </c>
      <c r="CF146" s="13">
        <f ca="1">IF($CD146=0,"",VLOOKUP($CE146,周K!$A$6:$F$6842,2,0))</f>
        <v>251</v>
      </c>
      <c r="CG146" s="13">
        <f ca="1">IF($CD146=0,"",VLOOKUP($CE146,周K!$A$6:$F$6842,3,0))</f>
        <v>254.5</v>
      </c>
      <c r="CH146" s="13">
        <f ca="1">IF($CD146=0,"",VLOOKUP($CE146,周K!$A$6:$F$6842,4,0))</f>
        <v>250.5</v>
      </c>
      <c r="CI146" s="13">
        <f ca="1">IF($CD146=0,"",VLOOKUP($CE146,周K!$A$6:$F$6842,5,0))</f>
        <v>252</v>
      </c>
      <c r="CJ146" s="13">
        <f ca="1">IF($CD146=0,"",VLOOKUP($CE146,周K!$A$6:$F$6842,6,0))</f>
        <v>141382</v>
      </c>
      <c r="CK146">
        <f>ROW()</f>
        <v>146</v>
      </c>
      <c r="CM146" t="str">
        <f t="shared" si="107"/>
        <v>CG142:CG146</v>
      </c>
      <c r="CN146">
        <f t="shared" si="108"/>
        <v>134</v>
      </c>
      <c r="CO146">
        <f t="shared" ca="1" si="109"/>
        <v>247.8</v>
      </c>
      <c r="CQ146" t="str">
        <f t="shared" si="110"/>
        <v>CG127:CG146</v>
      </c>
      <c r="CR146">
        <f t="shared" si="111"/>
        <v>119</v>
      </c>
      <c r="CS146">
        <f t="shared" ca="1" si="112"/>
        <v>234.07499999999999</v>
      </c>
      <c r="CU146" t="str">
        <f t="shared" si="113"/>
        <v>CG87:CG146</v>
      </c>
      <c r="CV146">
        <f t="shared" si="114"/>
        <v>79</v>
      </c>
      <c r="CW146">
        <f t="shared" ca="1" si="115"/>
        <v>240.32499999999999</v>
      </c>
      <c r="CY146">
        <f t="shared" ca="1" si="116"/>
        <v>647.64952499999993</v>
      </c>
      <c r="CZ146">
        <f t="shared" ca="1" si="82"/>
        <v>632.8198230406083</v>
      </c>
      <c r="DA146">
        <f t="shared" ca="1" si="85"/>
        <v>609.96081973139223</v>
      </c>
      <c r="DB146">
        <f t="shared" ca="1" si="84"/>
        <v>22.859003309216064</v>
      </c>
      <c r="DC146">
        <f t="shared" ca="1" si="86"/>
        <v>22.019784868867696</v>
      </c>
      <c r="DD146">
        <f t="shared" ca="1" si="87"/>
        <v>0.83921844034836823</v>
      </c>
    </row>
    <row r="147" spans="51:108" x14ac:dyDescent="0.25">
      <c r="AY147" t="str">
        <f>"日K!A"&amp;日K!$E$3-239+1+BF147-8</f>
        <v>日K!A6739</v>
      </c>
      <c r="AZ147" s="4">
        <f t="shared" ca="1" si="94"/>
        <v>44250</v>
      </c>
      <c r="BA147" s="13">
        <f t="shared" ca="1" si="95"/>
        <v>635.74779999999998</v>
      </c>
      <c r="BB147" s="13">
        <f t="shared" ca="1" si="96"/>
        <v>637.73149999999998</v>
      </c>
      <c r="BC147" s="13">
        <f t="shared" ca="1" si="97"/>
        <v>627.8134</v>
      </c>
      <c r="BD147" s="13">
        <f t="shared" ca="1" si="98"/>
        <v>635.74779999999998</v>
      </c>
      <c r="BE147" s="13">
        <f t="shared" ca="1" si="99"/>
        <v>52868</v>
      </c>
      <c r="BF147">
        <f>ROW()</f>
        <v>147</v>
      </c>
      <c r="BH147" t="str">
        <f t="shared" si="100"/>
        <v>BC143:BC147</v>
      </c>
      <c r="BI147">
        <f t="shared" si="117"/>
        <v>135</v>
      </c>
      <c r="BJ147">
        <f t="shared" ca="1" si="101"/>
        <v>643.88066000000003</v>
      </c>
      <c r="BL147" t="str">
        <f t="shared" si="102"/>
        <v>BC128:BC147</v>
      </c>
      <c r="BM147">
        <f t="shared" si="118"/>
        <v>120</v>
      </c>
      <c r="BN147">
        <f t="shared" ca="1" si="103"/>
        <v>619.82936500000017</v>
      </c>
      <c r="BP147" t="str">
        <f t="shared" si="104"/>
        <v>BC88:BC147</v>
      </c>
      <c r="BQ147">
        <f t="shared" si="119"/>
        <v>80</v>
      </c>
      <c r="BR147">
        <f t="shared" ca="1" si="105"/>
        <v>548.53265333333343</v>
      </c>
      <c r="BT147">
        <f t="shared" ca="1" si="83"/>
        <v>627.71422499999994</v>
      </c>
      <c r="BU147">
        <f t="shared" ca="1" si="88"/>
        <v>25.568367065074877</v>
      </c>
      <c r="BV147">
        <f t="shared" ca="1" si="89"/>
        <v>678.8509591301497</v>
      </c>
      <c r="BW147">
        <f t="shared" ca="1" si="90"/>
        <v>576.57749086985018</v>
      </c>
      <c r="BY147">
        <f t="shared" ca="1" si="91"/>
        <v>643.88066000000003</v>
      </c>
      <c r="BZ147">
        <f t="shared" ca="1" si="92"/>
        <v>619.82936500000017</v>
      </c>
      <c r="CA147">
        <f t="shared" ca="1" si="93"/>
        <v>548.53265333333343</v>
      </c>
      <c r="CD147" t="str">
        <f>IF(周K!$E$3+CK147-12&gt;工作底稿!$CE$5,"周K!A"&amp;周K!$E$3-$CE$5+1+CK147-8,0)</f>
        <v>周K!A307</v>
      </c>
      <c r="CE147" s="4">
        <f t="shared" ca="1" si="106"/>
        <v>43570</v>
      </c>
      <c r="CF147" s="13">
        <f ca="1">IF($CD147=0,"",VLOOKUP($CE147,周K!$A$6:$F$6842,2,0))</f>
        <v>255</v>
      </c>
      <c r="CG147" s="13">
        <f ca="1">IF($CD147=0,"",VLOOKUP($CE147,周K!$A$6:$F$6842,3,0))</f>
        <v>269.5</v>
      </c>
      <c r="CH147" s="13">
        <f ca="1">IF($CD147=0,"",VLOOKUP($CE147,周K!$A$6:$F$6842,4,0))</f>
        <v>254</v>
      </c>
      <c r="CI147" s="13">
        <f ca="1">IF($CD147=0,"",VLOOKUP($CE147,周K!$A$6:$F$6842,5,0))</f>
        <v>264.5</v>
      </c>
      <c r="CJ147" s="13">
        <f ca="1">IF($CD147=0,"",VLOOKUP($CE147,周K!$A$6:$F$6842,6,0))</f>
        <v>172750</v>
      </c>
      <c r="CK147">
        <f>ROW()</f>
        <v>147</v>
      </c>
      <c r="CM147" t="str">
        <f t="shared" si="107"/>
        <v>CG143:CG147</v>
      </c>
      <c r="CN147">
        <f t="shared" si="108"/>
        <v>135</v>
      </c>
      <c r="CO147">
        <f t="shared" ca="1" si="109"/>
        <v>253.8</v>
      </c>
      <c r="CQ147" t="str">
        <f t="shared" si="110"/>
        <v>CG128:CG147</v>
      </c>
      <c r="CR147">
        <f t="shared" si="111"/>
        <v>120</v>
      </c>
      <c r="CS147">
        <f t="shared" ca="1" si="112"/>
        <v>236.3</v>
      </c>
      <c r="CU147" t="str">
        <f t="shared" si="113"/>
        <v>CG88:CG147</v>
      </c>
      <c r="CV147">
        <f t="shared" si="114"/>
        <v>80</v>
      </c>
      <c r="CW147">
        <f t="shared" ca="1" si="115"/>
        <v>240.85833333333332</v>
      </c>
      <c r="CY147">
        <f t="shared" ca="1" si="116"/>
        <v>634.26012500000002</v>
      </c>
      <c r="CZ147">
        <f t="shared" ca="1" si="82"/>
        <v>633.04140795743774</v>
      </c>
      <c r="DA147">
        <f t="shared" ca="1" si="85"/>
        <v>611.76076826980761</v>
      </c>
      <c r="DB147">
        <f t="shared" ca="1" si="84"/>
        <v>21.280639687630128</v>
      </c>
      <c r="DC147">
        <f t="shared" ca="1" si="86"/>
        <v>21.972044062407097</v>
      </c>
      <c r="DD147">
        <f t="shared" ca="1" si="87"/>
        <v>-0.69140437477696892</v>
      </c>
    </row>
    <row r="148" spans="51:108" x14ac:dyDescent="0.25">
      <c r="AY148" t="str">
        <f>"日K!A"&amp;日K!$E$3-239+1+BF148-8</f>
        <v>日K!A6740</v>
      </c>
      <c r="AZ148" s="4">
        <f t="shared" ca="1" si="94"/>
        <v>44251</v>
      </c>
      <c r="BA148" s="13">
        <f t="shared" ca="1" si="95"/>
        <v>621.86260000000004</v>
      </c>
      <c r="BB148" s="13">
        <f t="shared" ca="1" si="96"/>
        <v>630.78880000000004</v>
      </c>
      <c r="BC148" s="13">
        <f t="shared" ca="1" si="97"/>
        <v>619.87890000000004</v>
      </c>
      <c r="BD148" s="13">
        <f t="shared" ca="1" si="98"/>
        <v>619.87890000000004</v>
      </c>
      <c r="BE148" s="13">
        <f t="shared" ca="1" si="99"/>
        <v>80011</v>
      </c>
      <c r="BF148">
        <f>ROW()</f>
        <v>148</v>
      </c>
      <c r="BH148" t="str">
        <f t="shared" si="100"/>
        <v>BC144:BC148</v>
      </c>
      <c r="BI148">
        <f t="shared" si="117"/>
        <v>136</v>
      </c>
      <c r="BJ148">
        <f t="shared" ca="1" si="101"/>
        <v>636.93799999999999</v>
      </c>
      <c r="BL148" t="str">
        <f t="shared" si="102"/>
        <v>BC129:BC148</v>
      </c>
      <c r="BM148">
        <f t="shared" si="118"/>
        <v>121</v>
      </c>
      <c r="BN148">
        <f t="shared" ca="1" si="103"/>
        <v>621.36666000000002</v>
      </c>
      <c r="BP148" t="str">
        <f t="shared" si="104"/>
        <v>BC89:BC148</v>
      </c>
      <c r="BQ148">
        <f t="shared" si="119"/>
        <v>81</v>
      </c>
      <c r="BR148">
        <f t="shared" ca="1" si="105"/>
        <v>550.86956333333342</v>
      </c>
      <c r="BT148">
        <f t="shared" ca="1" si="83"/>
        <v>628.60685000000001</v>
      </c>
      <c r="BU148">
        <f t="shared" ca="1" si="88"/>
        <v>23.953059250442198</v>
      </c>
      <c r="BV148">
        <f t="shared" ca="1" si="89"/>
        <v>676.51296850088443</v>
      </c>
      <c r="BW148">
        <f t="shared" ca="1" si="90"/>
        <v>580.70073149911559</v>
      </c>
      <c r="BY148">
        <f t="shared" ca="1" si="91"/>
        <v>636.93799999999999</v>
      </c>
      <c r="BZ148">
        <f t="shared" ca="1" si="92"/>
        <v>621.36666000000002</v>
      </c>
      <c r="CA148">
        <f t="shared" ca="1" si="93"/>
        <v>550.86956333333342</v>
      </c>
      <c r="CD148" t="str">
        <f>IF(周K!$E$3+CK148-12&gt;工作底稿!$CE$5,"周K!A"&amp;周K!$E$3-$CE$5+1+CK148-8,0)</f>
        <v>周K!A308</v>
      </c>
      <c r="CE148" s="4">
        <f t="shared" ca="1" si="106"/>
        <v>43577</v>
      </c>
      <c r="CF148" s="13">
        <f ca="1">IF($CD148=0,"",VLOOKUP($CE148,周K!$A$6:$F$6842,2,0))</f>
        <v>266.5</v>
      </c>
      <c r="CG148" s="13">
        <f ca="1">IF($CD148=0,"",VLOOKUP($CE148,周K!$A$6:$F$6842,3,0))</f>
        <v>270</v>
      </c>
      <c r="CH148" s="13">
        <f ca="1">IF($CD148=0,"",VLOOKUP($CE148,周K!$A$6:$F$6842,4,0))</f>
        <v>257.5</v>
      </c>
      <c r="CI148" s="13">
        <f ca="1">IF($CD148=0,"",VLOOKUP($CE148,周K!$A$6:$F$6842,5,0))</f>
        <v>260</v>
      </c>
      <c r="CJ148" s="13">
        <f ca="1">IF($CD148=0,"",VLOOKUP($CE148,周K!$A$6:$F$6842,6,0))</f>
        <v>176922</v>
      </c>
      <c r="CK148">
        <f>ROW()</f>
        <v>148</v>
      </c>
      <c r="CM148" t="str">
        <f t="shared" si="107"/>
        <v>CG144:CG148</v>
      </c>
      <c r="CN148">
        <f t="shared" si="108"/>
        <v>136</v>
      </c>
      <c r="CO148">
        <f t="shared" ca="1" si="109"/>
        <v>258.10000000000002</v>
      </c>
      <c r="CQ148" t="str">
        <f t="shared" si="110"/>
        <v>CG129:CG148</v>
      </c>
      <c r="CR148">
        <f t="shared" si="111"/>
        <v>121</v>
      </c>
      <c r="CS148">
        <f t="shared" ca="1" si="112"/>
        <v>238.22499999999999</v>
      </c>
      <c r="CU148" t="str">
        <f t="shared" si="113"/>
        <v>CG89:CG148</v>
      </c>
      <c r="CV148">
        <f t="shared" si="114"/>
        <v>81</v>
      </c>
      <c r="CW148">
        <f t="shared" ca="1" si="115"/>
        <v>241.27500000000001</v>
      </c>
      <c r="CY148">
        <f t="shared" ca="1" si="116"/>
        <v>622.60637500000007</v>
      </c>
      <c r="CZ148">
        <f t="shared" ca="1" si="82"/>
        <v>631.43601827167811</v>
      </c>
      <c r="DA148">
        <f t="shared" ca="1" si="85"/>
        <v>612.5641465461182</v>
      </c>
      <c r="DB148">
        <f t="shared" ca="1" si="84"/>
        <v>18.871871725559913</v>
      </c>
      <c r="DC148">
        <f t="shared" ca="1" si="86"/>
        <v>21.655675818584175</v>
      </c>
      <c r="DD148">
        <f t="shared" ca="1" si="87"/>
        <v>-2.783804093024262</v>
      </c>
    </row>
    <row r="149" spans="51:108" x14ac:dyDescent="0.25">
      <c r="AY149" t="str">
        <f>"日K!A"&amp;日K!$E$3-239+1+BF149-8</f>
        <v>日K!A6741</v>
      </c>
      <c r="AZ149" s="4">
        <f t="shared" ca="1" si="94"/>
        <v>44252</v>
      </c>
      <c r="BA149" s="13">
        <f t="shared" ca="1" si="95"/>
        <v>630.78880000000004</v>
      </c>
      <c r="BB149" s="13">
        <f t="shared" ca="1" si="96"/>
        <v>630.78880000000004</v>
      </c>
      <c r="BC149" s="13">
        <f t="shared" ca="1" si="97"/>
        <v>622.85440000000006</v>
      </c>
      <c r="BD149" s="13">
        <f t="shared" ca="1" si="98"/>
        <v>629.79700000000003</v>
      </c>
      <c r="BE149" s="13">
        <f t="shared" ca="1" si="99"/>
        <v>45279</v>
      </c>
      <c r="BF149">
        <f>ROW()</f>
        <v>149</v>
      </c>
      <c r="BH149" t="str">
        <f t="shared" si="100"/>
        <v>BC145:BC149</v>
      </c>
      <c r="BI149">
        <f t="shared" si="117"/>
        <v>137</v>
      </c>
      <c r="BJ149">
        <f t="shared" ca="1" si="101"/>
        <v>631.38390000000004</v>
      </c>
      <c r="BL149" t="str">
        <f t="shared" si="102"/>
        <v>BC130:BC149</v>
      </c>
      <c r="BM149">
        <f t="shared" si="118"/>
        <v>122</v>
      </c>
      <c r="BN149">
        <f t="shared" ca="1" si="103"/>
        <v>622.11051500000008</v>
      </c>
      <c r="BP149" t="str">
        <f t="shared" si="104"/>
        <v>BC90:BC149</v>
      </c>
      <c r="BQ149">
        <f t="shared" si="119"/>
        <v>82</v>
      </c>
      <c r="BR149">
        <f t="shared" ca="1" si="105"/>
        <v>553.15737000000001</v>
      </c>
      <c r="BT149">
        <f t="shared" ca="1" si="83"/>
        <v>629.00357000000008</v>
      </c>
      <c r="BU149">
        <f t="shared" ca="1" si="88"/>
        <v>22.126780103188018</v>
      </c>
      <c r="BV149">
        <f t="shared" ca="1" si="89"/>
        <v>673.25713020637613</v>
      </c>
      <c r="BW149">
        <f t="shared" ca="1" si="90"/>
        <v>584.75000979362403</v>
      </c>
      <c r="BY149">
        <f t="shared" ca="1" si="91"/>
        <v>631.38390000000004</v>
      </c>
      <c r="BZ149">
        <f t="shared" ca="1" si="92"/>
        <v>622.11051500000008</v>
      </c>
      <c r="CA149">
        <f t="shared" ca="1" si="93"/>
        <v>553.15737000000001</v>
      </c>
      <c r="CD149" t="str">
        <f>IF(周K!$E$3+CK149-12&gt;工作底稿!$CE$5,"周K!A"&amp;周K!$E$3-$CE$5+1+CK149-8,0)</f>
        <v>周K!A309</v>
      </c>
      <c r="CE149" s="4">
        <f t="shared" ca="1" si="106"/>
        <v>43584</v>
      </c>
      <c r="CF149" s="13">
        <f ca="1">IF($CD149=0,"",VLOOKUP($CE149,周K!$A$6:$F$6842,2,0))</f>
        <v>260</v>
      </c>
      <c r="CG149" s="13">
        <f ca="1">IF($CD149=0,"",VLOOKUP($CE149,周K!$A$6:$F$6842,3,0))</f>
        <v>265</v>
      </c>
      <c r="CH149" s="13">
        <f ca="1">IF($CD149=0,"",VLOOKUP($CE149,周K!$A$6:$F$6842,4,0))</f>
        <v>258</v>
      </c>
      <c r="CI149" s="13">
        <f ca="1">IF($CD149=0,"",VLOOKUP($CE149,周K!$A$6:$F$6842,5,0))</f>
        <v>265</v>
      </c>
      <c r="CJ149" s="13">
        <f ca="1">IF($CD149=0,"",VLOOKUP($CE149,周K!$A$6:$F$6842,6,0))</f>
        <v>130675</v>
      </c>
      <c r="CK149">
        <f>ROW()</f>
        <v>149</v>
      </c>
      <c r="CM149" t="str">
        <f t="shared" si="107"/>
        <v>CG145:CG149</v>
      </c>
      <c r="CN149">
        <f t="shared" si="108"/>
        <v>137</v>
      </c>
      <c r="CO149">
        <f t="shared" ca="1" si="109"/>
        <v>262</v>
      </c>
      <c r="CQ149" t="str">
        <f t="shared" si="110"/>
        <v>CG130:CG149</v>
      </c>
      <c r="CR149">
        <f t="shared" si="111"/>
        <v>122</v>
      </c>
      <c r="CS149">
        <f t="shared" ca="1" si="112"/>
        <v>239.72499999999999</v>
      </c>
      <c r="CU149" t="str">
        <f t="shared" si="113"/>
        <v>CG90:CG149</v>
      </c>
      <c r="CV149">
        <f t="shared" si="114"/>
        <v>82</v>
      </c>
      <c r="CW149">
        <f t="shared" ca="1" si="115"/>
        <v>241.51666666666668</v>
      </c>
      <c r="CY149">
        <f t="shared" ca="1" si="116"/>
        <v>628.30930000000001</v>
      </c>
      <c r="CZ149">
        <f t="shared" ref="CZ149:CZ212" ca="1" si="120">CZ148*(11/13)+CY149*(2/13)</f>
        <v>630.9549846914199</v>
      </c>
      <c r="DA149">
        <f t="shared" ca="1" si="85"/>
        <v>613.73045420936876</v>
      </c>
      <c r="DB149">
        <f t="shared" ca="1" si="84"/>
        <v>17.224530482051136</v>
      </c>
      <c r="DC149">
        <f t="shared" ca="1" si="86"/>
        <v>21.165415852477558</v>
      </c>
      <c r="DD149">
        <f t="shared" ca="1" si="87"/>
        <v>-3.9408853704264217</v>
      </c>
    </row>
    <row r="150" spans="51:108" x14ac:dyDescent="0.25">
      <c r="AY150" t="str">
        <f>"日K!A"&amp;日K!$E$3-239+1+BF150-8</f>
        <v>日K!A6742</v>
      </c>
      <c r="AZ150" s="4">
        <f t="shared" ca="1" si="94"/>
        <v>44253</v>
      </c>
      <c r="BA150" s="13">
        <f t="shared" ca="1" si="95"/>
        <v>605.99369999999999</v>
      </c>
      <c r="BB150" s="13">
        <f t="shared" ca="1" si="96"/>
        <v>612.93629999999996</v>
      </c>
      <c r="BC150" s="13">
        <f t="shared" ca="1" si="97"/>
        <v>601.03459999999995</v>
      </c>
      <c r="BD150" s="13">
        <f t="shared" ca="1" si="98"/>
        <v>601.03459999999995</v>
      </c>
      <c r="BE150" s="13">
        <f t="shared" ca="1" si="99"/>
        <v>137933</v>
      </c>
      <c r="BF150">
        <f>ROW()</f>
        <v>150</v>
      </c>
      <c r="BH150" t="str">
        <f t="shared" si="100"/>
        <v>BC146:BC150</v>
      </c>
      <c r="BI150">
        <f t="shared" si="117"/>
        <v>138</v>
      </c>
      <c r="BJ150">
        <f t="shared" ca="1" si="101"/>
        <v>623.25108</v>
      </c>
      <c r="BL150" t="str">
        <f t="shared" si="102"/>
        <v>BC131:BC150</v>
      </c>
      <c r="BM150">
        <f t="shared" si="118"/>
        <v>123</v>
      </c>
      <c r="BN150">
        <f t="shared" ca="1" si="103"/>
        <v>620.87075499999992</v>
      </c>
      <c r="BP150" t="str">
        <f t="shared" si="104"/>
        <v>BC91:BC150</v>
      </c>
      <c r="BQ150">
        <f t="shared" si="119"/>
        <v>83</v>
      </c>
      <c r="BR150">
        <f t="shared" ca="1" si="105"/>
        <v>555.08973666666668</v>
      </c>
      <c r="BT150">
        <f t="shared" ca="1" si="83"/>
        <v>626.9703649999999</v>
      </c>
      <c r="BU150">
        <f t="shared" ca="1" si="88"/>
        <v>20.137139709890981</v>
      </c>
      <c r="BV150">
        <f t="shared" ca="1" si="89"/>
        <v>667.24464441978182</v>
      </c>
      <c r="BW150">
        <f t="shared" ca="1" si="90"/>
        <v>586.69608558021798</v>
      </c>
      <c r="BY150">
        <f t="shared" ca="1" si="91"/>
        <v>623.25108</v>
      </c>
      <c r="BZ150">
        <f t="shared" ca="1" si="92"/>
        <v>620.87075499999992</v>
      </c>
      <c r="CA150">
        <f t="shared" ca="1" si="93"/>
        <v>555.08973666666668</v>
      </c>
      <c r="CD150" t="str">
        <f>IF(周K!$E$3+CK150-12&gt;工作底稿!$CE$5,"周K!A"&amp;周K!$E$3-$CE$5+1+CK150-8,0)</f>
        <v>周K!A310</v>
      </c>
      <c r="CE150" s="4">
        <f t="shared" ca="1" si="106"/>
        <v>43591</v>
      </c>
      <c r="CF150" s="13">
        <f ca="1">IF($CD150=0,"",VLOOKUP($CE150,周K!$A$6:$F$6842,2,0))</f>
        <v>260</v>
      </c>
      <c r="CG150" s="13">
        <f ca="1">IF($CD150=0,"",VLOOKUP($CE150,周K!$A$6:$F$6842,3,0))</f>
        <v>263</v>
      </c>
      <c r="CH150" s="13">
        <f ca="1">IF($CD150=0,"",VLOOKUP($CE150,周K!$A$6:$F$6842,4,0))</f>
        <v>255</v>
      </c>
      <c r="CI150" s="13">
        <f ca="1">IF($CD150=0,"",VLOOKUP($CE150,周K!$A$6:$F$6842,5,0))</f>
        <v>256</v>
      </c>
      <c r="CJ150" s="13">
        <f ca="1">IF($CD150=0,"",VLOOKUP($CE150,周K!$A$6:$F$6842,6,0))</f>
        <v>138311</v>
      </c>
      <c r="CK150">
        <f>ROW()</f>
        <v>150</v>
      </c>
      <c r="CM150" t="str">
        <f t="shared" si="107"/>
        <v>CG146:CG150</v>
      </c>
      <c r="CN150">
        <f t="shared" si="108"/>
        <v>138</v>
      </c>
      <c r="CO150">
        <f t="shared" ca="1" si="109"/>
        <v>264.39999999999998</v>
      </c>
      <c r="CQ150" t="str">
        <f t="shared" si="110"/>
        <v>CG131:CG150</v>
      </c>
      <c r="CR150">
        <f t="shared" si="111"/>
        <v>123</v>
      </c>
      <c r="CS150">
        <f t="shared" ca="1" si="112"/>
        <v>241.5</v>
      </c>
      <c r="CU150" t="str">
        <f t="shared" si="113"/>
        <v>CG91:CG150</v>
      </c>
      <c r="CV150">
        <f t="shared" si="114"/>
        <v>83</v>
      </c>
      <c r="CW150">
        <f t="shared" ca="1" si="115"/>
        <v>241.70833333333334</v>
      </c>
      <c r="CY150">
        <f t="shared" ca="1" si="116"/>
        <v>604.01002499999993</v>
      </c>
      <c r="CZ150">
        <f t="shared" ca="1" si="120"/>
        <v>626.80960627735521</v>
      </c>
      <c r="DA150">
        <f t="shared" ca="1" si="85"/>
        <v>613.01042241608218</v>
      </c>
      <c r="DB150">
        <f t="shared" ca="1" si="84"/>
        <v>13.799183861273036</v>
      </c>
      <c r="DC150">
        <f t="shared" ca="1" si="86"/>
        <v>20.386265935794086</v>
      </c>
      <c r="DD150">
        <f t="shared" ca="1" si="87"/>
        <v>-6.5870820745210494</v>
      </c>
    </row>
    <row r="151" spans="51:108" x14ac:dyDescent="0.25">
      <c r="AY151" t="str">
        <f>"日K!A"&amp;日K!$E$3-239+1+BF151-8</f>
        <v>日K!A6743</v>
      </c>
      <c r="AZ151" s="4">
        <f t="shared" ca="1" si="94"/>
        <v>44257</v>
      </c>
      <c r="BA151" s="13">
        <f t="shared" ca="1" si="95"/>
        <v>615.9117</v>
      </c>
      <c r="BB151" s="13">
        <f t="shared" ca="1" si="96"/>
        <v>616.90350000000001</v>
      </c>
      <c r="BC151" s="13">
        <f t="shared" ca="1" si="97"/>
        <v>604.01</v>
      </c>
      <c r="BD151" s="13">
        <f t="shared" ca="1" si="98"/>
        <v>604.01</v>
      </c>
      <c r="BE151" s="13">
        <f t="shared" ca="1" si="99"/>
        <v>57793</v>
      </c>
      <c r="BF151">
        <f>ROW()</f>
        <v>151</v>
      </c>
      <c r="BH151" t="str">
        <f t="shared" si="100"/>
        <v>BC147:BC151</v>
      </c>
      <c r="BI151">
        <f t="shared" si="117"/>
        <v>139</v>
      </c>
      <c r="BJ151">
        <f t="shared" ca="1" si="101"/>
        <v>615.11825999999996</v>
      </c>
      <c r="BL151" t="str">
        <f t="shared" si="102"/>
        <v>BC132:BC151</v>
      </c>
      <c r="BM151">
        <f t="shared" si="118"/>
        <v>124</v>
      </c>
      <c r="BN151">
        <f t="shared" ca="1" si="103"/>
        <v>619.33345500000007</v>
      </c>
      <c r="BP151" t="str">
        <f t="shared" si="104"/>
        <v>BC92:BC151</v>
      </c>
      <c r="BQ151">
        <f t="shared" si="119"/>
        <v>84</v>
      </c>
      <c r="BR151">
        <f t="shared" ca="1" si="105"/>
        <v>557.14571666666666</v>
      </c>
      <c r="BT151">
        <f t="shared" ca="1" si="83"/>
        <v>623.79658000000006</v>
      </c>
      <c r="BU151">
        <f t="shared" ca="1" si="88"/>
        <v>18.185524040546891</v>
      </c>
      <c r="BV151">
        <f t="shared" ca="1" si="89"/>
        <v>660.16762808109388</v>
      </c>
      <c r="BW151">
        <f t="shared" ca="1" si="90"/>
        <v>587.42553191890624</v>
      </c>
      <c r="BY151">
        <f t="shared" ca="1" si="91"/>
        <v>615.11825999999996</v>
      </c>
      <c r="BZ151">
        <f t="shared" ca="1" si="92"/>
        <v>619.33345500000007</v>
      </c>
      <c r="CA151">
        <f t="shared" ca="1" si="93"/>
        <v>557.14571666666666</v>
      </c>
      <c r="CD151" t="str">
        <f>IF(周K!$E$3+CK151-12&gt;工作底稿!$CE$5,"周K!A"&amp;周K!$E$3-$CE$5+1+CK151-8,0)</f>
        <v>周K!A311</v>
      </c>
      <c r="CE151" s="4">
        <f t="shared" ca="1" si="106"/>
        <v>43598</v>
      </c>
      <c r="CF151" s="13">
        <f ca="1">IF($CD151=0,"",VLOOKUP($CE151,周K!$A$6:$F$6842,2,0))</f>
        <v>253</v>
      </c>
      <c r="CG151" s="13">
        <f ca="1">IF($CD151=0,"",VLOOKUP($CE151,周K!$A$6:$F$6842,3,0))</f>
        <v>254</v>
      </c>
      <c r="CH151" s="13">
        <f ca="1">IF($CD151=0,"",VLOOKUP($CE151,周K!$A$6:$F$6842,4,0))</f>
        <v>241.5</v>
      </c>
      <c r="CI151" s="13">
        <f ca="1">IF($CD151=0,"",VLOOKUP($CE151,周K!$A$6:$F$6842,5,0))</f>
        <v>241.5</v>
      </c>
      <c r="CJ151" s="13">
        <f ca="1">IF($CD151=0,"",VLOOKUP($CE151,周K!$A$6:$F$6842,6,0))</f>
        <v>182500</v>
      </c>
      <c r="CK151">
        <f>ROW()</f>
        <v>151</v>
      </c>
      <c r="CM151" t="str">
        <f t="shared" si="107"/>
        <v>CG147:CG151</v>
      </c>
      <c r="CN151">
        <f t="shared" si="108"/>
        <v>139</v>
      </c>
      <c r="CO151">
        <f t="shared" ca="1" si="109"/>
        <v>264.3</v>
      </c>
      <c r="CQ151" t="str">
        <f t="shared" si="110"/>
        <v>CG132:CG151</v>
      </c>
      <c r="CR151">
        <f t="shared" si="111"/>
        <v>124</v>
      </c>
      <c r="CS151">
        <f t="shared" ca="1" si="112"/>
        <v>242.92500000000001</v>
      </c>
      <c r="CU151" t="str">
        <f t="shared" si="113"/>
        <v>CG92:CG151</v>
      </c>
      <c r="CV151">
        <f t="shared" si="114"/>
        <v>84</v>
      </c>
      <c r="CW151">
        <f t="shared" ca="1" si="115"/>
        <v>241.625</v>
      </c>
      <c r="CY151">
        <f t="shared" ca="1" si="116"/>
        <v>607.23337500000002</v>
      </c>
      <c r="CZ151">
        <f t="shared" ca="1" si="120"/>
        <v>623.79787838853133</v>
      </c>
      <c r="DA151">
        <f t="shared" ca="1" si="85"/>
        <v>612.5824929778538</v>
      </c>
      <c r="DB151">
        <f t="shared" ca="1" si="84"/>
        <v>11.215385410677527</v>
      </c>
      <c r="DC151">
        <f t="shared" ca="1" si="86"/>
        <v>19.352295464923511</v>
      </c>
      <c r="DD151">
        <f t="shared" ca="1" si="87"/>
        <v>-8.136910054245984</v>
      </c>
    </row>
    <row r="152" spans="51:108" x14ac:dyDescent="0.25">
      <c r="AY152" t="str">
        <f>"日K!A"&amp;日K!$E$3-239+1+BF152-8</f>
        <v>日K!A6744</v>
      </c>
      <c r="AZ152" s="4">
        <f t="shared" ca="1" si="94"/>
        <v>44258</v>
      </c>
      <c r="BA152" s="13">
        <f t="shared" ca="1" si="95"/>
        <v>604.01</v>
      </c>
      <c r="BB152" s="13">
        <f t="shared" ca="1" si="96"/>
        <v>616.90350000000001</v>
      </c>
      <c r="BC152" s="13">
        <f t="shared" ca="1" si="97"/>
        <v>596.07560000000001</v>
      </c>
      <c r="BD152" s="13">
        <f t="shared" ca="1" si="98"/>
        <v>616.90350000000001</v>
      </c>
      <c r="BE152" s="13">
        <f t="shared" ca="1" si="99"/>
        <v>61171</v>
      </c>
      <c r="BF152">
        <f>ROW()</f>
        <v>152</v>
      </c>
      <c r="BH152" t="str">
        <f t="shared" si="100"/>
        <v>BC148:BC152</v>
      </c>
      <c r="BI152">
        <f t="shared" si="117"/>
        <v>140</v>
      </c>
      <c r="BJ152">
        <f t="shared" ca="1" si="101"/>
        <v>608.77070000000003</v>
      </c>
      <c r="BL152" t="str">
        <f t="shared" si="102"/>
        <v>BC133:BC152</v>
      </c>
      <c r="BM152">
        <f t="shared" si="118"/>
        <v>125</v>
      </c>
      <c r="BN152">
        <f t="shared" ca="1" si="103"/>
        <v>616.9531199999999</v>
      </c>
      <c r="BP152" t="str">
        <f t="shared" si="104"/>
        <v>BC93:BC152</v>
      </c>
      <c r="BQ152">
        <f t="shared" si="119"/>
        <v>85</v>
      </c>
      <c r="BR152">
        <f t="shared" ca="1" si="105"/>
        <v>559.05300666666653</v>
      </c>
      <c r="BT152">
        <f t="shared" ca="1" si="83"/>
        <v>622.45764000000008</v>
      </c>
      <c r="BU152">
        <f t="shared" ca="1" si="88"/>
        <v>16.336332721854177</v>
      </c>
      <c r="BV152">
        <f t="shared" ca="1" si="89"/>
        <v>655.13030544370849</v>
      </c>
      <c r="BW152">
        <f t="shared" ca="1" si="90"/>
        <v>589.78497455629167</v>
      </c>
      <c r="BY152">
        <f t="shared" ca="1" si="91"/>
        <v>608.77070000000003</v>
      </c>
      <c r="BZ152">
        <f t="shared" ca="1" si="92"/>
        <v>616.9531199999999</v>
      </c>
      <c r="CA152">
        <f t="shared" ca="1" si="93"/>
        <v>559.05300666666653</v>
      </c>
      <c r="CD152" t="str">
        <f>IF(周K!$E$3+CK152-12&gt;工作底稿!$CE$5,"周K!A"&amp;周K!$E$3-$CE$5+1+CK152-8,0)</f>
        <v>周K!A312</v>
      </c>
      <c r="CE152" s="4">
        <f t="shared" ca="1" si="106"/>
        <v>43605</v>
      </c>
      <c r="CF152" s="13">
        <f ca="1">IF($CD152=0,"",VLOOKUP($CE152,周K!$A$6:$F$6842,2,0))</f>
        <v>242.5</v>
      </c>
      <c r="CG152" s="13">
        <f ca="1">IF($CD152=0,"",VLOOKUP($CE152,周K!$A$6:$F$6842,3,0))</f>
        <v>243</v>
      </c>
      <c r="CH152" s="13">
        <f ca="1">IF($CD152=0,"",VLOOKUP($CE152,周K!$A$6:$F$6842,4,0))</f>
        <v>230</v>
      </c>
      <c r="CI152" s="13">
        <f ca="1">IF($CD152=0,"",VLOOKUP($CE152,周K!$A$6:$F$6842,5,0))</f>
        <v>233</v>
      </c>
      <c r="CJ152" s="13">
        <f ca="1">IF($CD152=0,"",VLOOKUP($CE152,周K!$A$6:$F$6842,6,0))</f>
        <v>266745</v>
      </c>
      <c r="CK152">
        <f>ROW()</f>
        <v>152</v>
      </c>
      <c r="CM152" t="str">
        <f t="shared" si="107"/>
        <v>CG148:CG152</v>
      </c>
      <c r="CN152">
        <f t="shared" si="108"/>
        <v>140</v>
      </c>
      <c r="CO152">
        <f t="shared" ca="1" si="109"/>
        <v>259</v>
      </c>
      <c r="CQ152" t="str">
        <f t="shared" si="110"/>
        <v>CG133:CG152</v>
      </c>
      <c r="CR152">
        <f t="shared" si="111"/>
        <v>125</v>
      </c>
      <c r="CS152">
        <f t="shared" ca="1" si="112"/>
        <v>243.8</v>
      </c>
      <c r="CU152" t="str">
        <f t="shared" si="113"/>
        <v>CG93:CG152</v>
      </c>
      <c r="CV152">
        <f t="shared" si="114"/>
        <v>85</v>
      </c>
      <c r="CW152">
        <f t="shared" ca="1" si="115"/>
        <v>241.41666666666666</v>
      </c>
      <c r="CY152">
        <f t="shared" ca="1" si="116"/>
        <v>611.69652500000007</v>
      </c>
      <c r="CZ152">
        <f t="shared" ca="1" si="120"/>
        <v>621.93613171337267</v>
      </c>
      <c r="DA152">
        <f t="shared" ca="1" si="85"/>
        <v>612.51686572023505</v>
      </c>
      <c r="DB152">
        <f t="shared" ca="1" si="84"/>
        <v>9.4192659931376284</v>
      </c>
      <c r="DC152">
        <f t="shared" ca="1" si="86"/>
        <v>17.91068899067789</v>
      </c>
      <c r="DD152">
        <f t="shared" ca="1" si="87"/>
        <v>-8.491422997540262</v>
      </c>
    </row>
    <row r="153" spans="51:108" x14ac:dyDescent="0.25">
      <c r="AY153" t="str">
        <f>"日K!A"&amp;日K!$E$3-239+1+BF153-8</f>
        <v>日K!A6745</v>
      </c>
      <c r="AZ153" s="4">
        <f t="shared" ca="1" si="94"/>
        <v>44259</v>
      </c>
      <c r="BA153" s="13">
        <f t="shared" ca="1" si="95"/>
        <v>604.01</v>
      </c>
      <c r="BB153" s="13">
        <f t="shared" ca="1" si="96"/>
        <v>605.99369999999999</v>
      </c>
      <c r="BC153" s="13">
        <f t="shared" ca="1" si="97"/>
        <v>596.07560000000001</v>
      </c>
      <c r="BD153" s="13">
        <f t="shared" ca="1" si="98"/>
        <v>596.07560000000001</v>
      </c>
      <c r="BE153" s="13">
        <f t="shared" ca="1" si="99"/>
        <v>75508</v>
      </c>
      <c r="BF153">
        <f>ROW()</f>
        <v>153</v>
      </c>
      <c r="BH153" t="str">
        <f t="shared" si="100"/>
        <v>BC149:BC153</v>
      </c>
      <c r="BI153">
        <f t="shared" si="117"/>
        <v>141</v>
      </c>
      <c r="BJ153">
        <f t="shared" ca="1" si="101"/>
        <v>604.01004</v>
      </c>
      <c r="BL153" t="str">
        <f t="shared" si="102"/>
        <v>BC134:BC153</v>
      </c>
      <c r="BM153">
        <f t="shared" si="118"/>
        <v>126</v>
      </c>
      <c r="BN153">
        <f t="shared" ca="1" si="103"/>
        <v>615.71335999999997</v>
      </c>
      <c r="BP153" t="str">
        <f t="shared" si="104"/>
        <v>BC94:BC153</v>
      </c>
      <c r="BQ153">
        <f t="shared" si="119"/>
        <v>86</v>
      </c>
      <c r="BR153">
        <f t="shared" ca="1" si="105"/>
        <v>560.98497166666652</v>
      </c>
      <c r="BT153">
        <f t="shared" ca="1" si="83"/>
        <v>620.87075000000016</v>
      </c>
      <c r="BU153">
        <f t="shared" ca="1" si="88"/>
        <v>14.575615080485303</v>
      </c>
      <c r="BV153">
        <f t="shared" ca="1" si="89"/>
        <v>650.02198016097077</v>
      </c>
      <c r="BW153">
        <f t="shared" ca="1" si="90"/>
        <v>591.71951983902954</v>
      </c>
      <c r="BY153">
        <f t="shared" ca="1" si="91"/>
        <v>604.01004</v>
      </c>
      <c r="BZ153">
        <f t="shared" ca="1" si="92"/>
        <v>615.71335999999997</v>
      </c>
      <c r="CA153">
        <f t="shared" ca="1" si="93"/>
        <v>560.98497166666652</v>
      </c>
      <c r="CD153" t="str">
        <f>IF(周K!$E$3+CK153-12&gt;工作底稿!$CE$5,"周K!A"&amp;周K!$E$3-$CE$5+1+CK153-8,0)</f>
        <v>周K!A313</v>
      </c>
      <c r="CE153" s="4">
        <f t="shared" ca="1" si="106"/>
        <v>43612</v>
      </c>
      <c r="CF153" s="13">
        <f ca="1">IF($CD153=0,"",VLOOKUP($CE153,周K!$A$6:$F$6842,2,0))</f>
        <v>234</v>
      </c>
      <c r="CG153" s="13">
        <f ca="1">IF($CD153=0,"",VLOOKUP($CE153,周K!$A$6:$F$6842,3,0))</f>
        <v>237.5</v>
      </c>
      <c r="CH153" s="13">
        <f ca="1">IF($CD153=0,"",VLOOKUP($CE153,周K!$A$6:$F$6842,4,0))</f>
        <v>227</v>
      </c>
      <c r="CI153" s="13">
        <f ca="1">IF($CD153=0,"",VLOOKUP($CE153,周K!$A$6:$F$6842,5,0))</f>
        <v>235.5</v>
      </c>
      <c r="CJ153" s="13">
        <f ca="1">IF($CD153=0,"",VLOOKUP($CE153,周K!$A$6:$F$6842,6,0))</f>
        <v>258568</v>
      </c>
      <c r="CK153">
        <f>ROW()</f>
        <v>153</v>
      </c>
      <c r="CM153" t="str">
        <f t="shared" si="107"/>
        <v>CG149:CG153</v>
      </c>
      <c r="CN153">
        <f t="shared" si="108"/>
        <v>141</v>
      </c>
      <c r="CO153">
        <f t="shared" ca="1" si="109"/>
        <v>252.5</v>
      </c>
      <c r="CQ153" t="str">
        <f t="shared" si="110"/>
        <v>CG134:CG153</v>
      </c>
      <c r="CR153">
        <f t="shared" si="111"/>
        <v>126</v>
      </c>
      <c r="CS153">
        <f t="shared" ca="1" si="112"/>
        <v>244.35</v>
      </c>
      <c r="CU153" t="str">
        <f t="shared" si="113"/>
        <v>CG94:CG153</v>
      </c>
      <c r="CV153">
        <f t="shared" si="114"/>
        <v>86</v>
      </c>
      <c r="CW153">
        <f t="shared" ca="1" si="115"/>
        <v>241.19166666666666</v>
      </c>
      <c r="CY153">
        <f t="shared" ca="1" si="116"/>
        <v>598.55512500000009</v>
      </c>
      <c r="CZ153">
        <f t="shared" ca="1" si="120"/>
        <v>618.33905375746917</v>
      </c>
      <c r="DA153">
        <f t="shared" ca="1" si="85"/>
        <v>611.48266270392128</v>
      </c>
      <c r="DB153">
        <f t="shared" ca="1" si="84"/>
        <v>6.8563910535478954</v>
      </c>
      <c r="DC153">
        <f t="shared" ca="1" si="86"/>
        <v>16.078229089626209</v>
      </c>
      <c r="DD153">
        <f t="shared" ca="1" si="87"/>
        <v>-9.2218380360783136</v>
      </c>
    </row>
    <row r="154" spans="51:108" x14ac:dyDescent="0.25">
      <c r="AY154" t="str">
        <f>"日K!A"&amp;日K!$E$3-239+1+BF154-8</f>
        <v>日K!A6746</v>
      </c>
      <c r="AZ154" s="4">
        <f t="shared" ca="1" si="94"/>
        <v>44260</v>
      </c>
      <c r="BA154" s="13">
        <f t="shared" ca="1" si="95"/>
        <v>583.18209999999999</v>
      </c>
      <c r="BB154" s="13">
        <f t="shared" ca="1" si="96"/>
        <v>600.04280000000006</v>
      </c>
      <c r="BC154" s="13">
        <f t="shared" ca="1" si="97"/>
        <v>579.21489999999994</v>
      </c>
      <c r="BD154" s="13">
        <f t="shared" ca="1" si="98"/>
        <v>596.07560000000001</v>
      </c>
      <c r="BE154" s="13">
        <f t="shared" ca="1" si="99"/>
        <v>85580</v>
      </c>
      <c r="BF154">
        <f>ROW()</f>
        <v>154</v>
      </c>
      <c r="BH154" t="str">
        <f t="shared" si="100"/>
        <v>BC150:BC154</v>
      </c>
      <c r="BI154">
        <f t="shared" si="117"/>
        <v>142</v>
      </c>
      <c r="BJ154">
        <f t="shared" ca="1" si="101"/>
        <v>595.28214000000003</v>
      </c>
      <c r="BL154" t="str">
        <f t="shared" si="102"/>
        <v>BC135:BC154</v>
      </c>
      <c r="BM154">
        <f t="shared" si="118"/>
        <v>127</v>
      </c>
      <c r="BN154">
        <f t="shared" ca="1" si="103"/>
        <v>614.42401000000007</v>
      </c>
      <c r="BP154" t="str">
        <f t="shared" si="104"/>
        <v>BC95:BC154</v>
      </c>
      <c r="BQ154">
        <f t="shared" si="119"/>
        <v>87</v>
      </c>
      <c r="BR154">
        <f t="shared" ca="1" si="105"/>
        <v>562.73461999999984</v>
      </c>
      <c r="BT154">
        <f t="shared" ca="1" si="83"/>
        <v>620.07730500000002</v>
      </c>
      <c r="BU154">
        <f t="shared" ca="1" si="88"/>
        <v>12.890342409833034</v>
      </c>
      <c r="BV154">
        <f t="shared" ca="1" si="89"/>
        <v>645.85798981966605</v>
      </c>
      <c r="BW154">
        <f t="shared" ca="1" si="90"/>
        <v>594.296620180334</v>
      </c>
      <c r="BY154">
        <f t="shared" ca="1" si="91"/>
        <v>595.28214000000003</v>
      </c>
      <c r="BZ154">
        <f t="shared" ca="1" si="92"/>
        <v>614.42401000000007</v>
      </c>
      <c r="CA154">
        <f t="shared" ca="1" si="93"/>
        <v>562.73461999999984</v>
      </c>
      <c r="CD154" t="str">
        <f>IF(周K!$E$3+CK154-12&gt;工作底稿!$CE$5,"周K!A"&amp;周K!$E$3-$CE$5+1+CK154-8,0)</f>
        <v>周K!A314</v>
      </c>
      <c r="CE154" s="4">
        <f t="shared" ca="1" si="106"/>
        <v>43619</v>
      </c>
      <c r="CF154" s="13">
        <f ca="1">IF($CD154=0,"",VLOOKUP($CE154,周K!$A$6:$F$6842,2,0))</f>
        <v>235.5</v>
      </c>
      <c r="CG154" s="13">
        <f ca="1">IF($CD154=0,"",VLOOKUP($CE154,周K!$A$6:$F$6842,3,0))</f>
        <v>238.5</v>
      </c>
      <c r="CH154" s="13">
        <f ca="1">IF($CD154=0,"",VLOOKUP($CE154,周K!$A$6:$F$6842,4,0))</f>
        <v>229.5</v>
      </c>
      <c r="CI154" s="13">
        <f ca="1">IF($CD154=0,"",VLOOKUP($CE154,周K!$A$6:$F$6842,5,0))</f>
        <v>232</v>
      </c>
      <c r="CJ154" s="13">
        <f ca="1">IF($CD154=0,"",VLOOKUP($CE154,周K!$A$6:$F$6842,6,0))</f>
        <v>131684</v>
      </c>
      <c r="CK154">
        <f>ROW()</f>
        <v>154</v>
      </c>
      <c r="CM154" t="str">
        <f t="shared" si="107"/>
        <v>CG150:CG154</v>
      </c>
      <c r="CN154">
        <f t="shared" si="108"/>
        <v>142</v>
      </c>
      <c r="CO154">
        <f t="shared" ca="1" si="109"/>
        <v>247.2</v>
      </c>
      <c r="CQ154" t="str">
        <f t="shared" si="110"/>
        <v>CG135:CG154</v>
      </c>
      <c r="CR154">
        <f t="shared" si="111"/>
        <v>127</v>
      </c>
      <c r="CS154">
        <f t="shared" ca="1" si="112"/>
        <v>245.25</v>
      </c>
      <c r="CU154" t="str">
        <f t="shared" si="113"/>
        <v>CG95:CG154</v>
      </c>
      <c r="CV154">
        <f t="shared" si="114"/>
        <v>87</v>
      </c>
      <c r="CW154">
        <f t="shared" ca="1" si="115"/>
        <v>241.01666666666668</v>
      </c>
      <c r="CY154">
        <f t="shared" ca="1" si="116"/>
        <v>592.85222500000009</v>
      </c>
      <c r="CZ154">
        <f t="shared" ca="1" si="120"/>
        <v>614.41800317939692</v>
      </c>
      <c r="DA154">
        <f t="shared" ca="1" si="85"/>
        <v>610.10263028140866</v>
      </c>
      <c r="DB154">
        <f t="shared" ca="1" si="84"/>
        <v>4.3153728979882544</v>
      </c>
      <c r="DC154">
        <f t="shared" ca="1" si="86"/>
        <v>13.982404935675731</v>
      </c>
      <c r="DD154">
        <f t="shared" ca="1" si="87"/>
        <v>-9.667032037687477</v>
      </c>
    </row>
    <row r="155" spans="51:108" x14ac:dyDescent="0.25">
      <c r="AY155" t="str">
        <f>"日K!A"&amp;日K!$E$3-239+1+BF155-8</f>
        <v>日K!A6747</v>
      </c>
      <c r="AZ155" s="4">
        <f t="shared" ca="1" si="94"/>
        <v>44263</v>
      </c>
      <c r="BA155" s="13">
        <f t="shared" ca="1" si="95"/>
        <v>603.01819999999998</v>
      </c>
      <c r="BB155" s="13">
        <f t="shared" ca="1" si="96"/>
        <v>605.00189999999998</v>
      </c>
      <c r="BC155" s="13">
        <f t="shared" ca="1" si="97"/>
        <v>593.10019999999997</v>
      </c>
      <c r="BD155" s="13">
        <f t="shared" ca="1" si="98"/>
        <v>593.10019999999997</v>
      </c>
      <c r="BE155" s="13">
        <f t="shared" ca="1" si="99"/>
        <v>47677</v>
      </c>
      <c r="BF155">
        <f>ROW()</f>
        <v>155</v>
      </c>
      <c r="BH155" t="str">
        <f t="shared" si="100"/>
        <v>BC151:BC155</v>
      </c>
      <c r="BI155">
        <f t="shared" si="117"/>
        <v>143</v>
      </c>
      <c r="BJ155">
        <f t="shared" ca="1" si="101"/>
        <v>593.69525999999996</v>
      </c>
      <c r="BL155" t="str">
        <f t="shared" si="102"/>
        <v>BC136:BC155</v>
      </c>
      <c r="BM155">
        <f t="shared" si="118"/>
        <v>128</v>
      </c>
      <c r="BN155">
        <f t="shared" ca="1" si="103"/>
        <v>613.77933500000017</v>
      </c>
      <c r="BP155" t="str">
        <f t="shared" si="104"/>
        <v>BC96:BC155</v>
      </c>
      <c r="BQ155">
        <f t="shared" si="119"/>
        <v>88</v>
      </c>
      <c r="BR155">
        <f t="shared" ca="1" si="105"/>
        <v>564.66634166666665</v>
      </c>
      <c r="BT155">
        <f t="shared" ref="BT155:BT218" ca="1" si="121">AVERAGE(BD136:BD155)</f>
        <v>619.23427000000004</v>
      </c>
      <c r="BU155">
        <f t="shared" ca="1" si="88"/>
        <v>11.333725012684036</v>
      </c>
      <c r="BV155">
        <f t="shared" ca="1" si="89"/>
        <v>641.90172002536815</v>
      </c>
      <c r="BW155">
        <f t="shared" ca="1" si="90"/>
        <v>596.56681997463193</v>
      </c>
      <c r="BY155">
        <f t="shared" ca="1" si="91"/>
        <v>593.69525999999996</v>
      </c>
      <c r="BZ155">
        <f t="shared" ca="1" si="92"/>
        <v>613.77933500000017</v>
      </c>
      <c r="CA155">
        <f t="shared" ca="1" si="93"/>
        <v>564.66634166666665</v>
      </c>
      <c r="CD155" t="str">
        <f>IF(周K!$E$3+CK155-12&gt;工作底稿!$CE$5,"周K!A"&amp;周K!$E$3-$CE$5+1+CK155-8,0)</f>
        <v>周K!A315</v>
      </c>
      <c r="CE155" s="4">
        <f t="shared" ca="1" si="106"/>
        <v>43626</v>
      </c>
      <c r="CF155" s="13">
        <f ca="1">IF($CD155=0,"",VLOOKUP($CE155,周K!$A$6:$F$6842,2,0))</f>
        <v>237.5</v>
      </c>
      <c r="CG155" s="13">
        <f ca="1">IF($CD155=0,"",VLOOKUP($CE155,周K!$A$6:$F$6842,3,0))</f>
        <v>247.5</v>
      </c>
      <c r="CH155" s="13">
        <f ca="1">IF($CD155=0,"",VLOOKUP($CE155,周K!$A$6:$F$6842,4,0))</f>
        <v>234.5</v>
      </c>
      <c r="CI155" s="13">
        <f ca="1">IF($CD155=0,"",VLOOKUP($CE155,周K!$A$6:$F$6842,5,0))</f>
        <v>236</v>
      </c>
      <c r="CJ155" s="13">
        <f ca="1">IF($CD155=0,"",VLOOKUP($CE155,周K!$A$6:$F$6842,6,0))</f>
        <v>169758</v>
      </c>
      <c r="CK155">
        <f>ROW()</f>
        <v>155</v>
      </c>
      <c r="CM155" t="str">
        <f t="shared" si="107"/>
        <v>CG151:CG155</v>
      </c>
      <c r="CN155">
        <f t="shared" si="108"/>
        <v>143</v>
      </c>
      <c r="CO155">
        <f t="shared" ca="1" si="109"/>
        <v>244.1</v>
      </c>
      <c r="CQ155" t="str">
        <f t="shared" si="110"/>
        <v>CG136:CG155</v>
      </c>
      <c r="CR155">
        <f t="shared" si="111"/>
        <v>128</v>
      </c>
      <c r="CS155">
        <f t="shared" ca="1" si="112"/>
        <v>246.57499999999999</v>
      </c>
      <c r="CU155" t="str">
        <f t="shared" si="113"/>
        <v>CG96:CG155</v>
      </c>
      <c r="CV155">
        <f t="shared" si="114"/>
        <v>88</v>
      </c>
      <c r="CW155">
        <f t="shared" ca="1" si="115"/>
        <v>240.99166666666667</v>
      </c>
      <c r="CY155">
        <f t="shared" ca="1" si="116"/>
        <v>596.07562499999995</v>
      </c>
      <c r="CZ155">
        <f t="shared" ca="1" si="120"/>
        <v>611.59609884410509</v>
      </c>
      <c r="DA155">
        <f t="shared" ca="1" si="85"/>
        <v>609.06359285315614</v>
      </c>
      <c r="DB155">
        <f t="shared" ca="1" si="84"/>
        <v>2.5325059909489482</v>
      </c>
      <c r="DC155">
        <f t="shared" ca="1" si="86"/>
        <v>11.723905233646052</v>
      </c>
      <c r="DD155">
        <f t="shared" ca="1" si="87"/>
        <v>-9.1913992426971038</v>
      </c>
    </row>
    <row r="156" spans="51:108" x14ac:dyDescent="0.25">
      <c r="AY156" t="str">
        <f>"日K!A"&amp;日K!$E$3-239+1+BF156-8</f>
        <v>日K!A6748</v>
      </c>
      <c r="AZ156" s="4">
        <f t="shared" ca="1" si="94"/>
        <v>44264</v>
      </c>
      <c r="BA156" s="13">
        <f t="shared" ca="1" si="95"/>
        <v>580.20669999999996</v>
      </c>
      <c r="BB156" s="13">
        <f t="shared" ca="1" si="96"/>
        <v>590.12480000000005</v>
      </c>
      <c r="BC156" s="13">
        <f t="shared" ca="1" si="97"/>
        <v>580.20669999999996</v>
      </c>
      <c r="BD156" s="13">
        <f t="shared" ca="1" si="98"/>
        <v>590.12480000000005</v>
      </c>
      <c r="BE156" s="13">
        <f t="shared" ca="1" si="99"/>
        <v>74471</v>
      </c>
      <c r="BF156">
        <f>ROW()</f>
        <v>156</v>
      </c>
      <c r="BH156" t="str">
        <f t="shared" si="100"/>
        <v>BC152:BC156</v>
      </c>
      <c r="BI156">
        <f t="shared" si="117"/>
        <v>144</v>
      </c>
      <c r="BJ156">
        <f t="shared" ca="1" si="101"/>
        <v>588.93459999999993</v>
      </c>
      <c r="BL156" t="str">
        <f t="shared" si="102"/>
        <v>BC137:BC156</v>
      </c>
      <c r="BM156">
        <f t="shared" si="118"/>
        <v>129</v>
      </c>
      <c r="BN156">
        <f t="shared" ca="1" si="103"/>
        <v>613.13465999999994</v>
      </c>
      <c r="BP156" t="str">
        <f t="shared" si="104"/>
        <v>BC97:BC156</v>
      </c>
      <c r="BQ156">
        <f t="shared" si="119"/>
        <v>89</v>
      </c>
      <c r="BR156">
        <f t="shared" ca="1" si="105"/>
        <v>566.21867833333329</v>
      </c>
      <c r="BT156">
        <f t="shared" ca="1" si="121"/>
        <v>618.93673000000001</v>
      </c>
      <c r="BU156">
        <f t="shared" ca="1" si="88"/>
        <v>9.8279637628409375</v>
      </c>
      <c r="BV156">
        <f t="shared" ca="1" si="89"/>
        <v>638.59265752568194</v>
      </c>
      <c r="BW156">
        <f t="shared" ca="1" si="90"/>
        <v>599.28080247431808</v>
      </c>
      <c r="BY156">
        <f t="shared" ca="1" si="91"/>
        <v>588.93459999999993</v>
      </c>
      <c r="BZ156">
        <f t="shared" ca="1" si="92"/>
        <v>613.13465999999994</v>
      </c>
      <c r="CA156">
        <f t="shared" ca="1" si="93"/>
        <v>566.21867833333329</v>
      </c>
      <c r="CD156" t="str">
        <f>IF(周K!$E$3+CK156-12&gt;工作底稿!$CE$5,"周K!A"&amp;周K!$E$3-$CE$5+1+CK156-8,0)</f>
        <v>周K!A316</v>
      </c>
      <c r="CE156" s="4">
        <f t="shared" ca="1" si="106"/>
        <v>43633</v>
      </c>
      <c r="CF156" s="13">
        <f ca="1">IF($CD156=0,"",VLOOKUP($CE156,周K!$A$6:$F$6842,2,0))</f>
        <v>231.5</v>
      </c>
      <c r="CG156" s="13">
        <f ca="1">IF($CD156=0,"",VLOOKUP($CE156,周K!$A$6:$F$6842,3,0))</f>
        <v>248.5</v>
      </c>
      <c r="CH156" s="13">
        <f ca="1">IF($CD156=0,"",VLOOKUP($CE156,周K!$A$6:$F$6842,4,0))</f>
        <v>230.5</v>
      </c>
      <c r="CI156" s="13">
        <f ca="1">IF($CD156=0,"",VLOOKUP($CE156,周K!$A$6:$F$6842,5,0))</f>
        <v>248.5</v>
      </c>
      <c r="CJ156" s="13">
        <f ca="1">IF($CD156=0,"",VLOOKUP($CE156,周K!$A$6:$F$6842,6,0))</f>
        <v>232578</v>
      </c>
      <c r="CK156">
        <f>ROW()</f>
        <v>156</v>
      </c>
      <c r="CM156" t="str">
        <f t="shared" si="107"/>
        <v>CG152:CG156</v>
      </c>
      <c r="CN156">
        <f t="shared" si="108"/>
        <v>144</v>
      </c>
      <c r="CO156">
        <f t="shared" ca="1" si="109"/>
        <v>243</v>
      </c>
      <c r="CQ156" t="str">
        <f t="shared" si="110"/>
        <v>CG137:CG156</v>
      </c>
      <c r="CR156">
        <f t="shared" si="111"/>
        <v>129</v>
      </c>
      <c r="CS156">
        <f t="shared" ca="1" si="112"/>
        <v>247.65</v>
      </c>
      <c r="CU156" t="str">
        <f t="shared" si="113"/>
        <v>CG97:CG156</v>
      </c>
      <c r="CV156">
        <f t="shared" si="114"/>
        <v>89</v>
      </c>
      <c r="CW156">
        <f t="shared" ca="1" si="115"/>
        <v>241.05833333333334</v>
      </c>
      <c r="CY156">
        <f t="shared" ca="1" si="116"/>
        <v>587.64527500000008</v>
      </c>
      <c r="CZ156">
        <f t="shared" ca="1" si="120"/>
        <v>607.91135671424286</v>
      </c>
      <c r="DA156">
        <f t="shared" ca="1" si="85"/>
        <v>607.47705078995943</v>
      </c>
      <c r="DB156">
        <f t="shared" ca="1" si="84"/>
        <v>0.43430592428342152</v>
      </c>
      <c r="DC156">
        <f t="shared" ca="1" si="86"/>
        <v>9.407645926607529</v>
      </c>
      <c r="DD156">
        <f t="shared" ca="1" si="87"/>
        <v>-8.9733400023241074</v>
      </c>
    </row>
    <row r="157" spans="51:108" x14ac:dyDescent="0.25">
      <c r="AY157" t="str">
        <f>"日K!A"&amp;日K!$E$3-239+1+BF157-8</f>
        <v>日K!A6749</v>
      </c>
      <c r="AZ157" s="4">
        <f t="shared" ca="1" si="94"/>
        <v>44265</v>
      </c>
      <c r="BA157" s="13">
        <f t="shared" ca="1" si="95"/>
        <v>596.07560000000001</v>
      </c>
      <c r="BB157" s="13">
        <f t="shared" ca="1" si="96"/>
        <v>596.07560000000001</v>
      </c>
      <c r="BC157" s="13">
        <f t="shared" ca="1" si="97"/>
        <v>588.14110000000005</v>
      </c>
      <c r="BD157" s="13">
        <f t="shared" ca="1" si="98"/>
        <v>592.10839999999996</v>
      </c>
      <c r="BE157" s="13">
        <f t="shared" ca="1" si="99"/>
        <v>41735</v>
      </c>
      <c r="BF157">
        <f>ROW()</f>
        <v>157</v>
      </c>
      <c r="BH157" t="str">
        <f t="shared" si="100"/>
        <v>BC153:BC157</v>
      </c>
      <c r="BI157">
        <f t="shared" si="117"/>
        <v>145</v>
      </c>
      <c r="BJ157">
        <f t="shared" ca="1" si="101"/>
        <v>587.34769999999992</v>
      </c>
      <c r="BL157" t="str">
        <f t="shared" si="102"/>
        <v>BC138:BC157</v>
      </c>
      <c r="BM157">
        <f t="shared" si="118"/>
        <v>130</v>
      </c>
      <c r="BN157">
        <f t="shared" ca="1" si="103"/>
        <v>613.2338400000001</v>
      </c>
      <c r="BP157" t="str">
        <f t="shared" si="104"/>
        <v>BC98:BC157</v>
      </c>
      <c r="BQ157">
        <f t="shared" si="119"/>
        <v>90</v>
      </c>
      <c r="BR157">
        <f t="shared" ca="1" si="105"/>
        <v>567.87858166666661</v>
      </c>
      <c r="BT157">
        <f t="shared" ca="1" si="121"/>
        <v>619.23427499999991</v>
      </c>
      <c r="BU157">
        <f t="shared" ca="1" si="88"/>
        <v>8.3059799808247323</v>
      </c>
      <c r="BV157">
        <f t="shared" ca="1" si="89"/>
        <v>635.84623496164943</v>
      </c>
      <c r="BW157">
        <f t="shared" ca="1" si="90"/>
        <v>602.62231503835039</v>
      </c>
      <c r="BY157">
        <f t="shared" ca="1" si="91"/>
        <v>587.34769999999992</v>
      </c>
      <c r="BZ157">
        <f t="shared" ca="1" si="92"/>
        <v>613.2338400000001</v>
      </c>
      <c r="CA157">
        <f t="shared" ca="1" si="93"/>
        <v>567.87858166666661</v>
      </c>
      <c r="CD157" t="str">
        <f>IF(周K!$E$3+CK157-12&gt;工作底稿!$CE$5,"周K!A"&amp;周K!$E$3-$CE$5+1+CK157-8,0)</f>
        <v>周K!A317</v>
      </c>
      <c r="CE157" s="4">
        <f t="shared" ca="1" si="106"/>
        <v>43640</v>
      </c>
      <c r="CF157" s="13">
        <f ca="1">IF($CD157=0,"",VLOOKUP($CE157,周K!$A$6:$F$6842,2,0))</f>
        <v>241</v>
      </c>
      <c r="CG157" s="13">
        <f ca="1">IF($CD157=0,"",VLOOKUP($CE157,周K!$A$6:$F$6842,3,0))</f>
        <v>242</v>
      </c>
      <c r="CH157" s="13">
        <f ca="1">IF($CD157=0,"",VLOOKUP($CE157,周K!$A$6:$F$6842,4,0))</f>
        <v>234</v>
      </c>
      <c r="CI157" s="13">
        <f ca="1">IF($CD157=0,"",VLOOKUP($CE157,周K!$A$6:$F$6842,5,0))</f>
        <v>239</v>
      </c>
      <c r="CJ157" s="13">
        <f ca="1">IF($CD157=0,"",VLOOKUP($CE157,周K!$A$6:$F$6842,6,0))</f>
        <v>172059</v>
      </c>
      <c r="CK157">
        <f>ROW()</f>
        <v>157</v>
      </c>
      <c r="CM157" t="str">
        <f t="shared" si="107"/>
        <v>CG153:CG157</v>
      </c>
      <c r="CN157">
        <f t="shared" si="108"/>
        <v>145</v>
      </c>
      <c r="CO157">
        <f t="shared" ca="1" si="109"/>
        <v>242.8</v>
      </c>
      <c r="CQ157" t="str">
        <f t="shared" si="110"/>
        <v>CG138:CG157</v>
      </c>
      <c r="CR157">
        <f t="shared" si="111"/>
        <v>130</v>
      </c>
      <c r="CS157">
        <f t="shared" ca="1" si="112"/>
        <v>248.27500000000001</v>
      </c>
      <c r="CU157" t="str">
        <f t="shared" si="113"/>
        <v>CG98:CG157</v>
      </c>
      <c r="CV157">
        <f t="shared" si="114"/>
        <v>90</v>
      </c>
      <c r="CW157">
        <f t="shared" ca="1" si="115"/>
        <v>241.3</v>
      </c>
      <c r="CY157">
        <f t="shared" ca="1" si="116"/>
        <v>592.10837500000002</v>
      </c>
      <c r="CZ157">
        <f t="shared" ca="1" si="120"/>
        <v>605.48012875820552</v>
      </c>
      <c r="DA157">
        <f t="shared" ca="1" si="85"/>
        <v>606.33863036107357</v>
      </c>
      <c r="DB157">
        <f t="shared" ca="1" si="84"/>
        <v>-0.85850160286804567</v>
      </c>
      <c r="DC157">
        <f t="shared" ca="1" si="86"/>
        <v>7.2153822234488665</v>
      </c>
      <c r="DD157">
        <f t="shared" ca="1" si="87"/>
        <v>-8.0738838263169121</v>
      </c>
    </row>
    <row r="158" spans="51:108" x14ac:dyDescent="0.25">
      <c r="AY158" t="str">
        <f>"日K!A"&amp;日K!$E$3-239+1+BF158-8</f>
        <v>日K!A6750</v>
      </c>
      <c r="AZ158" s="4">
        <f t="shared" ca="1" si="94"/>
        <v>44266</v>
      </c>
      <c r="BA158" s="13">
        <f t="shared" ca="1" si="95"/>
        <v>591.11659999999995</v>
      </c>
      <c r="BB158" s="13">
        <f t="shared" ca="1" si="96"/>
        <v>606.9855</v>
      </c>
      <c r="BC158" s="13">
        <f t="shared" ca="1" si="97"/>
        <v>590.12480000000005</v>
      </c>
      <c r="BD158" s="13">
        <f t="shared" ca="1" si="98"/>
        <v>604.01</v>
      </c>
      <c r="BE158" s="13">
        <f t="shared" ca="1" si="99"/>
        <v>55463</v>
      </c>
      <c r="BF158">
        <f>ROW()</f>
        <v>158</v>
      </c>
      <c r="BH158" t="str">
        <f t="shared" si="100"/>
        <v>BC154:BC158</v>
      </c>
      <c r="BI158">
        <f t="shared" si="117"/>
        <v>146</v>
      </c>
      <c r="BJ158">
        <f t="shared" ca="1" si="101"/>
        <v>586.15753999999993</v>
      </c>
      <c r="BL158" t="str">
        <f t="shared" si="102"/>
        <v>BC139:BC158</v>
      </c>
      <c r="BM158">
        <f t="shared" si="118"/>
        <v>131</v>
      </c>
      <c r="BN158">
        <f t="shared" ca="1" si="103"/>
        <v>613.63056500000005</v>
      </c>
      <c r="BP158" t="str">
        <f t="shared" si="104"/>
        <v>BC99:BC158</v>
      </c>
      <c r="BQ158">
        <f t="shared" si="119"/>
        <v>91</v>
      </c>
      <c r="BR158">
        <f t="shared" ca="1" si="105"/>
        <v>569.53042333333326</v>
      </c>
      <c r="BT158">
        <f t="shared" ca="1" si="121"/>
        <v>619.13508999999999</v>
      </c>
      <c r="BU158">
        <f t="shared" ca="1" si="88"/>
        <v>6.8775449926308712</v>
      </c>
      <c r="BV158">
        <f t="shared" ca="1" si="89"/>
        <v>632.89017998526174</v>
      </c>
      <c r="BW158">
        <f t="shared" ca="1" si="90"/>
        <v>605.38000001473824</v>
      </c>
      <c r="BY158">
        <f t="shared" ca="1" si="91"/>
        <v>586.15753999999993</v>
      </c>
      <c r="BZ158">
        <f t="shared" ca="1" si="92"/>
        <v>613.63056500000005</v>
      </c>
      <c r="CA158">
        <f t="shared" ca="1" si="93"/>
        <v>569.53042333333326</v>
      </c>
      <c r="CD158" t="str">
        <f>IF(周K!$E$3+CK158-12&gt;工作底稿!$CE$5,"周K!A"&amp;周K!$E$3-$CE$5+1+CK158-8,0)</f>
        <v>周K!A318</v>
      </c>
      <c r="CE158" s="4">
        <f t="shared" ca="1" si="106"/>
        <v>43647</v>
      </c>
      <c r="CF158" s="13">
        <f ca="1">IF($CD158=0,"",VLOOKUP($CE158,周K!$A$6:$F$6842,2,0))</f>
        <v>245.5</v>
      </c>
      <c r="CG158" s="13">
        <f ca="1">IF($CD158=0,"",VLOOKUP($CE158,周K!$A$6:$F$6842,3,0))</f>
        <v>250</v>
      </c>
      <c r="CH158" s="13">
        <f ca="1">IF($CD158=0,"",VLOOKUP($CE158,周K!$A$6:$F$6842,4,0))</f>
        <v>241.5</v>
      </c>
      <c r="CI158" s="13">
        <f ca="1">IF($CD158=0,"",VLOOKUP($CE158,周K!$A$6:$F$6842,5,0))</f>
        <v>243</v>
      </c>
      <c r="CJ158" s="13">
        <f ca="1">IF($CD158=0,"",VLOOKUP($CE158,周K!$A$6:$F$6842,6,0))</f>
        <v>168761</v>
      </c>
      <c r="CK158">
        <f>ROW()</f>
        <v>158</v>
      </c>
      <c r="CM158" t="str">
        <f t="shared" si="107"/>
        <v>CG154:CG158</v>
      </c>
      <c r="CN158">
        <f t="shared" si="108"/>
        <v>146</v>
      </c>
      <c r="CO158">
        <f t="shared" ca="1" si="109"/>
        <v>245.3</v>
      </c>
      <c r="CQ158" t="str">
        <f t="shared" si="110"/>
        <v>CG139:CG158</v>
      </c>
      <c r="CR158">
        <f t="shared" si="111"/>
        <v>131</v>
      </c>
      <c r="CS158">
        <f t="shared" ca="1" si="112"/>
        <v>249.17500000000001</v>
      </c>
      <c r="CU158" t="str">
        <f t="shared" si="113"/>
        <v>CG99:CG158</v>
      </c>
      <c r="CV158">
        <f t="shared" si="114"/>
        <v>91</v>
      </c>
      <c r="CW158">
        <f t="shared" ca="1" si="115"/>
        <v>241.66666666666666</v>
      </c>
      <c r="CY158">
        <f t="shared" ca="1" si="116"/>
        <v>601.28257499999995</v>
      </c>
      <c r="CZ158">
        <f t="shared" ca="1" si="120"/>
        <v>604.83435125694314</v>
      </c>
      <c r="DA158">
        <f t="shared" ca="1" si="85"/>
        <v>605.96410774173478</v>
      </c>
      <c r="DB158">
        <f t="shared" ca="1" si="84"/>
        <v>-1.1297564847916419</v>
      </c>
      <c r="DC158">
        <f t="shared" ca="1" si="86"/>
        <v>5.1760170049107801</v>
      </c>
      <c r="DD158">
        <f t="shared" ca="1" si="87"/>
        <v>-6.305773489702422</v>
      </c>
    </row>
    <row r="159" spans="51:108" x14ac:dyDescent="0.25">
      <c r="AY159" t="str">
        <f>"日K!A"&amp;日K!$E$3-239+1+BF159-8</f>
        <v>日K!A6751</v>
      </c>
      <c r="AZ159" s="4">
        <f t="shared" ca="1" si="94"/>
        <v>44267</v>
      </c>
      <c r="BA159" s="13">
        <f t="shared" ca="1" si="95"/>
        <v>609.96090000000004</v>
      </c>
      <c r="BB159" s="13">
        <f t="shared" ca="1" si="96"/>
        <v>612.93629999999996</v>
      </c>
      <c r="BC159" s="13">
        <f t="shared" ca="1" si="97"/>
        <v>604.01</v>
      </c>
      <c r="BD159" s="13">
        <f t="shared" ca="1" si="98"/>
        <v>608.96910000000003</v>
      </c>
      <c r="BE159" s="13">
        <f t="shared" ca="1" si="99"/>
        <v>33877</v>
      </c>
      <c r="BF159">
        <f>ROW()</f>
        <v>159</v>
      </c>
      <c r="BH159" t="str">
        <f t="shared" si="100"/>
        <v>BC155:BC159</v>
      </c>
      <c r="BI159">
        <f t="shared" si="117"/>
        <v>147</v>
      </c>
      <c r="BJ159">
        <f t="shared" ca="1" si="101"/>
        <v>591.11656000000005</v>
      </c>
      <c r="BL159" t="str">
        <f t="shared" si="102"/>
        <v>BC140:BC159</v>
      </c>
      <c r="BM159">
        <f t="shared" si="118"/>
        <v>132</v>
      </c>
      <c r="BN159">
        <f t="shared" ca="1" si="103"/>
        <v>612.98589000000004</v>
      </c>
      <c r="BP159" t="str">
        <f t="shared" si="104"/>
        <v>BC100:BC159</v>
      </c>
      <c r="BQ159">
        <f t="shared" si="119"/>
        <v>92</v>
      </c>
      <c r="BR159">
        <f t="shared" ca="1" si="105"/>
        <v>571.27386499999989</v>
      </c>
      <c r="BT159">
        <f t="shared" ca="1" si="121"/>
        <v>618.24246500000004</v>
      </c>
      <c r="BU159">
        <f t="shared" ca="1" si="88"/>
        <v>5.7283573843896249</v>
      </c>
      <c r="BV159">
        <f t="shared" ca="1" si="89"/>
        <v>629.69917976877923</v>
      </c>
      <c r="BW159">
        <f t="shared" ca="1" si="90"/>
        <v>606.78575023122085</v>
      </c>
      <c r="BY159">
        <f t="shared" ca="1" si="91"/>
        <v>591.11656000000005</v>
      </c>
      <c r="BZ159">
        <f t="shared" ca="1" si="92"/>
        <v>612.98589000000004</v>
      </c>
      <c r="CA159">
        <f t="shared" ca="1" si="93"/>
        <v>571.27386499999989</v>
      </c>
      <c r="CD159" t="str">
        <f>IF(周K!$E$3+CK159-12&gt;工作底稿!$CE$5,"周K!A"&amp;周K!$E$3-$CE$5+1+CK159-8,0)</f>
        <v>周K!A319</v>
      </c>
      <c r="CE159" s="4">
        <f t="shared" ca="1" si="106"/>
        <v>43654</v>
      </c>
      <c r="CF159" s="13">
        <f ca="1">IF($CD159=0,"",VLOOKUP($CE159,周K!$A$6:$F$6842,2,0))</f>
        <v>240</v>
      </c>
      <c r="CG159" s="13">
        <f ca="1">IF($CD159=0,"",VLOOKUP($CE159,周K!$A$6:$F$6842,3,0))</f>
        <v>252</v>
      </c>
      <c r="CH159" s="13">
        <f ca="1">IF($CD159=0,"",VLOOKUP($CE159,周K!$A$6:$F$6842,4,0))</f>
        <v>240</v>
      </c>
      <c r="CI159" s="13">
        <f ca="1">IF($CD159=0,"",VLOOKUP($CE159,周K!$A$6:$F$6842,5,0))</f>
        <v>250.5</v>
      </c>
      <c r="CJ159" s="13">
        <f ca="1">IF($CD159=0,"",VLOOKUP($CE159,周K!$A$6:$F$6842,6,0))</f>
        <v>124707</v>
      </c>
      <c r="CK159">
        <f>ROW()</f>
        <v>159</v>
      </c>
      <c r="CM159" t="str">
        <f t="shared" si="107"/>
        <v>CG155:CG159</v>
      </c>
      <c r="CN159">
        <f t="shared" si="108"/>
        <v>147</v>
      </c>
      <c r="CO159">
        <f t="shared" ca="1" si="109"/>
        <v>248</v>
      </c>
      <c r="CQ159" t="str">
        <f t="shared" si="110"/>
        <v>CG140:CG159</v>
      </c>
      <c r="CR159">
        <f t="shared" si="111"/>
        <v>132</v>
      </c>
      <c r="CS159">
        <f t="shared" ca="1" si="112"/>
        <v>249.95</v>
      </c>
      <c r="CU159" t="str">
        <f t="shared" si="113"/>
        <v>CG100:CG159</v>
      </c>
      <c r="CV159">
        <f t="shared" si="114"/>
        <v>92</v>
      </c>
      <c r="CW159">
        <f t="shared" ca="1" si="115"/>
        <v>241.96666666666667</v>
      </c>
      <c r="CY159">
        <f t="shared" ca="1" si="116"/>
        <v>608.72112500000003</v>
      </c>
      <c r="CZ159">
        <f t="shared" ca="1" si="120"/>
        <v>605.43231644818275</v>
      </c>
      <c r="DA159">
        <f t="shared" ca="1" si="85"/>
        <v>606.16833124234699</v>
      </c>
      <c r="DB159">
        <f t="shared" ca="1" si="84"/>
        <v>-0.73601479416424809</v>
      </c>
      <c r="DC159">
        <f t="shared" ca="1" si="86"/>
        <v>3.5609949320844154</v>
      </c>
      <c r="DD159">
        <f t="shared" ca="1" si="87"/>
        <v>-4.297009726248664</v>
      </c>
    </row>
    <row r="160" spans="51:108" x14ac:dyDescent="0.25">
      <c r="AY160" t="str">
        <f>"日K!A"&amp;日K!$E$3-239+1+BF160-8</f>
        <v>日K!A6752</v>
      </c>
      <c r="AZ160" s="4">
        <f t="shared" ca="1" si="94"/>
        <v>44270</v>
      </c>
      <c r="BA160" s="13">
        <f t="shared" ca="1" si="95"/>
        <v>608.96910000000003</v>
      </c>
      <c r="BB160" s="13">
        <f t="shared" ca="1" si="96"/>
        <v>608.96910000000003</v>
      </c>
      <c r="BC160" s="13">
        <f t="shared" ca="1" si="97"/>
        <v>604.01</v>
      </c>
      <c r="BD160" s="13">
        <f t="shared" ca="1" si="98"/>
        <v>605.99369999999999</v>
      </c>
      <c r="BE160" s="13">
        <f t="shared" ca="1" si="99"/>
        <v>29768</v>
      </c>
      <c r="BF160">
        <f>ROW()</f>
        <v>160</v>
      </c>
      <c r="BH160" t="str">
        <f t="shared" si="100"/>
        <v>BC156:BC160</v>
      </c>
      <c r="BI160">
        <f t="shared" si="117"/>
        <v>148</v>
      </c>
      <c r="BJ160">
        <f t="shared" ca="1" si="101"/>
        <v>593.29852000000005</v>
      </c>
      <c r="BL160" t="str">
        <f t="shared" si="102"/>
        <v>BC141:BC160</v>
      </c>
      <c r="BM160">
        <f t="shared" si="118"/>
        <v>133</v>
      </c>
      <c r="BN160">
        <f t="shared" ca="1" si="103"/>
        <v>611.94449000000009</v>
      </c>
      <c r="BP160" t="str">
        <f t="shared" si="104"/>
        <v>BC101:BC160</v>
      </c>
      <c r="BQ160">
        <f t="shared" si="119"/>
        <v>93</v>
      </c>
      <c r="BR160">
        <f t="shared" ca="1" si="105"/>
        <v>572.96795833333329</v>
      </c>
      <c r="BT160">
        <f t="shared" ca="1" si="121"/>
        <v>617.30025000000001</v>
      </c>
      <c r="BU160">
        <f t="shared" ca="1" si="88"/>
        <v>4.9148991802037001</v>
      </c>
      <c r="BV160">
        <f t="shared" ca="1" si="89"/>
        <v>627.13004836040739</v>
      </c>
      <c r="BW160">
        <f t="shared" ca="1" si="90"/>
        <v>607.47045163959262</v>
      </c>
      <c r="BY160">
        <f t="shared" ca="1" si="91"/>
        <v>593.29852000000005</v>
      </c>
      <c r="BZ160">
        <f t="shared" ca="1" si="92"/>
        <v>611.94449000000009</v>
      </c>
      <c r="CA160">
        <f t="shared" ca="1" si="93"/>
        <v>572.96795833333329</v>
      </c>
      <c r="CD160" t="str">
        <f>IF(周K!$E$3+CK160-12&gt;工作底稿!$CE$5,"周K!A"&amp;周K!$E$3-$CE$5+1+CK160-8,0)</f>
        <v>周K!A320</v>
      </c>
      <c r="CE160" s="4">
        <f t="shared" ca="1" si="106"/>
        <v>43661</v>
      </c>
      <c r="CF160" s="13">
        <f ca="1">IF($CD160=0,"",VLOOKUP($CE160,周K!$A$6:$F$6842,2,0))</f>
        <v>251</v>
      </c>
      <c r="CG160" s="13">
        <f ca="1">IF($CD160=0,"",VLOOKUP($CE160,周K!$A$6:$F$6842,3,0))</f>
        <v>261</v>
      </c>
      <c r="CH160" s="13">
        <f ca="1">IF($CD160=0,"",VLOOKUP($CE160,周K!$A$6:$F$6842,4,0))</f>
        <v>249.5</v>
      </c>
      <c r="CI160" s="13">
        <f ca="1">IF($CD160=0,"",VLOOKUP($CE160,周K!$A$6:$F$6842,5,0))</f>
        <v>259</v>
      </c>
      <c r="CJ160" s="13">
        <f ca="1">IF($CD160=0,"",VLOOKUP($CE160,周K!$A$6:$F$6842,6,0))</f>
        <v>175541</v>
      </c>
      <c r="CK160">
        <f>ROW()</f>
        <v>160</v>
      </c>
      <c r="CM160" t="str">
        <f t="shared" si="107"/>
        <v>CG156:CG160</v>
      </c>
      <c r="CN160">
        <f t="shared" si="108"/>
        <v>148</v>
      </c>
      <c r="CO160">
        <f t="shared" ca="1" si="109"/>
        <v>250.7</v>
      </c>
      <c r="CQ160" t="str">
        <f t="shared" si="110"/>
        <v>CG141:CG160</v>
      </c>
      <c r="CR160">
        <f t="shared" si="111"/>
        <v>133</v>
      </c>
      <c r="CS160">
        <f t="shared" ca="1" si="112"/>
        <v>251</v>
      </c>
      <c r="CU160" t="str">
        <f t="shared" si="113"/>
        <v>CG101:CG160</v>
      </c>
      <c r="CV160">
        <f t="shared" si="114"/>
        <v>93</v>
      </c>
      <c r="CW160">
        <f t="shared" ca="1" si="115"/>
        <v>242.40833333333333</v>
      </c>
      <c r="CY160">
        <f t="shared" ca="1" si="116"/>
        <v>606.241625</v>
      </c>
      <c r="CZ160">
        <f t="shared" ca="1" si="120"/>
        <v>605.55682545615468</v>
      </c>
      <c r="DA160">
        <f t="shared" ca="1" si="85"/>
        <v>606.1737604095805</v>
      </c>
      <c r="DB160">
        <f t="shared" ca="1" si="84"/>
        <v>-0.61693495342581173</v>
      </c>
      <c r="DC160">
        <f t="shared" ca="1" si="86"/>
        <v>2.2462926694062668</v>
      </c>
      <c r="DD160">
        <f t="shared" ca="1" si="87"/>
        <v>-2.8632276228320785</v>
      </c>
    </row>
    <row r="161" spans="51:108" x14ac:dyDescent="0.25">
      <c r="AY161" t="str">
        <f>"日K!A"&amp;日K!$E$3-239+1+BF161-8</f>
        <v>日K!A6753</v>
      </c>
      <c r="AZ161" s="4">
        <f t="shared" ca="1" si="94"/>
        <v>44271</v>
      </c>
      <c r="BA161" s="13">
        <f t="shared" ca="1" si="95"/>
        <v>605.00189999999998</v>
      </c>
      <c r="BB161" s="13">
        <f t="shared" ca="1" si="96"/>
        <v>607.97730000000001</v>
      </c>
      <c r="BC161" s="13">
        <f t="shared" ca="1" si="97"/>
        <v>602.02639999999997</v>
      </c>
      <c r="BD161" s="13">
        <f t="shared" ca="1" si="98"/>
        <v>607.97730000000001</v>
      </c>
      <c r="BE161" s="13">
        <f t="shared" ca="1" si="99"/>
        <v>37781</v>
      </c>
      <c r="BF161">
        <f>ROW()</f>
        <v>161</v>
      </c>
      <c r="BH161" t="str">
        <f t="shared" si="100"/>
        <v>BC157:BC161</v>
      </c>
      <c r="BI161">
        <f t="shared" si="117"/>
        <v>149</v>
      </c>
      <c r="BJ161">
        <f t="shared" ca="1" si="101"/>
        <v>597.6624599999999</v>
      </c>
      <c r="BL161" t="str">
        <f t="shared" si="102"/>
        <v>BC142:BC161</v>
      </c>
      <c r="BM161">
        <f t="shared" si="118"/>
        <v>134</v>
      </c>
      <c r="BN161">
        <f t="shared" ca="1" si="103"/>
        <v>611.29981500000008</v>
      </c>
      <c r="BP161" t="str">
        <f t="shared" si="104"/>
        <v>BC102:BC161</v>
      </c>
      <c r="BQ161">
        <f t="shared" si="119"/>
        <v>94</v>
      </c>
      <c r="BR161">
        <f t="shared" ca="1" si="105"/>
        <v>574.44804833333342</v>
      </c>
      <c r="BT161">
        <f t="shared" ca="1" si="121"/>
        <v>616.60598500000003</v>
      </c>
      <c r="BU161">
        <f t="shared" ca="1" si="88"/>
        <v>4.3978630727849479</v>
      </c>
      <c r="BV161">
        <f t="shared" ca="1" si="89"/>
        <v>625.40171114556995</v>
      </c>
      <c r="BW161">
        <f t="shared" ca="1" si="90"/>
        <v>607.81025885443012</v>
      </c>
      <c r="BY161">
        <f t="shared" ca="1" si="91"/>
        <v>597.6624599999999</v>
      </c>
      <c r="BZ161">
        <f t="shared" ca="1" si="92"/>
        <v>611.29981500000008</v>
      </c>
      <c r="CA161">
        <f t="shared" ca="1" si="93"/>
        <v>574.44804833333342</v>
      </c>
      <c r="CD161" t="str">
        <f>IF(周K!$E$3+CK161-12&gt;工作底稿!$CE$5,"周K!A"&amp;周K!$E$3-$CE$5+1+CK161-8,0)</f>
        <v>周K!A321</v>
      </c>
      <c r="CE161" s="4">
        <f t="shared" ca="1" si="106"/>
        <v>43668</v>
      </c>
      <c r="CF161" s="13">
        <f ca="1">IF($CD161=0,"",VLOOKUP($CE161,周K!$A$6:$F$6842,2,0))</f>
        <v>263</v>
      </c>
      <c r="CG161" s="13">
        <f ca="1">IF($CD161=0,"",VLOOKUP($CE161,周K!$A$6:$F$6842,3,0))</f>
        <v>266.5</v>
      </c>
      <c r="CH161" s="13">
        <f ca="1">IF($CD161=0,"",VLOOKUP($CE161,周K!$A$6:$F$6842,4,0))</f>
        <v>261</v>
      </c>
      <c r="CI161" s="13">
        <f ca="1">IF($CD161=0,"",VLOOKUP($CE161,周K!$A$6:$F$6842,5,0))</f>
        <v>261</v>
      </c>
      <c r="CJ161" s="13">
        <f ca="1">IF($CD161=0,"",VLOOKUP($CE161,周K!$A$6:$F$6842,6,0))</f>
        <v>137115</v>
      </c>
      <c r="CK161">
        <f>ROW()</f>
        <v>161</v>
      </c>
      <c r="CM161" t="str">
        <f t="shared" si="107"/>
        <v>CG157:CG161</v>
      </c>
      <c r="CN161">
        <f t="shared" si="108"/>
        <v>149</v>
      </c>
      <c r="CO161">
        <f t="shared" ca="1" si="109"/>
        <v>254.3</v>
      </c>
      <c r="CQ161" t="str">
        <f t="shared" si="110"/>
        <v>CG142:CG161</v>
      </c>
      <c r="CR161">
        <f t="shared" si="111"/>
        <v>134</v>
      </c>
      <c r="CS161">
        <f t="shared" ca="1" si="112"/>
        <v>252.35</v>
      </c>
      <c r="CU161" t="str">
        <f t="shared" si="113"/>
        <v>CG102:CG161</v>
      </c>
      <c r="CV161">
        <f t="shared" si="114"/>
        <v>94</v>
      </c>
      <c r="CW161">
        <f t="shared" ca="1" si="115"/>
        <v>242.95833333333334</v>
      </c>
      <c r="CY161">
        <f t="shared" ca="1" si="116"/>
        <v>606.48957500000006</v>
      </c>
      <c r="CZ161">
        <f t="shared" ca="1" si="120"/>
        <v>605.70032538597707</v>
      </c>
      <c r="DA161">
        <f t="shared" ca="1" si="85"/>
        <v>606.19715408294485</v>
      </c>
      <c r="DB161">
        <f t="shared" ca="1" si="84"/>
        <v>-0.49682869696778198</v>
      </c>
      <c r="DC161">
        <f t="shared" ca="1" si="86"/>
        <v>1.1445043705056657</v>
      </c>
      <c r="DD161">
        <f t="shared" ca="1" si="87"/>
        <v>-1.6413330674734476</v>
      </c>
    </row>
    <row r="162" spans="51:108" x14ac:dyDescent="0.25">
      <c r="AY162" t="str">
        <f>"日K!A"&amp;日K!$E$3-239+1+BF162-8</f>
        <v>日K!A6754</v>
      </c>
      <c r="AZ162" s="4">
        <f t="shared" ca="1" si="94"/>
        <v>44272</v>
      </c>
      <c r="BA162" s="13">
        <f t="shared" ca="1" si="95"/>
        <v>609.47109999999998</v>
      </c>
      <c r="BB162" s="13">
        <f t="shared" ca="1" si="96"/>
        <v>609.47109999999998</v>
      </c>
      <c r="BC162" s="13">
        <f t="shared" ca="1" si="97"/>
        <v>599.51239999999996</v>
      </c>
      <c r="BD162" s="13">
        <f t="shared" ca="1" si="98"/>
        <v>601.50409999999999</v>
      </c>
      <c r="BE162" s="13">
        <f t="shared" ca="1" si="99"/>
        <v>43942</v>
      </c>
      <c r="BF162">
        <f>ROW()</f>
        <v>162</v>
      </c>
      <c r="BH162" t="str">
        <f t="shared" si="100"/>
        <v>BC158:BC162</v>
      </c>
      <c r="BI162">
        <f t="shared" si="117"/>
        <v>150</v>
      </c>
      <c r="BJ162">
        <f t="shared" ca="1" si="101"/>
        <v>599.93671999999992</v>
      </c>
      <c r="BL162" t="str">
        <f t="shared" si="102"/>
        <v>BC143:BC162</v>
      </c>
      <c r="BM162">
        <f t="shared" si="118"/>
        <v>135</v>
      </c>
      <c r="BN162">
        <f t="shared" ca="1" si="103"/>
        <v>609.98394500000006</v>
      </c>
      <c r="BP162" t="str">
        <f t="shared" si="104"/>
        <v>BC103:BC162</v>
      </c>
      <c r="BQ162">
        <f t="shared" si="119"/>
        <v>95</v>
      </c>
      <c r="BR162">
        <f t="shared" ca="1" si="105"/>
        <v>576.05073166666659</v>
      </c>
      <c r="BT162">
        <f t="shared" ca="1" si="121"/>
        <v>615.3401100000001</v>
      </c>
      <c r="BU162">
        <f t="shared" ca="1" si="88"/>
        <v>4.2087915149037638</v>
      </c>
      <c r="BV162">
        <f t="shared" ca="1" si="89"/>
        <v>623.75769302980757</v>
      </c>
      <c r="BW162">
        <f t="shared" ca="1" si="90"/>
        <v>606.92252697019262</v>
      </c>
      <c r="BY162">
        <f t="shared" ca="1" si="91"/>
        <v>599.93671999999992</v>
      </c>
      <c r="BZ162">
        <f t="shared" ca="1" si="92"/>
        <v>609.98394500000006</v>
      </c>
      <c r="CA162">
        <f t="shared" ca="1" si="93"/>
        <v>576.05073166666659</v>
      </c>
      <c r="CD162" t="str">
        <f>IF(周K!$E$3+CK162-12&gt;工作底稿!$CE$5,"周K!A"&amp;周K!$E$3-$CE$5+1+CK162-8,0)</f>
        <v>周K!A322</v>
      </c>
      <c r="CE162" s="4">
        <f t="shared" ca="1" si="106"/>
        <v>43675</v>
      </c>
      <c r="CF162" s="13">
        <f ca="1">IF($CD162=0,"",VLOOKUP($CE162,周K!$A$6:$F$6842,2,0))</f>
        <v>260</v>
      </c>
      <c r="CG162" s="13">
        <f ca="1">IF($CD162=0,"",VLOOKUP($CE162,周K!$A$6:$F$6842,3,0))</f>
        <v>263</v>
      </c>
      <c r="CH162" s="13">
        <f ca="1">IF($CD162=0,"",VLOOKUP($CE162,周K!$A$6:$F$6842,4,0))</f>
        <v>250.5</v>
      </c>
      <c r="CI162" s="13">
        <f ca="1">IF($CD162=0,"",VLOOKUP($CE162,周K!$A$6:$F$6842,5,0))</f>
        <v>251.5</v>
      </c>
      <c r="CJ162" s="13">
        <f ca="1">IF($CD162=0,"",VLOOKUP($CE162,周K!$A$6:$F$6842,6,0))</f>
        <v>162008</v>
      </c>
      <c r="CK162">
        <f>ROW()</f>
        <v>162</v>
      </c>
      <c r="CM162" t="str">
        <f t="shared" si="107"/>
        <v>CG158:CG162</v>
      </c>
      <c r="CN162">
        <f t="shared" si="108"/>
        <v>150</v>
      </c>
      <c r="CO162">
        <f t="shared" ca="1" si="109"/>
        <v>258.5</v>
      </c>
      <c r="CQ162" t="str">
        <f t="shared" si="110"/>
        <v>CG143:CG162</v>
      </c>
      <c r="CR162">
        <f t="shared" si="111"/>
        <v>135</v>
      </c>
      <c r="CS162">
        <f t="shared" ca="1" si="112"/>
        <v>253.52500000000001</v>
      </c>
      <c r="CU162" t="str">
        <f t="shared" si="113"/>
        <v>CG103:CG162</v>
      </c>
      <c r="CV162">
        <f t="shared" si="114"/>
        <v>95</v>
      </c>
      <c r="CW162">
        <f t="shared" ca="1" si="115"/>
        <v>243.50833333333333</v>
      </c>
      <c r="CY162">
        <f t="shared" ca="1" si="116"/>
        <v>602.9979249999999</v>
      </c>
      <c r="CZ162">
        <f t="shared" ca="1" si="120"/>
        <v>605.2845714804422</v>
      </c>
      <c r="DA162">
        <f t="shared" ca="1" si="85"/>
        <v>605.96017415087488</v>
      </c>
      <c r="DB162">
        <f t="shared" ref="DB162:DB225" ca="1" si="122">CZ162-DA162</f>
        <v>-0.67560267043268141</v>
      </c>
      <c r="DC162">
        <f t="shared" ca="1" si="86"/>
        <v>0.30761617895226817</v>
      </c>
      <c r="DD162">
        <f t="shared" ca="1" si="87"/>
        <v>-0.98321884938494963</v>
      </c>
    </row>
    <row r="163" spans="51:108" x14ac:dyDescent="0.25">
      <c r="AY163" t="str">
        <f>"日K!A"&amp;日K!$E$3-239+1+BF163-8</f>
        <v>日K!A6755</v>
      </c>
      <c r="AZ163" s="4">
        <f t="shared" ca="1" si="94"/>
        <v>44273</v>
      </c>
      <c r="BA163" s="13">
        <f t="shared" ca="1" si="95"/>
        <v>603.49590000000001</v>
      </c>
      <c r="BB163" s="13">
        <f t="shared" ca="1" si="96"/>
        <v>606.48350000000005</v>
      </c>
      <c r="BC163" s="13">
        <f t="shared" ca="1" si="97"/>
        <v>599.51239999999996</v>
      </c>
      <c r="BD163" s="13">
        <f t="shared" ca="1" si="98"/>
        <v>599.51239999999996</v>
      </c>
      <c r="BE163" s="13">
        <f t="shared" ca="1" si="99"/>
        <v>30224</v>
      </c>
      <c r="BF163">
        <f>ROW()</f>
        <v>163</v>
      </c>
      <c r="BH163" t="str">
        <f t="shared" si="100"/>
        <v>BC159:BC163</v>
      </c>
      <c r="BI163">
        <f t="shared" si="117"/>
        <v>151</v>
      </c>
      <c r="BJ163">
        <f t="shared" ca="1" si="101"/>
        <v>601.81423999999993</v>
      </c>
      <c r="BL163" t="str">
        <f t="shared" si="102"/>
        <v>BC144:BC163</v>
      </c>
      <c r="BM163">
        <f t="shared" si="118"/>
        <v>136</v>
      </c>
      <c r="BN163">
        <f t="shared" ca="1" si="103"/>
        <v>607.22995500000002</v>
      </c>
      <c r="BP163" t="str">
        <f t="shared" si="104"/>
        <v>BC104:BC163</v>
      </c>
      <c r="BQ163">
        <f t="shared" si="119"/>
        <v>96</v>
      </c>
      <c r="BR163">
        <f t="shared" ca="1" si="105"/>
        <v>577.73566166666672</v>
      </c>
      <c r="BT163">
        <f t="shared" ca="1" si="121"/>
        <v>612.43734999999992</v>
      </c>
      <c r="BU163">
        <f t="shared" ca="1" si="88"/>
        <v>4.5776476580074199</v>
      </c>
      <c r="BV163">
        <f t="shared" ca="1" si="89"/>
        <v>621.5926453160148</v>
      </c>
      <c r="BW163">
        <f t="shared" ca="1" si="90"/>
        <v>603.28205468398505</v>
      </c>
      <c r="BY163">
        <f t="shared" ca="1" si="91"/>
        <v>601.81423999999993</v>
      </c>
      <c r="BZ163">
        <f t="shared" ca="1" si="92"/>
        <v>607.22995500000002</v>
      </c>
      <c r="CA163">
        <f t="shared" ca="1" si="93"/>
        <v>577.73566166666672</v>
      </c>
      <c r="CD163" t="str">
        <f>IF(周K!$E$3+CK163-12&gt;工作底稿!$CE$5,"周K!A"&amp;周K!$E$3-$CE$5+1+CK163-8,0)</f>
        <v>周K!A323</v>
      </c>
      <c r="CE163" s="4">
        <f t="shared" ca="1" si="106"/>
        <v>43682</v>
      </c>
      <c r="CF163" s="13">
        <f ca="1">IF($CD163=0,"",VLOOKUP($CE163,周K!$A$6:$F$6842,2,0))</f>
        <v>251</v>
      </c>
      <c r="CG163" s="13">
        <f ca="1">IF($CD163=0,"",VLOOKUP($CE163,周K!$A$6:$F$6842,3,0))</f>
        <v>254</v>
      </c>
      <c r="CH163" s="13">
        <f ca="1">IF($CD163=0,"",VLOOKUP($CE163,周K!$A$6:$F$6842,4,0))</f>
        <v>240</v>
      </c>
      <c r="CI163" s="13">
        <f ca="1">IF($CD163=0,"",VLOOKUP($CE163,周K!$A$6:$F$6842,5,0))</f>
        <v>253.5</v>
      </c>
      <c r="CJ163" s="13">
        <f ca="1">IF($CD163=0,"",VLOOKUP($CE163,周K!$A$6:$F$6842,6,0))</f>
        <v>171328</v>
      </c>
      <c r="CK163">
        <f>ROW()</f>
        <v>163</v>
      </c>
      <c r="CM163" t="str">
        <f t="shared" si="107"/>
        <v>CG159:CG163</v>
      </c>
      <c r="CN163">
        <f t="shared" si="108"/>
        <v>151</v>
      </c>
      <c r="CO163">
        <f t="shared" ca="1" si="109"/>
        <v>259.3</v>
      </c>
      <c r="CQ163" t="str">
        <f t="shared" si="110"/>
        <v>CG144:CG163</v>
      </c>
      <c r="CR163">
        <f t="shared" si="111"/>
        <v>136</v>
      </c>
      <c r="CS163">
        <f t="shared" ca="1" si="112"/>
        <v>253.8</v>
      </c>
      <c r="CU163" t="str">
        <f t="shared" si="113"/>
        <v>CG104:CG163</v>
      </c>
      <c r="CV163">
        <f t="shared" si="114"/>
        <v>96</v>
      </c>
      <c r="CW163">
        <f t="shared" ca="1" si="115"/>
        <v>243.88333333333333</v>
      </c>
      <c r="CY163">
        <f t="shared" ca="1" si="116"/>
        <v>601.25517500000001</v>
      </c>
      <c r="CZ163">
        <f t="shared" ca="1" si="120"/>
        <v>604.66466432960499</v>
      </c>
      <c r="DA163">
        <f t="shared" ref="DA163:DA226" ca="1" si="123">DA162*(25/27)+CY163*(2/27)</f>
        <v>605.61165569525451</v>
      </c>
      <c r="DB163">
        <f t="shared" ca="1" si="122"/>
        <v>-0.94699136564952369</v>
      </c>
      <c r="DC163">
        <f t="shared" ca="1" si="86"/>
        <v>-0.27709096145192941</v>
      </c>
      <c r="DD163">
        <f t="shared" ca="1" si="87"/>
        <v>-0.66990040419759422</v>
      </c>
    </row>
    <row r="164" spans="51:108" x14ac:dyDescent="0.25">
      <c r="AY164" t="str">
        <f>"日K!A"&amp;日K!$E$3-239+1+BF164-8</f>
        <v>日K!A6756</v>
      </c>
      <c r="AZ164" s="4">
        <f t="shared" ca="1" si="94"/>
        <v>44274</v>
      </c>
      <c r="BA164" s="13">
        <f t="shared" ca="1" si="95"/>
        <v>591.54549999999995</v>
      </c>
      <c r="BB164" s="13">
        <f t="shared" ca="1" si="96"/>
        <v>595.52890000000002</v>
      </c>
      <c r="BC164" s="13">
        <f t="shared" ca="1" si="97"/>
        <v>588.55790000000002</v>
      </c>
      <c r="BD164" s="13">
        <f t="shared" ca="1" si="98"/>
        <v>588.55790000000002</v>
      </c>
      <c r="BE164" s="13">
        <f t="shared" ca="1" si="99"/>
        <v>74961</v>
      </c>
      <c r="BF164">
        <f>ROW()</f>
        <v>164</v>
      </c>
      <c r="BH164" t="str">
        <f t="shared" si="100"/>
        <v>BC160:BC164</v>
      </c>
      <c r="BI164">
        <f t="shared" si="117"/>
        <v>152</v>
      </c>
      <c r="BJ164">
        <f t="shared" ca="1" si="101"/>
        <v>598.72381999999993</v>
      </c>
      <c r="BL164" t="str">
        <f t="shared" si="102"/>
        <v>BC145:BC164</v>
      </c>
      <c r="BM164">
        <f t="shared" si="118"/>
        <v>137</v>
      </c>
      <c r="BN164">
        <f t="shared" ca="1" si="103"/>
        <v>604.12660500000004</v>
      </c>
      <c r="BP164" t="str">
        <f t="shared" si="104"/>
        <v>BC105:BC164</v>
      </c>
      <c r="BQ164">
        <f t="shared" si="119"/>
        <v>97</v>
      </c>
      <c r="BR164">
        <f t="shared" ca="1" si="105"/>
        <v>579.18866833333334</v>
      </c>
      <c r="BT164">
        <f t="shared" ca="1" si="121"/>
        <v>609.13563499999998</v>
      </c>
      <c r="BU164">
        <f t="shared" ca="1" si="88"/>
        <v>5.321113314723692</v>
      </c>
      <c r="BV164">
        <f t="shared" ca="1" si="89"/>
        <v>619.77786162944733</v>
      </c>
      <c r="BW164">
        <f t="shared" ca="1" si="90"/>
        <v>598.49340837055263</v>
      </c>
      <c r="BY164">
        <f t="shared" ca="1" si="91"/>
        <v>598.72381999999993</v>
      </c>
      <c r="BZ164">
        <f t="shared" ca="1" si="92"/>
        <v>604.12660500000004</v>
      </c>
      <c r="CA164">
        <f t="shared" ca="1" si="93"/>
        <v>579.18866833333334</v>
      </c>
      <c r="CD164" t="str">
        <f>IF(周K!$E$3+CK164-12&gt;工作底稿!$CE$5,"周K!A"&amp;周K!$E$3-$CE$5+1+CK164-8,0)</f>
        <v>周K!A324</v>
      </c>
      <c r="CE164" s="4">
        <f t="shared" ca="1" si="106"/>
        <v>43689</v>
      </c>
      <c r="CF164" s="13">
        <f ca="1">IF($CD164=0,"",VLOOKUP($CE164,周K!$A$6:$F$6842,2,0))</f>
        <v>254.5</v>
      </c>
      <c r="CG164" s="13">
        <f ca="1">IF($CD164=0,"",VLOOKUP($CE164,周K!$A$6:$F$6842,3,0))</f>
        <v>254.5</v>
      </c>
      <c r="CH164" s="13">
        <f ca="1">IF($CD164=0,"",VLOOKUP($CE164,周K!$A$6:$F$6842,4,0))</f>
        <v>246</v>
      </c>
      <c r="CI164" s="13">
        <f ca="1">IF($CD164=0,"",VLOOKUP($CE164,周K!$A$6:$F$6842,5,0))</f>
        <v>250</v>
      </c>
      <c r="CJ164" s="13">
        <f ca="1">IF($CD164=0,"",VLOOKUP($CE164,周K!$A$6:$F$6842,6,0))</f>
        <v>140089</v>
      </c>
      <c r="CK164">
        <f>ROW()</f>
        <v>164</v>
      </c>
      <c r="CM164" t="str">
        <f t="shared" si="107"/>
        <v>CG160:CG164</v>
      </c>
      <c r="CN164">
        <f t="shared" si="108"/>
        <v>152</v>
      </c>
      <c r="CO164">
        <f t="shared" ca="1" si="109"/>
        <v>259.8</v>
      </c>
      <c r="CQ164" t="str">
        <f t="shared" si="110"/>
        <v>CG145:CG164</v>
      </c>
      <c r="CR164">
        <f t="shared" si="111"/>
        <v>137</v>
      </c>
      <c r="CS164">
        <f t="shared" ca="1" si="112"/>
        <v>254.25</v>
      </c>
      <c r="CU164" t="str">
        <f t="shared" si="113"/>
        <v>CG105:CG164</v>
      </c>
      <c r="CV164">
        <f t="shared" si="114"/>
        <v>97</v>
      </c>
      <c r="CW164">
        <f t="shared" ca="1" si="115"/>
        <v>244.25833333333333</v>
      </c>
      <c r="CY164">
        <f t="shared" ca="1" si="116"/>
        <v>590.30065000000002</v>
      </c>
      <c r="CZ164">
        <f t="shared" ca="1" si="120"/>
        <v>602.4548159712042</v>
      </c>
      <c r="DA164">
        <f t="shared" ca="1" si="123"/>
        <v>604.47750712523566</v>
      </c>
      <c r="DB164">
        <f t="shared" ca="1" si="122"/>
        <v>-2.0226911540314632</v>
      </c>
      <c r="DC164">
        <f t="shared" ca="1" si="86"/>
        <v>-0.78322397756086404</v>
      </c>
      <c r="DD164">
        <f t="shared" ca="1" si="87"/>
        <v>-1.2394671764705991</v>
      </c>
    </row>
    <row r="165" spans="51:108" x14ac:dyDescent="0.25">
      <c r="AY165" t="str">
        <f>"日K!A"&amp;日K!$E$3-239+1+BF165-8</f>
        <v>日K!A6757</v>
      </c>
      <c r="AZ165" s="4">
        <f t="shared" ca="1" si="94"/>
        <v>44277</v>
      </c>
      <c r="BA165" s="13">
        <f t="shared" ca="1" si="95"/>
        <v>585.5702</v>
      </c>
      <c r="BB165" s="13">
        <f t="shared" ca="1" si="96"/>
        <v>595.52890000000002</v>
      </c>
      <c r="BC165" s="13">
        <f t="shared" ca="1" si="97"/>
        <v>583.57849999999996</v>
      </c>
      <c r="BD165" s="13">
        <f t="shared" ca="1" si="98"/>
        <v>590.54960000000005</v>
      </c>
      <c r="BE165" s="13">
        <f t="shared" ca="1" si="99"/>
        <v>35931</v>
      </c>
      <c r="BF165">
        <f>ROW()</f>
        <v>165</v>
      </c>
      <c r="BH165" t="str">
        <f t="shared" si="100"/>
        <v>BC161:BC165</v>
      </c>
      <c r="BI165">
        <f t="shared" si="117"/>
        <v>153</v>
      </c>
      <c r="BJ165">
        <f t="shared" ca="1" si="101"/>
        <v>594.63751999999999</v>
      </c>
      <c r="BL165" t="str">
        <f t="shared" si="102"/>
        <v>BC146:BC165</v>
      </c>
      <c r="BM165">
        <f t="shared" si="118"/>
        <v>138</v>
      </c>
      <c r="BN165">
        <f t="shared" ca="1" si="103"/>
        <v>601.220595</v>
      </c>
      <c r="BP165" t="str">
        <f t="shared" si="104"/>
        <v>BC106:BC165</v>
      </c>
      <c r="BQ165">
        <f t="shared" si="119"/>
        <v>98</v>
      </c>
      <c r="BR165">
        <f t="shared" ca="1" si="105"/>
        <v>580.62448333333327</v>
      </c>
      <c r="BT165">
        <f t="shared" ca="1" si="121"/>
        <v>606.33023000000003</v>
      </c>
      <c r="BU165">
        <f t="shared" ca="1" si="88"/>
        <v>6.1799584263888478</v>
      </c>
      <c r="BV165">
        <f t="shared" ca="1" si="89"/>
        <v>618.69014685277773</v>
      </c>
      <c r="BW165">
        <f t="shared" ca="1" si="90"/>
        <v>593.97031314722233</v>
      </c>
      <c r="BY165">
        <f t="shared" ca="1" si="91"/>
        <v>594.63751999999999</v>
      </c>
      <c r="BZ165">
        <f t="shared" ca="1" si="92"/>
        <v>601.220595</v>
      </c>
      <c r="CA165">
        <f t="shared" ca="1" si="93"/>
        <v>580.62448333333327</v>
      </c>
      <c r="CD165" t="str">
        <f>IF(周K!$E$3+CK165-12&gt;工作底稿!$CE$5,"周K!A"&amp;周K!$E$3-$CE$5+1+CK165-8,0)</f>
        <v>周K!A325</v>
      </c>
      <c r="CE165" s="4">
        <f t="shared" ca="1" si="106"/>
        <v>43696</v>
      </c>
      <c r="CF165" s="13">
        <f ca="1">IF($CD165=0,"",VLOOKUP($CE165,周K!$A$6:$F$6842,2,0))</f>
        <v>251.5</v>
      </c>
      <c r="CG165" s="13">
        <f ca="1">IF($CD165=0,"",VLOOKUP($CE165,周K!$A$6:$F$6842,3,0))</f>
        <v>257.5</v>
      </c>
      <c r="CH165" s="13">
        <f ca="1">IF($CD165=0,"",VLOOKUP($CE165,周K!$A$6:$F$6842,4,0))</f>
        <v>250.5</v>
      </c>
      <c r="CI165" s="13">
        <f ca="1">IF($CD165=0,"",VLOOKUP($CE165,周K!$A$6:$F$6842,5,0))</f>
        <v>254</v>
      </c>
      <c r="CJ165" s="13">
        <f ca="1">IF($CD165=0,"",VLOOKUP($CE165,周K!$A$6:$F$6842,6,0))</f>
        <v>102898</v>
      </c>
      <c r="CK165">
        <f>ROW()</f>
        <v>165</v>
      </c>
      <c r="CM165" t="str">
        <f t="shared" si="107"/>
        <v>CG161:CG165</v>
      </c>
      <c r="CN165">
        <f t="shared" si="108"/>
        <v>153</v>
      </c>
      <c r="CO165">
        <f t="shared" ca="1" si="109"/>
        <v>259.10000000000002</v>
      </c>
      <c r="CQ165" t="str">
        <f t="shared" si="110"/>
        <v>CG146:CG165</v>
      </c>
      <c r="CR165">
        <f t="shared" si="111"/>
        <v>138</v>
      </c>
      <c r="CS165">
        <f t="shared" ca="1" si="112"/>
        <v>254.57499999999999</v>
      </c>
      <c r="CU165" t="str">
        <f t="shared" si="113"/>
        <v>CG106:CG165</v>
      </c>
      <c r="CV165">
        <f t="shared" si="114"/>
        <v>98</v>
      </c>
      <c r="CW165">
        <f t="shared" ca="1" si="115"/>
        <v>244.75</v>
      </c>
      <c r="CY165">
        <f t="shared" ca="1" si="116"/>
        <v>590.05165</v>
      </c>
      <c r="CZ165">
        <f t="shared" ca="1" si="120"/>
        <v>600.54663659101891</v>
      </c>
      <c r="DA165">
        <f t="shared" ca="1" si="123"/>
        <v>603.40892511595905</v>
      </c>
      <c r="DB165">
        <f t="shared" ca="1" si="122"/>
        <v>-2.8622885249401406</v>
      </c>
      <c r="DC165">
        <f t="shared" ca="1" si="86"/>
        <v>-1.1495122496968153</v>
      </c>
      <c r="DD165">
        <f t="shared" ca="1" si="87"/>
        <v>-1.7127762752433253</v>
      </c>
    </row>
    <row r="166" spans="51:108" x14ac:dyDescent="0.25">
      <c r="AY166" t="str">
        <f>"日K!A"&amp;日K!$E$3-239+1+BF166-8</f>
        <v>日K!A6758</v>
      </c>
      <c r="AZ166" s="4">
        <f t="shared" ca="1" si="94"/>
        <v>44278</v>
      </c>
      <c r="BA166" s="13">
        <f t="shared" ca="1" si="95"/>
        <v>594.53309999999999</v>
      </c>
      <c r="BB166" s="13">
        <f t="shared" ca="1" si="96"/>
        <v>600.50829999999996</v>
      </c>
      <c r="BC166" s="13">
        <f t="shared" ca="1" si="97"/>
        <v>590.54960000000005</v>
      </c>
      <c r="BD166" s="13">
        <f t="shared" ca="1" si="98"/>
        <v>591.54549999999995</v>
      </c>
      <c r="BE166" s="13">
        <f t="shared" ca="1" si="99"/>
        <v>31933</v>
      </c>
      <c r="BF166">
        <f>ROW()</f>
        <v>166</v>
      </c>
      <c r="BH166" t="str">
        <f t="shared" si="100"/>
        <v>BC162:BC166</v>
      </c>
      <c r="BI166">
        <f t="shared" si="117"/>
        <v>154</v>
      </c>
      <c r="BJ166">
        <f t="shared" ca="1" si="101"/>
        <v>592.34215999999992</v>
      </c>
      <c r="BL166" t="str">
        <f t="shared" si="102"/>
        <v>BC147:BC166</v>
      </c>
      <c r="BM166">
        <f t="shared" si="118"/>
        <v>139</v>
      </c>
      <c r="BN166">
        <f t="shared" ca="1" si="103"/>
        <v>598.51436999999999</v>
      </c>
      <c r="BP166" t="str">
        <f t="shared" si="104"/>
        <v>BC107:BC166</v>
      </c>
      <c r="BQ166">
        <f t="shared" si="119"/>
        <v>99</v>
      </c>
      <c r="BR166">
        <f t="shared" ca="1" si="105"/>
        <v>582.12713499999995</v>
      </c>
      <c r="BT166">
        <f t="shared" ca="1" si="121"/>
        <v>603.67380000000003</v>
      </c>
      <c r="BU166">
        <f t="shared" ca="1" si="88"/>
        <v>6.9915815725929082</v>
      </c>
      <c r="BV166">
        <f t="shared" ca="1" si="89"/>
        <v>617.65696314518584</v>
      </c>
      <c r="BW166">
        <f t="shared" ca="1" si="90"/>
        <v>589.69063685481422</v>
      </c>
      <c r="BY166">
        <f t="shared" ca="1" si="91"/>
        <v>592.34215999999992</v>
      </c>
      <c r="BZ166">
        <f t="shared" ca="1" si="92"/>
        <v>598.51436999999999</v>
      </c>
      <c r="CA166">
        <f t="shared" ca="1" si="93"/>
        <v>582.12713499999995</v>
      </c>
      <c r="CD166" t="str">
        <f>IF(周K!$E$3+CK166-12&gt;工作底稿!$CE$5,"周K!A"&amp;周K!$E$3-$CE$5+1+CK166-8,0)</f>
        <v>周K!A326</v>
      </c>
      <c r="CE166" s="4">
        <f t="shared" ca="1" si="106"/>
        <v>43703</v>
      </c>
      <c r="CF166" s="13">
        <f ca="1">IF($CD166=0,"",VLOOKUP($CE166,周K!$A$6:$F$6842,2,0))</f>
        <v>249</v>
      </c>
      <c r="CG166" s="13">
        <f ca="1">IF($CD166=0,"",VLOOKUP($CE166,周K!$A$6:$F$6842,3,0))</f>
        <v>259</v>
      </c>
      <c r="CH166" s="13">
        <f ca="1">IF($CD166=0,"",VLOOKUP($CE166,周K!$A$6:$F$6842,4,0))</f>
        <v>248.5</v>
      </c>
      <c r="CI166" s="13">
        <f ca="1">IF($CD166=0,"",VLOOKUP($CE166,周K!$A$6:$F$6842,5,0))</f>
        <v>259</v>
      </c>
      <c r="CJ166" s="13">
        <f ca="1">IF($CD166=0,"",VLOOKUP($CE166,周K!$A$6:$F$6842,6,0))</f>
        <v>156071</v>
      </c>
      <c r="CK166">
        <f>ROW()</f>
        <v>166</v>
      </c>
      <c r="CM166" t="str">
        <f t="shared" si="107"/>
        <v>CG162:CG166</v>
      </c>
      <c r="CN166">
        <f t="shared" si="108"/>
        <v>154</v>
      </c>
      <c r="CO166">
        <f t="shared" ca="1" si="109"/>
        <v>257.60000000000002</v>
      </c>
      <c r="CQ166" t="str">
        <f t="shared" si="110"/>
        <v>CG147:CG166</v>
      </c>
      <c r="CR166">
        <f t="shared" si="111"/>
        <v>139</v>
      </c>
      <c r="CS166">
        <f t="shared" ca="1" si="112"/>
        <v>254.8</v>
      </c>
      <c r="CU166" t="str">
        <f t="shared" si="113"/>
        <v>CG107:CG166</v>
      </c>
      <c r="CV166">
        <f t="shared" si="114"/>
        <v>99</v>
      </c>
      <c r="CW166">
        <f t="shared" ca="1" si="115"/>
        <v>245.39166666666668</v>
      </c>
      <c r="CY166">
        <f t="shared" ca="1" si="116"/>
        <v>593.53722500000003</v>
      </c>
      <c r="CZ166">
        <f t="shared" ca="1" si="120"/>
        <v>599.46826557701604</v>
      </c>
      <c r="DA166">
        <f t="shared" ca="1" si="123"/>
        <v>602.67768807033247</v>
      </c>
      <c r="DB166">
        <f t="shared" ca="1" si="122"/>
        <v>-3.2094224933164242</v>
      </c>
      <c r="DC166">
        <f t="shared" ca="1" si="86"/>
        <v>-1.4107256819688574</v>
      </c>
      <c r="DD166">
        <f t="shared" ca="1" si="87"/>
        <v>-1.7986968113475668</v>
      </c>
    </row>
    <row r="167" spans="51:108" x14ac:dyDescent="0.25">
      <c r="AY167" t="str">
        <f>"日K!A"&amp;日K!$E$3-239+1+BF167-8</f>
        <v>日K!A6759</v>
      </c>
      <c r="AZ167" s="4">
        <f t="shared" ca="1" si="94"/>
        <v>44279</v>
      </c>
      <c r="BA167" s="13">
        <f t="shared" ca="1" si="95"/>
        <v>568.64049999999997</v>
      </c>
      <c r="BB167" s="13">
        <f t="shared" ca="1" si="96"/>
        <v>579.59500000000003</v>
      </c>
      <c r="BC167" s="13">
        <f t="shared" ca="1" si="97"/>
        <v>568.64049999999997</v>
      </c>
      <c r="BD167" s="13">
        <f t="shared" ca="1" si="98"/>
        <v>573.61980000000005</v>
      </c>
      <c r="BE167" s="13">
        <f t="shared" ca="1" si="99"/>
        <v>115318</v>
      </c>
      <c r="BF167">
        <f>ROW()</f>
        <v>167</v>
      </c>
      <c r="BH167" t="str">
        <f t="shared" si="100"/>
        <v>BC163:BC167</v>
      </c>
      <c r="BI167">
        <f t="shared" si="117"/>
        <v>155</v>
      </c>
      <c r="BJ167">
        <f t="shared" ca="1" si="101"/>
        <v>586.16777999999999</v>
      </c>
      <c r="BL167" t="str">
        <f t="shared" si="102"/>
        <v>BC148:BC167</v>
      </c>
      <c r="BM167">
        <f t="shared" si="118"/>
        <v>140</v>
      </c>
      <c r="BN167">
        <f t="shared" ca="1" si="103"/>
        <v>595.55572499999994</v>
      </c>
      <c r="BP167" t="str">
        <f t="shared" si="104"/>
        <v>BC108:BC167</v>
      </c>
      <c r="BQ167">
        <f t="shared" si="119"/>
        <v>100</v>
      </c>
      <c r="BR167">
        <f t="shared" ca="1" si="105"/>
        <v>583.20718333333332</v>
      </c>
      <c r="BT167">
        <f t="shared" ca="1" si="121"/>
        <v>600.56740000000013</v>
      </c>
      <c r="BU167">
        <f t="shared" ca="1" si="88"/>
        <v>7.7542689571623526</v>
      </c>
      <c r="BV167">
        <f t="shared" ca="1" si="89"/>
        <v>616.07593791432487</v>
      </c>
      <c r="BW167">
        <f t="shared" ca="1" si="90"/>
        <v>585.0588620856754</v>
      </c>
      <c r="BY167">
        <f t="shared" ca="1" si="91"/>
        <v>586.16777999999999</v>
      </c>
      <c r="BZ167">
        <f t="shared" ca="1" si="92"/>
        <v>595.55572499999994</v>
      </c>
      <c r="CA167">
        <f t="shared" ca="1" si="93"/>
        <v>583.20718333333332</v>
      </c>
      <c r="CD167" t="str">
        <f>IF(周K!$E$3+CK167-12&gt;工作底稿!$CE$5,"周K!A"&amp;周K!$E$3-$CE$5+1+CK167-8,0)</f>
        <v>周K!A327</v>
      </c>
      <c r="CE167" s="4">
        <f t="shared" ca="1" si="106"/>
        <v>43710</v>
      </c>
      <c r="CF167" s="13">
        <f ca="1">IF($CD167=0,"",VLOOKUP($CE167,周K!$A$6:$F$6842,2,0))</f>
        <v>258</v>
      </c>
      <c r="CG167" s="13">
        <f ca="1">IF($CD167=0,"",VLOOKUP($CE167,周K!$A$6:$F$6842,3,0))</f>
        <v>265</v>
      </c>
      <c r="CH167" s="13">
        <f ca="1">IF($CD167=0,"",VLOOKUP($CE167,周K!$A$6:$F$6842,4,0))</f>
        <v>253</v>
      </c>
      <c r="CI167" s="13">
        <f ca="1">IF($CD167=0,"",VLOOKUP($CE167,周K!$A$6:$F$6842,5,0))</f>
        <v>263.5</v>
      </c>
      <c r="CJ167" s="13">
        <f ca="1">IF($CD167=0,"",VLOOKUP($CE167,周K!$A$6:$F$6842,6,0))</f>
        <v>140212</v>
      </c>
      <c r="CK167">
        <f>ROW()</f>
        <v>167</v>
      </c>
      <c r="CM167" t="str">
        <f t="shared" si="107"/>
        <v>CG163:CG167</v>
      </c>
      <c r="CN167">
        <f t="shared" si="108"/>
        <v>155</v>
      </c>
      <c r="CO167">
        <f t="shared" ca="1" si="109"/>
        <v>258</v>
      </c>
      <c r="CQ167" t="str">
        <f t="shared" si="110"/>
        <v>CG148:CG167</v>
      </c>
      <c r="CR167">
        <f t="shared" si="111"/>
        <v>140</v>
      </c>
      <c r="CS167">
        <f t="shared" ca="1" si="112"/>
        <v>254.57499999999999</v>
      </c>
      <c r="CU167" t="str">
        <f t="shared" si="113"/>
        <v>CG108:CG167</v>
      </c>
      <c r="CV167">
        <f t="shared" si="114"/>
        <v>100</v>
      </c>
      <c r="CW167">
        <f t="shared" ca="1" si="115"/>
        <v>246.15833333333333</v>
      </c>
      <c r="CY167">
        <f t="shared" ca="1" si="116"/>
        <v>573.86877500000003</v>
      </c>
      <c r="CZ167">
        <f t="shared" ca="1" si="120"/>
        <v>595.5298824113213</v>
      </c>
      <c r="DA167">
        <f t="shared" ca="1" si="123"/>
        <v>600.5436945095671</v>
      </c>
      <c r="DB167">
        <f t="shared" ca="1" si="122"/>
        <v>-5.0138120982458076</v>
      </c>
      <c r="DC167">
        <f t="shared" ca="1" si="86"/>
        <v>-1.842287416797098</v>
      </c>
      <c r="DD167">
        <f t="shared" ca="1" si="87"/>
        <v>-3.1715246814487097</v>
      </c>
    </row>
    <row r="168" spans="51:108" x14ac:dyDescent="0.25">
      <c r="AY168" t="str">
        <f>"日K!A"&amp;日K!$E$3-239+1+BF168-8</f>
        <v>日K!A6760</v>
      </c>
      <c r="AZ168" s="4">
        <f t="shared" ca="1" si="94"/>
        <v>44280</v>
      </c>
      <c r="BA168" s="13">
        <f t="shared" ca="1" si="95"/>
        <v>569.63639999999998</v>
      </c>
      <c r="BB168" s="13">
        <f t="shared" ca="1" si="96"/>
        <v>578.5992</v>
      </c>
      <c r="BC168" s="13">
        <f t="shared" ca="1" si="97"/>
        <v>567.64459999999997</v>
      </c>
      <c r="BD168" s="13">
        <f t="shared" ca="1" si="98"/>
        <v>572.62400000000002</v>
      </c>
      <c r="BE168" s="13">
        <f t="shared" ca="1" si="99"/>
        <v>74226</v>
      </c>
      <c r="BF168">
        <f>ROW()</f>
        <v>168</v>
      </c>
      <c r="BH168" t="str">
        <f t="shared" si="100"/>
        <v>BC164:BC168</v>
      </c>
      <c r="BI168">
        <f t="shared" si="117"/>
        <v>156</v>
      </c>
      <c r="BJ168">
        <f t="shared" ca="1" si="101"/>
        <v>579.79422</v>
      </c>
      <c r="BL168" t="str">
        <f t="shared" si="102"/>
        <v>BC149:BC168</v>
      </c>
      <c r="BM168">
        <f t="shared" si="118"/>
        <v>141</v>
      </c>
      <c r="BN168">
        <f t="shared" ca="1" si="103"/>
        <v>592.94400999999993</v>
      </c>
      <c r="BP168" t="str">
        <f t="shared" si="104"/>
        <v>BC109:BC168</v>
      </c>
      <c r="BQ168">
        <f t="shared" si="119"/>
        <v>101</v>
      </c>
      <c r="BR168">
        <f t="shared" ca="1" si="105"/>
        <v>584.28716333333318</v>
      </c>
      <c r="BT168">
        <f t="shared" ca="1" si="121"/>
        <v>598.20465500000012</v>
      </c>
      <c r="BU168">
        <f t="shared" ca="1" si="88"/>
        <v>8.3947551618806617</v>
      </c>
      <c r="BV168">
        <f t="shared" ca="1" si="89"/>
        <v>614.99416532376142</v>
      </c>
      <c r="BW168">
        <f t="shared" ca="1" si="90"/>
        <v>581.41514467623881</v>
      </c>
      <c r="BY168">
        <f t="shared" ca="1" si="91"/>
        <v>579.79422</v>
      </c>
      <c r="BZ168">
        <f t="shared" ca="1" si="92"/>
        <v>592.94400999999993</v>
      </c>
      <c r="CA168">
        <f t="shared" ca="1" si="93"/>
        <v>584.28716333333318</v>
      </c>
      <c r="CD168" t="str">
        <f>IF(周K!$E$3+CK168-12&gt;工作底稿!$CE$5,"周K!A"&amp;周K!$E$3-$CE$5+1+CK168-8,0)</f>
        <v>周K!A328</v>
      </c>
      <c r="CE168" s="4">
        <f t="shared" ca="1" si="106"/>
        <v>43717</v>
      </c>
      <c r="CF168" s="13">
        <f ca="1">IF($CD168=0,"",VLOOKUP($CE168,周K!$A$6:$F$6842,2,0))</f>
        <v>265.5</v>
      </c>
      <c r="CG168" s="13">
        <f ca="1">IF($CD168=0,"",VLOOKUP($CE168,周K!$A$6:$F$6842,3,0))</f>
        <v>266</v>
      </c>
      <c r="CH168" s="13">
        <f ca="1">IF($CD168=0,"",VLOOKUP($CE168,周K!$A$6:$F$6842,4,0))</f>
        <v>260.5</v>
      </c>
      <c r="CI168" s="13">
        <f ca="1">IF($CD168=0,"",VLOOKUP($CE168,周K!$A$6:$F$6842,5,0))</f>
        <v>262.5</v>
      </c>
      <c r="CJ168" s="13">
        <f ca="1">IF($CD168=0,"",VLOOKUP($CE168,周K!$A$6:$F$6842,6,0))</f>
        <v>122396</v>
      </c>
      <c r="CK168">
        <f>ROW()</f>
        <v>168</v>
      </c>
      <c r="CM168" t="str">
        <f t="shared" si="107"/>
        <v>CG164:CG168</v>
      </c>
      <c r="CN168">
        <f t="shared" si="108"/>
        <v>156</v>
      </c>
      <c r="CO168">
        <f t="shared" ca="1" si="109"/>
        <v>260.39999999999998</v>
      </c>
      <c r="CQ168" t="str">
        <f t="shared" si="110"/>
        <v>CG149:CG168</v>
      </c>
      <c r="CR168">
        <f t="shared" si="111"/>
        <v>141</v>
      </c>
      <c r="CS168">
        <f t="shared" ca="1" si="112"/>
        <v>254.375</v>
      </c>
      <c r="CU168" t="str">
        <f t="shared" si="113"/>
        <v>CG109:CG168</v>
      </c>
      <c r="CV168">
        <f t="shared" si="114"/>
        <v>101</v>
      </c>
      <c r="CW168">
        <f t="shared" ca="1" si="115"/>
        <v>246.85</v>
      </c>
      <c r="CY168">
        <f t="shared" ca="1" si="116"/>
        <v>572.87294999999995</v>
      </c>
      <c r="CZ168">
        <f t="shared" ca="1" si="120"/>
        <v>592.04420050188719</v>
      </c>
      <c r="DA168">
        <f t="shared" ca="1" si="123"/>
        <v>598.49400973108061</v>
      </c>
      <c r="DB168">
        <f t="shared" ca="1" si="122"/>
        <v>-6.4498092291934199</v>
      </c>
      <c r="DC168">
        <f t="shared" ca="1" si="86"/>
        <v>-2.4771534651336728</v>
      </c>
      <c r="DD168">
        <f t="shared" ca="1" si="87"/>
        <v>-3.9726557640597471</v>
      </c>
    </row>
    <row r="169" spans="51:108" x14ac:dyDescent="0.25">
      <c r="AY169" t="str">
        <f>"日K!A"&amp;日K!$E$3-239+1+BF169-8</f>
        <v>日K!A6761</v>
      </c>
      <c r="AZ169" s="4">
        <f t="shared" ca="1" si="94"/>
        <v>44281</v>
      </c>
      <c r="BA169" s="13">
        <f t="shared" ca="1" si="95"/>
        <v>579.59500000000003</v>
      </c>
      <c r="BB169" s="13">
        <f t="shared" ca="1" si="96"/>
        <v>589.55370000000005</v>
      </c>
      <c r="BC169" s="13">
        <f t="shared" ca="1" si="97"/>
        <v>577.60329999999999</v>
      </c>
      <c r="BD169" s="13">
        <f t="shared" ca="1" si="98"/>
        <v>587.56200000000001</v>
      </c>
      <c r="BE169" s="13">
        <f t="shared" ca="1" si="99"/>
        <v>37937</v>
      </c>
      <c r="BF169">
        <f>ROW()</f>
        <v>169</v>
      </c>
      <c r="BH169" t="str">
        <f t="shared" si="100"/>
        <v>BC165:BC169</v>
      </c>
      <c r="BI169">
        <f t="shared" si="117"/>
        <v>157</v>
      </c>
      <c r="BJ169">
        <f t="shared" ca="1" si="101"/>
        <v>577.60329999999999</v>
      </c>
      <c r="BL169" t="str">
        <f t="shared" si="102"/>
        <v>BC150:BC169</v>
      </c>
      <c r="BM169">
        <f t="shared" si="118"/>
        <v>142</v>
      </c>
      <c r="BN169">
        <f t="shared" ca="1" si="103"/>
        <v>590.68145500000003</v>
      </c>
      <c r="BP169" t="str">
        <f t="shared" si="104"/>
        <v>BC110:BC169</v>
      </c>
      <c r="BQ169">
        <f t="shared" si="119"/>
        <v>102</v>
      </c>
      <c r="BR169">
        <f t="shared" ca="1" si="105"/>
        <v>585.51659166666661</v>
      </c>
      <c r="BT169">
        <f t="shared" ca="1" si="121"/>
        <v>596.09290500000009</v>
      </c>
      <c r="BU169">
        <f t="shared" ca="1" si="88"/>
        <v>8.8969596349237445</v>
      </c>
      <c r="BV169">
        <f t="shared" ca="1" si="89"/>
        <v>613.88682426984758</v>
      </c>
      <c r="BW169">
        <f t="shared" ca="1" si="90"/>
        <v>578.29898573015259</v>
      </c>
      <c r="BY169">
        <f t="shared" ca="1" si="91"/>
        <v>577.60329999999999</v>
      </c>
      <c r="BZ169">
        <f t="shared" ca="1" si="92"/>
        <v>590.68145500000003</v>
      </c>
      <c r="CA169">
        <f t="shared" ca="1" si="93"/>
        <v>585.51659166666661</v>
      </c>
      <c r="CD169" t="str">
        <f>IF(周K!$E$3+CK169-12&gt;工作底稿!$CE$5,"周K!A"&amp;周K!$E$3-$CE$5+1+CK169-8,0)</f>
        <v>周K!A329</v>
      </c>
      <c r="CE169" s="4">
        <f t="shared" ca="1" si="106"/>
        <v>43724</v>
      </c>
      <c r="CF169" s="13">
        <f ca="1">IF($CD169=0,"",VLOOKUP($CE169,周K!$A$6:$F$6842,2,0))</f>
        <v>262</v>
      </c>
      <c r="CG169" s="13">
        <f ca="1">IF($CD169=0,"",VLOOKUP($CE169,周K!$A$6:$F$6842,3,0))</f>
        <v>269.5</v>
      </c>
      <c r="CH169" s="13">
        <f ca="1">IF($CD169=0,"",VLOOKUP($CE169,周K!$A$6:$F$6842,4,0))</f>
        <v>261.5</v>
      </c>
      <c r="CI169" s="13">
        <f ca="1">IF($CD169=0,"",VLOOKUP($CE169,周K!$A$6:$F$6842,5,0))</f>
        <v>264</v>
      </c>
      <c r="CJ169" s="13">
        <f ca="1">IF($CD169=0,"",VLOOKUP($CE169,周K!$A$6:$F$6842,6,0))</f>
        <v>192066</v>
      </c>
      <c r="CK169">
        <f>ROW()</f>
        <v>169</v>
      </c>
      <c r="CM169" t="str">
        <f t="shared" si="107"/>
        <v>CG165:CG169</v>
      </c>
      <c r="CN169">
        <f t="shared" si="108"/>
        <v>157</v>
      </c>
      <c r="CO169">
        <f t="shared" ca="1" si="109"/>
        <v>263.39999999999998</v>
      </c>
      <c r="CQ169" t="str">
        <f t="shared" si="110"/>
        <v>CG150:CG169</v>
      </c>
      <c r="CR169">
        <f t="shared" si="111"/>
        <v>142</v>
      </c>
      <c r="CS169">
        <f t="shared" ca="1" si="112"/>
        <v>254.6</v>
      </c>
      <c r="CU169" t="str">
        <f t="shared" si="113"/>
        <v>CG110:CG169</v>
      </c>
      <c r="CV169">
        <f t="shared" si="114"/>
        <v>102</v>
      </c>
      <c r="CW169">
        <f t="shared" ca="1" si="115"/>
        <v>247.38333333333333</v>
      </c>
      <c r="CY169">
        <f t="shared" ca="1" si="116"/>
        <v>585.57024999999999</v>
      </c>
      <c r="CZ169">
        <f t="shared" ca="1" si="120"/>
        <v>591.04820811698141</v>
      </c>
      <c r="DA169">
        <f t="shared" ca="1" si="123"/>
        <v>597.53669419544497</v>
      </c>
      <c r="DB169">
        <f t="shared" ca="1" si="122"/>
        <v>-6.4884860784635521</v>
      </c>
      <c r="DC169">
        <f t="shared" ca="1" si="86"/>
        <v>-3.1295480345823106</v>
      </c>
      <c r="DD169">
        <f t="shared" ca="1" si="87"/>
        <v>-3.3589380438812415</v>
      </c>
    </row>
    <row r="170" spans="51:108" x14ac:dyDescent="0.25">
      <c r="AY170" t="str">
        <f>"日K!A"&amp;日K!$E$3-239+1+BF170-8</f>
        <v>日K!A6762</v>
      </c>
      <c r="AZ170" s="4">
        <f t="shared" ca="1" si="94"/>
        <v>44284</v>
      </c>
      <c r="BA170" s="13">
        <f t="shared" ca="1" si="95"/>
        <v>596.52480000000003</v>
      </c>
      <c r="BB170" s="13">
        <f t="shared" ca="1" si="96"/>
        <v>599.51239999999996</v>
      </c>
      <c r="BC170" s="13">
        <f t="shared" ca="1" si="97"/>
        <v>593.53719999999998</v>
      </c>
      <c r="BD170" s="13">
        <f t="shared" ca="1" si="98"/>
        <v>596.52480000000003</v>
      </c>
      <c r="BE170" s="13">
        <f t="shared" ca="1" si="99"/>
        <v>40574</v>
      </c>
      <c r="BF170">
        <f>ROW()</f>
        <v>170</v>
      </c>
      <c r="BH170" t="str">
        <f t="shared" si="100"/>
        <v>BC166:BC170</v>
      </c>
      <c r="BI170">
        <f t="shared" si="117"/>
        <v>158</v>
      </c>
      <c r="BJ170">
        <f t="shared" ca="1" si="101"/>
        <v>579.59503999999993</v>
      </c>
      <c r="BL170" t="str">
        <f t="shared" si="102"/>
        <v>BC151:BC170</v>
      </c>
      <c r="BM170">
        <f t="shared" si="118"/>
        <v>143</v>
      </c>
      <c r="BN170">
        <f t="shared" ca="1" si="103"/>
        <v>590.30658500000004</v>
      </c>
      <c r="BP170" t="str">
        <f t="shared" si="104"/>
        <v>BC111:BC170</v>
      </c>
      <c r="BQ170">
        <f t="shared" si="119"/>
        <v>103</v>
      </c>
      <c r="BR170">
        <f t="shared" ca="1" si="105"/>
        <v>586.99505499999987</v>
      </c>
      <c r="BT170">
        <f t="shared" ca="1" si="121"/>
        <v>595.86741499999994</v>
      </c>
      <c r="BU170">
        <f t="shared" ca="1" si="88"/>
        <v>9.2639541307487452</v>
      </c>
      <c r="BV170">
        <f t="shared" ca="1" si="89"/>
        <v>614.39532326149742</v>
      </c>
      <c r="BW170">
        <f t="shared" ca="1" si="90"/>
        <v>577.33950673850245</v>
      </c>
      <c r="BY170">
        <f t="shared" ca="1" si="91"/>
        <v>579.59503999999993</v>
      </c>
      <c r="BZ170">
        <f t="shared" ca="1" si="92"/>
        <v>590.30658500000004</v>
      </c>
      <c r="CA170">
        <f t="shared" ca="1" si="93"/>
        <v>586.99505499999987</v>
      </c>
      <c r="CD170" t="str">
        <f>IF(周K!$E$3+CK170-12&gt;工作底稿!$CE$5,"周K!A"&amp;周K!$E$3-$CE$5+1+CK170-8,0)</f>
        <v>周K!A330</v>
      </c>
      <c r="CE170" s="4">
        <f t="shared" ca="1" si="106"/>
        <v>43731</v>
      </c>
      <c r="CF170" s="13">
        <f ca="1">IF($CD170=0,"",VLOOKUP($CE170,周K!$A$6:$F$6842,2,0))</f>
        <v>264</v>
      </c>
      <c r="CG170" s="13">
        <f ca="1">IF($CD170=0,"",VLOOKUP($CE170,周K!$A$6:$F$6842,3,0))</f>
        <v>272.5</v>
      </c>
      <c r="CH170" s="13">
        <f ca="1">IF($CD170=0,"",VLOOKUP($CE170,周K!$A$6:$F$6842,4,0))</f>
        <v>262</v>
      </c>
      <c r="CI170" s="13">
        <f ca="1">IF($CD170=0,"",VLOOKUP($CE170,周K!$A$6:$F$6842,5,0))</f>
        <v>272</v>
      </c>
      <c r="CJ170" s="13">
        <f ca="1">IF($CD170=0,"",VLOOKUP($CE170,周K!$A$6:$F$6842,6,0))</f>
        <v>140140</v>
      </c>
      <c r="CK170">
        <f>ROW()</f>
        <v>170</v>
      </c>
      <c r="CM170" t="str">
        <f t="shared" si="107"/>
        <v>CG166:CG170</v>
      </c>
      <c r="CN170">
        <f t="shared" si="108"/>
        <v>158</v>
      </c>
      <c r="CO170">
        <f t="shared" ca="1" si="109"/>
        <v>266.39999999999998</v>
      </c>
      <c r="CQ170" t="str">
        <f t="shared" si="110"/>
        <v>CG151:CG170</v>
      </c>
      <c r="CR170">
        <f t="shared" si="111"/>
        <v>143</v>
      </c>
      <c r="CS170">
        <f t="shared" ca="1" si="112"/>
        <v>255.07499999999999</v>
      </c>
      <c r="CU170" t="str">
        <f t="shared" si="113"/>
        <v>CG111:CG170</v>
      </c>
      <c r="CV170">
        <f t="shared" si="114"/>
        <v>103</v>
      </c>
      <c r="CW170">
        <f t="shared" ca="1" si="115"/>
        <v>247.84166666666667</v>
      </c>
      <c r="CY170">
        <f t="shared" ca="1" si="116"/>
        <v>596.52479999999991</v>
      </c>
      <c r="CZ170">
        <f t="shared" ca="1" si="120"/>
        <v>591.89076071436887</v>
      </c>
      <c r="DA170">
        <f t="shared" ca="1" si="123"/>
        <v>597.46173906985643</v>
      </c>
      <c r="DB170">
        <f t="shared" ca="1" si="122"/>
        <v>-5.5709783554875685</v>
      </c>
      <c r="DC170">
        <f t="shared" ref="DC170:DC233" ca="1" si="124">AVERAGE(DB162:DB170)</f>
        <v>-3.6933424410845088</v>
      </c>
      <c r="DD170">
        <f t="shared" ref="DD170:DD233" ca="1" si="125">DB170-DC170</f>
        <v>-1.8776359144030597</v>
      </c>
    </row>
    <row r="171" spans="51:108" x14ac:dyDescent="0.25">
      <c r="AY171" t="str">
        <f>"日K!A"&amp;日K!$E$3-239+1+BF171-8</f>
        <v>日K!A6763</v>
      </c>
      <c r="AZ171" s="4">
        <f t="shared" ca="1" si="94"/>
        <v>44285</v>
      </c>
      <c r="BA171" s="13">
        <f t="shared" ca="1" si="95"/>
        <v>597.52070000000003</v>
      </c>
      <c r="BB171" s="13">
        <f t="shared" ca="1" si="96"/>
        <v>597.52070000000003</v>
      </c>
      <c r="BC171" s="13">
        <f t="shared" ca="1" si="97"/>
        <v>589.55370000000005</v>
      </c>
      <c r="BD171" s="13">
        <f t="shared" ca="1" si="98"/>
        <v>594.53309999999999</v>
      </c>
      <c r="BE171" s="13">
        <f t="shared" ca="1" si="99"/>
        <v>34686</v>
      </c>
      <c r="BF171">
        <f>ROW()</f>
        <v>171</v>
      </c>
      <c r="BH171" t="str">
        <f t="shared" si="100"/>
        <v>BC167:BC171</v>
      </c>
      <c r="BI171">
        <f t="shared" si="117"/>
        <v>159</v>
      </c>
      <c r="BJ171">
        <f t="shared" ca="1" si="101"/>
        <v>579.39585999999997</v>
      </c>
      <c r="BL171" t="str">
        <f t="shared" si="102"/>
        <v>BC152:BC171</v>
      </c>
      <c r="BM171">
        <f t="shared" si="118"/>
        <v>144</v>
      </c>
      <c r="BN171">
        <f t="shared" ca="1" si="103"/>
        <v>589.58376999999996</v>
      </c>
      <c r="BP171" t="str">
        <f t="shared" si="104"/>
        <v>BC112:BC171</v>
      </c>
      <c r="BQ171">
        <f t="shared" si="119"/>
        <v>104</v>
      </c>
      <c r="BR171">
        <f t="shared" ca="1" si="105"/>
        <v>588.45671666666635</v>
      </c>
      <c r="BT171">
        <f t="shared" ca="1" si="121"/>
        <v>595.39356999999995</v>
      </c>
      <c r="BU171">
        <f t="shared" ca="1" si="88"/>
        <v>9.639102946862506</v>
      </c>
      <c r="BV171">
        <f t="shared" ca="1" si="89"/>
        <v>614.671775893725</v>
      </c>
      <c r="BW171">
        <f t="shared" ca="1" si="90"/>
        <v>576.11536410627491</v>
      </c>
      <c r="BY171">
        <f t="shared" ca="1" si="91"/>
        <v>579.39585999999997</v>
      </c>
      <c r="BZ171">
        <f t="shared" ca="1" si="92"/>
        <v>589.58376999999996</v>
      </c>
      <c r="CA171">
        <f t="shared" ca="1" si="93"/>
        <v>588.45671666666635</v>
      </c>
      <c r="CD171" t="str">
        <f>IF(周K!$E$3+CK171-12&gt;工作底稿!$CE$5,"周K!A"&amp;周K!$E$3-$CE$5+1+CK171-8,0)</f>
        <v>周K!A331</v>
      </c>
      <c r="CE171" s="4">
        <f t="shared" ca="1" si="106"/>
        <v>43739</v>
      </c>
      <c r="CF171" s="13">
        <f ca="1">IF($CD171=0,"",VLOOKUP($CE171,周K!$A$6:$F$6842,2,0))</f>
        <v>273</v>
      </c>
      <c r="CG171" s="13">
        <f ca="1">IF($CD171=0,"",VLOOKUP($CE171,周K!$A$6:$F$6842,3,0))</f>
        <v>281</v>
      </c>
      <c r="CH171" s="13">
        <f ca="1">IF($CD171=0,"",VLOOKUP($CE171,周K!$A$6:$F$6842,4,0))</f>
        <v>273</v>
      </c>
      <c r="CI171" s="13">
        <f ca="1">IF($CD171=0,"",VLOOKUP($CE171,周K!$A$6:$F$6842,5,0))</f>
        <v>276.5</v>
      </c>
      <c r="CJ171" s="13">
        <f ca="1">IF($CD171=0,"",VLOOKUP($CE171,周K!$A$6:$F$6842,6,0))</f>
        <v>177511</v>
      </c>
      <c r="CK171">
        <f>ROW()</f>
        <v>171</v>
      </c>
      <c r="CM171" t="str">
        <f t="shared" si="107"/>
        <v>CG167:CG171</v>
      </c>
      <c r="CN171">
        <f t="shared" si="108"/>
        <v>159</v>
      </c>
      <c r="CO171">
        <f t="shared" ca="1" si="109"/>
        <v>270.8</v>
      </c>
      <c r="CQ171" t="str">
        <f t="shared" si="110"/>
        <v>CG152:CG171</v>
      </c>
      <c r="CR171">
        <f t="shared" si="111"/>
        <v>144</v>
      </c>
      <c r="CS171">
        <f t="shared" ca="1" si="112"/>
        <v>256.42500000000001</v>
      </c>
      <c r="CU171" t="str">
        <f t="shared" si="113"/>
        <v>CG112:CG171</v>
      </c>
      <c r="CV171">
        <f t="shared" si="114"/>
        <v>104</v>
      </c>
      <c r="CW171">
        <f t="shared" ca="1" si="115"/>
        <v>248.36666666666667</v>
      </c>
      <c r="CY171">
        <f t="shared" ca="1" si="116"/>
        <v>594.03514999999993</v>
      </c>
      <c r="CZ171">
        <f t="shared" ca="1" si="120"/>
        <v>592.22066675831218</v>
      </c>
      <c r="DA171">
        <f t="shared" ca="1" si="123"/>
        <v>597.20791765727449</v>
      </c>
      <c r="DB171">
        <f t="shared" ca="1" si="122"/>
        <v>-4.9872508989623157</v>
      </c>
      <c r="DC171">
        <f t="shared" ca="1" si="124"/>
        <v>-4.1724144664766909</v>
      </c>
      <c r="DD171">
        <f t="shared" ca="1" si="125"/>
        <v>-0.81483643248562476</v>
      </c>
    </row>
    <row r="172" spans="51:108" x14ac:dyDescent="0.25">
      <c r="AY172" t="str">
        <f>"日K!A"&amp;日K!$E$3-239+1+BF172-8</f>
        <v>日K!A6764</v>
      </c>
      <c r="AZ172" s="4">
        <f t="shared" ca="1" si="94"/>
        <v>44286</v>
      </c>
      <c r="BA172" s="13">
        <f t="shared" ca="1" si="95"/>
        <v>593.53719999999998</v>
      </c>
      <c r="BB172" s="13">
        <f t="shared" ca="1" si="96"/>
        <v>594.53309999999999</v>
      </c>
      <c r="BC172" s="13">
        <f t="shared" ca="1" si="97"/>
        <v>584.57439999999997</v>
      </c>
      <c r="BD172" s="13">
        <f t="shared" ca="1" si="98"/>
        <v>584.57439999999997</v>
      </c>
      <c r="BE172" s="13">
        <f t="shared" ca="1" si="99"/>
        <v>44455</v>
      </c>
      <c r="BF172">
        <f>ROW()</f>
        <v>172</v>
      </c>
      <c r="BH172" t="str">
        <f t="shared" si="100"/>
        <v>BC168:BC172</v>
      </c>
      <c r="BI172">
        <f t="shared" si="117"/>
        <v>160</v>
      </c>
      <c r="BJ172">
        <f t="shared" ca="1" si="101"/>
        <v>582.58263999999997</v>
      </c>
      <c r="BL172" t="str">
        <f t="shared" si="102"/>
        <v>BC153:BC172</v>
      </c>
      <c r="BM172">
        <f t="shared" si="118"/>
        <v>145</v>
      </c>
      <c r="BN172">
        <f t="shared" ca="1" si="103"/>
        <v>589.00870999999984</v>
      </c>
      <c r="BP172" t="str">
        <f t="shared" si="104"/>
        <v>BC113:BC172</v>
      </c>
      <c r="BQ172">
        <f t="shared" si="119"/>
        <v>105</v>
      </c>
      <c r="BR172">
        <f t="shared" ca="1" si="105"/>
        <v>589.80232999999987</v>
      </c>
      <c r="BT172">
        <f t="shared" ca="1" si="121"/>
        <v>593.77711499999998</v>
      </c>
      <c r="BU172">
        <f t="shared" ca="1" si="88"/>
        <v>10.011285738447423</v>
      </c>
      <c r="BV172">
        <f t="shared" ca="1" si="89"/>
        <v>613.79968647689486</v>
      </c>
      <c r="BW172">
        <f t="shared" ca="1" si="90"/>
        <v>573.7545435231051</v>
      </c>
      <c r="BY172">
        <f t="shared" ca="1" si="91"/>
        <v>582.58263999999997</v>
      </c>
      <c r="BZ172">
        <f t="shared" ca="1" si="92"/>
        <v>589.00870999999984</v>
      </c>
      <c r="CA172">
        <f t="shared" ca="1" si="93"/>
        <v>589.80232999999987</v>
      </c>
      <c r="CD172" t="str">
        <f>IF(周K!$E$3+CK172-12&gt;工作底稿!$CE$5,"周K!A"&amp;周K!$E$3-$CE$5+1+CK172-8,0)</f>
        <v>周K!A332</v>
      </c>
      <c r="CE172" s="4">
        <f t="shared" ca="1" si="106"/>
        <v>43745</v>
      </c>
      <c r="CF172" s="13">
        <f ca="1">IF($CD172=0,"",VLOOKUP($CE172,周K!$A$6:$F$6842,2,0))</f>
        <v>279</v>
      </c>
      <c r="CG172" s="13">
        <f ca="1">IF($CD172=0,"",VLOOKUP($CE172,周K!$A$6:$F$6842,3,0))</f>
        <v>286.5</v>
      </c>
      <c r="CH172" s="13">
        <f ca="1">IF($CD172=0,"",VLOOKUP($CE172,周K!$A$6:$F$6842,4,0))</f>
        <v>277.5</v>
      </c>
      <c r="CI172" s="13">
        <f ca="1">IF($CD172=0,"",VLOOKUP($CE172,周K!$A$6:$F$6842,5,0))</f>
        <v>282</v>
      </c>
      <c r="CJ172" s="13">
        <f ca="1">IF($CD172=0,"",VLOOKUP($CE172,周K!$A$6:$F$6842,6,0))</f>
        <v>92514</v>
      </c>
      <c r="CK172">
        <f>ROW()</f>
        <v>172</v>
      </c>
      <c r="CM172" t="str">
        <f t="shared" si="107"/>
        <v>CG168:CG172</v>
      </c>
      <c r="CN172">
        <f t="shared" si="108"/>
        <v>160</v>
      </c>
      <c r="CO172">
        <f t="shared" ca="1" si="109"/>
        <v>275.10000000000002</v>
      </c>
      <c r="CQ172" t="str">
        <f t="shared" si="110"/>
        <v>CG153:CG172</v>
      </c>
      <c r="CR172">
        <f t="shared" si="111"/>
        <v>145</v>
      </c>
      <c r="CS172">
        <f t="shared" ca="1" si="112"/>
        <v>258.60000000000002</v>
      </c>
      <c r="CU172" t="str">
        <f t="shared" si="113"/>
        <v>CG113:CG172</v>
      </c>
      <c r="CV172">
        <f t="shared" si="114"/>
        <v>105</v>
      </c>
      <c r="CW172">
        <f t="shared" ca="1" si="115"/>
        <v>249.00833333333333</v>
      </c>
      <c r="CY172">
        <f t="shared" ca="1" si="116"/>
        <v>587.064075</v>
      </c>
      <c r="CZ172">
        <f t="shared" ca="1" si="120"/>
        <v>591.42734494934109</v>
      </c>
      <c r="DA172">
        <f t="shared" ca="1" si="123"/>
        <v>596.45652190488386</v>
      </c>
      <c r="DB172">
        <f t="shared" ca="1" si="122"/>
        <v>-5.0291769555427663</v>
      </c>
      <c r="DC172">
        <f t="shared" ca="1" si="124"/>
        <v>-4.6259906431314954</v>
      </c>
      <c r="DD172">
        <f t="shared" ca="1" si="125"/>
        <v>-0.4031863124112709</v>
      </c>
    </row>
    <row r="173" spans="51:108" x14ac:dyDescent="0.25">
      <c r="AY173" t="str">
        <f>"日K!A"&amp;日K!$E$3-239+1+BF173-8</f>
        <v>日K!A6765</v>
      </c>
      <c r="AZ173" s="4">
        <f t="shared" ca="1" si="94"/>
        <v>44287</v>
      </c>
      <c r="BA173" s="13">
        <f t="shared" ca="1" si="95"/>
        <v>595.52890000000002</v>
      </c>
      <c r="BB173" s="13">
        <f t="shared" ca="1" si="96"/>
        <v>599.51239999999996</v>
      </c>
      <c r="BC173" s="13">
        <f t="shared" ca="1" si="97"/>
        <v>591.54549999999995</v>
      </c>
      <c r="BD173" s="13">
        <f t="shared" ca="1" si="98"/>
        <v>599.51239999999996</v>
      </c>
      <c r="BE173" s="13">
        <f t="shared" ca="1" si="99"/>
        <v>45973</v>
      </c>
      <c r="BF173">
        <f>ROW()</f>
        <v>173</v>
      </c>
      <c r="BH173" t="str">
        <f t="shared" si="100"/>
        <v>BC169:BC173</v>
      </c>
      <c r="BI173">
        <f t="shared" si="117"/>
        <v>161</v>
      </c>
      <c r="BJ173">
        <f t="shared" ca="1" si="101"/>
        <v>587.36281999999994</v>
      </c>
      <c r="BL173" t="str">
        <f t="shared" si="102"/>
        <v>BC154:BC173</v>
      </c>
      <c r="BM173">
        <f t="shared" si="118"/>
        <v>146</v>
      </c>
      <c r="BN173">
        <f t="shared" ca="1" si="103"/>
        <v>588.78220499999998</v>
      </c>
      <c r="BP173" t="str">
        <f t="shared" si="104"/>
        <v>BC114:BC173</v>
      </c>
      <c r="BQ173">
        <f t="shared" si="119"/>
        <v>106</v>
      </c>
      <c r="BR173">
        <f t="shared" ca="1" si="105"/>
        <v>591.23106833333304</v>
      </c>
      <c r="BT173">
        <f t="shared" ca="1" si="121"/>
        <v>593.94895499999996</v>
      </c>
      <c r="BU173">
        <f t="shared" ca="1" si="88"/>
        <v>10.254593624001018</v>
      </c>
      <c r="BV173">
        <f t="shared" ca="1" si="89"/>
        <v>614.45814224800199</v>
      </c>
      <c r="BW173">
        <f t="shared" ca="1" si="90"/>
        <v>573.43976775199792</v>
      </c>
      <c r="BY173">
        <f t="shared" ca="1" si="91"/>
        <v>587.36281999999994</v>
      </c>
      <c r="BZ173">
        <f t="shared" ca="1" si="92"/>
        <v>588.78220499999998</v>
      </c>
      <c r="CA173">
        <f t="shared" ca="1" si="93"/>
        <v>591.23106833333304</v>
      </c>
      <c r="CD173" t="str">
        <f>IF(周K!$E$3+CK173-12&gt;工作底稿!$CE$5,"周K!A"&amp;周K!$E$3-$CE$5+1+CK173-8,0)</f>
        <v>周K!A333</v>
      </c>
      <c r="CE173" s="4">
        <f t="shared" ca="1" si="106"/>
        <v>43752</v>
      </c>
      <c r="CF173" s="13">
        <f ca="1">IF($CD173=0,"",VLOOKUP($CE173,周K!$A$6:$F$6842,2,0))</f>
        <v>291.5</v>
      </c>
      <c r="CG173" s="13">
        <f ca="1">IF($CD173=0,"",VLOOKUP($CE173,周K!$A$6:$F$6842,3,0))</f>
        <v>298</v>
      </c>
      <c r="CH173" s="13">
        <f ca="1">IF($CD173=0,"",VLOOKUP($CE173,周K!$A$6:$F$6842,4,0))</f>
        <v>288.5</v>
      </c>
      <c r="CI173" s="13">
        <f ca="1">IF($CD173=0,"",VLOOKUP($CE173,周K!$A$6:$F$6842,5,0))</f>
        <v>293</v>
      </c>
      <c r="CJ173" s="13">
        <f ca="1">IF($CD173=0,"",VLOOKUP($CE173,周K!$A$6:$F$6842,6,0))</f>
        <v>238457</v>
      </c>
      <c r="CK173">
        <f>ROW()</f>
        <v>173</v>
      </c>
      <c r="CM173" t="str">
        <f t="shared" si="107"/>
        <v>CG169:CG173</v>
      </c>
      <c r="CN173">
        <f t="shared" si="108"/>
        <v>161</v>
      </c>
      <c r="CO173">
        <f t="shared" ca="1" si="109"/>
        <v>281.5</v>
      </c>
      <c r="CQ173" t="str">
        <f t="shared" si="110"/>
        <v>CG154:CG173</v>
      </c>
      <c r="CR173">
        <f t="shared" si="111"/>
        <v>146</v>
      </c>
      <c r="CS173">
        <f t="shared" ca="1" si="112"/>
        <v>261.625</v>
      </c>
      <c r="CU173" t="str">
        <f t="shared" si="113"/>
        <v>CG114:CG173</v>
      </c>
      <c r="CV173">
        <f t="shared" si="114"/>
        <v>106</v>
      </c>
      <c r="CW173">
        <f t="shared" ca="1" si="115"/>
        <v>249.89166666666668</v>
      </c>
      <c r="CY173">
        <f t="shared" ca="1" si="116"/>
        <v>597.52067499999998</v>
      </c>
      <c r="CZ173">
        <f t="shared" ca="1" si="120"/>
        <v>592.36478034175013</v>
      </c>
      <c r="DA173">
        <f t="shared" ca="1" si="123"/>
        <v>596.53534806007769</v>
      </c>
      <c r="DB173">
        <f t="shared" ca="1" si="122"/>
        <v>-4.1705677183275611</v>
      </c>
      <c r="DC173">
        <f t="shared" ca="1" si="124"/>
        <v>-4.8646435947199507</v>
      </c>
      <c r="DD173">
        <f t="shared" ca="1" si="125"/>
        <v>0.69407587639238955</v>
      </c>
    </row>
    <row r="174" spans="51:108" x14ac:dyDescent="0.25">
      <c r="AY174" t="str">
        <f>"日K!A"&amp;日K!$E$3-239+1+BF174-8</f>
        <v>日K!A6766</v>
      </c>
      <c r="AZ174" s="4">
        <f t="shared" ca="1" si="94"/>
        <v>44292</v>
      </c>
      <c r="BA174" s="13">
        <f t="shared" ca="1" si="95"/>
        <v>612.45870000000002</v>
      </c>
      <c r="BB174" s="13">
        <f t="shared" ca="1" si="96"/>
        <v>613.45450000000005</v>
      </c>
      <c r="BC174" s="13">
        <f t="shared" ca="1" si="97"/>
        <v>605.48760000000004</v>
      </c>
      <c r="BD174" s="13">
        <f t="shared" ca="1" si="98"/>
        <v>607.47929999999997</v>
      </c>
      <c r="BE174" s="13">
        <f t="shared" ca="1" si="99"/>
        <v>37664</v>
      </c>
      <c r="BF174">
        <f>ROW()</f>
        <v>174</v>
      </c>
      <c r="BH174" t="str">
        <f t="shared" si="100"/>
        <v>BC170:BC174</v>
      </c>
      <c r="BI174">
        <f t="shared" si="117"/>
        <v>162</v>
      </c>
      <c r="BJ174">
        <f t="shared" ca="1" si="101"/>
        <v>592.93967999999995</v>
      </c>
      <c r="BL174" t="str">
        <f t="shared" si="102"/>
        <v>BC155:BC174</v>
      </c>
      <c r="BM174">
        <f t="shared" si="118"/>
        <v>147</v>
      </c>
      <c r="BN174">
        <f t="shared" ca="1" si="103"/>
        <v>590.09584000000007</v>
      </c>
      <c r="BP174" t="str">
        <f t="shared" si="104"/>
        <v>BC115:BC174</v>
      </c>
      <c r="BQ174">
        <f t="shared" si="119"/>
        <v>107</v>
      </c>
      <c r="BR174">
        <f t="shared" ca="1" si="105"/>
        <v>592.90870499999971</v>
      </c>
      <c r="BT174">
        <f t="shared" ca="1" si="121"/>
        <v>594.51913999999999</v>
      </c>
      <c r="BU174">
        <f t="shared" ca="1" si="88"/>
        <v>10.325133952582773</v>
      </c>
      <c r="BV174">
        <f t="shared" ca="1" si="89"/>
        <v>615.16940790516549</v>
      </c>
      <c r="BW174">
        <f t="shared" ca="1" si="90"/>
        <v>573.8688720948345</v>
      </c>
      <c r="BY174">
        <f t="shared" ca="1" si="91"/>
        <v>592.93967999999995</v>
      </c>
      <c r="BZ174">
        <f t="shared" ca="1" si="92"/>
        <v>590.09584000000007</v>
      </c>
      <c r="CA174">
        <f t="shared" ca="1" si="93"/>
        <v>592.90870499999971</v>
      </c>
      <c r="CD174" t="str">
        <f>IF(周K!$E$3+CK174-12&gt;工作底稿!$CE$5,"周K!A"&amp;周K!$E$3-$CE$5+1+CK174-8,0)</f>
        <v>周K!A334</v>
      </c>
      <c r="CE174" s="4">
        <f t="shared" ca="1" si="106"/>
        <v>43759</v>
      </c>
      <c r="CF174" s="13">
        <f ca="1">IF($CD174=0,"",VLOOKUP($CE174,周K!$A$6:$F$6842,2,0))</f>
        <v>291</v>
      </c>
      <c r="CG174" s="13">
        <f ca="1">IF($CD174=0,"",VLOOKUP($CE174,周K!$A$6:$F$6842,3,0))</f>
        <v>294.5</v>
      </c>
      <c r="CH174" s="13">
        <f ca="1">IF($CD174=0,"",VLOOKUP($CE174,周K!$A$6:$F$6842,4,0))</f>
        <v>288.5</v>
      </c>
      <c r="CI174" s="13">
        <f ca="1">IF($CD174=0,"",VLOOKUP($CE174,周K!$A$6:$F$6842,5,0))</f>
        <v>293.5</v>
      </c>
      <c r="CJ174" s="13">
        <f ca="1">IF($CD174=0,"",VLOOKUP($CE174,周K!$A$6:$F$6842,6,0))</f>
        <v>146891</v>
      </c>
      <c r="CK174">
        <f>ROW()</f>
        <v>174</v>
      </c>
      <c r="CM174" t="str">
        <f t="shared" si="107"/>
        <v>CG170:CG174</v>
      </c>
      <c r="CN174">
        <f t="shared" si="108"/>
        <v>162</v>
      </c>
      <c r="CO174">
        <f t="shared" ca="1" si="109"/>
        <v>286.5</v>
      </c>
      <c r="CQ174" t="str">
        <f t="shared" si="110"/>
        <v>CG155:CG174</v>
      </c>
      <c r="CR174">
        <f t="shared" si="111"/>
        <v>147</v>
      </c>
      <c r="CS174">
        <f t="shared" ca="1" si="112"/>
        <v>264.42500000000001</v>
      </c>
      <c r="CU174" t="str">
        <f t="shared" si="113"/>
        <v>CG115:CG174</v>
      </c>
      <c r="CV174">
        <f t="shared" si="114"/>
        <v>107</v>
      </c>
      <c r="CW174">
        <f t="shared" ca="1" si="115"/>
        <v>250.7</v>
      </c>
      <c r="CY174">
        <f t="shared" ca="1" si="116"/>
        <v>608.47517500000004</v>
      </c>
      <c r="CZ174">
        <f t="shared" ca="1" si="120"/>
        <v>594.84330259686544</v>
      </c>
      <c r="DA174">
        <f t="shared" ca="1" si="123"/>
        <v>597.41977968525714</v>
      </c>
      <c r="DB174">
        <f t="shared" ca="1" si="122"/>
        <v>-2.5764770883916981</v>
      </c>
      <c r="DC174">
        <f t="shared" ca="1" si="124"/>
        <v>-4.83288676843679</v>
      </c>
      <c r="DD174">
        <f t="shared" ca="1" si="125"/>
        <v>2.2564096800450919</v>
      </c>
    </row>
    <row r="175" spans="51:108" x14ac:dyDescent="0.25">
      <c r="AY175" t="str">
        <f>"日K!A"&amp;日K!$E$3-239+1+BF175-8</f>
        <v>日K!A6767</v>
      </c>
      <c r="AZ175" s="4">
        <f t="shared" ca="1" si="94"/>
        <v>44293</v>
      </c>
      <c r="BA175" s="13">
        <f t="shared" ca="1" si="95"/>
        <v>611.46280000000002</v>
      </c>
      <c r="BB175" s="13">
        <f t="shared" ca="1" si="96"/>
        <v>611.46280000000002</v>
      </c>
      <c r="BC175" s="13">
        <f t="shared" ca="1" si="97"/>
        <v>605.48760000000004</v>
      </c>
      <c r="BD175" s="13">
        <f t="shared" ca="1" si="98"/>
        <v>607.47929999999997</v>
      </c>
      <c r="BE175" s="13">
        <f t="shared" ca="1" si="99"/>
        <v>28141</v>
      </c>
      <c r="BF175">
        <f>ROW()</f>
        <v>175</v>
      </c>
      <c r="BH175" t="str">
        <f t="shared" si="100"/>
        <v>BC171:BC175</v>
      </c>
      <c r="BI175">
        <f t="shared" si="117"/>
        <v>163</v>
      </c>
      <c r="BJ175">
        <f t="shared" ca="1" si="101"/>
        <v>595.32975999999996</v>
      </c>
      <c r="BL175" t="str">
        <f t="shared" si="102"/>
        <v>BC156:BC175</v>
      </c>
      <c r="BM175">
        <f t="shared" si="118"/>
        <v>148</v>
      </c>
      <c r="BN175">
        <f t="shared" ca="1" si="103"/>
        <v>590.71521000000007</v>
      </c>
      <c r="BP175" t="str">
        <f t="shared" si="104"/>
        <v>BC116:BC175</v>
      </c>
      <c r="BQ175">
        <f t="shared" si="119"/>
        <v>108</v>
      </c>
      <c r="BR175">
        <f t="shared" ca="1" si="105"/>
        <v>594.52022166666643</v>
      </c>
      <c r="BT175">
        <f t="shared" ca="1" si="121"/>
        <v>595.23809499999993</v>
      </c>
      <c r="BU175">
        <f t="shared" ref="BU175:BU238" ca="1" si="126">STDEV(BT156:BT175)</f>
        <v>10.246893661179534</v>
      </c>
      <c r="BV175">
        <f t="shared" ref="BV175:BV238" ca="1" si="127">BT175+$BW$5*BU175</f>
        <v>615.73188232235896</v>
      </c>
      <c r="BW175">
        <f t="shared" ref="BW175:BW238" ca="1" si="128">BT175-$BW$5*BU175</f>
        <v>574.7443076776409</v>
      </c>
      <c r="BY175">
        <f t="shared" ca="1" si="91"/>
        <v>595.32975999999996</v>
      </c>
      <c r="BZ175">
        <f t="shared" ca="1" si="92"/>
        <v>590.71521000000007</v>
      </c>
      <c r="CA175">
        <f t="shared" ca="1" si="93"/>
        <v>594.52022166666643</v>
      </c>
      <c r="CD175" t="str">
        <f>IF(周K!$E$3+CK175-12&gt;工作底稿!$CE$5,"周K!A"&amp;周K!$E$3-$CE$5+1+CK175-8,0)</f>
        <v>周K!A335</v>
      </c>
      <c r="CE175" s="4">
        <f t="shared" ca="1" si="106"/>
        <v>43766</v>
      </c>
      <c r="CF175" s="13">
        <f ca="1">IF($CD175=0,"",VLOOKUP($CE175,周K!$A$6:$F$6842,2,0))</f>
        <v>295</v>
      </c>
      <c r="CG175" s="13">
        <f ca="1">IF($CD175=0,"",VLOOKUP($CE175,周K!$A$6:$F$6842,3,0))</f>
        <v>301.5</v>
      </c>
      <c r="CH175" s="13">
        <f ca="1">IF($CD175=0,"",VLOOKUP($CE175,周K!$A$6:$F$6842,4,0))</f>
        <v>294</v>
      </c>
      <c r="CI175" s="13">
        <f ca="1">IF($CD175=0,"",VLOOKUP($CE175,周K!$A$6:$F$6842,5,0))</f>
        <v>299</v>
      </c>
      <c r="CJ175" s="13">
        <f ca="1">IF($CD175=0,"",VLOOKUP($CE175,周K!$A$6:$F$6842,6,0))</f>
        <v>163057</v>
      </c>
      <c r="CK175">
        <f>ROW()</f>
        <v>175</v>
      </c>
      <c r="CM175" t="str">
        <f t="shared" si="107"/>
        <v>CG171:CG175</v>
      </c>
      <c r="CN175">
        <f t="shared" si="108"/>
        <v>163</v>
      </c>
      <c r="CO175">
        <f t="shared" ca="1" si="109"/>
        <v>292.3</v>
      </c>
      <c r="CQ175" t="str">
        <f t="shared" si="110"/>
        <v>CG156:CG175</v>
      </c>
      <c r="CR175">
        <f t="shared" si="111"/>
        <v>148</v>
      </c>
      <c r="CS175">
        <f t="shared" ca="1" si="112"/>
        <v>267.125</v>
      </c>
      <c r="CU175" t="str">
        <f t="shared" si="113"/>
        <v>CG116:CG175</v>
      </c>
      <c r="CV175">
        <f t="shared" si="114"/>
        <v>108</v>
      </c>
      <c r="CW175">
        <f t="shared" ca="1" si="115"/>
        <v>251.25833333333333</v>
      </c>
      <c r="CY175">
        <f t="shared" ca="1" si="116"/>
        <v>607.97725000000003</v>
      </c>
      <c r="CZ175">
        <f t="shared" ca="1" si="120"/>
        <v>596.86390988965536</v>
      </c>
      <c r="DA175">
        <f t="shared" ca="1" si="123"/>
        <v>598.20181452338625</v>
      </c>
      <c r="DB175">
        <f t="shared" ca="1" si="122"/>
        <v>-1.3379046337308864</v>
      </c>
      <c r="DC175">
        <f t="shared" ca="1" si="124"/>
        <v>-4.6249403395939526</v>
      </c>
      <c r="DD175">
        <f t="shared" ca="1" si="125"/>
        <v>3.2870357058630661</v>
      </c>
    </row>
    <row r="176" spans="51:108" x14ac:dyDescent="0.25">
      <c r="AY176" t="str">
        <f>"日K!A"&amp;日K!$E$3-239+1+BF176-8</f>
        <v>日K!A6768</v>
      </c>
      <c r="AZ176" s="4">
        <f t="shared" ca="1" si="94"/>
        <v>44294</v>
      </c>
      <c r="BA176" s="13">
        <f t="shared" ca="1" si="95"/>
        <v>603.49590000000001</v>
      </c>
      <c r="BB176" s="13">
        <f t="shared" ca="1" si="96"/>
        <v>610.46690000000001</v>
      </c>
      <c r="BC176" s="13">
        <f t="shared" ca="1" si="97"/>
        <v>600.50829999999996</v>
      </c>
      <c r="BD176" s="13">
        <f t="shared" ca="1" si="98"/>
        <v>610.46690000000001</v>
      </c>
      <c r="BE176" s="13">
        <f t="shared" ca="1" si="99"/>
        <v>26658</v>
      </c>
      <c r="BF176">
        <f>ROW()</f>
        <v>176</v>
      </c>
      <c r="BH176" t="str">
        <f t="shared" si="100"/>
        <v>BC172:BC176</v>
      </c>
      <c r="BI176">
        <f t="shared" si="117"/>
        <v>164</v>
      </c>
      <c r="BJ176">
        <f t="shared" ca="1" si="101"/>
        <v>597.52067999999997</v>
      </c>
      <c r="BL176" t="str">
        <f t="shared" si="102"/>
        <v>BC157:BC176</v>
      </c>
      <c r="BM176">
        <f t="shared" si="118"/>
        <v>149</v>
      </c>
      <c r="BN176">
        <f t="shared" ca="1" si="103"/>
        <v>591.73028999999997</v>
      </c>
      <c r="BP176" t="str">
        <f t="shared" si="104"/>
        <v>BC117:BC176</v>
      </c>
      <c r="BQ176">
        <f t="shared" si="119"/>
        <v>109</v>
      </c>
      <c r="BR176">
        <f t="shared" ca="1" si="105"/>
        <v>596.03221999999971</v>
      </c>
      <c r="BT176">
        <f t="shared" ca="1" si="121"/>
        <v>596.25519999999995</v>
      </c>
      <c r="BU176">
        <f t="shared" ca="1" si="126"/>
        <v>9.9916138753192492</v>
      </c>
      <c r="BV176">
        <f t="shared" ca="1" si="127"/>
        <v>616.23842775063849</v>
      </c>
      <c r="BW176">
        <f t="shared" ca="1" si="128"/>
        <v>576.2719722493614</v>
      </c>
      <c r="BY176">
        <f t="shared" ca="1" si="91"/>
        <v>597.52067999999997</v>
      </c>
      <c r="BZ176">
        <f t="shared" ca="1" si="92"/>
        <v>591.73028999999997</v>
      </c>
      <c r="CA176">
        <f t="shared" ca="1" si="93"/>
        <v>596.03221999999971</v>
      </c>
      <c r="CD176" t="str">
        <f>IF(周K!$E$3+CK176-12&gt;工作底稿!$CE$5,"周K!A"&amp;周K!$E$3-$CE$5+1+CK176-8,0)</f>
        <v>周K!A336</v>
      </c>
      <c r="CE176" s="4">
        <f t="shared" ca="1" si="106"/>
        <v>43773</v>
      </c>
      <c r="CF176" s="13">
        <f ca="1">IF($CD176=0,"",VLOOKUP($CE176,周K!$A$6:$F$6842,2,0))</f>
        <v>302.5</v>
      </c>
      <c r="CG176" s="13">
        <f ca="1">IF($CD176=0,"",VLOOKUP($CE176,周K!$A$6:$F$6842,3,0))</f>
        <v>311.5</v>
      </c>
      <c r="CH176" s="13">
        <f ca="1">IF($CD176=0,"",VLOOKUP($CE176,周K!$A$6:$F$6842,4,0))</f>
        <v>301</v>
      </c>
      <c r="CI176" s="13">
        <f ca="1">IF($CD176=0,"",VLOOKUP($CE176,周K!$A$6:$F$6842,5,0))</f>
        <v>305.5</v>
      </c>
      <c r="CJ176" s="13">
        <f ca="1">IF($CD176=0,"",VLOOKUP($CE176,周K!$A$6:$F$6842,6,0))</f>
        <v>154243</v>
      </c>
      <c r="CK176">
        <f>ROW()</f>
        <v>176</v>
      </c>
      <c r="CM176" t="str">
        <f t="shared" si="107"/>
        <v>CG172:CG176</v>
      </c>
      <c r="CN176">
        <f t="shared" si="108"/>
        <v>164</v>
      </c>
      <c r="CO176">
        <f t="shared" ca="1" si="109"/>
        <v>298.39999999999998</v>
      </c>
      <c r="CQ176" t="str">
        <f t="shared" si="110"/>
        <v>CG157:CG176</v>
      </c>
      <c r="CR176">
        <f t="shared" si="111"/>
        <v>149</v>
      </c>
      <c r="CS176">
        <f t="shared" ca="1" si="112"/>
        <v>270.27499999999998</v>
      </c>
      <c r="CU176" t="str">
        <f t="shared" si="113"/>
        <v>CG117:CG176</v>
      </c>
      <c r="CV176">
        <f t="shared" si="114"/>
        <v>109</v>
      </c>
      <c r="CW176">
        <f t="shared" ca="1" si="115"/>
        <v>251.98333333333332</v>
      </c>
      <c r="CY176">
        <f t="shared" ca="1" si="116"/>
        <v>607.97724999999991</v>
      </c>
      <c r="CZ176">
        <f t="shared" ca="1" si="120"/>
        <v>598.57365452201611</v>
      </c>
      <c r="DA176">
        <f t="shared" ca="1" si="123"/>
        <v>598.92592085498723</v>
      </c>
      <c r="DB176">
        <f t="shared" ca="1" si="122"/>
        <v>-0.35226633297111221</v>
      </c>
      <c r="DC176">
        <f t="shared" ca="1" si="124"/>
        <v>-4.1069908101189867</v>
      </c>
      <c r="DD176">
        <f t="shared" ca="1" si="125"/>
        <v>3.7547244771478745</v>
      </c>
    </row>
    <row r="177" spans="51:108" x14ac:dyDescent="0.25">
      <c r="AY177" t="str">
        <f>"日K!A"&amp;日K!$E$3-239+1+BF177-8</f>
        <v>日K!A6769</v>
      </c>
      <c r="AZ177" s="4">
        <f t="shared" ca="1" si="94"/>
        <v>44295</v>
      </c>
      <c r="BA177" s="13">
        <f t="shared" ca="1" si="95"/>
        <v>615.44629999999995</v>
      </c>
      <c r="BB177" s="13">
        <f t="shared" ca="1" si="96"/>
        <v>615.44629999999995</v>
      </c>
      <c r="BC177" s="13">
        <f t="shared" ca="1" si="97"/>
        <v>606.48350000000005</v>
      </c>
      <c r="BD177" s="13">
        <f t="shared" ca="1" si="98"/>
        <v>607.47929999999997</v>
      </c>
      <c r="BE177" s="13">
        <f t="shared" ca="1" si="99"/>
        <v>31602</v>
      </c>
      <c r="BF177">
        <f>ROW()</f>
        <v>177</v>
      </c>
      <c r="BH177" t="str">
        <f t="shared" si="100"/>
        <v>BC173:BC177</v>
      </c>
      <c r="BI177">
        <f t="shared" si="117"/>
        <v>165</v>
      </c>
      <c r="BJ177">
        <f t="shared" ca="1" si="101"/>
        <v>601.90249999999992</v>
      </c>
      <c r="BL177" t="str">
        <f t="shared" si="102"/>
        <v>BC158:BC177</v>
      </c>
      <c r="BM177">
        <f t="shared" si="118"/>
        <v>150</v>
      </c>
      <c r="BN177">
        <f t="shared" ca="1" si="103"/>
        <v>592.64740999999992</v>
      </c>
      <c r="BP177" t="str">
        <f t="shared" si="104"/>
        <v>BC118:BC177</v>
      </c>
      <c r="BQ177">
        <f t="shared" si="119"/>
        <v>110</v>
      </c>
      <c r="BR177">
        <f t="shared" ca="1" si="105"/>
        <v>597.47850333333326</v>
      </c>
      <c r="BT177">
        <f t="shared" ca="1" si="121"/>
        <v>597.02374499999985</v>
      </c>
      <c r="BU177">
        <f t="shared" ca="1" si="126"/>
        <v>9.5343082520643119</v>
      </c>
      <c r="BV177">
        <f t="shared" ca="1" si="127"/>
        <v>616.09236150412846</v>
      </c>
      <c r="BW177">
        <f t="shared" ca="1" si="128"/>
        <v>577.95512849587124</v>
      </c>
      <c r="BY177">
        <f t="shared" ca="1" si="91"/>
        <v>601.90249999999992</v>
      </c>
      <c r="BZ177">
        <f t="shared" ca="1" si="92"/>
        <v>592.64740999999992</v>
      </c>
      <c r="CA177">
        <f t="shared" ca="1" si="93"/>
        <v>597.47850333333326</v>
      </c>
      <c r="CD177" t="str">
        <f>IF(周K!$E$3+CK177-12&gt;工作底稿!$CE$5,"周K!A"&amp;周K!$E$3-$CE$5+1+CK177-8,0)</f>
        <v>周K!A337</v>
      </c>
      <c r="CE177" s="4">
        <f t="shared" ca="1" si="106"/>
        <v>43780</v>
      </c>
      <c r="CF177" s="13">
        <f ca="1">IF($CD177=0,"",VLOOKUP($CE177,周K!$A$6:$F$6842,2,0))</f>
        <v>305</v>
      </c>
      <c r="CG177" s="13">
        <f ca="1">IF($CD177=0,"",VLOOKUP($CE177,周K!$A$6:$F$6842,3,0))</f>
        <v>307.5</v>
      </c>
      <c r="CH177" s="13">
        <f ca="1">IF($CD177=0,"",VLOOKUP($CE177,周K!$A$6:$F$6842,4,0))</f>
        <v>300</v>
      </c>
      <c r="CI177" s="13">
        <f ca="1">IF($CD177=0,"",VLOOKUP($CE177,周K!$A$6:$F$6842,5,0))</f>
        <v>307</v>
      </c>
      <c r="CJ177" s="13">
        <f ca="1">IF($CD177=0,"",VLOOKUP($CE177,周K!$A$6:$F$6842,6,0))</f>
        <v>117498</v>
      </c>
      <c r="CK177">
        <f>ROW()</f>
        <v>177</v>
      </c>
      <c r="CM177" t="str">
        <f t="shared" si="107"/>
        <v>CG173:CG177</v>
      </c>
      <c r="CN177">
        <f t="shared" si="108"/>
        <v>165</v>
      </c>
      <c r="CO177">
        <f t="shared" ca="1" si="109"/>
        <v>302.60000000000002</v>
      </c>
      <c r="CQ177" t="str">
        <f t="shared" si="110"/>
        <v>CG158:CG177</v>
      </c>
      <c r="CR177">
        <f t="shared" si="111"/>
        <v>150</v>
      </c>
      <c r="CS177">
        <f t="shared" ca="1" si="112"/>
        <v>273.55</v>
      </c>
      <c r="CU177" t="str">
        <f t="shared" si="113"/>
        <v>CG118:CG177</v>
      </c>
      <c r="CV177">
        <f t="shared" si="114"/>
        <v>110</v>
      </c>
      <c r="CW177">
        <f t="shared" ca="1" si="115"/>
        <v>252.66666666666666</v>
      </c>
      <c r="CY177">
        <f t="shared" ca="1" si="116"/>
        <v>609.22209999999995</v>
      </c>
      <c r="CZ177">
        <f t="shared" ca="1" si="120"/>
        <v>600.21187690324439</v>
      </c>
      <c r="DA177">
        <f t="shared" ca="1" si="123"/>
        <v>599.68860079165484</v>
      </c>
      <c r="DB177">
        <f t="shared" ca="1" si="122"/>
        <v>0.52327611158955278</v>
      </c>
      <c r="DC177">
        <f t="shared" ca="1" si="124"/>
        <v>-3.3322035500319895</v>
      </c>
      <c r="DD177">
        <f t="shared" ca="1" si="125"/>
        <v>3.8554796616215423</v>
      </c>
    </row>
    <row r="178" spans="51:108" x14ac:dyDescent="0.25">
      <c r="AY178" t="str">
        <f>"日K!A"&amp;日K!$E$3-239+1+BF178-8</f>
        <v>日K!A6770</v>
      </c>
      <c r="AZ178" s="4">
        <f t="shared" ca="1" si="94"/>
        <v>44298</v>
      </c>
      <c r="BA178" s="13">
        <f t="shared" ca="1" si="95"/>
        <v>609.47109999999998</v>
      </c>
      <c r="BB178" s="13">
        <f t="shared" ca="1" si="96"/>
        <v>610.46690000000001</v>
      </c>
      <c r="BC178" s="13">
        <f t="shared" ca="1" si="97"/>
        <v>600.50829999999996</v>
      </c>
      <c r="BD178" s="13">
        <f t="shared" ca="1" si="98"/>
        <v>602.5</v>
      </c>
      <c r="BE178" s="13">
        <f t="shared" ca="1" si="99"/>
        <v>23320</v>
      </c>
      <c r="BF178">
        <f>ROW()</f>
        <v>178</v>
      </c>
      <c r="BH178" t="str">
        <f t="shared" si="100"/>
        <v>BC174:BC178</v>
      </c>
      <c r="BI178">
        <f t="shared" si="117"/>
        <v>166</v>
      </c>
      <c r="BJ178">
        <f t="shared" ca="1" si="101"/>
        <v>603.69506000000001</v>
      </c>
      <c r="BL178" t="str">
        <f t="shared" si="102"/>
        <v>BC159:BC178</v>
      </c>
      <c r="BM178">
        <f t="shared" si="118"/>
        <v>151</v>
      </c>
      <c r="BN178">
        <f t="shared" ca="1" si="103"/>
        <v>593.16658499999994</v>
      </c>
      <c r="BP178" t="str">
        <f t="shared" si="104"/>
        <v>BC119:BC178</v>
      </c>
      <c r="BQ178">
        <f t="shared" si="119"/>
        <v>111</v>
      </c>
      <c r="BR178">
        <f t="shared" ca="1" si="105"/>
        <v>598.75907999999993</v>
      </c>
      <c r="BT178">
        <f t="shared" ca="1" si="121"/>
        <v>596.94824499999993</v>
      </c>
      <c r="BU178">
        <f t="shared" ca="1" si="126"/>
        <v>8.9216042404977198</v>
      </c>
      <c r="BV178">
        <f t="shared" ca="1" si="127"/>
        <v>614.79145348099541</v>
      </c>
      <c r="BW178">
        <f t="shared" ca="1" si="128"/>
        <v>579.10503651900444</v>
      </c>
      <c r="BY178">
        <f t="shared" ca="1" si="91"/>
        <v>603.69506000000001</v>
      </c>
      <c r="BZ178">
        <f t="shared" ca="1" si="92"/>
        <v>593.16658499999994</v>
      </c>
      <c r="CA178">
        <f t="shared" ca="1" si="93"/>
        <v>598.75907999999993</v>
      </c>
      <c r="CD178" t="str">
        <f>IF(周K!$E$3+CK178-12&gt;工作底稿!$CE$5,"周K!A"&amp;周K!$E$3-$CE$5+1+CK178-8,0)</f>
        <v>周K!A338</v>
      </c>
      <c r="CE178" s="4">
        <f t="shared" ca="1" si="106"/>
        <v>43787</v>
      </c>
      <c r="CF178" s="13">
        <f ca="1">IF($CD178=0,"",VLOOKUP($CE178,周K!$A$6:$F$6842,2,0))</f>
        <v>308.5</v>
      </c>
      <c r="CG178" s="13">
        <f ca="1">IF($CD178=0,"",VLOOKUP($CE178,周K!$A$6:$F$6842,3,0))</f>
        <v>315</v>
      </c>
      <c r="CH178" s="13">
        <f ca="1">IF($CD178=0,"",VLOOKUP($CE178,周K!$A$6:$F$6842,4,0))</f>
        <v>307</v>
      </c>
      <c r="CI178" s="13">
        <f ca="1">IF($CD178=0,"",VLOOKUP($CE178,周K!$A$6:$F$6842,5,0))</f>
        <v>309</v>
      </c>
      <c r="CJ178" s="13">
        <f ca="1">IF($CD178=0,"",VLOOKUP($CE178,周K!$A$6:$F$6842,6,0))</f>
        <v>133033</v>
      </c>
      <c r="CK178">
        <f>ROW()</f>
        <v>178</v>
      </c>
      <c r="CM178" t="str">
        <f t="shared" si="107"/>
        <v>CG174:CG178</v>
      </c>
      <c r="CN178">
        <f t="shared" si="108"/>
        <v>166</v>
      </c>
      <c r="CO178">
        <f t="shared" ca="1" si="109"/>
        <v>306</v>
      </c>
      <c r="CQ178" t="str">
        <f t="shared" si="110"/>
        <v>CG159:CG178</v>
      </c>
      <c r="CR178">
        <f t="shared" si="111"/>
        <v>151</v>
      </c>
      <c r="CS178">
        <f t="shared" ca="1" si="112"/>
        <v>276.8</v>
      </c>
      <c r="CU178" t="str">
        <f t="shared" si="113"/>
        <v>CG119:CG178</v>
      </c>
      <c r="CV178">
        <f t="shared" si="114"/>
        <v>111</v>
      </c>
      <c r="CW178">
        <f t="shared" ca="1" si="115"/>
        <v>253.54166666666666</v>
      </c>
      <c r="CY178">
        <f t="shared" ca="1" si="116"/>
        <v>603.99379999999996</v>
      </c>
      <c r="CZ178">
        <f t="shared" ca="1" si="120"/>
        <v>600.79371122582211</v>
      </c>
      <c r="DA178">
        <f t="shared" ca="1" si="123"/>
        <v>600.00750443671745</v>
      </c>
      <c r="DB178">
        <f t="shared" ca="1" si="122"/>
        <v>0.78620678910465358</v>
      </c>
      <c r="DC178">
        <f t="shared" ca="1" si="124"/>
        <v>-2.5239043425244114</v>
      </c>
      <c r="DD178">
        <f t="shared" ca="1" si="125"/>
        <v>3.310111131629065</v>
      </c>
    </row>
    <row r="179" spans="51:108" x14ac:dyDescent="0.25">
      <c r="AY179" t="str">
        <f>"日K!A"&amp;日K!$E$3-239+1+BF179-8</f>
        <v>日K!A6771</v>
      </c>
      <c r="AZ179" s="4">
        <f t="shared" ca="1" si="94"/>
        <v>44299</v>
      </c>
      <c r="BA179" s="13">
        <f t="shared" ca="1" si="95"/>
        <v>601.50409999999999</v>
      </c>
      <c r="BB179" s="13">
        <f t="shared" ca="1" si="96"/>
        <v>610.46690000000001</v>
      </c>
      <c r="BC179" s="13">
        <f t="shared" ca="1" si="97"/>
        <v>601.50409999999999</v>
      </c>
      <c r="BD179" s="13">
        <f t="shared" ca="1" si="98"/>
        <v>602.5</v>
      </c>
      <c r="BE179" s="13">
        <f t="shared" ca="1" si="99"/>
        <v>27387</v>
      </c>
      <c r="BF179">
        <f>ROW()</f>
        <v>179</v>
      </c>
      <c r="BH179" t="str">
        <f t="shared" si="100"/>
        <v>BC175:BC179</v>
      </c>
      <c r="BI179">
        <f t="shared" si="117"/>
        <v>167</v>
      </c>
      <c r="BJ179">
        <f t="shared" ca="1" si="101"/>
        <v>602.89835999999991</v>
      </c>
      <c r="BL179" t="str">
        <f t="shared" si="102"/>
        <v>BC160:BC179</v>
      </c>
      <c r="BM179">
        <f t="shared" si="118"/>
        <v>152</v>
      </c>
      <c r="BN179">
        <f t="shared" ca="1" si="103"/>
        <v>593.04128999999989</v>
      </c>
      <c r="BP179" t="str">
        <f t="shared" si="104"/>
        <v>BC120:BC179</v>
      </c>
      <c r="BQ179">
        <f t="shared" si="119"/>
        <v>112</v>
      </c>
      <c r="BR179">
        <f t="shared" ca="1" si="105"/>
        <v>599.9405416666666</v>
      </c>
      <c r="BT179">
        <f t="shared" ca="1" si="121"/>
        <v>596.62478999999985</v>
      </c>
      <c r="BU179">
        <f t="shared" ca="1" si="126"/>
        <v>8.2139359725384189</v>
      </c>
      <c r="BV179">
        <f t="shared" ca="1" si="127"/>
        <v>613.05266194507669</v>
      </c>
      <c r="BW179">
        <f t="shared" ca="1" si="128"/>
        <v>580.196918054923</v>
      </c>
      <c r="BY179">
        <f t="shared" ca="1" si="91"/>
        <v>602.89835999999991</v>
      </c>
      <c r="BZ179">
        <f t="shared" ca="1" si="92"/>
        <v>593.04128999999989</v>
      </c>
      <c r="CA179">
        <f t="shared" ca="1" si="93"/>
        <v>599.9405416666666</v>
      </c>
      <c r="CD179" t="str">
        <f>IF(周K!$E$3+CK179-12&gt;工作底稿!$CE$5,"周K!A"&amp;周K!$E$3-$CE$5+1+CK179-8,0)</f>
        <v>周K!A339</v>
      </c>
      <c r="CE179" s="4">
        <f t="shared" ca="1" si="106"/>
        <v>43794</v>
      </c>
      <c r="CF179" s="13">
        <f ca="1">IF($CD179=0,"",VLOOKUP($CE179,周K!$A$6:$F$6842,2,0))</f>
        <v>310.5</v>
      </c>
      <c r="CG179" s="13">
        <f ca="1">IF($CD179=0,"",VLOOKUP($CE179,周K!$A$6:$F$6842,3,0))</f>
        <v>312</v>
      </c>
      <c r="CH179" s="13">
        <f ca="1">IF($CD179=0,"",VLOOKUP($CE179,周K!$A$6:$F$6842,4,0))</f>
        <v>305</v>
      </c>
      <c r="CI179" s="13">
        <f ca="1">IF($CD179=0,"",VLOOKUP($CE179,周K!$A$6:$F$6842,5,0))</f>
        <v>305</v>
      </c>
      <c r="CJ179" s="13">
        <f ca="1">IF($CD179=0,"",VLOOKUP($CE179,周K!$A$6:$F$6842,6,0))</f>
        <v>192442</v>
      </c>
      <c r="CK179">
        <f>ROW()</f>
        <v>179</v>
      </c>
      <c r="CM179" t="str">
        <f t="shared" si="107"/>
        <v>CG175:CG179</v>
      </c>
      <c r="CN179">
        <f t="shared" si="108"/>
        <v>167</v>
      </c>
      <c r="CO179">
        <f t="shared" ca="1" si="109"/>
        <v>309.5</v>
      </c>
      <c r="CQ179" t="str">
        <f t="shared" si="110"/>
        <v>CG160:CG179</v>
      </c>
      <c r="CR179">
        <f t="shared" si="111"/>
        <v>152</v>
      </c>
      <c r="CS179">
        <f t="shared" ca="1" si="112"/>
        <v>279.8</v>
      </c>
      <c r="CU179" t="str">
        <f t="shared" si="113"/>
        <v>CG120:CG179</v>
      </c>
      <c r="CV179">
        <f t="shared" si="114"/>
        <v>112</v>
      </c>
      <c r="CW179">
        <f t="shared" ca="1" si="115"/>
        <v>254.30833333333334</v>
      </c>
      <c r="CY179">
        <f t="shared" ca="1" si="116"/>
        <v>604.24275</v>
      </c>
      <c r="CZ179">
        <f t="shared" ca="1" si="120"/>
        <v>601.32433257569562</v>
      </c>
      <c r="DA179">
        <f t="shared" ca="1" si="123"/>
        <v>600.32122633029394</v>
      </c>
      <c r="DB179">
        <f t="shared" ca="1" si="122"/>
        <v>1.0031062454016819</v>
      </c>
      <c r="DC179">
        <f t="shared" ca="1" si="124"/>
        <v>-1.7934504979811612</v>
      </c>
      <c r="DD179">
        <f t="shared" ca="1" si="125"/>
        <v>2.7965567433828431</v>
      </c>
    </row>
    <row r="180" spans="51:108" x14ac:dyDescent="0.25">
      <c r="AY180" t="str">
        <f>"日K!A"&amp;日K!$E$3-239+1+BF180-8</f>
        <v>日K!A6772</v>
      </c>
      <c r="AZ180" s="4">
        <f t="shared" ca="1" si="94"/>
        <v>44300</v>
      </c>
      <c r="BA180" s="13">
        <f t="shared" ca="1" si="95"/>
        <v>605.48760000000004</v>
      </c>
      <c r="BB180" s="13">
        <f t="shared" ca="1" si="96"/>
        <v>609.47109999999998</v>
      </c>
      <c r="BC180" s="13">
        <f t="shared" ca="1" si="97"/>
        <v>597.52070000000003</v>
      </c>
      <c r="BD180" s="13">
        <f t="shared" ca="1" si="98"/>
        <v>609.47109999999998</v>
      </c>
      <c r="BE180" s="13">
        <f t="shared" ca="1" si="99"/>
        <v>31145</v>
      </c>
      <c r="BF180">
        <f>ROW()</f>
        <v>180</v>
      </c>
      <c r="BH180" t="str">
        <f t="shared" si="100"/>
        <v>BC176:BC180</v>
      </c>
      <c r="BI180">
        <f t="shared" si="117"/>
        <v>168</v>
      </c>
      <c r="BJ180">
        <f t="shared" ca="1" si="101"/>
        <v>601.30498</v>
      </c>
      <c r="BL180" t="str">
        <f t="shared" si="102"/>
        <v>BC161:BC180</v>
      </c>
      <c r="BM180">
        <f t="shared" si="118"/>
        <v>153</v>
      </c>
      <c r="BN180">
        <f t="shared" ca="1" si="103"/>
        <v>592.71682499999986</v>
      </c>
      <c r="BP180" t="str">
        <f t="shared" si="104"/>
        <v>BC121:BC180</v>
      </c>
      <c r="BQ180">
        <f t="shared" si="119"/>
        <v>113</v>
      </c>
      <c r="BR180">
        <f t="shared" ca="1" si="105"/>
        <v>600.95643333333328</v>
      </c>
      <c r="BT180">
        <f t="shared" ca="1" si="121"/>
        <v>596.79865999999993</v>
      </c>
      <c r="BU180">
        <f t="shared" ca="1" si="126"/>
        <v>7.3841177034681298</v>
      </c>
      <c r="BV180">
        <f t="shared" ca="1" si="127"/>
        <v>611.56689540693617</v>
      </c>
      <c r="BW180">
        <f t="shared" ca="1" si="128"/>
        <v>582.03042459306369</v>
      </c>
      <c r="BY180">
        <f t="shared" ca="1" si="91"/>
        <v>601.30498</v>
      </c>
      <c r="BZ180">
        <f t="shared" ca="1" si="92"/>
        <v>592.71682499999986</v>
      </c>
      <c r="CA180">
        <f t="shared" ca="1" si="93"/>
        <v>600.95643333333328</v>
      </c>
      <c r="CD180" t="str">
        <f>IF(周K!$E$3+CK180-12&gt;工作底稿!$CE$5,"周K!A"&amp;周K!$E$3-$CE$5+1+CK180-8,0)</f>
        <v>周K!A340</v>
      </c>
      <c r="CE180" s="4">
        <f t="shared" ca="1" si="106"/>
        <v>43801</v>
      </c>
      <c r="CF180" s="13">
        <f ca="1">IF($CD180=0,"",VLOOKUP($CE180,周K!$A$6:$F$6842,2,0))</f>
        <v>307</v>
      </c>
      <c r="CG180" s="13">
        <f ca="1">IF($CD180=0,"",VLOOKUP($CE180,周K!$A$6:$F$6842,3,0))</f>
        <v>316</v>
      </c>
      <c r="CH180" s="13">
        <f ca="1">IF($CD180=0,"",VLOOKUP($CE180,周K!$A$6:$F$6842,4,0))</f>
        <v>304</v>
      </c>
      <c r="CI180" s="13">
        <f ca="1">IF($CD180=0,"",VLOOKUP($CE180,周K!$A$6:$F$6842,5,0))</f>
        <v>313</v>
      </c>
      <c r="CJ180" s="13">
        <f ca="1">IF($CD180=0,"",VLOOKUP($CE180,周K!$A$6:$F$6842,6,0))</f>
        <v>145867</v>
      </c>
      <c r="CK180">
        <f>ROW()</f>
        <v>180</v>
      </c>
      <c r="CM180" t="str">
        <f t="shared" si="107"/>
        <v>CG176:CG180</v>
      </c>
      <c r="CN180">
        <f t="shared" si="108"/>
        <v>168</v>
      </c>
      <c r="CO180">
        <f t="shared" ca="1" si="109"/>
        <v>312.39999999999998</v>
      </c>
      <c r="CQ180" t="str">
        <f t="shared" si="110"/>
        <v>CG161:CG180</v>
      </c>
      <c r="CR180">
        <f t="shared" si="111"/>
        <v>153</v>
      </c>
      <c r="CS180">
        <f t="shared" ca="1" si="112"/>
        <v>282.55</v>
      </c>
      <c r="CU180" t="str">
        <f t="shared" si="113"/>
        <v>CG121:CG180</v>
      </c>
      <c r="CV180">
        <f t="shared" si="114"/>
        <v>113</v>
      </c>
      <c r="CW180">
        <f t="shared" ca="1" si="115"/>
        <v>255.17500000000001</v>
      </c>
      <c r="CY180">
        <f t="shared" ca="1" si="116"/>
        <v>606.48350000000005</v>
      </c>
      <c r="CZ180">
        <f t="shared" ca="1" si="120"/>
        <v>602.11805064097325</v>
      </c>
      <c r="DA180">
        <f t="shared" ca="1" si="123"/>
        <v>600.77769104656841</v>
      </c>
      <c r="DB180">
        <f t="shared" ca="1" si="122"/>
        <v>1.3403595944048448</v>
      </c>
      <c r="DC180">
        <f t="shared" ca="1" si="124"/>
        <v>-1.0903826653848101</v>
      </c>
      <c r="DD180">
        <f t="shared" ca="1" si="125"/>
        <v>2.4307422597896551</v>
      </c>
    </row>
    <row r="181" spans="51:108" x14ac:dyDescent="0.25">
      <c r="AY181" t="str">
        <f>"日K!A"&amp;日K!$E$3-239+1+BF181-8</f>
        <v>日K!A6773</v>
      </c>
      <c r="AZ181" s="4">
        <f t="shared" ca="1" si="94"/>
        <v>44301</v>
      </c>
      <c r="BA181" s="13">
        <f t="shared" ca="1" si="95"/>
        <v>609.47109999999998</v>
      </c>
      <c r="BB181" s="13">
        <f t="shared" ca="1" si="96"/>
        <v>616.44209999999998</v>
      </c>
      <c r="BC181" s="13">
        <f t="shared" ca="1" si="97"/>
        <v>604.49170000000004</v>
      </c>
      <c r="BD181" s="13">
        <f t="shared" ca="1" si="98"/>
        <v>616.44209999999998</v>
      </c>
      <c r="BE181" s="13">
        <f t="shared" ca="1" si="99"/>
        <v>36394</v>
      </c>
      <c r="BF181">
        <f>ROW()</f>
        <v>181</v>
      </c>
      <c r="BH181" t="str">
        <f t="shared" si="100"/>
        <v>BC177:BC181</v>
      </c>
      <c r="BI181">
        <f t="shared" si="117"/>
        <v>169</v>
      </c>
      <c r="BJ181">
        <f t="shared" ca="1" si="101"/>
        <v>602.10166000000004</v>
      </c>
      <c r="BL181" t="str">
        <f t="shared" si="102"/>
        <v>BC162:BC181</v>
      </c>
      <c r="BM181">
        <f t="shared" si="118"/>
        <v>154</v>
      </c>
      <c r="BN181">
        <f t="shared" ca="1" si="103"/>
        <v>592.84008999999992</v>
      </c>
      <c r="BP181" t="str">
        <f t="shared" si="104"/>
        <v>BC122:BC181</v>
      </c>
      <c r="BQ181">
        <f t="shared" si="119"/>
        <v>114</v>
      </c>
      <c r="BR181">
        <f t="shared" ca="1" si="105"/>
        <v>601.89014666666662</v>
      </c>
      <c r="BT181">
        <f t="shared" ca="1" si="121"/>
        <v>597.22190000000001</v>
      </c>
      <c r="BU181">
        <f t="shared" ca="1" si="126"/>
        <v>6.3662453364587348</v>
      </c>
      <c r="BV181">
        <f t="shared" ca="1" si="127"/>
        <v>609.9543906729175</v>
      </c>
      <c r="BW181">
        <f t="shared" ca="1" si="128"/>
        <v>584.48940932708251</v>
      </c>
      <c r="BY181">
        <f t="shared" ca="1" si="91"/>
        <v>602.10166000000004</v>
      </c>
      <c r="BZ181">
        <f t="shared" ca="1" si="92"/>
        <v>592.84008999999992</v>
      </c>
      <c r="CA181">
        <f t="shared" ca="1" si="93"/>
        <v>601.89014666666662</v>
      </c>
      <c r="CD181" t="str">
        <f>IF(周K!$E$3+CK181-12&gt;工作底稿!$CE$5,"周K!A"&amp;周K!$E$3-$CE$5+1+CK181-8,0)</f>
        <v>周K!A341</v>
      </c>
      <c r="CE181" s="4">
        <f t="shared" ca="1" si="106"/>
        <v>43808</v>
      </c>
      <c r="CF181" s="13">
        <f ca="1">IF($CD181=0,"",VLOOKUP($CE181,周K!$A$6:$F$6842,2,0))</f>
        <v>314</v>
      </c>
      <c r="CG181" s="13">
        <f ca="1">IF($CD181=0,"",VLOOKUP($CE181,周K!$A$6:$F$6842,3,0))</f>
        <v>343</v>
      </c>
      <c r="CH181" s="13">
        <f ca="1">IF($CD181=0,"",VLOOKUP($CE181,周K!$A$6:$F$6842,4,0))</f>
        <v>312.5</v>
      </c>
      <c r="CI181" s="13">
        <f ca="1">IF($CD181=0,"",VLOOKUP($CE181,周K!$A$6:$F$6842,5,0))</f>
        <v>339</v>
      </c>
      <c r="CJ181" s="13">
        <f ca="1">IF($CD181=0,"",VLOOKUP($CE181,周K!$A$6:$F$6842,6,0))</f>
        <v>192379</v>
      </c>
      <c r="CK181">
        <f>ROW()</f>
        <v>181</v>
      </c>
      <c r="CM181" t="str">
        <f t="shared" si="107"/>
        <v>CG177:CG181</v>
      </c>
      <c r="CN181">
        <f t="shared" si="108"/>
        <v>169</v>
      </c>
      <c r="CO181">
        <f t="shared" ca="1" si="109"/>
        <v>318.7</v>
      </c>
      <c r="CQ181" t="str">
        <f t="shared" si="110"/>
        <v>CG162:CG181</v>
      </c>
      <c r="CR181">
        <f t="shared" si="111"/>
        <v>154</v>
      </c>
      <c r="CS181">
        <f t="shared" ca="1" si="112"/>
        <v>286.375</v>
      </c>
      <c r="CU181" t="str">
        <f t="shared" si="113"/>
        <v>CG122:CG181</v>
      </c>
      <c r="CV181">
        <f t="shared" si="114"/>
        <v>114</v>
      </c>
      <c r="CW181">
        <f t="shared" ca="1" si="115"/>
        <v>256.78333333333336</v>
      </c>
      <c r="CY181">
        <f t="shared" ca="1" si="116"/>
        <v>613.45450000000005</v>
      </c>
      <c r="CZ181">
        <f t="shared" ca="1" si="120"/>
        <v>603.86211977313121</v>
      </c>
      <c r="DA181">
        <f t="shared" ca="1" si="123"/>
        <v>601.71671393200779</v>
      </c>
      <c r="DB181">
        <f t="shared" ca="1" si="122"/>
        <v>2.14540584112342</v>
      </c>
      <c r="DC181">
        <f t="shared" ca="1" si="124"/>
        <v>-0.29320679908856717</v>
      </c>
      <c r="DD181">
        <f t="shared" ca="1" si="125"/>
        <v>2.4386126402119874</v>
      </c>
    </row>
    <row r="182" spans="51:108" x14ac:dyDescent="0.25">
      <c r="AY182" t="str">
        <f>"日K!A"&amp;日K!$E$3-239+1+BF182-8</f>
        <v>日K!A6774</v>
      </c>
      <c r="AZ182" s="4">
        <f t="shared" ca="1" si="94"/>
        <v>44302</v>
      </c>
      <c r="BA182" s="13">
        <f t="shared" ca="1" si="95"/>
        <v>607.47929999999997</v>
      </c>
      <c r="BB182" s="13">
        <f t="shared" ca="1" si="96"/>
        <v>608.47519999999997</v>
      </c>
      <c r="BC182" s="13">
        <f t="shared" ca="1" si="97"/>
        <v>600.50829999999996</v>
      </c>
      <c r="BD182" s="13">
        <f t="shared" ca="1" si="98"/>
        <v>607.47929999999997</v>
      </c>
      <c r="BE182" s="13">
        <f t="shared" ca="1" si="99"/>
        <v>49952</v>
      </c>
      <c r="BF182">
        <f>ROW()</f>
        <v>182</v>
      </c>
      <c r="BH182" t="str">
        <f t="shared" si="100"/>
        <v>BC178:BC182</v>
      </c>
      <c r="BI182">
        <f t="shared" si="117"/>
        <v>170</v>
      </c>
      <c r="BJ182">
        <f t="shared" ca="1" si="101"/>
        <v>600.90661999999998</v>
      </c>
      <c r="BL182" t="str">
        <f t="shared" si="102"/>
        <v>BC163:BC182</v>
      </c>
      <c r="BM182">
        <f t="shared" si="118"/>
        <v>155</v>
      </c>
      <c r="BN182">
        <f t="shared" ca="1" si="103"/>
        <v>592.88988499999994</v>
      </c>
      <c r="BP182" t="str">
        <f t="shared" si="104"/>
        <v>BC123:BC182</v>
      </c>
      <c r="BQ182">
        <f t="shared" si="119"/>
        <v>115</v>
      </c>
      <c r="BR182">
        <f t="shared" ca="1" si="105"/>
        <v>602.45992833333332</v>
      </c>
      <c r="BT182">
        <f t="shared" ca="1" si="121"/>
        <v>597.52065999999991</v>
      </c>
      <c r="BU182">
        <f t="shared" ca="1" si="126"/>
        <v>5.1792976850337116</v>
      </c>
      <c r="BV182">
        <f t="shared" ca="1" si="127"/>
        <v>607.87925537006731</v>
      </c>
      <c r="BW182">
        <f t="shared" ca="1" si="128"/>
        <v>587.1620646299325</v>
      </c>
      <c r="BY182">
        <f t="shared" ca="1" si="91"/>
        <v>600.90661999999998</v>
      </c>
      <c r="BZ182">
        <f t="shared" ca="1" si="92"/>
        <v>592.88988499999994</v>
      </c>
      <c r="CA182">
        <f t="shared" ca="1" si="93"/>
        <v>602.45992833333332</v>
      </c>
      <c r="CD182" t="str">
        <f>IF(周K!$E$3+CK182-12&gt;工作底稿!$CE$5,"周K!A"&amp;周K!$E$3-$CE$5+1+CK182-8,0)</f>
        <v>周K!A342</v>
      </c>
      <c r="CE182" s="4">
        <f t="shared" ca="1" si="106"/>
        <v>43815</v>
      </c>
      <c r="CF182" s="13">
        <f ca="1">IF($CD182=0,"",VLOOKUP($CE182,周K!$A$6:$F$6842,2,0))</f>
        <v>336.5</v>
      </c>
      <c r="CG182" s="13">
        <f ca="1">IF($CD182=0,"",VLOOKUP($CE182,周K!$A$6:$F$6842,3,0))</f>
        <v>345</v>
      </c>
      <c r="CH182" s="13">
        <f ca="1">IF($CD182=0,"",VLOOKUP($CE182,周K!$A$6:$F$6842,4,0))</f>
        <v>328.5</v>
      </c>
      <c r="CI182" s="13">
        <f ca="1">IF($CD182=0,"",VLOOKUP($CE182,周K!$A$6:$F$6842,5,0))</f>
        <v>329</v>
      </c>
      <c r="CJ182" s="13">
        <f ca="1">IF($CD182=0,"",VLOOKUP($CE182,周K!$A$6:$F$6842,6,0))</f>
        <v>274203</v>
      </c>
      <c r="CK182">
        <f>ROW()</f>
        <v>182</v>
      </c>
      <c r="CM182" t="str">
        <f t="shared" si="107"/>
        <v>CG178:CG182</v>
      </c>
      <c r="CN182">
        <f t="shared" si="108"/>
        <v>170</v>
      </c>
      <c r="CO182">
        <f t="shared" ca="1" si="109"/>
        <v>326.2</v>
      </c>
      <c r="CQ182" t="str">
        <f t="shared" si="110"/>
        <v>CG163:CG182</v>
      </c>
      <c r="CR182">
        <f t="shared" si="111"/>
        <v>155</v>
      </c>
      <c r="CS182">
        <f t="shared" ca="1" si="112"/>
        <v>290.47500000000002</v>
      </c>
      <c r="CU182" t="str">
        <f t="shared" si="113"/>
        <v>CG123:CG182</v>
      </c>
      <c r="CV182">
        <f t="shared" si="114"/>
        <v>115</v>
      </c>
      <c r="CW182">
        <f t="shared" ca="1" si="115"/>
        <v>258.48333333333335</v>
      </c>
      <c r="CY182">
        <f t="shared" ca="1" si="116"/>
        <v>605.98552499999994</v>
      </c>
      <c r="CZ182">
        <f t="shared" ca="1" si="120"/>
        <v>604.18879750034182</v>
      </c>
      <c r="DA182">
        <f t="shared" ca="1" si="123"/>
        <v>602.03292215926649</v>
      </c>
      <c r="DB182">
        <f t="shared" ca="1" si="122"/>
        <v>2.1558753410753297</v>
      </c>
      <c r="DC182">
        <f t="shared" ca="1" si="124"/>
        <v>0.4097313186228651</v>
      </c>
      <c r="DD182">
        <f t="shared" ca="1" si="125"/>
        <v>1.7461440224524647</v>
      </c>
    </row>
    <row r="183" spans="51:108" x14ac:dyDescent="0.25">
      <c r="AY183" t="str">
        <f>"日K!A"&amp;日K!$E$3-239+1+BF183-8</f>
        <v>日K!A6775</v>
      </c>
      <c r="AZ183" s="4">
        <f t="shared" ca="1" si="94"/>
        <v>44305</v>
      </c>
      <c r="BA183" s="13">
        <f t="shared" ca="1" si="95"/>
        <v>602.5</v>
      </c>
      <c r="BB183" s="13">
        <f t="shared" ca="1" si="96"/>
        <v>604.49170000000004</v>
      </c>
      <c r="BC183" s="13">
        <f t="shared" ca="1" si="97"/>
        <v>598.51649999999995</v>
      </c>
      <c r="BD183" s="13">
        <f t="shared" ca="1" si="98"/>
        <v>600.50829999999996</v>
      </c>
      <c r="BE183" s="13">
        <f t="shared" ca="1" si="99"/>
        <v>25235</v>
      </c>
      <c r="BF183">
        <f>ROW()</f>
        <v>183</v>
      </c>
      <c r="BH183" t="str">
        <f t="shared" si="100"/>
        <v>BC179:BC183</v>
      </c>
      <c r="BI183">
        <f t="shared" si="117"/>
        <v>171</v>
      </c>
      <c r="BJ183">
        <f t="shared" ca="1" si="101"/>
        <v>600.50825999999995</v>
      </c>
      <c r="BL183" t="str">
        <f t="shared" si="102"/>
        <v>BC164:BC183</v>
      </c>
      <c r="BM183">
        <f t="shared" si="118"/>
        <v>156</v>
      </c>
      <c r="BN183">
        <f t="shared" ca="1" si="103"/>
        <v>592.84008999999992</v>
      </c>
      <c r="BP183" t="str">
        <f t="shared" si="104"/>
        <v>BC124:BC183</v>
      </c>
      <c r="BQ183">
        <f t="shared" si="119"/>
        <v>116</v>
      </c>
      <c r="BR183">
        <f t="shared" ca="1" si="105"/>
        <v>602.94692333333319</v>
      </c>
      <c r="BT183">
        <f t="shared" ca="1" si="121"/>
        <v>597.57045499999992</v>
      </c>
      <c r="BU183">
        <f t="shared" ca="1" si="126"/>
        <v>4.0429406914841506</v>
      </c>
      <c r="BV183">
        <f t="shared" ca="1" si="127"/>
        <v>605.65633638296822</v>
      </c>
      <c r="BW183">
        <f t="shared" ca="1" si="128"/>
        <v>589.48457361703163</v>
      </c>
      <c r="BY183">
        <f t="shared" ca="1" si="91"/>
        <v>600.50825999999995</v>
      </c>
      <c r="BZ183">
        <f t="shared" ca="1" si="92"/>
        <v>592.84008999999992</v>
      </c>
      <c r="CA183">
        <f t="shared" ca="1" si="93"/>
        <v>602.94692333333319</v>
      </c>
      <c r="CD183" t="str">
        <f>IF(周K!$E$3+CK183-12&gt;工作底稿!$CE$5,"周K!A"&amp;周K!$E$3-$CE$5+1+CK183-8,0)</f>
        <v>周K!A343</v>
      </c>
      <c r="CE183" s="4">
        <f t="shared" ca="1" si="106"/>
        <v>43822</v>
      </c>
      <c r="CF183" s="13">
        <f ca="1">IF($CD183=0,"",VLOOKUP($CE183,周K!$A$6:$F$6842,2,0))</f>
        <v>329.5</v>
      </c>
      <c r="CG183" s="13">
        <f ca="1">IF($CD183=0,"",VLOOKUP($CE183,周K!$A$6:$F$6842,3,0))</f>
        <v>338</v>
      </c>
      <c r="CH183" s="13">
        <f ca="1">IF($CD183=0,"",VLOOKUP($CE183,周K!$A$6:$F$6842,4,0))</f>
        <v>329.5</v>
      </c>
      <c r="CI183" s="13">
        <f ca="1">IF($CD183=0,"",VLOOKUP($CE183,周K!$A$6:$F$6842,5,0))</f>
        <v>338</v>
      </c>
      <c r="CJ183" s="13">
        <f ca="1">IF($CD183=0,"",VLOOKUP($CE183,周K!$A$6:$F$6842,6,0))</f>
        <v>81064</v>
      </c>
      <c r="CK183">
        <f>ROW()</f>
        <v>183</v>
      </c>
      <c r="CM183" t="str">
        <f t="shared" si="107"/>
        <v>CG179:CG183</v>
      </c>
      <c r="CN183">
        <f t="shared" si="108"/>
        <v>171</v>
      </c>
      <c r="CO183">
        <f t="shared" ca="1" si="109"/>
        <v>330.8</v>
      </c>
      <c r="CQ183" t="str">
        <f t="shared" si="110"/>
        <v>CG164:CG183</v>
      </c>
      <c r="CR183">
        <f t="shared" si="111"/>
        <v>156</v>
      </c>
      <c r="CS183">
        <f t="shared" ca="1" si="112"/>
        <v>294.67500000000001</v>
      </c>
      <c r="CU183" t="str">
        <f t="shared" si="113"/>
        <v>CG124:CG183</v>
      </c>
      <c r="CV183">
        <f t="shared" si="114"/>
        <v>116</v>
      </c>
      <c r="CW183">
        <f t="shared" ca="1" si="115"/>
        <v>260.14999999999998</v>
      </c>
      <c r="CY183">
        <f t="shared" ca="1" si="116"/>
        <v>601.00620000000004</v>
      </c>
      <c r="CZ183">
        <f t="shared" ca="1" si="120"/>
        <v>603.69916711567384</v>
      </c>
      <c r="DA183">
        <f t="shared" ca="1" si="123"/>
        <v>601.95686866598749</v>
      </c>
      <c r="DB183">
        <f t="shared" ca="1" si="122"/>
        <v>1.7422984496863592</v>
      </c>
      <c r="DC183">
        <f t="shared" ca="1" si="124"/>
        <v>0.88959526729820482</v>
      </c>
      <c r="DD183">
        <f t="shared" ca="1" si="125"/>
        <v>0.85270318238815435</v>
      </c>
    </row>
    <row r="184" spans="51:108" x14ac:dyDescent="0.25">
      <c r="AY184" t="str">
        <f>"日K!A"&amp;日K!$E$3-239+1+BF184-8</f>
        <v>日K!A6776</v>
      </c>
      <c r="AZ184" s="4">
        <f t="shared" ca="1" si="94"/>
        <v>44306</v>
      </c>
      <c r="BA184" s="13">
        <f t="shared" ca="1" si="95"/>
        <v>595.52890000000002</v>
      </c>
      <c r="BB184" s="13">
        <f t="shared" ca="1" si="96"/>
        <v>599.51239999999996</v>
      </c>
      <c r="BC184" s="13">
        <f t="shared" ca="1" si="97"/>
        <v>592.54129999999998</v>
      </c>
      <c r="BD184" s="13">
        <f t="shared" ca="1" si="98"/>
        <v>599.51239999999996</v>
      </c>
      <c r="BE184" s="13">
        <f t="shared" ca="1" si="99"/>
        <v>36655</v>
      </c>
      <c r="BF184">
        <f>ROW()</f>
        <v>184</v>
      </c>
      <c r="BH184" t="str">
        <f t="shared" si="100"/>
        <v>BC180:BC184</v>
      </c>
      <c r="BI184">
        <f t="shared" si="117"/>
        <v>172</v>
      </c>
      <c r="BJ184">
        <f t="shared" ca="1" si="101"/>
        <v>598.71569999999997</v>
      </c>
      <c r="BL184" t="str">
        <f t="shared" si="102"/>
        <v>BC165:BC184</v>
      </c>
      <c r="BM184">
        <f t="shared" si="118"/>
        <v>157</v>
      </c>
      <c r="BN184">
        <f t="shared" ca="1" si="103"/>
        <v>593.03926000000001</v>
      </c>
      <c r="BP184" t="str">
        <f t="shared" si="104"/>
        <v>BC125:BC184</v>
      </c>
      <c r="BQ184">
        <f t="shared" si="119"/>
        <v>117</v>
      </c>
      <c r="BR184">
        <f t="shared" ca="1" si="105"/>
        <v>603.20208999999988</v>
      </c>
      <c r="BT184">
        <f t="shared" ca="1" si="121"/>
        <v>598.11817999999994</v>
      </c>
      <c r="BU184">
        <f t="shared" ca="1" si="126"/>
        <v>3.0701104298548496</v>
      </c>
      <c r="BV184">
        <f t="shared" ca="1" si="127"/>
        <v>604.25840085970958</v>
      </c>
      <c r="BW184">
        <f t="shared" ca="1" si="128"/>
        <v>591.9779591402903</v>
      </c>
      <c r="BY184">
        <f t="shared" ca="1" si="91"/>
        <v>598.71569999999997</v>
      </c>
      <c r="BZ184">
        <f t="shared" ca="1" si="92"/>
        <v>593.03926000000001</v>
      </c>
      <c r="CA184">
        <f t="shared" ca="1" si="93"/>
        <v>603.20208999999988</v>
      </c>
      <c r="CD184" t="str">
        <f>IF(周K!$E$3+CK184-12&gt;工作底稿!$CE$5,"周K!A"&amp;周K!$E$3-$CE$5+1+CK184-8,0)</f>
        <v>周K!A344</v>
      </c>
      <c r="CE184" s="4">
        <f t="shared" ca="1" si="106"/>
        <v>43829</v>
      </c>
      <c r="CF184" s="13">
        <f ca="1">IF($CD184=0,"",VLOOKUP($CE184,周K!$A$6:$F$6842,2,0))</f>
        <v>338</v>
      </c>
      <c r="CG184" s="13">
        <f ca="1">IF($CD184=0,"",VLOOKUP($CE184,周K!$A$6:$F$6842,3,0))</f>
        <v>345</v>
      </c>
      <c r="CH184" s="13">
        <f ca="1">IF($CD184=0,"",VLOOKUP($CE184,周K!$A$6:$F$6842,4,0))</f>
        <v>331</v>
      </c>
      <c r="CI184" s="13">
        <f ca="1">IF($CD184=0,"",VLOOKUP($CE184,周K!$A$6:$F$6842,5,0))</f>
        <v>339.5</v>
      </c>
      <c r="CJ184" s="13">
        <f ca="1">IF($CD184=0,"",VLOOKUP($CE184,周K!$A$6:$F$6842,6,0))</f>
        <v>119847</v>
      </c>
      <c r="CK184">
        <f>ROW()</f>
        <v>184</v>
      </c>
      <c r="CM184" t="str">
        <f t="shared" si="107"/>
        <v>CG180:CG184</v>
      </c>
      <c r="CN184">
        <f t="shared" si="108"/>
        <v>172</v>
      </c>
      <c r="CO184">
        <f t="shared" ca="1" si="109"/>
        <v>337.4</v>
      </c>
      <c r="CQ184" t="str">
        <f t="shared" si="110"/>
        <v>CG165:CG184</v>
      </c>
      <c r="CR184">
        <f t="shared" si="111"/>
        <v>157</v>
      </c>
      <c r="CS184">
        <f t="shared" ca="1" si="112"/>
        <v>299.2</v>
      </c>
      <c r="CU184" t="str">
        <f t="shared" si="113"/>
        <v>CG125:CG184</v>
      </c>
      <c r="CV184">
        <f t="shared" si="114"/>
        <v>117</v>
      </c>
      <c r="CW184">
        <f t="shared" ca="1" si="115"/>
        <v>261.95</v>
      </c>
      <c r="CY184">
        <f t="shared" ca="1" si="116"/>
        <v>597.76962499999991</v>
      </c>
      <c r="CZ184">
        <f t="shared" ca="1" si="120"/>
        <v>602.7869298671086</v>
      </c>
      <c r="DA184">
        <f t="shared" ca="1" si="123"/>
        <v>601.64670246850687</v>
      </c>
      <c r="DB184">
        <f t="shared" ca="1" si="122"/>
        <v>1.1402273986017235</v>
      </c>
      <c r="DC184">
        <f t="shared" ca="1" si="124"/>
        <v>1.164943270890717</v>
      </c>
      <c r="DD184">
        <f t="shared" ca="1" si="125"/>
        <v>-2.4715872288993523E-2</v>
      </c>
    </row>
    <row r="185" spans="51:108" x14ac:dyDescent="0.25">
      <c r="AY185" t="str">
        <f>"日K!A"&amp;日K!$E$3-239+1+BF185-8</f>
        <v>日K!A6777</v>
      </c>
      <c r="AZ185" s="4">
        <f t="shared" ca="1" si="94"/>
        <v>44307</v>
      </c>
      <c r="BA185" s="13">
        <f t="shared" ca="1" si="95"/>
        <v>596.52480000000003</v>
      </c>
      <c r="BB185" s="13">
        <f t="shared" ca="1" si="96"/>
        <v>596.52480000000003</v>
      </c>
      <c r="BC185" s="13">
        <f t="shared" ca="1" si="97"/>
        <v>589.55370000000005</v>
      </c>
      <c r="BD185" s="13">
        <f t="shared" ca="1" si="98"/>
        <v>589.55370000000005</v>
      </c>
      <c r="BE185" s="13">
        <f t="shared" ca="1" si="99"/>
        <v>41894</v>
      </c>
      <c r="BF185">
        <f>ROW()</f>
        <v>185</v>
      </c>
      <c r="BH185" t="str">
        <f t="shared" si="100"/>
        <v>BC181:BC185</v>
      </c>
      <c r="BI185">
        <f t="shared" si="117"/>
        <v>173</v>
      </c>
      <c r="BJ185">
        <f t="shared" ca="1" si="101"/>
        <v>597.1223</v>
      </c>
      <c r="BL185" t="str">
        <f t="shared" si="102"/>
        <v>BC166:BC185</v>
      </c>
      <c r="BM185">
        <f t="shared" si="118"/>
        <v>158</v>
      </c>
      <c r="BN185">
        <f t="shared" ca="1" si="103"/>
        <v>593.33802000000003</v>
      </c>
      <c r="BP185" t="str">
        <f t="shared" si="104"/>
        <v>BC126:BC185</v>
      </c>
      <c r="BQ185">
        <f t="shared" si="119"/>
        <v>118</v>
      </c>
      <c r="BR185">
        <f t="shared" ca="1" si="105"/>
        <v>603.22563333333312</v>
      </c>
      <c r="BT185">
        <f t="shared" ca="1" si="121"/>
        <v>598.06838500000003</v>
      </c>
      <c r="BU185">
        <f t="shared" ca="1" si="126"/>
        <v>2.2491977310331341</v>
      </c>
      <c r="BV185">
        <f t="shared" ca="1" si="127"/>
        <v>602.56678046206628</v>
      </c>
      <c r="BW185">
        <f t="shared" ca="1" si="128"/>
        <v>593.56998953793379</v>
      </c>
      <c r="BY185">
        <f t="shared" ca="1" si="91"/>
        <v>597.1223</v>
      </c>
      <c r="BZ185">
        <f t="shared" ca="1" si="92"/>
        <v>593.33802000000003</v>
      </c>
      <c r="CA185">
        <f t="shared" ca="1" si="93"/>
        <v>603.22563333333312</v>
      </c>
      <c r="CD185" t="str">
        <f>IF(周K!$E$3+CK185-12&gt;工作底稿!$CE$5,"周K!A"&amp;周K!$E$3-$CE$5+1+CK185-8,0)</f>
        <v>周K!A345</v>
      </c>
      <c r="CE185" s="4">
        <f t="shared" ca="1" si="106"/>
        <v>43836</v>
      </c>
      <c r="CF185" s="13">
        <f ca="1">IF($CD185=0,"",VLOOKUP($CE185,周K!$A$6:$F$6842,2,0))</f>
        <v>333</v>
      </c>
      <c r="CG185" s="13">
        <f ca="1">IF($CD185=0,"",VLOOKUP($CE185,周K!$A$6:$F$6842,3,0))</f>
        <v>341</v>
      </c>
      <c r="CH185" s="13">
        <f ca="1">IF($CD185=0,"",VLOOKUP($CE185,周K!$A$6:$F$6842,4,0))</f>
        <v>325</v>
      </c>
      <c r="CI185" s="13">
        <f ca="1">IF($CD185=0,"",VLOOKUP($CE185,周K!$A$6:$F$6842,5,0))</f>
        <v>339.5</v>
      </c>
      <c r="CJ185" s="13">
        <f ca="1">IF($CD185=0,"",VLOOKUP($CE185,周K!$A$6:$F$6842,6,0))</f>
        <v>195615</v>
      </c>
      <c r="CK185">
        <f>ROW()</f>
        <v>185</v>
      </c>
      <c r="CM185" t="str">
        <f t="shared" si="107"/>
        <v>CG181:CG185</v>
      </c>
      <c r="CN185">
        <f t="shared" si="108"/>
        <v>173</v>
      </c>
      <c r="CO185">
        <f t="shared" ca="1" si="109"/>
        <v>342.4</v>
      </c>
      <c r="CQ185" t="str">
        <f t="shared" si="110"/>
        <v>CG166:CG185</v>
      </c>
      <c r="CR185">
        <f t="shared" si="111"/>
        <v>158</v>
      </c>
      <c r="CS185">
        <f t="shared" ca="1" si="112"/>
        <v>303.375</v>
      </c>
      <c r="CU185" t="str">
        <f t="shared" si="113"/>
        <v>CG126:CG185</v>
      </c>
      <c r="CV185">
        <f t="shared" si="114"/>
        <v>118</v>
      </c>
      <c r="CW185">
        <f t="shared" ca="1" si="115"/>
        <v>263.67500000000001</v>
      </c>
      <c r="CY185">
        <f t="shared" ca="1" si="116"/>
        <v>591.2964750000001</v>
      </c>
      <c r="CZ185">
        <f t="shared" ca="1" si="120"/>
        <v>601.01916757986112</v>
      </c>
      <c r="DA185">
        <f t="shared" ca="1" si="123"/>
        <v>600.88001895232117</v>
      </c>
      <c r="DB185">
        <f t="shared" ca="1" si="122"/>
        <v>0.13914862753995294</v>
      </c>
      <c r="DC185">
        <f t="shared" ca="1" si="124"/>
        <v>1.2195449331697243</v>
      </c>
      <c r="DD185">
        <f t="shared" ca="1" si="125"/>
        <v>-1.0803963056297714</v>
      </c>
    </row>
    <row r="186" spans="51:108" x14ac:dyDescent="0.25">
      <c r="AY186" t="str">
        <f>"日K!A"&amp;日K!$E$3-239+1+BF186-8</f>
        <v>日K!A6778</v>
      </c>
      <c r="AZ186" s="4">
        <f t="shared" ca="1" si="94"/>
        <v>44308</v>
      </c>
      <c r="BA186" s="13">
        <f t="shared" ca="1" si="95"/>
        <v>593.53719999999998</v>
      </c>
      <c r="BB186" s="13">
        <f t="shared" ca="1" si="96"/>
        <v>595.52890000000002</v>
      </c>
      <c r="BC186" s="13">
        <f t="shared" ca="1" si="97"/>
        <v>588.55790000000002</v>
      </c>
      <c r="BD186" s="13">
        <f t="shared" ca="1" si="98"/>
        <v>588.55790000000002</v>
      </c>
      <c r="BE186" s="13">
        <f t="shared" ca="1" si="99"/>
        <v>38095</v>
      </c>
      <c r="BF186">
        <f>ROW()</f>
        <v>186</v>
      </c>
      <c r="BH186" t="str">
        <f t="shared" si="100"/>
        <v>BC182:BC186</v>
      </c>
      <c r="BI186">
        <f t="shared" si="117"/>
        <v>174</v>
      </c>
      <c r="BJ186">
        <f t="shared" ca="1" si="101"/>
        <v>593.93554000000006</v>
      </c>
      <c r="BL186" t="str">
        <f t="shared" si="102"/>
        <v>BC167:BC186</v>
      </c>
      <c r="BM186">
        <f t="shared" si="118"/>
        <v>159</v>
      </c>
      <c r="BN186">
        <f t="shared" ca="1" si="103"/>
        <v>593.23843500000009</v>
      </c>
      <c r="BP186" t="str">
        <f t="shared" si="104"/>
        <v>BC127:BC186</v>
      </c>
      <c r="BQ186">
        <f t="shared" si="119"/>
        <v>119</v>
      </c>
      <c r="BR186">
        <f t="shared" ca="1" si="105"/>
        <v>603.3317599999998</v>
      </c>
      <c r="BT186">
        <f t="shared" ca="1" si="121"/>
        <v>597.91900499999997</v>
      </c>
      <c r="BU186">
        <f t="shared" ca="1" si="126"/>
        <v>1.6293663154864406</v>
      </c>
      <c r="BV186">
        <f t="shared" ca="1" si="127"/>
        <v>601.17773763097284</v>
      </c>
      <c r="BW186">
        <f t="shared" ca="1" si="128"/>
        <v>594.6602723690271</v>
      </c>
      <c r="BY186">
        <f t="shared" ca="1" si="91"/>
        <v>593.93554000000006</v>
      </c>
      <c r="BZ186">
        <f t="shared" ca="1" si="92"/>
        <v>593.23843500000009</v>
      </c>
      <c r="CA186">
        <f t="shared" ca="1" si="93"/>
        <v>603.3317599999998</v>
      </c>
      <c r="CD186" t="str">
        <f>IF(周K!$E$3+CK186-12&gt;工作底稿!$CE$5,"周K!A"&amp;周K!$E$3-$CE$5+1+CK186-8,0)</f>
        <v>周K!A346</v>
      </c>
      <c r="CE186" s="4">
        <f t="shared" ca="1" si="106"/>
        <v>43843</v>
      </c>
      <c r="CF186" s="13">
        <f ca="1">IF($CD186=0,"",VLOOKUP($CE186,周K!$A$6:$F$6842,2,0))</f>
        <v>342</v>
      </c>
      <c r="CG186" s="13">
        <f ca="1">IF($CD186=0,"",VLOOKUP($CE186,周K!$A$6:$F$6842,3,0))</f>
        <v>346</v>
      </c>
      <c r="CH186" s="13">
        <f ca="1">IF($CD186=0,"",VLOOKUP($CE186,周K!$A$6:$F$6842,4,0))</f>
        <v>330</v>
      </c>
      <c r="CI186" s="13">
        <f ca="1">IF($CD186=0,"",VLOOKUP($CE186,周K!$A$6:$F$6842,5,0))</f>
        <v>333</v>
      </c>
      <c r="CJ186" s="13">
        <f ca="1">IF($CD186=0,"",VLOOKUP($CE186,周K!$A$6:$F$6842,6,0))</f>
        <v>227733</v>
      </c>
      <c r="CK186">
        <f>ROW()</f>
        <v>186</v>
      </c>
      <c r="CM186" t="str">
        <f t="shared" si="107"/>
        <v>CG182:CG186</v>
      </c>
      <c r="CN186">
        <f t="shared" si="108"/>
        <v>174</v>
      </c>
      <c r="CO186">
        <f t="shared" ca="1" si="109"/>
        <v>343</v>
      </c>
      <c r="CQ186" t="str">
        <f t="shared" si="110"/>
        <v>CG167:CG186</v>
      </c>
      <c r="CR186">
        <f t="shared" si="111"/>
        <v>159</v>
      </c>
      <c r="CS186">
        <f t="shared" ca="1" si="112"/>
        <v>307.72500000000002</v>
      </c>
      <c r="CU186" t="str">
        <f t="shared" si="113"/>
        <v>CG127:CG186</v>
      </c>
      <c r="CV186">
        <f t="shared" si="114"/>
        <v>119</v>
      </c>
      <c r="CW186">
        <f t="shared" ca="1" si="115"/>
        <v>265.53333333333336</v>
      </c>
      <c r="CY186">
        <f t="shared" ca="1" si="116"/>
        <v>590.30065000000002</v>
      </c>
      <c r="CZ186">
        <f t="shared" ca="1" si="120"/>
        <v>599.37016487526716</v>
      </c>
      <c r="DA186">
        <f t="shared" ca="1" si="123"/>
        <v>600.09636199289002</v>
      </c>
      <c r="DB186">
        <f t="shared" ca="1" si="122"/>
        <v>-0.72619711762285988</v>
      </c>
      <c r="DC186">
        <f t="shared" ca="1" si="124"/>
        <v>1.0807145743683451</v>
      </c>
      <c r="DD186">
        <f t="shared" ca="1" si="125"/>
        <v>-1.8069116919912049</v>
      </c>
    </row>
    <row r="187" spans="51:108" x14ac:dyDescent="0.25">
      <c r="AY187" t="str">
        <f>"日K!A"&amp;日K!$E$3-239+1+BF187-8</f>
        <v>日K!A6779</v>
      </c>
      <c r="AZ187" s="4">
        <f t="shared" ca="1" si="94"/>
        <v>44309</v>
      </c>
      <c r="BA187" s="13">
        <f t="shared" ca="1" si="95"/>
        <v>589.55370000000005</v>
      </c>
      <c r="BB187" s="13">
        <f t="shared" ca="1" si="96"/>
        <v>599.51239999999996</v>
      </c>
      <c r="BC187" s="13">
        <f t="shared" ca="1" si="97"/>
        <v>587.56200000000001</v>
      </c>
      <c r="BD187" s="13">
        <f t="shared" ca="1" si="98"/>
        <v>599.51239999999996</v>
      </c>
      <c r="BE187" s="13">
        <f t="shared" ca="1" si="99"/>
        <v>29005</v>
      </c>
      <c r="BF187">
        <f>ROW()</f>
        <v>187</v>
      </c>
      <c r="BH187" t="str">
        <f t="shared" si="100"/>
        <v>BC183:BC187</v>
      </c>
      <c r="BI187">
        <f t="shared" si="117"/>
        <v>175</v>
      </c>
      <c r="BJ187">
        <f t="shared" ca="1" si="101"/>
        <v>591.34627999999998</v>
      </c>
      <c r="BL187" t="str">
        <f t="shared" si="102"/>
        <v>BC168:BC187</v>
      </c>
      <c r="BM187">
        <f t="shared" si="118"/>
        <v>160</v>
      </c>
      <c r="BN187">
        <f t="shared" ca="1" si="103"/>
        <v>594.18451000000005</v>
      </c>
      <c r="BP187" t="str">
        <f t="shared" si="104"/>
        <v>BC128:BC187</v>
      </c>
      <c r="BQ187">
        <f t="shared" si="119"/>
        <v>120</v>
      </c>
      <c r="BR187">
        <f t="shared" ca="1" si="105"/>
        <v>603.18986666666638</v>
      </c>
      <c r="BT187">
        <f t="shared" ca="1" si="121"/>
        <v>599.21363499999995</v>
      </c>
      <c r="BU187">
        <f t="shared" ca="1" si="126"/>
        <v>1.4809007652011767</v>
      </c>
      <c r="BV187">
        <f t="shared" ca="1" si="127"/>
        <v>602.17543653040229</v>
      </c>
      <c r="BW187">
        <f t="shared" ca="1" si="128"/>
        <v>596.25183346959761</v>
      </c>
      <c r="BY187">
        <f t="shared" ca="1" si="91"/>
        <v>591.34627999999998</v>
      </c>
      <c r="BZ187">
        <f t="shared" ca="1" si="92"/>
        <v>594.18451000000005</v>
      </c>
      <c r="CA187">
        <f t="shared" ca="1" si="93"/>
        <v>603.18986666666638</v>
      </c>
      <c r="CD187" t="str">
        <f>IF(周K!$E$3+CK187-12&gt;工作底稿!$CE$5,"周K!A"&amp;周K!$E$3-$CE$5+1+CK187-8,0)</f>
        <v>周K!A347</v>
      </c>
      <c r="CE187" s="4">
        <f t="shared" ca="1" si="106"/>
        <v>43850</v>
      </c>
      <c r="CF187" s="13">
        <f ca="1">IF($CD187=0,"",VLOOKUP($CE187,周K!$A$6:$F$6842,2,0))</f>
        <v>334</v>
      </c>
      <c r="CG187" s="13">
        <f ca="1">IF($CD187=0,"",VLOOKUP($CE187,周K!$A$6:$F$6842,3,0))</f>
        <v>335.5</v>
      </c>
      <c r="CH187" s="13">
        <f ca="1">IF($CD187=0,"",VLOOKUP($CE187,周K!$A$6:$F$6842,4,0))</f>
        <v>333</v>
      </c>
      <c r="CI187" s="13">
        <f ca="1">IF($CD187=0,"",VLOOKUP($CE187,周K!$A$6:$F$6842,5,0))</f>
        <v>333</v>
      </c>
      <c r="CJ187" s="13">
        <f ca="1">IF($CD187=0,"",VLOOKUP($CE187,周K!$A$6:$F$6842,6,0))</f>
        <v>35551</v>
      </c>
      <c r="CK187">
        <f>ROW()</f>
        <v>187</v>
      </c>
      <c r="CM187" t="str">
        <f t="shared" si="107"/>
        <v>CG183:CG187</v>
      </c>
      <c r="CN187">
        <f t="shared" si="108"/>
        <v>175</v>
      </c>
      <c r="CO187">
        <f t="shared" ca="1" si="109"/>
        <v>341.1</v>
      </c>
      <c r="CQ187" t="str">
        <f t="shared" si="110"/>
        <v>CG168:CG187</v>
      </c>
      <c r="CR187">
        <f t="shared" si="111"/>
        <v>160</v>
      </c>
      <c r="CS187">
        <f t="shared" ca="1" si="112"/>
        <v>311.25</v>
      </c>
      <c r="CU187" t="str">
        <f t="shared" si="113"/>
        <v>CG128:CG187</v>
      </c>
      <c r="CV187">
        <f t="shared" si="114"/>
        <v>120</v>
      </c>
      <c r="CW187">
        <f t="shared" ca="1" si="115"/>
        <v>267.375</v>
      </c>
      <c r="CY187">
        <f t="shared" ca="1" si="116"/>
        <v>596.52479999999991</v>
      </c>
      <c r="CZ187">
        <f t="shared" ca="1" si="120"/>
        <v>598.93241643291833</v>
      </c>
      <c r="DA187">
        <f t="shared" ca="1" si="123"/>
        <v>599.83180184526861</v>
      </c>
      <c r="DB187">
        <f t="shared" ca="1" si="122"/>
        <v>-0.89938541235028424</v>
      </c>
      <c r="DC187">
        <f t="shared" ca="1" si="124"/>
        <v>0.89342655198446308</v>
      </c>
      <c r="DD187">
        <f t="shared" ca="1" si="125"/>
        <v>-1.7928119643347473</v>
      </c>
    </row>
    <row r="188" spans="51:108" x14ac:dyDescent="0.25">
      <c r="AY188" t="str">
        <f>"日K!A"&amp;日K!$E$3-239+1+BF188-8</f>
        <v>日K!A6780</v>
      </c>
      <c r="AZ188" s="4">
        <f t="shared" ca="1" si="94"/>
        <v>44312</v>
      </c>
      <c r="BA188" s="13">
        <f t="shared" ca="1" si="95"/>
        <v>602.5</v>
      </c>
      <c r="BB188" s="13">
        <f t="shared" ca="1" si="96"/>
        <v>607.47929999999997</v>
      </c>
      <c r="BC188" s="13">
        <f t="shared" ca="1" si="97"/>
        <v>600.50829999999996</v>
      </c>
      <c r="BD188" s="13">
        <f t="shared" ca="1" si="98"/>
        <v>607.47929999999997</v>
      </c>
      <c r="BE188" s="13">
        <f t="shared" ca="1" si="99"/>
        <v>32427</v>
      </c>
      <c r="BF188">
        <f>ROW()</f>
        <v>188</v>
      </c>
      <c r="BH188" t="str">
        <f t="shared" si="100"/>
        <v>BC184:BC188</v>
      </c>
      <c r="BI188">
        <f t="shared" si="117"/>
        <v>176</v>
      </c>
      <c r="BJ188">
        <f t="shared" ca="1" si="101"/>
        <v>591.74464</v>
      </c>
      <c r="BL188" t="str">
        <f t="shared" si="102"/>
        <v>BC169:BC188</v>
      </c>
      <c r="BM188">
        <f t="shared" si="118"/>
        <v>161</v>
      </c>
      <c r="BN188">
        <f t="shared" ca="1" si="103"/>
        <v>595.82769499999995</v>
      </c>
      <c r="BP188" t="str">
        <f t="shared" si="104"/>
        <v>BC129:BC188</v>
      </c>
      <c r="BQ188">
        <f t="shared" si="119"/>
        <v>121</v>
      </c>
      <c r="BR188">
        <f t="shared" ca="1" si="105"/>
        <v>603.37945499999989</v>
      </c>
      <c r="BT188">
        <f t="shared" ca="1" si="121"/>
        <v>600.95640000000003</v>
      </c>
      <c r="BU188">
        <f t="shared" ca="1" si="126"/>
        <v>1.7411977245400287</v>
      </c>
      <c r="BV188">
        <f t="shared" ca="1" si="127"/>
        <v>604.43879544908009</v>
      </c>
      <c r="BW188">
        <f t="shared" ca="1" si="128"/>
        <v>597.47400455091997</v>
      </c>
      <c r="BY188">
        <f t="shared" ca="1" si="91"/>
        <v>591.74464</v>
      </c>
      <c r="BZ188">
        <f t="shared" ca="1" si="92"/>
        <v>595.82769499999995</v>
      </c>
      <c r="CA188">
        <f t="shared" ca="1" si="93"/>
        <v>603.37945499999989</v>
      </c>
      <c r="CD188" t="str">
        <f>IF(周K!$E$3+CK188-12&gt;工作底稿!$CE$5,"周K!A"&amp;周K!$E$3-$CE$5+1+CK188-8,0)</f>
        <v>周K!A348</v>
      </c>
      <c r="CE188" s="4">
        <f t="shared" ca="1" si="106"/>
        <v>43860</v>
      </c>
      <c r="CF188" s="13">
        <f ca="1">IF($CD188=0,"",VLOOKUP($CE188,周K!$A$6:$F$6842,2,0))</f>
        <v>326</v>
      </c>
      <c r="CG188" s="13">
        <f ca="1">IF($CD188=0,"",VLOOKUP($CE188,周K!$A$6:$F$6842,3,0))</f>
        <v>326</v>
      </c>
      <c r="CH188" s="13">
        <f ca="1">IF($CD188=0,"",VLOOKUP($CE188,周K!$A$6:$F$6842,4,0))</f>
        <v>316.5</v>
      </c>
      <c r="CI188" s="13">
        <f ca="1">IF($CD188=0,"",VLOOKUP($CE188,周K!$A$6:$F$6842,5,0))</f>
        <v>320</v>
      </c>
      <c r="CJ188" s="13">
        <f ca="1">IF($CD188=0,"",VLOOKUP($CE188,周K!$A$6:$F$6842,6,0))</f>
        <v>189732</v>
      </c>
      <c r="CK188">
        <f>ROW()</f>
        <v>188</v>
      </c>
      <c r="CM188" t="str">
        <f t="shared" si="107"/>
        <v>CG184:CG188</v>
      </c>
      <c r="CN188">
        <f t="shared" si="108"/>
        <v>176</v>
      </c>
      <c r="CO188">
        <f t="shared" ca="1" si="109"/>
        <v>338.7</v>
      </c>
      <c r="CQ188" t="str">
        <f t="shared" si="110"/>
        <v>CG169:CG188</v>
      </c>
      <c r="CR188">
        <f t="shared" si="111"/>
        <v>161</v>
      </c>
      <c r="CS188">
        <f t="shared" ca="1" si="112"/>
        <v>314.25</v>
      </c>
      <c r="CU188" t="str">
        <f t="shared" si="113"/>
        <v>CG129:CG188</v>
      </c>
      <c r="CV188">
        <f t="shared" si="114"/>
        <v>121</v>
      </c>
      <c r="CW188">
        <f t="shared" ca="1" si="115"/>
        <v>268.95</v>
      </c>
      <c r="CY188">
        <f t="shared" ca="1" si="116"/>
        <v>605.73654999999997</v>
      </c>
      <c r="CZ188">
        <f t="shared" ca="1" si="120"/>
        <v>599.97920621246931</v>
      </c>
      <c r="DA188">
        <f t="shared" ca="1" si="123"/>
        <v>600.26919059747092</v>
      </c>
      <c r="DB188">
        <f t="shared" ca="1" si="122"/>
        <v>-0.28998438500161683</v>
      </c>
      <c r="DC188">
        <f t="shared" ca="1" si="124"/>
        <v>0.74974981527298545</v>
      </c>
      <c r="DD188">
        <f t="shared" ca="1" si="125"/>
        <v>-1.0397342002746024</v>
      </c>
    </row>
    <row r="189" spans="51:108" x14ac:dyDescent="0.25">
      <c r="AY189" t="str">
        <f>"日K!A"&amp;日K!$E$3-239+1+BF189-8</f>
        <v>日K!A6781</v>
      </c>
      <c r="AZ189" s="4">
        <f t="shared" ca="1" si="94"/>
        <v>44313</v>
      </c>
      <c r="BA189" s="13">
        <f t="shared" ca="1" si="95"/>
        <v>605.48760000000004</v>
      </c>
      <c r="BB189" s="13">
        <f t="shared" ca="1" si="96"/>
        <v>608.47519999999997</v>
      </c>
      <c r="BC189" s="13">
        <f t="shared" ca="1" si="97"/>
        <v>602.5</v>
      </c>
      <c r="BD189" s="13">
        <f t="shared" ca="1" si="98"/>
        <v>607.47929999999997</v>
      </c>
      <c r="BE189" s="13">
        <f t="shared" ca="1" si="99"/>
        <v>26761</v>
      </c>
      <c r="BF189">
        <f>ROW()</f>
        <v>189</v>
      </c>
      <c r="BH189" t="str">
        <f t="shared" si="100"/>
        <v>BC185:BC189</v>
      </c>
      <c r="BI189">
        <f t="shared" si="117"/>
        <v>177</v>
      </c>
      <c r="BJ189">
        <f t="shared" ca="1" si="101"/>
        <v>593.73638000000005</v>
      </c>
      <c r="BL189" t="str">
        <f t="shared" si="102"/>
        <v>BC170:BC189</v>
      </c>
      <c r="BM189">
        <f t="shared" si="118"/>
        <v>162</v>
      </c>
      <c r="BN189">
        <f t="shared" ca="1" si="103"/>
        <v>597.07252999999992</v>
      </c>
      <c r="BP189" t="str">
        <f t="shared" si="104"/>
        <v>BC130:BC189</v>
      </c>
      <c r="BQ189">
        <f t="shared" si="119"/>
        <v>122</v>
      </c>
      <c r="BR189">
        <f t="shared" ca="1" si="105"/>
        <v>603.2881666666666</v>
      </c>
      <c r="BT189">
        <f t="shared" ca="1" si="121"/>
        <v>601.9522649999999</v>
      </c>
      <c r="BU189">
        <f t="shared" ca="1" si="126"/>
        <v>2.0834435737722368</v>
      </c>
      <c r="BV189">
        <f t="shared" ca="1" si="127"/>
        <v>606.11915214754436</v>
      </c>
      <c r="BW189">
        <f t="shared" ca="1" si="128"/>
        <v>597.78537785245544</v>
      </c>
      <c r="BY189">
        <f t="shared" ca="1" si="91"/>
        <v>593.73638000000005</v>
      </c>
      <c r="BZ189">
        <f t="shared" ca="1" si="92"/>
        <v>597.07252999999992</v>
      </c>
      <c r="CA189">
        <f t="shared" ca="1" si="93"/>
        <v>603.2881666666666</v>
      </c>
      <c r="CD189" t="str">
        <f>IF(周K!$E$3+CK189-12&gt;工作底稿!$CE$5,"周K!A"&amp;周K!$E$3-$CE$5+1+CK189-8,0)</f>
        <v>周K!A349</v>
      </c>
      <c r="CE189" s="4">
        <f t="shared" ca="1" si="106"/>
        <v>43864</v>
      </c>
      <c r="CF189" s="13">
        <f ca="1">IF($CD189=0,"",VLOOKUP($CE189,周K!$A$6:$F$6842,2,0))</f>
        <v>315</v>
      </c>
      <c r="CG189" s="13">
        <f ca="1">IF($CD189=0,"",VLOOKUP($CE189,周K!$A$6:$F$6842,3,0))</f>
        <v>332.5</v>
      </c>
      <c r="CH189" s="13">
        <f ca="1">IF($CD189=0,"",VLOOKUP($CE189,周K!$A$6:$F$6842,4,0))</f>
        <v>312</v>
      </c>
      <c r="CI189" s="13">
        <f ca="1">IF($CD189=0,"",VLOOKUP($CE189,周K!$A$6:$F$6842,5,0))</f>
        <v>328</v>
      </c>
      <c r="CJ189" s="13">
        <f ca="1">IF($CD189=0,"",VLOOKUP($CE189,周K!$A$6:$F$6842,6,0))</f>
        <v>208236</v>
      </c>
      <c r="CK189">
        <f>ROW()</f>
        <v>189</v>
      </c>
      <c r="CM189" t="str">
        <f t="shared" si="107"/>
        <v>CG185:CG189</v>
      </c>
      <c r="CN189">
        <f t="shared" si="108"/>
        <v>177</v>
      </c>
      <c r="CO189">
        <f t="shared" ca="1" si="109"/>
        <v>336.2</v>
      </c>
      <c r="CQ189" t="str">
        <f t="shared" si="110"/>
        <v>CG170:CG189</v>
      </c>
      <c r="CR189">
        <f t="shared" si="111"/>
        <v>162</v>
      </c>
      <c r="CS189">
        <f t="shared" ca="1" si="112"/>
        <v>317.39999999999998</v>
      </c>
      <c r="CU189" t="str">
        <f t="shared" si="113"/>
        <v>CG130:CG189</v>
      </c>
      <c r="CV189">
        <f t="shared" si="114"/>
        <v>122</v>
      </c>
      <c r="CW189">
        <f t="shared" ca="1" si="115"/>
        <v>270.57499999999999</v>
      </c>
      <c r="CY189">
        <f t="shared" ca="1" si="116"/>
        <v>606.48344999999995</v>
      </c>
      <c r="CZ189">
        <f t="shared" ca="1" si="120"/>
        <v>600.97985910285865</v>
      </c>
      <c r="DA189">
        <f t="shared" ca="1" si="123"/>
        <v>600.72950610876944</v>
      </c>
      <c r="DB189">
        <f t="shared" ca="1" si="122"/>
        <v>0.25035299408921219</v>
      </c>
      <c r="DC189">
        <f t="shared" ca="1" si="124"/>
        <v>0.62863797079347072</v>
      </c>
      <c r="DD189">
        <f t="shared" ca="1" si="125"/>
        <v>-0.37828497670425854</v>
      </c>
    </row>
    <row r="190" spans="51:108" x14ac:dyDescent="0.25">
      <c r="AY190" t="str">
        <f>"日K!A"&amp;日K!$E$3-239+1+BF190-8</f>
        <v>日K!A6782</v>
      </c>
      <c r="AZ190" s="4">
        <f t="shared" ca="1" si="94"/>
        <v>44314</v>
      </c>
      <c r="BA190" s="13">
        <f t="shared" ca="1" si="95"/>
        <v>603.49590000000001</v>
      </c>
      <c r="BB190" s="13">
        <f t="shared" ca="1" si="96"/>
        <v>605.48760000000004</v>
      </c>
      <c r="BC190" s="13">
        <f t="shared" ca="1" si="97"/>
        <v>598.51649999999995</v>
      </c>
      <c r="BD190" s="13">
        <f t="shared" ca="1" si="98"/>
        <v>599.51239999999996</v>
      </c>
      <c r="BE190" s="13">
        <f t="shared" ca="1" si="99"/>
        <v>24601</v>
      </c>
      <c r="BF190">
        <f>ROW()</f>
        <v>190</v>
      </c>
      <c r="BH190" t="str">
        <f t="shared" si="100"/>
        <v>BC186:BC190</v>
      </c>
      <c r="BI190">
        <f t="shared" si="117"/>
        <v>178</v>
      </c>
      <c r="BJ190">
        <f t="shared" ca="1" si="101"/>
        <v>595.52893999999992</v>
      </c>
      <c r="BL190" t="str">
        <f t="shared" si="102"/>
        <v>BC171:BC190</v>
      </c>
      <c r="BM190">
        <f t="shared" si="118"/>
        <v>163</v>
      </c>
      <c r="BN190">
        <f t="shared" ca="1" si="103"/>
        <v>597.32149499999991</v>
      </c>
      <c r="BP190" t="str">
        <f t="shared" si="104"/>
        <v>BC131:BC190</v>
      </c>
      <c r="BQ190">
        <f t="shared" si="119"/>
        <v>123</v>
      </c>
      <c r="BR190">
        <f t="shared" ca="1" si="105"/>
        <v>602.83294499999988</v>
      </c>
      <c r="BT190">
        <f t="shared" ca="1" si="121"/>
        <v>602.10164499999996</v>
      </c>
      <c r="BU190">
        <f t="shared" ca="1" si="126"/>
        <v>2.3473540369528041</v>
      </c>
      <c r="BV190">
        <f t="shared" ca="1" si="127"/>
        <v>606.79635307390561</v>
      </c>
      <c r="BW190">
        <f t="shared" ca="1" si="128"/>
        <v>597.40693692609432</v>
      </c>
      <c r="BY190">
        <f t="shared" ca="1" si="91"/>
        <v>595.52893999999992</v>
      </c>
      <c r="BZ190">
        <f t="shared" ca="1" si="92"/>
        <v>597.32149499999991</v>
      </c>
      <c r="CA190">
        <f t="shared" ca="1" si="93"/>
        <v>602.83294499999988</v>
      </c>
      <c r="CD190" t="str">
        <f>IF(周K!$E$3+CK190-12&gt;工作底稿!$CE$5,"周K!A"&amp;周K!$E$3-$CE$5+1+CK190-8,0)</f>
        <v>周K!A350</v>
      </c>
      <c r="CE190" s="4">
        <f t="shared" ca="1" si="106"/>
        <v>43871</v>
      </c>
      <c r="CF190" s="13">
        <f ca="1">IF($CD190=0,"",VLOOKUP($CE190,周K!$A$6:$F$6842,2,0))</f>
        <v>321.5</v>
      </c>
      <c r="CG190" s="13">
        <f ca="1">IF($CD190=0,"",VLOOKUP($CE190,周K!$A$6:$F$6842,3,0))</f>
        <v>338</v>
      </c>
      <c r="CH190" s="13">
        <f ca="1">IF($CD190=0,"",VLOOKUP($CE190,周K!$A$6:$F$6842,4,0))</f>
        <v>321</v>
      </c>
      <c r="CI190" s="13">
        <f ca="1">IF($CD190=0,"",VLOOKUP($CE190,周K!$A$6:$F$6842,5,0))</f>
        <v>335</v>
      </c>
      <c r="CJ190" s="13">
        <f ca="1">IF($CD190=0,"",VLOOKUP($CE190,周K!$A$6:$F$6842,6,0))</f>
        <v>139034</v>
      </c>
      <c r="CK190">
        <f>ROW()</f>
        <v>190</v>
      </c>
      <c r="CM190" t="str">
        <f t="shared" si="107"/>
        <v>CG186:CG190</v>
      </c>
      <c r="CN190">
        <f t="shared" si="108"/>
        <v>178</v>
      </c>
      <c r="CO190">
        <f t="shared" ca="1" si="109"/>
        <v>335.6</v>
      </c>
      <c r="CQ190" t="str">
        <f t="shared" si="110"/>
        <v>CG171:CG190</v>
      </c>
      <c r="CR190">
        <f t="shared" si="111"/>
        <v>163</v>
      </c>
      <c r="CS190">
        <f t="shared" ca="1" si="112"/>
        <v>320.67500000000001</v>
      </c>
      <c r="CU190" t="str">
        <f t="shared" si="113"/>
        <v>CG131:CG190</v>
      </c>
      <c r="CV190">
        <f t="shared" si="114"/>
        <v>123</v>
      </c>
      <c r="CW190">
        <f t="shared" ca="1" si="115"/>
        <v>272.41666666666669</v>
      </c>
      <c r="CY190">
        <f t="shared" ca="1" si="116"/>
        <v>600.75722500000006</v>
      </c>
      <c r="CZ190">
        <f t="shared" ca="1" si="120"/>
        <v>600.9456077024189</v>
      </c>
      <c r="DA190">
        <f t="shared" ca="1" si="123"/>
        <v>600.7315593599717</v>
      </c>
      <c r="DB190">
        <f t="shared" ca="1" si="122"/>
        <v>0.2140483424471995</v>
      </c>
      <c r="DC190">
        <f t="shared" ca="1" si="124"/>
        <v>0.41404269316277958</v>
      </c>
      <c r="DD190">
        <f t="shared" ca="1" si="125"/>
        <v>-0.19999435071558008</v>
      </c>
    </row>
    <row r="191" spans="51:108" x14ac:dyDescent="0.25">
      <c r="AY191" t="str">
        <f>"日K!A"&amp;日K!$E$3-239+1+BF191-8</f>
        <v>日K!A6783</v>
      </c>
      <c r="AZ191" s="4">
        <f t="shared" ca="1" si="94"/>
        <v>44315</v>
      </c>
      <c r="BA191" s="13">
        <f t="shared" ca="1" si="95"/>
        <v>606.48350000000005</v>
      </c>
      <c r="BB191" s="13">
        <f t="shared" ca="1" si="96"/>
        <v>606.48350000000005</v>
      </c>
      <c r="BC191" s="13">
        <f t="shared" ca="1" si="97"/>
        <v>597.52070000000003</v>
      </c>
      <c r="BD191" s="13">
        <f t="shared" ca="1" si="98"/>
        <v>597.52070000000003</v>
      </c>
      <c r="BE191" s="13">
        <f t="shared" ca="1" si="99"/>
        <v>35756</v>
      </c>
      <c r="BF191">
        <f>ROW()</f>
        <v>191</v>
      </c>
      <c r="BH191" t="str">
        <f t="shared" si="100"/>
        <v>BC187:BC191</v>
      </c>
      <c r="BI191">
        <f t="shared" si="117"/>
        <v>179</v>
      </c>
      <c r="BJ191">
        <f t="shared" ca="1" si="101"/>
        <v>597.32150000000001</v>
      </c>
      <c r="BL191" t="str">
        <f t="shared" si="102"/>
        <v>BC172:BC191</v>
      </c>
      <c r="BM191">
        <f t="shared" si="118"/>
        <v>164</v>
      </c>
      <c r="BN191">
        <f t="shared" ca="1" si="103"/>
        <v>597.71984499999985</v>
      </c>
      <c r="BP191" t="str">
        <f t="shared" si="104"/>
        <v>BC132:BC191</v>
      </c>
      <c r="BQ191">
        <f t="shared" si="119"/>
        <v>124</v>
      </c>
      <c r="BR191">
        <f t="shared" ca="1" si="105"/>
        <v>602.21235666666666</v>
      </c>
      <c r="BT191">
        <f t="shared" ca="1" si="121"/>
        <v>602.25102499999991</v>
      </c>
      <c r="BU191">
        <f t="shared" ca="1" si="126"/>
        <v>2.5382954721986573</v>
      </c>
      <c r="BV191">
        <f t="shared" ca="1" si="127"/>
        <v>607.32761594439728</v>
      </c>
      <c r="BW191">
        <f t="shared" ca="1" si="128"/>
        <v>597.17443405560255</v>
      </c>
      <c r="BY191">
        <f t="shared" ca="1" si="91"/>
        <v>597.32150000000001</v>
      </c>
      <c r="BZ191">
        <f t="shared" ca="1" si="92"/>
        <v>597.71984499999985</v>
      </c>
      <c r="CA191">
        <f t="shared" ca="1" si="93"/>
        <v>602.21235666666666</v>
      </c>
      <c r="CD191" t="str">
        <f>IF(周K!$E$3+CK191-12&gt;工作底稿!$CE$5,"周K!A"&amp;周K!$E$3-$CE$5+1+CK191-8,0)</f>
        <v>周K!A351</v>
      </c>
      <c r="CE191" s="4">
        <f t="shared" ca="1" si="106"/>
        <v>43878</v>
      </c>
      <c r="CF191" s="13">
        <f ca="1">IF($CD191=0,"",VLOOKUP($CE191,周K!$A$6:$F$6842,2,0))</f>
        <v>331.5</v>
      </c>
      <c r="CG191" s="13">
        <f ca="1">IF($CD191=0,"",VLOOKUP($CE191,周K!$A$6:$F$6842,3,0))</f>
        <v>333</v>
      </c>
      <c r="CH191" s="13">
        <f ca="1">IF($CD191=0,"",VLOOKUP($CE191,周K!$A$6:$F$6842,4,0))</f>
        <v>322</v>
      </c>
      <c r="CI191" s="13">
        <f ca="1">IF($CD191=0,"",VLOOKUP($CE191,周K!$A$6:$F$6842,5,0))</f>
        <v>325</v>
      </c>
      <c r="CJ191" s="13">
        <f ca="1">IF($CD191=0,"",VLOOKUP($CE191,周K!$A$6:$F$6842,6,0))</f>
        <v>179700</v>
      </c>
      <c r="CK191">
        <f>ROW()</f>
        <v>191</v>
      </c>
      <c r="CM191" t="str">
        <f t="shared" si="107"/>
        <v>CG187:CG191</v>
      </c>
      <c r="CN191">
        <f t="shared" si="108"/>
        <v>179</v>
      </c>
      <c r="CO191">
        <f t="shared" ca="1" si="109"/>
        <v>333</v>
      </c>
      <c r="CQ191" t="str">
        <f t="shared" si="110"/>
        <v>CG172:CG191</v>
      </c>
      <c r="CR191">
        <f t="shared" si="111"/>
        <v>164</v>
      </c>
      <c r="CS191">
        <f t="shared" ca="1" si="112"/>
        <v>323.27499999999998</v>
      </c>
      <c r="CU191" t="str">
        <f t="shared" si="113"/>
        <v>CG132:CG191</v>
      </c>
      <c r="CV191">
        <f t="shared" si="114"/>
        <v>124</v>
      </c>
      <c r="CW191">
        <f t="shared" ca="1" si="115"/>
        <v>274.20833333333331</v>
      </c>
      <c r="CY191">
        <f t="shared" ca="1" si="116"/>
        <v>599.76140000000009</v>
      </c>
      <c r="CZ191">
        <f t="shared" ca="1" si="120"/>
        <v>600.76342190204673</v>
      </c>
      <c r="DA191">
        <f t="shared" ca="1" si="123"/>
        <v>600.65969570367747</v>
      </c>
      <c r="DB191">
        <f t="shared" ca="1" si="122"/>
        <v>0.10372619836925878</v>
      </c>
      <c r="DC191">
        <f t="shared" ca="1" si="124"/>
        <v>0.18602612175099389</v>
      </c>
      <c r="DD191">
        <f t="shared" ca="1" si="125"/>
        <v>-8.2299923381735113E-2</v>
      </c>
    </row>
    <row r="192" spans="51:108" x14ac:dyDescent="0.25">
      <c r="AY192" t="str">
        <f>"日K!A"&amp;日K!$E$3-239+1+BF192-8</f>
        <v>日K!A6784</v>
      </c>
      <c r="AZ192" s="4">
        <f t="shared" ca="1" si="94"/>
        <v>44319</v>
      </c>
      <c r="BA192" s="13">
        <f t="shared" ca="1" si="95"/>
        <v>592.54129999999998</v>
      </c>
      <c r="BB192" s="13">
        <f t="shared" ca="1" si="96"/>
        <v>594.53309999999999</v>
      </c>
      <c r="BC192" s="13">
        <f t="shared" ca="1" si="97"/>
        <v>585.5702</v>
      </c>
      <c r="BD192" s="13">
        <f t="shared" ca="1" si="98"/>
        <v>585.5702</v>
      </c>
      <c r="BE192" s="13">
        <f t="shared" ca="1" si="99"/>
        <v>46801</v>
      </c>
      <c r="BF192">
        <f>ROW()</f>
        <v>192</v>
      </c>
      <c r="BH192" t="str">
        <f t="shared" si="100"/>
        <v>BC188:BC192</v>
      </c>
      <c r="BI192">
        <f t="shared" si="117"/>
        <v>180</v>
      </c>
      <c r="BJ192">
        <f t="shared" ca="1" si="101"/>
        <v>596.9231400000001</v>
      </c>
      <c r="BL192" t="str">
        <f t="shared" si="102"/>
        <v>BC173:BC192</v>
      </c>
      <c r="BM192">
        <f t="shared" si="118"/>
        <v>165</v>
      </c>
      <c r="BN192">
        <f t="shared" ca="1" si="103"/>
        <v>597.76963499999988</v>
      </c>
      <c r="BP192" t="str">
        <f t="shared" si="104"/>
        <v>BC133:BC192</v>
      </c>
      <c r="BQ192">
        <f t="shared" si="119"/>
        <v>125</v>
      </c>
      <c r="BR192">
        <f t="shared" ca="1" si="105"/>
        <v>601.24382166666669</v>
      </c>
      <c r="BT192">
        <f t="shared" ca="1" si="121"/>
        <v>602.30081499999983</v>
      </c>
      <c r="BU192">
        <f t="shared" ca="1" si="126"/>
        <v>2.5602044825919998</v>
      </c>
      <c r="BV192">
        <f t="shared" ca="1" si="127"/>
        <v>607.4212239651838</v>
      </c>
      <c r="BW192">
        <f t="shared" ca="1" si="128"/>
        <v>597.18040603481586</v>
      </c>
      <c r="BY192">
        <f t="shared" ca="1" si="91"/>
        <v>596.9231400000001</v>
      </c>
      <c r="BZ192">
        <f t="shared" ca="1" si="92"/>
        <v>597.76963499999988</v>
      </c>
      <c r="CA192">
        <f t="shared" ca="1" si="93"/>
        <v>601.24382166666669</v>
      </c>
      <c r="CD192" t="str">
        <f>IF(周K!$E$3+CK192-12&gt;工作底稿!$CE$5,"周K!A"&amp;周K!$E$3-$CE$5+1+CK192-8,0)</f>
        <v>周K!A352</v>
      </c>
      <c r="CE192" s="4">
        <f t="shared" ca="1" si="106"/>
        <v>43885</v>
      </c>
      <c r="CF192" s="13">
        <f ca="1">IF($CD192=0,"",VLOOKUP($CE192,周K!$A$6:$F$6842,2,0))</f>
        <v>319.5</v>
      </c>
      <c r="CG192" s="13">
        <f ca="1">IF($CD192=0,"",VLOOKUP($CE192,周K!$A$6:$F$6842,3,0))</f>
        <v>323.5</v>
      </c>
      <c r="CH192" s="13">
        <f ca="1">IF($CD192=0,"",VLOOKUP($CE192,周K!$A$6:$F$6842,4,0))</f>
        <v>315</v>
      </c>
      <c r="CI192" s="13">
        <f ca="1">IF($CD192=0,"",VLOOKUP($CE192,周K!$A$6:$F$6842,5,0))</f>
        <v>316</v>
      </c>
      <c r="CJ192" s="13">
        <f ca="1">IF($CD192=0,"",VLOOKUP($CE192,周K!$A$6:$F$6842,6,0))</f>
        <v>204791</v>
      </c>
      <c r="CK192">
        <f>ROW()</f>
        <v>192</v>
      </c>
      <c r="CM192" t="str">
        <f t="shared" si="107"/>
        <v>CG188:CG192</v>
      </c>
      <c r="CN192">
        <f t="shared" si="108"/>
        <v>180</v>
      </c>
      <c r="CO192">
        <f t="shared" ca="1" si="109"/>
        <v>330.6</v>
      </c>
      <c r="CQ192" t="str">
        <f t="shared" si="110"/>
        <v>CG173:CG192</v>
      </c>
      <c r="CR192">
        <f t="shared" si="111"/>
        <v>165</v>
      </c>
      <c r="CS192">
        <f t="shared" ca="1" si="112"/>
        <v>325.125</v>
      </c>
      <c r="CU192" t="str">
        <f t="shared" si="113"/>
        <v>CG133:CG192</v>
      </c>
      <c r="CV192">
        <f t="shared" si="114"/>
        <v>125</v>
      </c>
      <c r="CW192">
        <f t="shared" ca="1" si="115"/>
        <v>275.84166666666664</v>
      </c>
      <c r="CY192">
        <f t="shared" ca="1" si="116"/>
        <v>587.810925</v>
      </c>
      <c r="CZ192">
        <f t="shared" ca="1" si="120"/>
        <v>598.7707300709626</v>
      </c>
      <c r="DA192">
        <f t="shared" ca="1" si="123"/>
        <v>599.70793491081247</v>
      </c>
      <c r="DB192">
        <f t="shared" ca="1" si="122"/>
        <v>-0.93720483984986913</v>
      </c>
      <c r="DC192">
        <f t="shared" ca="1" si="124"/>
        <v>-0.11169646597525368</v>
      </c>
      <c r="DD192">
        <f t="shared" ca="1" si="125"/>
        <v>-0.8255083738746154</v>
      </c>
    </row>
    <row r="193" spans="51:108" x14ac:dyDescent="0.25">
      <c r="AY193" t="str">
        <f>"日K!A"&amp;日K!$E$3-239+1+BF193-8</f>
        <v>日K!A6785</v>
      </c>
      <c r="AZ193" s="4">
        <f t="shared" ca="1" si="94"/>
        <v>44320</v>
      </c>
      <c r="BA193" s="13">
        <f t="shared" ca="1" si="95"/>
        <v>585.5702</v>
      </c>
      <c r="BB193" s="13">
        <f t="shared" ca="1" si="96"/>
        <v>591.54549999999995</v>
      </c>
      <c r="BC193" s="13">
        <f t="shared" ca="1" si="97"/>
        <v>579.59500000000003</v>
      </c>
      <c r="BD193" s="13">
        <f t="shared" ca="1" si="98"/>
        <v>588.55790000000002</v>
      </c>
      <c r="BE193" s="13">
        <f t="shared" ca="1" si="99"/>
        <v>45507</v>
      </c>
      <c r="BF193">
        <f>ROW()</f>
        <v>193</v>
      </c>
      <c r="BH193" t="str">
        <f t="shared" si="100"/>
        <v>BC189:BC193</v>
      </c>
      <c r="BI193">
        <f t="shared" si="117"/>
        <v>181</v>
      </c>
      <c r="BJ193">
        <f t="shared" ca="1" si="101"/>
        <v>592.74048000000005</v>
      </c>
      <c r="BL193" t="str">
        <f t="shared" si="102"/>
        <v>BC174:BC193</v>
      </c>
      <c r="BM193">
        <f t="shared" si="118"/>
        <v>166</v>
      </c>
      <c r="BN193">
        <f t="shared" ca="1" si="103"/>
        <v>597.17210999999986</v>
      </c>
      <c r="BP193" t="str">
        <f t="shared" si="104"/>
        <v>BC134:BC193</v>
      </c>
      <c r="BQ193">
        <f t="shared" si="119"/>
        <v>126</v>
      </c>
      <c r="BR193">
        <f t="shared" ca="1" si="105"/>
        <v>600.55589166666675</v>
      </c>
      <c r="BT193">
        <f t="shared" ca="1" si="121"/>
        <v>601.75308999999993</v>
      </c>
      <c r="BU193">
        <f t="shared" ca="1" si="126"/>
        <v>2.4833847312103261</v>
      </c>
      <c r="BV193">
        <f t="shared" ca="1" si="127"/>
        <v>606.71985946242057</v>
      </c>
      <c r="BW193">
        <f t="shared" ca="1" si="128"/>
        <v>596.78632053757929</v>
      </c>
      <c r="BY193">
        <f t="shared" ca="1" si="91"/>
        <v>592.74048000000005</v>
      </c>
      <c r="BZ193">
        <f t="shared" ca="1" si="92"/>
        <v>597.17210999999986</v>
      </c>
      <c r="CA193">
        <f t="shared" ca="1" si="93"/>
        <v>600.55589166666675</v>
      </c>
      <c r="CD193" t="str">
        <f>IF(周K!$E$3+CK193-12&gt;工作底稿!$CE$5,"周K!A"&amp;周K!$E$3-$CE$5+1+CK193-8,0)</f>
        <v>周K!A353</v>
      </c>
      <c r="CE193" s="4">
        <f t="shared" ca="1" si="106"/>
        <v>43892</v>
      </c>
      <c r="CF193" s="13">
        <f ca="1">IF($CD193=0,"",VLOOKUP($CE193,周K!$A$6:$F$6842,2,0))</f>
        <v>308</v>
      </c>
      <c r="CG193" s="13">
        <f ca="1">IF($CD193=0,"",VLOOKUP($CE193,周K!$A$6:$F$6842,3,0))</f>
        <v>326</v>
      </c>
      <c r="CH193" s="13">
        <f ca="1">IF($CD193=0,"",VLOOKUP($CE193,周K!$A$6:$F$6842,4,0))</f>
        <v>308</v>
      </c>
      <c r="CI193" s="13">
        <f ca="1">IF($CD193=0,"",VLOOKUP($CE193,周K!$A$6:$F$6842,5,0))</f>
        <v>315</v>
      </c>
      <c r="CJ193" s="13">
        <f ca="1">IF($CD193=0,"",VLOOKUP($CE193,周K!$A$6:$F$6842,6,0))</f>
        <v>277319</v>
      </c>
      <c r="CK193">
        <f>ROW()</f>
        <v>193</v>
      </c>
      <c r="CM193" t="str">
        <f t="shared" si="107"/>
        <v>CG189:CG193</v>
      </c>
      <c r="CN193">
        <f t="shared" si="108"/>
        <v>181</v>
      </c>
      <c r="CO193">
        <f t="shared" ca="1" si="109"/>
        <v>330.6</v>
      </c>
      <c r="CQ193" t="str">
        <f t="shared" si="110"/>
        <v>CG174:CG193</v>
      </c>
      <c r="CR193">
        <f t="shared" si="111"/>
        <v>166</v>
      </c>
      <c r="CS193">
        <f t="shared" ca="1" si="112"/>
        <v>326.52499999999998</v>
      </c>
      <c r="CU193" t="str">
        <f t="shared" si="113"/>
        <v>CG134:CG193</v>
      </c>
      <c r="CV193">
        <f t="shared" si="114"/>
        <v>126</v>
      </c>
      <c r="CW193">
        <f t="shared" ca="1" si="115"/>
        <v>277.5</v>
      </c>
      <c r="CY193">
        <f t="shared" ca="1" si="116"/>
        <v>587.064075</v>
      </c>
      <c r="CZ193">
        <f t="shared" ca="1" si="120"/>
        <v>596.96970621389141</v>
      </c>
      <c r="DA193">
        <f t="shared" ca="1" si="123"/>
        <v>598.77135269519681</v>
      </c>
      <c r="DB193">
        <f t="shared" ca="1" si="122"/>
        <v>-1.8016464813053972</v>
      </c>
      <c r="DC193">
        <f t="shared" ca="1" si="124"/>
        <v>-0.43857134152048932</v>
      </c>
      <c r="DD193">
        <f t="shared" ca="1" si="125"/>
        <v>-1.3630751397849079</v>
      </c>
    </row>
    <row r="194" spans="51:108" x14ac:dyDescent="0.25">
      <c r="AY194" t="str">
        <f>"日K!A"&amp;日K!$E$3-239+1+BF194-8</f>
        <v>日K!A6786</v>
      </c>
      <c r="AZ194" s="4">
        <f t="shared" ca="1" si="94"/>
        <v>44321</v>
      </c>
      <c r="BA194" s="13">
        <f t="shared" ca="1" si="95"/>
        <v>591.54549999999995</v>
      </c>
      <c r="BB194" s="13">
        <f t="shared" ca="1" si="96"/>
        <v>591.54549999999995</v>
      </c>
      <c r="BC194" s="13">
        <f t="shared" ca="1" si="97"/>
        <v>582.58259999999996</v>
      </c>
      <c r="BD194" s="13">
        <f t="shared" ca="1" si="98"/>
        <v>582.58259999999996</v>
      </c>
      <c r="BE194" s="13">
        <f t="shared" ca="1" si="99"/>
        <v>31787</v>
      </c>
      <c r="BF194">
        <f>ROW()</f>
        <v>194</v>
      </c>
      <c r="BH194" t="str">
        <f t="shared" si="100"/>
        <v>BC190:BC194</v>
      </c>
      <c r="BI194">
        <f t="shared" si="117"/>
        <v>182</v>
      </c>
      <c r="BJ194">
        <f t="shared" ca="1" si="101"/>
        <v>588.75699999999995</v>
      </c>
      <c r="BL194" t="str">
        <f t="shared" si="102"/>
        <v>BC175:BC194</v>
      </c>
      <c r="BM194">
        <f t="shared" si="118"/>
        <v>167</v>
      </c>
      <c r="BN194">
        <f t="shared" ca="1" si="103"/>
        <v>596.02685999999983</v>
      </c>
      <c r="BP194" t="str">
        <f t="shared" si="104"/>
        <v>BC135:BC194</v>
      </c>
      <c r="BQ194">
        <f t="shared" si="119"/>
        <v>127</v>
      </c>
      <c r="BR194">
        <f t="shared" ca="1" si="105"/>
        <v>600.18223666666688</v>
      </c>
      <c r="BT194">
        <f t="shared" ca="1" si="121"/>
        <v>600.50825499999996</v>
      </c>
      <c r="BU194">
        <f t="shared" ca="1" si="126"/>
        <v>2.3323395460620642</v>
      </c>
      <c r="BV194">
        <f t="shared" ca="1" si="127"/>
        <v>605.17293409212414</v>
      </c>
      <c r="BW194">
        <f t="shared" ca="1" si="128"/>
        <v>595.84357590787579</v>
      </c>
      <c r="BY194">
        <f t="shared" ca="1" si="91"/>
        <v>588.75699999999995</v>
      </c>
      <c r="BZ194">
        <f t="shared" ca="1" si="92"/>
        <v>596.02685999999983</v>
      </c>
      <c r="CA194">
        <f t="shared" ca="1" si="93"/>
        <v>600.18223666666688</v>
      </c>
      <c r="CD194" t="str">
        <f>IF(周K!$E$3+CK194-12&gt;工作底稿!$CE$5,"周K!A"&amp;周K!$E$3-$CE$5+1+CK194-8,0)</f>
        <v>周K!A354</v>
      </c>
      <c r="CE194" s="4">
        <f t="shared" ca="1" si="106"/>
        <v>43899</v>
      </c>
      <c r="CF194" s="13">
        <f ca="1">IF($CD194=0,"",VLOOKUP($CE194,周K!$A$6:$F$6842,2,0))</f>
        <v>307.5</v>
      </c>
      <c r="CG194" s="13">
        <f ca="1">IF($CD194=0,"",VLOOKUP($CE194,周K!$A$6:$F$6842,3,0))</f>
        <v>310.5</v>
      </c>
      <c r="CH194" s="13">
        <f ca="1">IF($CD194=0,"",VLOOKUP($CE194,周K!$A$6:$F$6842,4,0))</f>
        <v>272.5</v>
      </c>
      <c r="CI194" s="13">
        <f ca="1">IF($CD194=0,"",VLOOKUP($CE194,周K!$A$6:$F$6842,5,0))</f>
        <v>290</v>
      </c>
      <c r="CJ194" s="13">
        <f ca="1">IF($CD194=0,"",VLOOKUP($CE194,周K!$A$6:$F$6842,6,0))</f>
        <v>493868</v>
      </c>
      <c r="CK194">
        <f>ROW()</f>
        <v>194</v>
      </c>
      <c r="CM194" t="str">
        <f t="shared" si="107"/>
        <v>CG190:CG194</v>
      </c>
      <c r="CN194">
        <f t="shared" si="108"/>
        <v>182</v>
      </c>
      <c r="CO194">
        <f t="shared" ca="1" si="109"/>
        <v>326.2</v>
      </c>
      <c r="CQ194" t="str">
        <f t="shared" si="110"/>
        <v>CG175:CG194</v>
      </c>
      <c r="CR194">
        <f t="shared" si="111"/>
        <v>167</v>
      </c>
      <c r="CS194">
        <f t="shared" ca="1" si="112"/>
        <v>327.32499999999999</v>
      </c>
      <c r="CU194" t="str">
        <f t="shared" si="113"/>
        <v>CG135:CG194</v>
      </c>
      <c r="CV194">
        <f t="shared" si="114"/>
        <v>127</v>
      </c>
      <c r="CW194">
        <f t="shared" ca="1" si="115"/>
        <v>279</v>
      </c>
      <c r="CY194">
        <f t="shared" ca="1" si="116"/>
        <v>584.82332499999995</v>
      </c>
      <c r="CZ194">
        <f t="shared" ca="1" si="120"/>
        <v>595.10103218098504</v>
      </c>
      <c r="DA194">
        <f t="shared" ca="1" si="123"/>
        <v>597.7381654585156</v>
      </c>
      <c r="DB194">
        <f t="shared" ca="1" si="122"/>
        <v>-2.6371332775305518</v>
      </c>
      <c r="DC194">
        <f t="shared" ca="1" si="124"/>
        <v>-0.74704710875054536</v>
      </c>
      <c r="DD194">
        <f t="shared" ca="1" si="125"/>
        <v>-1.8900861687800066</v>
      </c>
    </row>
    <row r="195" spans="51:108" x14ac:dyDescent="0.25">
      <c r="AY195" t="str">
        <f>"日K!A"&amp;日K!$E$3-239+1+BF195-8</f>
        <v>日K!A6787</v>
      </c>
      <c r="AZ195" s="4">
        <f t="shared" ca="1" si="94"/>
        <v>44322</v>
      </c>
      <c r="BA195" s="13">
        <f t="shared" ca="1" si="95"/>
        <v>587.56200000000001</v>
      </c>
      <c r="BB195" s="13">
        <f t="shared" ca="1" si="96"/>
        <v>587.56200000000001</v>
      </c>
      <c r="BC195" s="13">
        <f t="shared" ca="1" si="97"/>
        <v>577.60329999999999</v>
      </c>
      <c r="BD195" s="13">
        <f t="shared" ca="1" si="98"/>
        <v>584.57439999999997</v>
      </c>
      <c r="BE195" s="13">
        <f t="shared" ca="1" si="99"/>
        <v>33165</v>
      </c>
      <c r="BF195">
        <f>ROW()</f>
        <v>195</v>
      </c>
      <c r="BH195" t="str">
        <f t="shared" si="100"/>
        <v>BC191:BC195</v>
      </c>
      <c r="BI195">
        <f t="shared" si="117"/>
        <v>183</v>
      </c>
      <c r="BJ195">
        <f t="shared" ca="1" si="101"/>
        <v>584.57435999999996</v>
      </c>
      <c r="BL195" t="str">
        <f t="shared" si="102"/>
        <v>BC176:BC195</v>
      </c>
      <c r="BM195">
        <f t="shared" si="118"/>
        <v>168</v>
      </c>
      <c r="BN195">
        <f t="shared" ca="1" si="103"/>
        <v>594.63264500000002</v>
      </c>
      <c r="BP195" t="str">
        <f t="shared" si="104"/>
        <v>BC136:BC195</v>
      </c>
      <c r="BQ195">
        <f t="shared" si="119"/>
        <v>128</v>
      </c>
      <c r="BR195">
        <f t="shared" ca="1" si="105"/>
        <v>599.70906333333369</v>
      </c>
      <c r="BT195">
        <f t="shared" ca="1" si="121"/>
        <v>599.36300999999992</v>
      </c>
      <c r="BU195">
        <f t="shared" ca="1" si="126"/>
        <v>2.1763481188064322</v>
      </c>
      <c r="BV195">
        <f t="shared" ca="1" si="127"/>
        <v>603.71570623761284</v>
      </c>
      <c r="BW195">
        <f t="shared" ca="1" si="128"/>
        <v>595.010313762387</v>
      </c>
      <c r="BY195">
        <f t="shared" ca="1" si="91"/>
        <v>584.57435999999996</v>
      </c>
      <c r="BZ195">
        <f t="shared" ca="1" si="92"/>
        <v>594.63264500000002</v>
      </c>
      <c r="CA195">
        <f t="shared" ca="1" si="93"/>
        <v>599.70906333333369</v>
      </c>
      <c r="CD195" t="str">
        <f>IF(周K!$E$3+CK195-12&gt;工作底稿!$CE$5,"周K!A"&amp;周K!$E$3-$CE$5+1+CK195-8,0)</f>
        <v>周K!A355</v>
      </c>
      <c r="CE195" s="4">
        <f t="shared" ca="1" si="106"/>
        <v>43906</v>
      </c>
      <c r="CF195" s="13">
        <f ca="1">IF($CD195=0,"",VLOOKUP($CE195,周K!$A$6:$F$6842,2,0))</f>
        <v>285</v>
      </c>
      <c r="CG195" s="13">
        <f ca="1">IF($CD195=0,"",VLOOKUP($CE195,周K!$A$6:$F$6842,3,0))</f>
        <v>291</v>
      </c>
      <c r="CH195" s="13">
        <f ca="1">IF($CD195=0,"",VLOOKUP($CE195,周K!$A$6:$F$6842,4,0))</f>
        <v>235.5</v>
      </c>
      <c r="CI195" s="13">
        <f ca="1">IF($CD195=0,"",VLOOKUP($CE195,周K!$A$6:$F$6842,5,0))</f>
        <v>270</v>
      </c>
      <c r="CJ195" s="13">
        <f ca="1">IF($CD195=0,"",VLOOKUP($CE195,周K!$A$6:$F$6842,6,0))</f>
        <v>664955</v>
      </c>
      <c r="CK195">
        <f>ROW()</f>
        <v>195</v>
      </c>
      <c r="CM195" t="str">
        <f t="shared" si="107"/>
        <v>CG191:CG195</v>
      </c>
      <c r="CN195">
        <f t="shared" si="108"/>
        <v>183</v>
      </c>
      <c r="CO195">
        <f t="shared" ca="1" si="109"/>
        <v>316.8</v>
      </c>
      <c r="CQ195" t="str">
        <f t="shared" si="110"/>
        <v>CG176:CG195</v>
      </c>
      <c r="CR195">
        <f t="shared" si="111"/>
        <v>168</v>
      </c>
      <c r="CS195">
        <f t="shared" ca="1" si="112"/>
        <v>326.8</v>
      </c>
      <c r="CU195" t="str">
        <f t="shared" si="113"/>
        <v>CG136:CG195</v>
      </c>
      <c r="CV195">
        <f t="shared" si="114"/>
        <v>128</v>
      </c>
      <c r="CW195">
        <f t="shared" ca="1" si="115"/>
        <v>280.16666666666669</v>
      </c>
      <c r="CY195">
        <f t="shared" ca="1" si="116"/>
        <v>583.57852500000001</v>
      </c>
      <c r="CZ195">
        <f t="shared" ca="1" si="120"/>
        <v>593.32833876852578</v>
      </c>
      <c r="DA195">
        <f t="shared" ca="1" si="123"/>
        <v>596.68930320232926</v>
      </c>
      <c r="DB195">
        <f t="shared" ca="1" si="122"/>
        <v>-3.3609644338034741</v>
      </c>
      <c r="DC195">
        <f t="shared" ca="1" si="124"/>
        <v>-1.0397990327706137</v>
      </c>
      <c r="DD195">
        <f t="shared" ca="1" si="125"/>
        <v>-2.3211654010328604</v>
      </c>
    </row>
    <row r="196" spans="51:108" x14ac:dyDescent="0.25">
      <c r="AY196" t="str">
        <f>"日K!A"&amp;日K!$E$3-239+1+BF196-8</f>
        <v>日K!A6788</v>
      </c>
      <c r="AZ196" s="4">
        <f t="shared" ca="1" si="94"/>
        <v>44323</v>
      </c>
      <c r="BA196" s="13">
        <f t="shared" ca="1" si="95"/>
        <v>591.54549999999995</v>
      </c>
      <c r="BB196" s="13">
        <f t="shared" ca="1" si="96"/>
        <v>597.52070000000003</v>
      </c>
      <c r="BC196" s="13">
        <f t="shared" ca="1" si="97"/>
        <v>586.56610000000001</v>
      </c>
      <c r="BD196" s="13">
        <f t="shared" ca="1" si="98"/>
        <v>596.52480000000003</v>
      </c>
      <c r="BE196" s="13">
        <f t="shared" ca="1" si="99"/>
        <v>28720</v>
      </c>
      <c r="BF196">
        <f>ROW()</f>
        <v>196</v>
      </c>
      <c r="BH196" t="str">
        <f t="shared" si="100"/>
        <v>BC192:BC196</v>
      </c>
      <c r="BI196">
        <f t="shared" si="117"/>
        <v>184</v>
      </c>
      <c r="BJ196">
        <f t="shared" ca="1" si="101"/>
        <v>582.38343999999995</v>
      </c>
      <c r="BL196" t="str">
        <f t="shared" si="102"/>
        <v>BC177:BC196</v>
      </c>
      <c r="BM196">
        <f t="shared" si="118"/>
        <v>169</v>
      </c>
      <c r="BN196">
        <f t="shared" ca="1" si="103"/>
        <v>593.93553499999996</v>
      </c>
      <c r="BP196" t="str">
        <f t="shared" si="104"/>
        <v>BC137:BC196</v>
      </c>
      <c r="BQ196">
        <f t="shared" si="119"/>
        <v>129</v>
      </c>
      <c r="BR196">
        <f t="shared" ca="1" si="105"/>
        <v>599.60016166666685</v>
      </c>
      <c r="BT196">
        <f t="shared" ca="1" si="121"/>
        <v>598.66590499999995</v>
      </c>
      <c r="BU196">
        <f t="shared" ca="1" si="126"/>
        <v>2.0795659845057615</v>
      </c>
      <c r="BV196">
        <f t="shared" ca="1" si="127"/>
        <v>602.82503696901142</v>
      </c>
      <c r="BW196">
        <f t="shared" ca="1" si="128"/>
        <v>594.50677303098848</v>
      </c>
      <c r="BY196">
        <f t="shared" ca="1" si="91"/>
        <v>582.38343999999995</v>
      </c>
      <c r="BZ196">
        <f t="shared" ca="1" si="92"/>
        <v>593.93553499999996</v>
      </c>
      <c r="CA196">
        <f t="shared" ca="1" si="93"/>
        <v>599.60016166666685</v>
      </c>
      <c r="CD196" t="str">
        <f>IF(周K!$E$3+CK196-12&gt;工作底稿!$CE$5,"周K!A"&amp;周K!$E$3-$CE$5+1+CK196-8,0)</f>
        <v>周K!A356</v>
      </c>
      <c r="CE196" s="4">
        <f t="shared" ca="1" si="106"/>
        <v>43913</v>
      </c>
      <c r="CF196" s="13">
        <f ca="1">IF($CD196=0,"",VLOOKUP($CE196,周K!$A$6:$F$6842,2,0))</f>
        <v>257</v>
      </c>
      <c r="CG196" s="13">
        <f ca="1">IF($CD196=0,"",VLOOKUP($CE196,周K!$A$6:$F$6842,3,0))</f>
        <v>286</v>
      </c>
      <c r="CH196" s="13">
        <f ca="1">IF($CD196=0,"",VLOOKUP($CE196,周K!$A$6:$F$6842,4,0))</f>
        <v>252</v>
      </c>
      <c r="CI196" s="13">
        <f ca="1">IF($CD196=0,"",VLOOKUP($CE196,周K!$A$6:$F$6842,5,0))</f>
        <v>273</v>
      </c>
      <c r="CJ196" s="13">
        <f ca="1">IF($CD196=0,"",VLOOKUP($CE196,周K!$A$6:$F$6842,6,0))</f>
        <v>363366</v>
      </c>
      <c r="CK196">
        <f>ROW()</f>
        <v>196</v>
      </c>
      <c r="CM196" t="str">
        <f t="shared" si="107"/>
        <v>CG192:CG196</v>
      </c>
      <c r="CN196">
        <f t="shared" si="108"/>
        <v>184</v>
      </c>
      <c r="CO196">
        <f t="shared" ca="1" si="109"/>
        <v>307.39999999999998</v>
      </c>
      <c r="CQ196" t="str">
        <f t="shared" si="110"/>
        <v>CG177:CG196</v>
      </c>
      <c r="CR196">
        <f t="shared" si="111"/>
        <v>169</v>
      </c>
      <c r="CS196">
        <f t="shared" ca="1" si="112"/>
        <v>325.52499999999998</v>
      </c>
      <c r="CU196" t="str">
        <f t="shared" si="113"/>
        <v>CG137:CG196</v>
      </c>
      <c r="CV196">
        <f t="shared" si="114"/>
        <v>129</v>
      </c>
      <c r="CW196">
        <f t="shared" ca="1" si="115"/>
        <v>281.14999999999998</v>
      </c>
      <c r="CY196">
        <f t="shared" ca="1" si="116"/>
        <v>594.28410000000008</v>
      </c>
      <c r="CZ196">
        <f t="shared" ca="1" si="120"/>
        <v>593.47537895798337</v>
      </c>
      <c r="DA196">
        <f t="shared" ca="1" si="123"/>
        <v>596.51114000215671</v>
      </c>
      <c r="DB196">
        <f t="shared" ca="1" si="122"/>
        <v>-3.0357610441733414</v>
      </c>
      <c r="DC196">
        <f t="shared" ca="1" si="124"/>
        <v>-1.2771741029731756</v>
      </c>
      <c r="DD196">
        <f t="shared" ca="1" si="125"/>
        <v>-1.7585869412001658</v>
      </c>
    </row>
    <row r="197" spans="51:108" x14ac:dyDescent="0.25">
      <c r="AY197" t="str">
        <f>"日K!A"&amp;日K!$E$3-239+1+BF197-8</f>
        <v>日K!A6789</v>
      </c>
      <c r="AZ197" s="4">
        <f t="shared" ca="1" si="94"/>
        <v>44326</v>
      </c>
      <c r="BA197" s="13">
        <f t="shared" ca="1" si="95"/>
        <v>593.53719999999998</v>
      </c>
      <c r="BB197" s="13">
        <f t="shared" ca="1" si="96"/>
        <v>594.53309999999999</v>
      </c>
      <c r="BC197" s="13">
        <f t="shared" ca="1" si="97"/>
        <v>585.5702</v>
      </c>
      <c r="BD197" s="13">
        <f t="shared" ca="1" si="98"/>
        <v>586.56610000000001</v>
      </c>
      <c r="BE197" s="13">
        <f t="shared" ca="1" si="99"/>
        <v>21366</v>
      </c>
      <c r="BF197">
        <f>ROW()</f>
        <v>197</v>
      </c>
      <c r="BH197" t="str">
        <f t="shared" si="100"/>
        <v>BC193:BC197</v>
      </c>
      <c r="BI197">
        <f t="shared" si="117"/>
        <v>185</v>
      </c>
      <c r="BJ197">
        <f t="shared" ca="1" si="101"/>
        <v>582.38343999999995</v>
      </c>
      <c r="BL197" t="str">
        <f t="shared" si="102"/>
        <v>BC178:BC197</v>
      </c>
      <c r="BM197">
        <f t="shared" si="118"/>
        <v>170</v>
      </c>
      <c r="BN197">
        <f t="shared" ca="1" si="103"/>
        <v>592.88987000000009</v>
      </c>
      <c r="BP197" t="str">
        <f t="shared" si="104"/>
        <v>BC138:BC197</v>
      </c>
      <c r="BQ197">
        <f t="shared" si="119"/>
        <v>130</v>
      </c>
      <c r="BR197">
        <f t="shared" ca="1" si="105"/>
        <v>599.59037333333379</v>
      </c>
      <c r="BT197">
        <f t="shared" ca="1" si="121"/>
        <v>597.62024499999984</v>
      </c>
      <c r="BU197">
        <f t="shared" ca="1" si="126"/>
        <v>2.0516469923268814</v>
      </c>
      <c r="BV197">
        <f t="shared" ca="1" si="127"/>
        <v>601.7235389846536</v>
      </c>
      <c r="BW197">
        <f t="shared" ca="1" si="128"/>
        <v>593.51695101534608</v>
      </c>
      <c r="BY197">
        <f t="shared" ca="1" si="91"/>
        <v>582.38343999999995</v>
      </c>
      <c r="BZ197">
        <f t="shared" ca="1" si="92"/>
        <v>592.88987000000009</v>
      </c>
      <c r="CA197">
        <f t="shared" ca="1" si="93"/>
        <v>599.59037333333379</v>
      </c>
      <c r="CD197" t="str">
        <f>IF(周K!$E$3+CK197-12&gt;工作底稿!$CE$5,"周K!A"&amp;周K!$E$3-$CE$5+1+CK197-8,0)</f>
        <v>周K!A357</v>
      </c>
      <c r="CE197" s="4">
        <f t="shared" ca="1" si="106"/>
        <v>43920</v>
      </c>
      <c r="CF197" s="13">
        <f ca="1">IF($CD197=0,"",VLOOKUP($CE197,周K!$A$6:$F$6842,2,0))</f>
        <v>263.5</v>
      </c>
      <c r="CG197" s="13">
        <f ca="1">IF($CD197=0,"",VLOOKUP($CE197,周K!$A$6:$F$6842,3,0))</f>
        <v>276.5</v>
      </c>
      <c r="CH197" s="13">
        <f ca="1">IF($CD197=0,"",VLOOKUP($CE197,周K!$A$6:$F$6842,4,0))</f>
        <v>262.5</v>
      </c>
      <c r="CI197" s="13">
        <f ca="1">IF($CD197=0,"",VLOOKUP($CE197,周K!$A$6:$F$6842,5,0))</f>
        <v>271.5</v>
      </c>
      <c r="CJ197" s="13">
        <f ca="1">IF($CD197=0,"",VLOOKUP($CE197,周K!$A$6:$F$6842,6,0))</f>
        <v>154878</v>
      </c>
      <c r="CK197">
        <f>ROW()</f>
        <v>197</v>
      </c>
      <c r="CM197" t="str">
        <f t="shared" si="107"/>
        <v>CG193:CG197</v>
      </c>
      <c r="CN197">
        <f t="shared" si="108"/>
        <v>185</v>
      </c>
      <c r="CO197">
        <f t="shared" ca="1" si="109"/>
        <v>298</v>
      </c>
      <c r="CQ197" t="str">
        <f t="shared" si="110"/>
        <v>CG178:CG197</v>
      </c>
      <c r="CR197">
        <f t="shared" si="111"/>
        <v>170</v>
      </c>
      <c r="CS197">
        <f t="shared" ca="1" si="112"/>
        <v>323.97500000000002</v>
      </c>
      <c r="CU197" t="str">
        <f t="shared" si="113"/>
        <v>CG138:CG197</v>
      </c>
      <c r="CV197">
        <f t="shared" si="114"/>
        <v>130</v>
      </c>
      <c r="CW197">
        <f t="shared" ca="1" si="115"/>
        <v>281.93333333333334</v>
      </c>
      <c r="CY197">
        <f t="shared" ca="1" si="116"/>
        <v>588.30887499999994</v>
      </c>
      <c r="CZ197">
        <f t="shared" ca="1" si="120"/>
        <v>592.68053219521676</v>
      </c>
      <c r="DA197">
        <f t="shared" ca="1" si="123"/>
        <v>595.90356481681181</v>
      </c>
      <c r="DB197">
        <f t="shared" ca="1" si="122"/>
        <v>-3.2230326215950527</v>
      </c>
      <c r="DC197">
        <f t="shared" ca="1" si="124"/>
        <v>-1.6030683514835573</v>
      </c>
      <c r="DD197">
        <f t="shared" ca="1" si="125"/>
        <v>-1.6199642701114954</v>
      </c>
    </row>
    <row r="198" spans="51:108" x14ac:dyDescent="0.25">
      <c r="AY198" t="str">
        <f>"日K!A"&amp;日K!$E$3-239+1+BF198-8</f>
        <v>日K!A6790</v>
      </c>
      <c r="AZ198" s="4">
        <f t="shared" ca="1" si="94"/>
        <v>44327</v>
      </c>
      <c r="BA198" s="13">
        <f t="shared" ca="1" si="95"/>
        <v>576.60739999999998</v>
      </c>
      <c r="BB198" s="13">
        <f t="shared" ca="1" si="96"/>
        <v>577.60329999999999</v>
      </c>
      <c r="BC198" s="13">
        <f t="shared" ca="1" si="97"/>
        <v>567.64459999999997</v>
      </c>
      <c r="BD198" s="13">
        <f t="shared" ca="1" si="98"/>
        <v>568.64049999999997</v>
      </c>
      <c r="BE198" s="13">
        <f t="shared" ca="1" si="99"/>
        <v>66036</v>
      </c>
      <c r="BF198">
        <f>ROW()</f>
        <v>198</v>
      </c>
      <c r="BH198" t="str">
        <f t="shared" si="100"/>
        <v>BC194:BC198</v>
      </c>
      <c r="BI198">
        <f t="shared" si="117"/>
        <v>186</v>
      </c>
      <c r="BJ198">
        <f t="shared" ca="1" si="101"/>
        <v>579.99336000000005</v>
      </c>
      <c r="BL198" t="str">
        <f t="shared" si="102"/>
        <v>BC179:BC198</v>
      </c>
      <c r="BM198">
        <f t="shared" si="118"/>
        <v>171</v>
      </c>
      <c r="BN198">
        <f t="shared" ca="1" si="103"/>
        <v>591.24668499999984</v>
      </c>
      <c r="BP198" t="str">
        <f t="shared" si="104"/>
        <v>BC139:BC198</v>
      </c>
      <c r="BQ198">
        <f t="shared" si="119"/>
        <v>131</v>
      </c>
      <c r="BR198">
        <f t="shared" ca="1" si="105"/>
        <v>599.3479450000001</v>
      </c>
      <c r="BT198">
        <f t="shared" ca="1" si="121"/>
        <v>595.92726999999991</v>
      </c>
      <c r="BU198">
        <f t="shared" ca="1" si="126"/>
        <v>2.1214524930150267</v>
      </c>
      <c r="BV198">
        <f t="shared" ca="1" si="127"/>
        <v>600.17017498602991</v>
      </c>
      <c r="BW198">
        <f t="shared" ca="1" si="128"/>
        <v>591.68436501396991</v>
      </c>
      <c r="BY198">
        <f t="shared" ca="1" si="91"/>
        <v>579.99336000000005</v>
      </c>
      <c r="BZ198">
        <f t="shared" ca="1" si="92"/>
        <v>591.24668499999984</v>
      </c>
      <c r="CA198">
        <f t="shared" ca="1" si="93"/>
        <v>599.3479450000001</v>
      </c>
      <c r="CD198" t="str">
        <f>IF(周K!$E$3+CK198-12&gt;工作底稿!$CE$5,"周K!A"&amp;周K!$E$3-$CE$5+1+CK198-8,0)</f>
        <v>周K!A358</v>
      </c>
      <c r="CE198" s="4">
        <f t="shared" ca="1" si="106"/>
        <v>43927</v>
      </c>
      <c r="CF198" s="13">
        <f ca="1">IF($CD198=0,"",VLOOKUP($CE198,周K!$A$6:$F$6842,2,0))</f>
        <v>273</v>
      </c>
      <c r="CG198" s="13">
        <f ca="1">IF($CD198=0,"",VLOOKUP($CE198,周K!$A$6:$F$6842,3,0))</f>
        <v>288</v>
      </c>
      <c r="CH198" s="13">
        <f ca="1">IF($CD198=0,"",VLOOKUP($CE198,周K!$A$6:$F$6842,4,0))</f>
        <v>270</v>
      </c>
      <c r="CI198" s="13">
        <f ca="1">IF($CD198=0,"",VLOOKUP($CE198,周K!$A$6:$F$6842,5,0))</f>
        <v>279.5</v>
      </c>
      <c r="CJ198" s="13">
        <f ca="1">IF($CD198=0,"",VLOOKUP($CE198,周K!$A$6:$F$6842,6,0))</f>
        <v>204782</v>
      </c>
      <c r="CK198">
        <f>ROW()</f>
        <v>198</v>
      </c>
      <c r="CM198" t="str">
        <f t="shared" si="107"/>
        <v>CG194:CG198</v>
      </c>
      <c r="CN198">
        <f t="shared" si="108"/>
        <v>186</v>
      </c>
      <c r="CO198">
        <f t="shared" ca="1" si="109"/>
        <v>290.39999999999998</v>
      </c>
      <c r="CQ198" t="str">
        <f t="shared" si="110"/>
        <v>CG179:CG198</v>
      </c>
      <c r="CR198">
        <f t="shared" si="111"/>
        <v>171</v>
      </c>
      <c r="CS198">
        <f t="shared" ca="1" si="112"/>
        <v>322.625</v>
      </c>
      <c r="CU198" t="str">
        <f t="shared" si="113"/>
        <v>CG139:CG198</v>
      </c>
      <c r="CV198">
        <f t="shared" si="114"/>
        <v>131</v>
      </c>
      <c r="CW198">
        <f t="shared" ca="1" si="115"/>
        <v>282.86666666666667</v>
      </c>
      <c r="CY198">
        <f t="shared" ca="1" si="116"/>
        <v>570.63222499999995</v>
      </c>
      <c r="CZ198">
        <f t="shared" ca="1" si="120"/>
        <v>589.28848493441421</v>
      </c>
      <c r="DA198">
        <f t="shared" ca="1" si="123"/>
        <v>594.03161371927013</v>
      </c>
      <c r="DB198">
        <f t="shared" ca="1" si="122"/>
        <v>-4.7431287848559123</v>
      </c>
      <c r="DC198">
        <f t="shared" ca="1" si="124"/>
        <v>-2.1578996602552376</v>
      </c>
      <c r="DD198">
        <f t="shared" ca="1" si="125"/>
        <v>-2.5852291246006747</v>
      </c>
    </row>
    <row r="199" spans="51:108" x14ac:dyDescent="0.25">
      <c r="AY199" t="str">
        <f>"日K!A"&amp;日K!$E$3-239+1+BF199-8</f>
        <v>日K!A6791</v>
      </c>
      <c r="AZ199" s="4">
        <f t="shared" ca="1" si="94"/>
        <v>44328</v>
      </c>
      <c r="BA199" s="13">
        <f t="shared" ca="1" si="95"/>
        <v>564.65700000000004</v>
      </c>
      <c r="BB199" s="13">
        <f t="shared" ca="1" si="96"/>
        <v>568.64049999999997</v>
      </c>
      <c r="BC199" s="13">
        <f t="shared" ca="1" si="97"/>
        <v>515.85950000000003</v>
      </c>
      <c r="BD199" s="13">
        <f t="shared" ca="1" si="98"/>
        <v>557.68600000000004</v>
      </c>
      <c r="BE199" s="13">
        <f t="shared" ca="1" si="99"/>
        <v>138329</v>
      </c>
      <c r="BF199">
        <f>ROW()</f>
        <v>199</v>
      </c>
      <c r="BH199" t="str">
        <f t="shared" si="100"/>
        <v>BC195:BC199</v>
      </c>
      <c r="BI199">
        <f t="shared" si="117"/>
        <v>187</v>
      </c>
      <c r="BJ199">
        <f t="shared" ca="1" si="101"/>
        <v>566.64873999999998</v>
      </c>
      <c r="BL199" t="str">
        <f t="shared" si="102"/>
        <v>BC180:BC199</v>
      </c>
      <c r="BM199">
        <f t="shared" si="118"/>
        <v>172</v>
      </c>
      <c r="BN199">
        <f t="shared" ca="1" si="103"/>
        <v>586.96445500000004</v>
      </c>
      <c r="BP199" t="str">
        <f t="shared" si="104"/>
        <v>BC140:BC199</v>
      </c>
      <c r="BQ199">
        <f t="shared" si="119"/>
        <v>132</v>
      </c>
      <c r="BR199">
        <f t="shared" ca="1" si="105"/>
        <v>597.6638783333334</v>
      </c>
      <c r="BT199">
        <f t="shared" ca="1" si="121"/>
        <v>593.68656999999985</v>
      </c>
      <c r="BU199">
        <f t="shared" ca="1" si="126"/>
        <v>2.388474736143773</v>
      </c>
      <c r="BV199">
        <f t="shared" ca="1" si="127"/>
        <v>598.46351947228743</v>
      </c>
      <c r="BW199">
        <f t="shared" ca="1" si="128"/>
        <v>588.90962052771226</v>
      </c>
      <c r="BY199">
        <f t="shared" ca="1" si="91"/>
        <v>566.64873999999998</v>
      </c>
      <c r="BZ199">
        <f t="shared" ca="1" si="92"/>
        <v>586.96445500000004</v>
      </c>
      <c r="CA199">
        <f t="shared" ca="1" si="93"/>
        <v>597.6638783333334</v>
      </c>
      <c r="CD199" t="str">
        <f>IF(周K!$E$3+CK199-12&gt;工作底稿!$CE$5,"周K!A"&amp;周K!$E$3-$CE$5+1+CK199-8,0)</f>
        <v>周K!A359</v>
      </c>
      <c r="CE199" s="4">
        <f t="shared" ca="1" si="106"/>
        <v>43934</v>
      </c>
      <c r="CF199" s="13">
        <f ca="1">IF($CD199=0,"",VLOOKUP($CE199,周K!$A$6:$F$6842,2,0))</f>
        <v>278.5</v>
      </c>
      <c r="CG199" s="13">
        <f ca="1">IF($CD199=0,"",VLOOKUP($CE199,周K!$A$6:$F$6842,3,0))</f>
        <v>308.5</v>
      </c>
      <c r="CH199" s="13">
        <f ca="1">IF($CD199=0,"",VLOOKUP($CE199,周K!$A$6:$F$6842,4,0))</f>
        <v>278.5</v>
      </c>
      <c r="CI199" s="13">
        <f ca="1">IF($CD199=0,"",VLOOKUP($CE199,周K!$A$6:$F$6842,5,0))</f>
        <v>306.5</v>
      </c>
      <c r="CJ199" s="13">
        <f ca="1">IF($CD199=0,"",VLOOKUP($CE199,周K!$A$6:$F$6842,6,0))</f>
        <v>296659</v>
      </c>
      <c r="CK199">
        <f>ROW()</f>
        <v>199</v>
      </c>
      <c r="CM199" t="str">
        <f t="shared" si="107"/>
        <v>CG195:CG199</v>
      </c>
      <c r="CN199">
        <f t="shared" si="108"/>
        <v>187</v>
      </c>
      <c r="CO199">
        <f t="shared" ca="1" si="109"/>
        <v>290</v>
      </c>
      <c r="CQ199" t="str">
        <f t="shared" si="110"/>
        <v>CG180:CG199</v>
      </c>
      <c r="CR199">
        <f t="shared" si="111"/>
        <v>172</v>
      </c>
      <c r="CS199">
        <f t="shared" ca="1" si="112"/>
        <v>322.45</v>
      </c>
      <c r="CU199" t="str">
        <f t="shared" si="113"/>
        <v>CG140:CG199</v>
      </c>
      <c r="CV199">
        <f t="shared" si="114"/>
        <v>132</v>
      </c>
      <c r="CW199">
        <f t="shared" ca="1" si="115"/>
        <v>284.06666666666666</v>
      </c>
      <c r="CY199">
        <f t="shared" ca="1" si="116"/>
        <v>549.96800000000007</v>
      </c>
      <c r="CZ199">
        <f t="shared" ca="1" si="120"/>
        <v>583.23917955988895</v>
      </c>
      <c r="DA199">
        <f t="shared" ca="1" si="123"/>
        <v>590.76764233265749</v>
      </c>
      <c r="DB199">
        <f t="shared" ca="1" si="122"/>
        <v>-7.5284627727685347</v>
      </c>
      <c r="DC199">
        <f t="shared" ca="1" si="124"/>
        <v>-3.018178673056986</v>
      </c>
      <c r="DD199">
        <f t="shared" ca="1" si="125"/>
        <v>-4.5102840997115488</v>
      </c>
    </row>
    <row r="200" spans="51:108" x14ac:dyDescent="0.25">
      <c r="AY200" t="str">
        <f>"日K!A"&amp;日K!$E$3-239+1+BF200-8</f>
        <v>日K!A6792</v>
      </c>
      <c r="AZ200" s="4">
        <f t="shared" ca="1" si="94"/>
        <v>44329</v>
      </c>
      <c r="BA200" s="13">
        <f t="shared" ca="1" si="95"/>
        <v>544.73969999999997</v>
      </c>
      <c r="BB200" s="13">
        <f t="shared" ca="1" si="96"/>
        <v>560.67359999999996</v>
      </c>
      <c r="BC200" s="13">
        <f t="shared" ca="1" si="97"/>
        <v>538.7645</v>
      </c>
      <c r="BD200" s="13">
        <f t="shared" ca="1" si="98"/>
        <v>544.73969999999997</v>
      </c>
      <c r="BE200" s="13">
        <f t="shared" ca="1" si="99"/>
        <v>71519</v>
      </c>
      <c r="BF200">
        <f>ROW()</f>
        <v>200</v>
      </c>
      <c r="BH200" t="str">
        <f t="shared" si="100"/>
        <v>BC196:BC200</v>
      </c>
      <c r="BI200">
        <f t="shared" si="117"/>
        <v>188</v>
      </c>
      <c r="BJ200">
        <f t="shared" ca="1" si="101"/>
        <v>558.88098000000014</v>
      </c>
      <c r="BL200" t="str">
        <f t="shared" si="102"/>
        <v>BC181:BC200</v>
      </c>
      <c r="BM200">
        <f t="shared" si="118"/>
        <v>173</v>
      </c>
      <c r="BN200">
        <f t="shared" ca="1" si="103"/>
        <v>584.02664500000003</v>
      </c>
      <c r="BP200" t="str">
        <f t="shared" si="104"/>
        <v>BC141:BC200</v>
      </c>
      <c r="BQ200">
        <f t="shared" si="119"/>
        <v>133</v>
      </c>
      <c r="BR200">
        <f t="shared" ca="1" si="105"/>
        <v>596.22932000000026</v>
      </c>
      <c r="BT200">
        <f t="shared" ca="1" si="121"/>
        <v>590.44999999999982</v>
      </c>
      <c r="BU200">
        <f t="shared" ca="1" si="126"/>
        <v>3.0290379361155524</v>
      </c>
      <c r="BV200">
        <f t="shared" ca="1" si="127"/>
        <v>596.50807587223096</v>
      </c>
      <c r="BW200">
        <f t="shared" ca="1" si="128"/>
        <v>584.39192412776868</v>
      </c>
      <c r="BY200">
        <f t="shared" ref="BY200:BY251" ca="1" si="129">IF($BZ$5="MA",BJ200,BT200)</f>
        <v>558.88098000000014</v>
      </c>
      <c r="BZ200">
        <f t="shared" ref="BZ200:BZ251" ca="1" si="130">IF($BZ$5="MA",BN200,BV200)</f>
        <v>584.02664500000003</v>
      </c>
      <c r="CA200">
        <f t="shared" ref="CA200:CA251" ca="1" si="131">IF($BZ$5="MA",BR200,BW200)</f>
        <v>596.22932000000026</v>
      </c>
      <c r="CD200" t="str">
        <f>IF(周K!$E$3+CK200-12&gt;工作底稿!$CE$5,"周K!A"&amp;周K!$E$3-$CE$5+1+CK200-8,0)</f>
        <v>周K!A360</v>
      </c>
      <c r="CE200" s="4">
        <f t="shared" ca="1" si="106"/>
        <v>43941</v>
      </c>
      <c r="CF200" s="13">
        <f ca="1">IF($CD200=0,"",VLOOKUP($CE200,周K!$A$6:$F$6842,2,0))</f>
        <v>308</v>
      </c>
      <c r="CG200" s="13">
        <f ca="1">IF($CD200=0,"",VLOOKUP($CE200,周K!$A$6:$F$6842,3,0))</f>
        <v>309</v>
      </c>
      <c r="CH200" s="13">
        <f ca="1">IF($CD200=0,"",VLOOKUP($CE200,周K!$A$6:$F$6842,4,0))</f>
        <v>290.5</v>
      </c>
      <c r="CI200" s="13">
        <f ca="1">IF($CD200=0,"",VLOOKUP($CE200,周K!$A$6:$F$6842,5,0))</f>
        <v>294</v>
      </c>
      <c r="CJ200" s="13">
        <f ca="1">IF($CD200=0,"",VLOOKUP($CE200,周K!$A$6:$F$6842,6,0))</f>
        <v>216547</v>
      </c>
      <c r="CK200">
        <f>ROW()</f>
        <v>200</v>
      </c>
      <c r="CM200" t="str">
        <f t="shared" si="107"/>
        <v>CG196:CG200</v>
      </c>
      <c r="CN200">
        <f t="shared" si="108"/>
        <v>188</v>
      </c>
      <c r="CO200">
        <f t="shared" ca="1" si="109"/>
        <v>293.60000000000002</v>
      </c>
      <c r="CQ200" t="str">
        <f t="shared" si="110"/>
        <v>CG181:CG200</v>
      </c>
      <c r="CR200">
        <f t="shared" si="111"/>
        <v>173</v>
      </c>
      <c r="CS200">
        <f t="shared" ca="1" si="112"/>
        <v>322.10000000000002</v>
      </c>
      <c r="CU200" t="str">
        <f t="shared" si="113"/>
        <v>CG141:CG200</v>
      </c>
      <c r="CV200">
        <f t="shared" si="114"/>
        <v>133</v>
      </c>
      <c r="CW200">
        <f t="shared" ca="1" si="115"/>
        <v>285.21666666666664</v>
      </c>
      <c r="CY200">
        <f t="shared" ca="1" si="116"/>
        <v>547.22937499999989</v>
      </c>
      <c r="CZ200">
        <f t="shared" ca="1" si="120"/>
        <v>577.69920962759829</v>
      </c>
      <c r="DA200">
        <f t="shared" ca="1" si="123"/>
        <v>587.54258549320139</v>
      </c>
      <c r="DB200">
        <f t="shared" ca="1" si="122"/>
        <v>-9.8433758656030932</v>
      </c>
      <c r="DC200">
        <f t="shared" ca="1" si="124"/>
        <v>-4.1234122357205809</v>
      </c>
      <c r="DD200">
        <f t="shared" ca="1" si="125"/>
        <v>-5.7199636298825123</v>
      </c>
    </row>
    <row r="201" spans="51:108" x14ac:dyDescent="0.25">
      <c r="AY201" t="str">
        <f>"日K!A"&amp;日K!$E$3-239+1+BF201-8</f>
        <v>日K!A6793</v>
      </c>
      <c r="AZ201" s="4">
        <f t="shared" ref="AZ201:AZ251" ca="1" si="132">INDIRECT(AY201)</f>
        <v>44330</v>
      </c>
      <c r="BA201" s="13">
        <f t="shared" ref="BA201:BA251" ca="1" si="133">VLOOKUP($AZ201,INDIRECT($AY$7),2,0)</f>
        <v>553.70249999999999</v>
      </c>
      <c r="BB201" s="13">
        <f t="shared" ref="BB201:BB251" ca="1" si="134">VLOOKUP($AZ201,INDIRECT($AY$7),3,0)</f>
        <v>559.67769999999996</v>
      </c>
      <c r="BC201" s="13">
        <f t="shared" ref="BC201:BC251" ca="1" si="135">VLOOKUP($AZ201,INDIRECT($AY$7),4,0)</f>
        <v>549.71900000000005</v>
      </c>
      <c r="BD201" s="13">
        <f t="shared" ref="BD201:BD251" ca="1" si="136">VLOOKUP($AZ201,INDIRECT($AY$7),5,0)</f>
        <v>554.69830000000002</v>
      </c>
      <c r="BE201" s="13">
        <f t="shared" ref="BE201:BE251" ca="1" si="137">VLOOKUP($AZ201,INDIRECT($AY$7),6,0)</f>
        <v>38625</v>
      </c>
      <c r="BF201">
        <f>ROW()</f>
        <v>201</v>
      </c>
      <c r="BH201" t="str">
        <f t="shared" ref="BH201:BH251" si="138">"BC"&amp;$BF201-BJ$5+1&amp;":"&amp;"BC"&amp;$BF201</f>
        <v>BC197:BC201</v>
      </c>
      <c r="BI201">
        <f t="shared" si="117"/>
        <v>189</v>
      </c>
      <c r="BJ201">
        <f t="shared" ref="BJ201:BJ251" ca="1" si="139">IF(BI201&gt;=0,AVERAGE(INDIRECT(BH201)),NA())</f>
        <v>551.51156000000003</v>
      </c>
      <c r="BL201" t="str">
        <f t="shared" ref="BL201:BL251" si="140">"BC"&amp;$BF201-BN$5+1&amp;":"&amp;"BC"&amp;$BF201</f>
        <v>BC182:BC201</v>
      </c>
      <c r="BM201">
        <f t="shared" si="118"/>
        <v>174</v>
      </c>
      <c r="BN201">
        <f t="shared" ref="BN201:BN251" ca="1" si="141">IF(BM201&gt;=0,AVERAGE(INDIRECT(BL201)),NA())</f>
        <v>581.28800999999999</v>
      </c>
      <c r="BP201" t="str">
        <f t="shared" ref="BP201:BP251" si="142">"BC"&amp;$BF201-BR$5+1&amp;":"&amp;"BC"&amp;$BF201</f>
        <v>BC142:BC201</v>
      </c>
      <c r="BQ201">
        <f t="shared" si="119"/>
        <v>134</v>
      </c>
      <c r="BR201">
        <f t="shared" ref="BR201:BR251" ca="1" si="143">IF(BQ201&gt;=0,AVERAGE(INDIRECT(BP201)),NA())</f>
        <v>595.14263833333337</v>
      </c>
      <c r="BT201">
        <f t="shared" ca="1" si="121"/>
        <v>587.36280999999985</v>
      </c>
      <c r="BU201">
        <f t="shared" ca="1" si="126"/>
        <v>3.9403031468453489</v>
      </c>
      <c r="BV201">
        <f t="shared" ca="1" si="127"/>
        <v>595.24341629369053</v>
      </c>
      <c r="BW201">
        <f t="shared" ca="1" si="128"/>
        <v>579.48220370630918</v>
      </c>
      <c r="BY201">
        <f t="shared" ca="1" si="129"/>
        <v>551.51156000000003</v>
      </c>
      <c r="BZ201">
        <f t="shared" ca="1" si="130"/>
        <v>581.28800999999999</v>
      </c>
      <c r="CA201">
        <f t="shared" ca="1" si="131"/>
        <v>595.14263833333337</v>
      </c>
      <c r="CD201" t="str">
        <f>IF(周K!$E$3+CK201-12&gt;工作底稿!$CE$5,"周K!A"&amp;周K!$E$3-$CE$5+1+CK201-8,0)</f>
        <v>周K!A361</v>
      </c>
      <c r="CE201" s="4">
        <f t="shared" ref="CE201:CE264" ca="1" si="144">IF($CD201=0,"",INDIRECT(CD201))</f>
        <v>43948</v>
      </c>
      <c r="CF201" s="13">
        <f ca="1">IF($CD201=0,"",VLOOKUP($CE201,周K!$A$6:$F$6842,2,0))</f>
        <v>298</v>
      </c>
      <c r="CG201" s="13">
        <f ca="1">IF($CD201=0,"",VLOOKUP($CE201,周K!$A$6:$F$6842,3,0))</f>
        <v>305</v>
      </c>
      <c r="CH201" s="13">
        <f ca="1">IF($CD201=0,"",VLOOKUP($CE201,周K!$A$6:$F$6842,4,0))</f>
        <v>294.5</v>
      </c>
      <c r="CI201" s="13">
        <f ca="1">IF($CD201=0,"",VLOOKUP($CE201,周K!$A$6:$F$6842,5,0))</f>
        <v>304.5</v>
      </c>
      <c r="CJ201" s="13">
        <f ca="1">IF($CD201=0,"",VLOOKUP($CE201,周K!$A$6:$F$6842,6,0))</f>
        <v>180807</v>
      </c>
      <c r="CK201">
        <f>ROW()</f>
        <v>201</v>
      </c>
      <c r="CM201" t="str">
        <f t="shared" ref="CM201:CM264" si="145">"CG"&amp;$CK201-CO$5+1&amp;":"&amp;"CG"&amp;$CK201</f>
        <v>CG197:CG201</v>
      </c>
      <c r="CN201">
        <f t="shared" ref="CN201:CN264" si="146">$CK201-CO$5-7</f>
        <v>189</v>
      </c>
      <c r="CO201">
        <f t="shared" ref="CO201:CO251" ca="1" si="147">IF(CN201&gt;=0,AVERAGE(INDIRECT(CM201)),NA())</f>
        <v>297.39999999999998</v>
      </c>
      <c r="CQ201" t="str">
        <f t="shared" ref="CQ201:CQ264" si="148">"CG"&amp;$CK201-CS$5+1&amp;":"&amp;"CG"&amp;$CK201</f>
        <v>CG182:CG201</v>
      </c>
      <c r="CR201">
        <f t="shared" ref="CR201:CR264" si="149">$CK201-CS$5-7</f>
        <v>174</v>
      </c>
      <c r="CS201">
        <f t="shared" ref="CS201:CS264" ca="1" si="150">IF(CR201&gt;=0,AVERAGE(INDIRECT(CQ201)),NA())</f>
        <v>320.2</v>
      </c>
      <c r="CU201" t="str">
        <f t="shared" ref="CU201:CU264" si="151">"CG"&amp;$CK201-CW$5+1&amp;":"&amp;"CG"&amp;$CK201</f>
        <v>CG142:CG201</v>
      </c>
      <c r="CV201">
        <f t="shared" ref="CV201:CV264" si="152">$CK201-CW$5-7</f>
        <v>134</v>
      </c>
      <c r="CW201">
        <f t="shared" ref="CW201:CW264" ca="1" si="153">IF(CV201&gt;=0,AVERAGE(INDIRECT(CU201)),NA())</f>
        <v>286.30833333333334</v>
      </c>
      <c r="CY201">
        <f t="shared" ref="CY201:CY264" ca="1" si="154">(BB201+BC201+2*BD201)/4</f>
        <v>554.69832500000007</v>
      </c>
      <c r="CZ201">
        <f t="shared" ca="1" si="120"/>
        <v>574.1606119925832</v>
      </c>
      <c r="DA201">
        <f t="shared" ca="1" si="123"/>
        <v>585.10967730851974</v>
      </c>
      <c r="DB201">
        <f t="shared" ca="1" si="122"/>
        <v>-10.949065315936537</v>
      </c>
      <c r="DC201">
        <f t="shared" ca="1" si="124"/>
        <v>-5.2358411775079885</v>
      </c>
      <c r="DD201">
        <f t="shared" ca="1" si="125"/>
        <v>-5.713224138428548</v>
      </c>
    </row>
    <row r="202" spans="51:108" x14ac:dyDescent="0.25">
      <c r="AY202" t="str">
        <f>"日K!A"&amp;日K!$E$3-239+1+BF202-8</f>
        <v>日K!A6794</v>
      </c>
      <c r="AZ202" s="4">
        <f t="shared" ca="1" si="132"/>
        <v>44333</v>
      </c>
      <c r="BA202" s="13">
        <f t="shared" ca="1" si="133"/>
        <v>541.75210000000004</v>
      </c>
      <c r="BB202" s="13">
        <f t="shared" ca="1" si="134"/>
        <v>555.69420000000002</v>
      </c>
      <c r="BC202" s="13">
        <f t="shared" ca="1" si="135"/>
        <v>538.7645</v>
      </c>
      <c r="BD202" s="13">
        <f t="shared" ca="1" si="136"/>
        <v>546.73140000000001</v>
      </c>
      <c r="BE202" s="13">
        <f t="shared" ca="1" si="137"/>
        <v>58447</v>
      </c>
      <c r="BF202">
        <f>ROW()</f>
        <v>202</v>
      </c>
      <c r="BH202" t="str">
        <f t="shared" si="138"/>
        <v>BC198:BC202</v>
      </c>
      <c r="BI202">
        <f t="shared" si="117"/>
        <v>190</v>
      </c>
      <c r="BJ202">
        <f t="shared" ca="1" si="139"/>
        <v>542.15042000000017</v>
      </c>
      <c r="BL202" t="str">
        <f t="shared" si="140"/>
        <v>BC183:BC202</v>
      </c>
      <c r="BM202">
        <f t="shared" si="118"/>
        <v>175</v>
      </c>
      <c r="BN202">
        <f t="shared" ca="1" si="141"/>
        <v>578.20081999999991</v>
      </c>
      <c r="BP202" t="str">
        <f t="shared" si="142"/>
        <v>BC143:BC202</v>
      </c>
      <c r="BQ202">
        <f t="shared" si="119"/>
        <v>135</v>
      </c>
      <c r="BR202">
        <f t="shared" ca="1" si="143"/>
        <v>593.69155000000001</v>
      </c>
      <c r="BT202">
        <f t="shared" ca="1" si="121"/>
        <v>584.32541500000002</v>
      </c>
      <c r="BU202">
        <f t="shared" ca="1" si="126"/>
        <v>5.0127191051794036</v>
      </c>
      <c r="BV202">
        <f t="shared" ca="1" si="127"/>
        <v>594.35085321035888</v>
      </c>
      <c r="BW202">
        <f t="shared" ca="1" si="128"/>
        <v>574.29997678964116</v>
      </c>
      <c r="BY202">
        <f t="shared" ca="1" si="129"/>
        <v>542.15042000000017</v>
      </c>
      <c r="BZ202">
        <f t="shared" ca="1" si="130"/>
        <v>578.20081999999991</v>
      </c>
      <c r="CA202">
        <f t="shared" ca="1" si="131"/>
        <v>593.69155000000001</v>
      </c>
      <c r="CD202" t="str">
        <f>IF(周K!$E$3+CK202-12&gt;工作底稿!$CE$5,"周K!A"&amp;周K!$E$3-$CE$5+1+CK202-8,0)</f>
        <v>周K!A362</v>
      </c>
      <c r="CE202" s="4">
        <f t="shared" ca="1" si="144"/>
        <v>43955</v>
      </c>
      <c r="CF202" s="13">
        <f ca="1">IF($CD202=0,"",VLOOKUP($CE202,周K!$A$6:$F$6842,2,0))</f>
        <v>294.5</v>
      </c>
      <c r="CG202" s="13">
        <f ca="1">IF($CD202=0,"",VLOOKUP($CE202,周K!$A$6:$F$6842,3,0))</f>
        <v>300</v>
      </c>
      <c r="CH202" s="13">
        <f ca="1">IF($CD202=0,"",VLOOKUP($CE202,周K!$A$6:$F$6842,4,0))</f>
        <v>292.5</v>
      </c>
      <c r="CI202" s="13">
        <f ca="1">IF($CD202=0,"",VLOOKUP($CE202,周K!$A$6:$F$6842,5,0))</f>
        <v>297.5</v>
      </c>
      <c r="CJ202" s="13">
        <f ca="1">IF($CD202=0,"",VLOOKUP($CE202,周K!$A$6:$F$6842,6,0))</f>
        <v>195577</v>
      </c>
      <c r="CK202">
        <f>ROW()</f>
        <v>202</v>
      </c>
      <c r="CM202" t="str">
        <f t="shared" si="145"/>
        <v>CG198:CG202</v>
      </c>
      <c r="CN202">
        <f t="shared" si="146"/>
        <v>190</v>
      </c>
      <c r="CO202">
        <f t="shared" ca="1" si="147"/>
        <v>302.10000000000002</v>
      </c>
      <c r="CQ202" t="str">
        <f t="shared" si="148"/>
        <v>CG183:CG202</v>
      </c>
      <c r="CR202">
        <f t="shared" si="149"/>
        <v>175</v>
      </c>
      <c r="CS202">
        <f t="shared" ca="1" si="150"/>
        <v>317.95</v>
      </c>
      <c r="CU202" t="str">
        <f t="shared" si="151"/>
        <v>CG143:CG202</v>
      </c>
      <c r="CV202">
        <f t="shared" si="152"/>
        <v>135</v>
      </c>
      <c r="CW202">
        <f t="shared" ca="1" si="153"/>
        <v>287.31666666666666</v>
      </c>
      <c r="CY202">
        <f t="shared" ca="1" si="154"/>
        <v>546.98037500000009</v>
      </c>
      <c r="CZ202">
        <f t="shared" ca="1" si="120"/>
        <v>569.97903707064734</v>
      </c>
      <c r="DA202">
        <f t="shared" ca="1" si="123"/>
        <v>582.28528454492573</v>
      </c>
      <c r="DB202">
        <f t="shared" ca="1" si="122"/>
        <v>-12.306247474278393</v>
      </c>
      <c r="DC202">
        <f t="shared" ca="1" si="124"/>
        <v>-6.4030190656160988</v>
      </c>
      <c r="DD202">
        <f t="shared" ca="1" si="125"/>
        <v>-5.9032284086622946</v>
      </c>
    </row>
    <row r="203" spans="51:108" x14ac:dyDescent="0.25">
      <c r="AY203" t="str">
        <f>"日K!A"&amp;日K!$E$3-239+1+BF203-8</f>
        <v>日K!A6795</v>
      </c>
      <c r="AZ203" s="4">
        <f t="shared" ca="1" si="132"/>
        <v>44334</v>
      </c>
      <c r="BA203" s="13">
        <f t="shared" ca="1" si="133"/>
        <v>560.67359999999996</v>
      </c>
      <c r="BB203" s="13">
        <f t="shared" ca="1" si="134"/>
        <v>570.63220000000001</v>
      </c>
      <c r="BC203" s="13">
        <f t="shared" ca="1" si="135"/>
        <v>552.70659999999998</v>
      </c>
      <c r="BD203" s="13">
        <f t="shared" ca="1" si="136"/>
        <v>569.63639999999998</v>
      </c>
      <c r="BE203" s="13">
        <f t="shared" ca="1" si="137"/>
        <v>44584</v>
      </c>
      <c r="BF203">
        <f>ROW()</f>
        <v>203</v>
      </c>
      <c r="BH203" t="str">
        <f t="shared" si="138"/>
        <v>BC199:BC203</v>
      </c>
      <c r="BI203">
        <f t="shared" si="117"/>
        <v>191</v>
      </c>
      <c r="BJ203">
        <f t="shared" ca="1" si="139"/>
        <v>539.16282000000001</v>
      </c>
      <c r="BL203" t="str">
        <f t="shared" si="140"/>
        <v>BC184:BC203</v>
      </c>
      <c r="BM203">
        <f t="shared" si="118"/>
        <v>176</v>
      </c>
      <c r="BN203">
        <f t="shared" ca="1" si="141"/>
        <v>575.91032499999983</v>
      </c>
      <c r="BP203" t="str">
        <f t="shared" si="142"/>
        <v>BC144:BC203</v>
      </c>
      <c r="BQ203">
        <f t="shared" si="119"/>
        <v>136</v>
      </c>
      <c r="BR203">
        <f t="shared" ca="1" si="143"/>
        <v>591.9934566666667</v>
      </c>
      <c r="BT203">
        <f t="shared" ca="1" si="121"/>
        <v>582.78181999999993</v>
      </c>
      <c r="BU203">
        <f t="shared" ca="1" si="126"/>
        <v>5.9968128749033509</v>
      </c>
      <c r="BV203">
        <f t="shared" ca="1" si="127"/>
        <v>594.77544574980664</v>
      </c>
      <c r="BW203">
        <f t="shared" ca="1" si="128"/>
        <v>570.78819425019321</v>
      </c>
      <c r="BY203">
        <f t="shared" ca="1" si="129"/>
        <v>539.16282000000001</v>
      </c>
      <c r="BZ203">
        <f t="shared" ca="1" si="130"/>
        <v>575.91032499999983</v>
      </c>
      <c r="CA203">
        <f t="shared" ca="1" si="131"/>
        <v>591.9934566666667</v>
      </c>
      <c r="CD203" t="str">
        <f>IF(周K!$E$3+CK203-12&gt;工作底稿!$CE$5,"周K!A"&amp;周K!$E$3-$CE$5+1+CK203-8,0)</f>
        <v>周K!A363</v>
      </c>
      <c r="CE203" s="4">
        <f t="shared" ca="1" si="144"/>
        <v>43962</v>
      </c>
      <c r="CF203" s="13">
        <f ca="1">IF($CD203=0,"",VLOOKUP($CE203,周K!$A$6:$F$6842,2,0))</f>
        <v>300</v>
      </c>
      <c r="CG203" s="13">
        <f ca="1">IF($CD203=0,"",VLOOKUP($CE203,周K!$A$6:$F$6842,3,0))</f>
        <v>301.5</v>
      </c>
      <c r="CH203" s="13">
        <f ca="1">IF($CD203=0,"",VLOOKUP($CE203,周K!$A$6:$F$6842,4,0))</f>
        <v>292.5</v>
      </c>
      <c r="CI203" s="13">
        <f ca="1">IF($CD203=0,"",VLOOKUP($CE203,周K!$A$6:$F$6842,5,0))</f>
        <v>298</v>
      </c>
      <c r="CJ203" s="13">
        <f ca="1">IF($CD203=0,"",VLOOKUP($CE203,周K!$A$6:$F$6842,6,0))</f>
        <v>209818</v>
      </c>
      <c r="CK203">
        <f>ROW()</f>
        <v>203</v>
      </c>
      <c r="CM203" t="str">
        <f t="shared" si="145"/>
        <v>CG199:CG203</v>
      </c>
      <c r="CN203">
        <f t="shared" si="146"/>
        <v>191</v>
      </c>
      <c r="CO203">
        <f t="shared" ca="1" si="147"/>
        <v>304.8</v>
      </c>
      <c r="CQ203" t="str">
        <f t="shared" si="148"/>
        <v>CG184:CG203</v>
      </c>
      <c r="CR203">
        <f t="shared" si="149"/>
        <v>176</v>
      </c>
      <c r="CS203">
        <f t="shared" ca="1" si="150"/>
        <v>316.125</v>
      </c>
      <c r="CU203" t="str">
        <f t="shared" si="151"/>
        <v>CG144:CG203</v>
      </c>
      <c r="CV203">
        <f t="shared" si="152"/>
        <v>136</v>
      </c>
      <c r="CW203">
        <f t="shared" ca="1" si="153"/>
        <v>288.2</v>
      </c>
      <c r="CY203">
        <f t="shared" ca="1" si="154"/>
        <v>565.65290000000005</v>
      </c>
      <c r="CZ203">
        <f t="shared" ca="1" si="120"/>
        <v>569.31347752131705</v>
      </c>
      <c r="DA203">
        <f t="shared" ca="1" si="123"/>
        <v>581.05325606011638</v>
      </c>
      <c r="DB203">
        <f t="shared" ca="1" si="122"/>
        <v>-11.739778538799328</v>
      </c>
      <c r="DC203">
        <f t="shared" ca="1" si="124"/>
        <v>-7.4144240946459625</v>
      </c>
      <c r="DD203">
        <f t="shared" ca="1" si="125"/>
        <v>-4.3253544441533656</v>
      </c>
    </row>
    <row r="204" spans="51:108" x14ac:dyDescent="0.25">
      <c r="AY204" t="str">
        <f>"日K!A"&amp;日K!$E$3-239+1+BF204-8</f>
        <v>日K!A6796</v>
      </c>
      <c r="AZ204" s="4">
        <f t="shared" ca="1" si="132"/>
        <v>44335</v>
      </c>
      <c r="BA204" s="13">
        <f t="shared" ca="1" si="133"/>
        <v>568.64049999999997</v>
      </c>
      <c r="BB204" s="13">
        <f t="shared" ca="1" si="134"/>
        <v>569.63639999999998</v>
      </c>
      <c r="BC204" s="13">
        <f t="shared" ca="1" si="135"/>
        <v>562.6653</v>
      </c>
      <c r="BD204" s="13">
        <f t="shared" ca="1" si="136"/>
        <v>564.65700000000004</v>
      </c>
      <c r="BE204" s="13">
        <f t="shared" ca="1" si="137"/>
        <v>29610</v>
      </c>
      <c r="BF204">
        <f>ROW()</f>
        <v>204</v>
      </c>
      <c r="BH204" t="str">
        <f t="shared" si="138"/>
        <v>BC200:BC204</v>
      </c>
      <c r="BI204">
        <f t="shared" si="117"/>
        <v>192</v>
      </c>
      <c r="BJ204">
        <f t="shared" ca="1" si="139"/>
        <v>548.52398000000005</v>
      </c>
      <c r="BL204" t="str">
        <f t="shared" si="140"/>
        <v>BC185:BC204</v>
      </c>
      <c r="BM204">
        <f t="shared" si="118"/>
        <v>177</v>
      </c>
      <c r="BN204">
        <f t="shared" ca="1" si="141"/>
        <v>574.41652499999998</v>
      </c>
      <c r="BP204" t="str">
        <f t="shared" si="142"/>
        <v>BC145:BC204</v>
      </c>
      <c r="BQ204">
        <f t="shared" si="119"/>
        <v>137</v>
      </c>
      <c r="BR204">
        <f t="shared" ca="1" si="143"/>
        <v>590.52746333333334</v>
      </c>
      <c r="BT204">
        <f t="shared" ca="1" si="121"/>
        <v>581.03904999999997</v>
      </c>
      <c r="BU204">
        <f t="shared" ca="1" si="126"/>
        <v>6.936581411572023</v>
      </c>
      <c r="BV204">
        <f t="shared" ca="1" si="127"/>
        <v>594.91221282314405</v>
      </c>
      <c r="BW204">
        <f t="shared" ca="1" si="128"/>
        <v>567.1658871768559</v>
      </c>
      <c r="BY204">
        <f t="shared" ca="1" si="129"/>
        <v>548.52398000000005</v>
      </c>
      <c r="BZ204">
        <f t="shared" ca="1" si="130"/>
        <v>574.41652499999998</v>
      </c>
      <c r="CA204">
        <f t="shared" ca="1" si="131"/>
        <v>590.52746333333334</v>
      </c>
      <c r="CD204" t="str">
        <f>IF(周K!$E$3+CK204-12&gt;工作底稿!$CE$5,"周K!A"&amp;周K!$E$3-$CE$5+1+CK204-8,0)</f>
        <v>周K!A364</v>
      </c>
      <c r="CE204" s="4">
        <f t="shared" ca="1" si="144"/>
        <v>43969</v>
      </c>
      <c r="CF204" s="13">
        <f ca="1">IF($CD204=0,"",VLOOKUP($CE204,周K!$A$6:$F$6842,2,0))</f>
        <v>291</v>
      </c>
      <c r="CG204" s="13">
        <f ca="1">IF($CD204=0,"",VLOOKUP($CE204,周K!$A$6:$F$6842,3,0))</f>
        <v>298</v>
      </c>
      <c r="CH204" s="13">
        <f ca="1">IF($CD204=0,"",VLOOKUP($CE204,周K!$A$6:$F$6842,4,0))</f>
        <v>290</v>
      </c>
      <c r="CI204" s="13">
        <f ca="1">IF($CD204=0,"",VLOOKUP($CE204,周K!$A$6:$F$6842,5,0))</f>
        <v>292</v>
      </c>
      <c r="CJ204" s="13">
        <f ca="1">IF($CD204=0,"",VLOOKUP($CE204,周K!$A$6:$F$6842,6,0))</f>
        <v>264184</v>
      </c>
      <c r="CK204">
        <f>ROW()</f>
        <v>204</v>
      </c>
      <c r="CM204" t="str">
        <f t="shared" si="145"/>
        <v>CG200:CG204</v>
      </c>
      <c r="CN204">
        <f t="shared" si="146"/>
        <v>192</v>
      </c>
      <c r="CO204">
        <f t="shared" ca="1" si="147"/>
        <v>302.7</v>
      </c>
      <c r="CQ204" t="str">
        <f t="shared" si="148"/>
        <v>CG185:CG204</v>
      </c>
      <c r="CR204">
        <f t="shared" si="149"/>
        <v>177</v>
      </c>
      <c r="CS204">
        <f t="shared" ca="1" si="150"/>
        <v>313.77499999999998</v>
      </c>
      <c r="CU204" t="str">
        <f t="shared" si="151"/>
        <v>CG145:CG204</v>
      </c>
      <c r="CV204">
        <f t="shared" si="152"/>
        <v>137</v>
      </c>
      <c r="CW204">
        <f t="shared" ca="1" si="153"/>
        <v>289.07499999999999</v>
      </c>
      <c r="CY204">
        <f t="shared" ca="1" si="154"/>
        <v>565.40392500000007</v>
      </c>
      <c r="CZ204">
        <f t="shared" ca="1" si="120"/>
        <v>568.71200790265289</v>
      </c>
      <c r="DA204">
        <f t="shared" ca="1" si="123"/>
        <v>579.89404635195967</v>
      </c>
      <c r="DB204">
        <f t="shared" ca="1" si="122"/>
        <v>-11.182038449306788</v>
      </c>
      <c r="DC204">
        <f t="shared" ca="1" si="124"/>
        <v>-8.2834323185907763</v>
      </c>
      <c r="DD204">
        <f t="shared" ca="1" si="125"/>
        <v>-2.8986061307160114</v>
      </c>
    </row>
    <row r="205" spans="51:108" x14ac:dyDescent="0.25">
      <c r="AY205" t="str">
        <f>"日K!A"&amp;日K!$E$3-239+1+BF205-8</f>
        <v>日K!A6797</v>
      </c>
      <c r="AZ205" s="4">
        <f t="shared" ca="1" si="132"/>
        <v>44336</v>
      </c>
      <c r="BA205" s="13">
        <f t="shared" ca="1" si="133"/>
        <v>564.65700000000004</v>
      </c>
      <c r="BB205" s="13">
        <f t="shared" ca="1" si="134"/>
        <v>568.64049999999997</v>
      </c>
      <c r="BC205" s="13">
        <f t="shared" ca="1" si="135"/>
        <v>557.68600000000004</v>
      </c>
      <c r="BD205" s="13">
        <f t="shared" ca="1" si="136"/>
        <v>564.65700000000004</v>
      </c>
      <c r="BE205" s="13">
        <f t="shared" ca="1" si="137"/>
        <v>36606</v>
      </c>
      <c r="BF205">
        <f>ROW()</f>
        <v>205</v>
      </c>
      <c r="BH205" t="str">
        <f t="shared" si="138"/>
        <v>BC201:BC205</v>
      </c>
      <c r="BI205">
        <f t="shared" ref="BI205:BI251" si="155">$BF205-BJ$5-7</f>
        <v>193</v>
      </c>
      <c r="BJ205">
        <f t="shared" ca="1" si="139"/>
        <v>552.30827999999997</v>
      </c>
      <c r="BL205" t="str">
        <f t="shared" si="140"/>
        <v>BC186:BC205</v>
      </c>
      <c r="BM205">
        <f t="shared" ref="BM205:BM251" si="156">$BF205-BN$5-7</f>
        <v>178</v>
      </c>
      <c r="BN205">
        <f t="shared" ca="1" si="141"/>
        <v>572.82313999999997</v>
      </c>
      <c r="BP205" t="str">
        <f t="shared" si="142"/>
        <v>BC146:BC205</v>
      </c>
      <c r="BQ205">
        <f t="shared" ref="BQ205:BQ251" si="157">$BF205-BR$5-7</f>
        <v>138</v>
      </c>
      <c r="BR205">
        <f t="shared" ca="1" si="143"/>
        <v>589.12725166666667</v>
      </c>
      <c r="BT205">
        <f t="shared" ca="1" si="121"/>
        <v>579.79421499999989</v>
      </c>
      <c r="BU205">
        <f t="shared" ca="1" si="126"/>
        <v>7.7888411841623721</v>
      </c>
      <c r="BV205">
        <f t="shared" ca="1" si="127"/>
        <v>595.37189736832465</v>
      </c>
      <c r="BW205">
        <f t="shared" ca="1" si="128"/>
        <v>564.21653263167514</v>
      </c>
      <c r="BY205">
        <f t="shared" ca="1" si="129"/>
        <v>552.30827999999997</v>
      </c>
      <c r="BZ205">
        <f t="shared" ca="1" si="130"/>
        <v>572.82313999999997</v>
      </c>
      <c r="CA205">
        <f t="shared" ca="1" si="131"/>
        <v>589.12725166666667</v>
      </c>
      <c r="CD205" t="str">
        <f>IF(周K!$E$3+CK205-12&gt;工作底稿!$CE$5,"周K!A"&amp;周K!$E$3-$CE$5+1+CK205-8,0)</f>
        <v>周K!A365</v>
      </c>
      <c r="CE205" s="4">
        <f t="shared" ca="1" si="144"/>
        <v>43976</v>
      </c>
      <c r="CF205" s="13">
        <f ca="1">IF($CD205=0,"",VLOOKUP($CE205,周K!$A$6:$F$6842,2,0))</f>
        <v>290.5</v>
      </c>
      <c r="CG205" s="13">
        <f ca="1">IF($CD205=0,"",VLOOKUP($CE205,周K!$A$6:$F$6842,3,0))</f>
        <v>298.5</v>
      </c>
      <c r="CH205" s="13">
        <f ca="1">IF($CD205=0,"",VLOOKUP($CE205,周K!$A$6:$F$6842,4,0))</f>
        <v>288.5</v>
      </c>
      <c r="CI205" s="13">
        <f ca="1">IF($CD205=0,"",VLOOKUP($CE205,周K!$A$6:$F$6842,5,0))</f>
        <v>292</v>
      </c>
      <c r="CJ205" s="13">
        <f ca="1">IF($CD205=0,"",VLOOKUP($CE205,周K!$A$6:$F$6842,6,0))</f>
        <v>221142</v>
      </c>
      <c r="CK205">
        <f>ROW()</f>
        <v>205</v>
      </c>
      <c r="CM205" t="str">
        <f t="shared" si="145"/>
        <v>CG201:CG205</v>
      </c>
      <c r="CN205">
        <f t="shared" si="146"/>
        <v>193</v>
      </c>
      <c r="CO205">
        <f t="shared" ca="1" si="147"/>
        <v>300.60000000000002</v>
      </c>
      <c r="CQ205" t="str">
        <f t="shared" si="148"/>
        <v>CG186:CG205</v>
      </c>
      <c r="CR205">
        <f t="shared" si="149"/>
        <v>178</v>
      </c>
      <c r="CS205">
        <f t="shared" ca="1" si="150"/>
        <v>311.64999999999998</v>
      </c>
      <c r="CU205" t="str">
        <f t="shared" si="151"/>
        <v>CG146:CG205</v>
      </c>
      <c r="CV205">
        <f t="shared" si="152"/>
        <v>138</v>
      </c>
      <c r="CW205">
        <f t="shared" ca="1" si="153"/>
        <v>289.86666666666667</v>
      </c>
      <c r="CY205">
        <f t="shared" ca="1" si="154"/>
        <v>563.91012500000011</v>
      </c>
      <c r="CZ205">
        <f t="shared" ca="1" si="120"/>
        <v>567.97325668686017</v>
      </c>
      <c r="DA205">
        <f t="shared" ca="1" si="123"/>
        <v>578.71005217774041</v>
      </c>
      <c r="DB205">
        <f t="shared" ca="1" si="122"/>
        <v>-10.73679549088024</v>
      </c>
      <c r="DC205">
        <f t="shared" ca="1" si="124"/>
        <v>-9.1391028126693197</v>
      </c>
      <c r="DD205">
        <f t="shared" ca="1" si="125"/>
        <v>-1.5976926782109206</v>
      </c>
    </row>
    <row r="206" spans="51:108" x14ac:dyDescent="0.25">
      <c r="AY206" t="str">
        <f>"日K!A"&amp;日K!$E$3-239+1+BF206-8</f>
        <v>日K!A6798</v>
      </c>
      <c r="AZ206" s="4">
        <f t="shared" ca="1" si="132"/>
        <v>44337</v>
      </c>
      <c r="BA206" s="13">
        <f t="shared" ca="1" si="133"/>
        <v>569.63639999999998</v>
      </c>
      <c r="BB206" s="13">
        <f t="shared" ca="1" si="134"/>
        <v>574.61569999999995</v>
      </c>
      <c r="BC206" s="13">
        <f t="shared" ca="1" si="135"/>
        <v>565.65290000000005</v>
      </c>
      <c r="BD206" s="13">
        <f t="shared" ca="1" si="136"/>
        <v>570.63220000000001</v>
      </c>
      <c r="BE206" s="13">
        <f t="shared" ca="1" si="137"/>
        <v>28010</v>
      </c>
      <c r="BF206">
        <f>ROW()</f>
        <v>206</v>
      </c>
      <c r="BH206" t="str">
        <f t="shared" si="138"/>
        <v>BC202:BC206</v>
      </c>
      <c r="BI206">
        <f t="shared" si="155"/>
        <v>194</v>
      </c>
      <c r="BJ206">
        <f t="shared" ca="1" si="139"/>
        <v>555.49505999999997</v>
      </c>
      <c r="BL206" t="str">
        <f t="shared" si="140"/>
        <v>BC187:BC206</v>
      </c>
      <c r="BM206">
        <f t="shared" si="156"/>
        <v>179</v>
      </c>
      <c r="BN206">
        <f t="shared" ca="1" si="141"/>
        <v>571.67788999999993</v>
      </c>
      <c r="BP206" t="str">
        <f t="shared" si="142"/>
        <v>BC147:BC206</v>
      </c>
      <c r="BQ206">
        <f t="shared" si="157"/>
        <v>139</v>
      </c>
      <c r="BR206">
        <f t="shared" ca="1" si="143"/>
        <v>587.81023166666671</v>
      </c>
      <c r="BT206">
        <f t="shared" ca="1" si="121"/>
        <v>578.89792999999986</v>
      </c>
      <c r="BU206">
        <f t="shared" ca="1" si="126"/>
        <v>8.5386689572386434</v>
      </c>
      <c r="BV206">
        <f t="shared" ca="1" si="127"/>
        <v>595.97526791447717</v>
      </c>
      <c r="BW206">
        <f t="shared" ca="1" si="128"/>
        <v>561.82059208552255</v>
      </c>
      <c r="BY206">
        <f t="shared" ca="1" si="129"/>
        <v>555.49505999999997</v>
      </c>
      <c r="BZ206">
        <f t="shared" ca="1" si="130"/>
        <v>571.67788999999993</v>
      </c>
      <c r="CA206">
        <f t="shared" ca="1" si="131"/>
        <v>587.81023166666671</v>
      </c>
      <c r="CD206" t="str">
        <f>IF(周K!$E$3+CK206-12&gt;工作底稿!$CE$5,"周K!A"&amp;周K!$E$3-$CE$5+1+CK206-8,0)</f>
        <v>周K!A366</v>
      </c>
      <c r="CE206" s="4">
        <f t="shared" ca="1" si="144"/>
        <v>43983</v>
      </c>
      <c r="CF206" s="13">
        <f ca="1">IF($CD206=0,"",VLOOKUP($CE206,周K!$A$6:$F$6842,2,0))</f>
        <v>294</v>
      </c>
      <c r="CG206" s="13">
        <f ca="1">IF($CD206=0,"",VLOOKUP($CE206,周K!$A$6:$F$6842,3,0))</f>
        <v>312</v>
      </c>
      <c r="CH206" s="13">
        <f ca="1">IF($CD206=0,"",VLOOKUP($CE206,周K!$A$6:$F$6842,4,0))</f>
        <v>293.5</v>
      </c>
      <c r="CI206" s="13">
        <f ca="1">IF($CD206=0,"",VLOOKUP($CE206,周K!$A$6:$F$6842,5,0))</f>
        <v>311.5</v>
      </c>
      <c r="CJ206" s="13">
        <f ca="1">IF($CD206=0,"",VLOOKUP($CE206,周K!$A$6:$F$6842,6,0))</f>
        <v>223797</v>
      </c>
      <c r="CK206">
        <f>ROW()</f>
        <v>206</v>
      </c>
      <c r="CM206" t="str">
        <f t="shared" si="145"/>
        <v>CG202:CG206</v>
      </c>
      <c r="CN206">
        <f t="shared" si="146"/>
        <v>194</v>
      </c>
      <c r="CO206">
        <f t="shared" ca="1" si="147"/>
        <v>302</v>
      </c>
      <c r="CQ206" t="str">
        <f t="shared" si="148"/>
        <v>CG187:CG206</v>
      </c>
      <c r="CR206">
        <f t="shared" si="149"/>
        <v>179</v>
      </c>
      <c r="CS206">
        <f t="shared" ca="1" si="150"/>
        <v>309.95</v>
      </c>
      <c r="CU206" t="str">
        <f t="shared" si="151"/>
        <v>CG147:CG206</v>
      </c>
      <c r="CV206">
        <f t="shared" si="152"/>
        <v>139</v>
      </c>
      <c r="CW206">
        <f t="shared" ca="1" si="153"/>
        <v>290.82499999999999</v>
      </c>
      <c r="CY206">
        <f t="shared" ca="1" si="154"/>
        <v>570.38324999999998</v>
      </c>
      <c r="CZ206">
        <f t="shared" ca="1" si="120"/>
        <v>568.34402488888168</v>
      </c>
      <c r="DA206">
        <f t="shared" ca="1" si="123"/>
        <v>578.09325201642628</v>
      </c>
      <c r="DB206">
        <f t="shared" ca="1" si="122"/>
        <v>-9.7492271275446001</v>
      </c>
      <c r="DC206">
        <f t="shared" ca="1" si="124"/>
        <v>-9.8642355355526021</v>
      </c>
      <c r="DD206">
        <f t="shared" ca="1" si="125"/>
        <v>0.11500840800800205</v>
      </c>
    </row>
    <row r="207" spans="51:108" x14ac:dyDescent="0.25">
      <c r="AY207" t="str">
        <f>"日K!A"&amp;日K!$E$3-239+1+BF207-8</f>
        <v>日K!A6799</v>
      </c>
      <c r="AZ207" s="4">
        <f t="shared" ca="1" si="132"/>
        <v>44340</v>
      </c>
      <c r="BA207" s="13">
        <f t="shared" ca="1" si="133"/>
        <v>567.64459999999997</v>
      </c>
      <c r="BB207" s="13">
        <f t="shared" ca="1" si="134"/>
        <v>569.63639999999998</v>
      </c>
      <c r="BC207" s="13">
        <f t="shared" ca="1" si="135"/>
        <v>563.66120000000001</v>
      </c>
      <c r="BD207" s="13">
        <f t="shared" ca="1" si="136"/>
        <v>565.65290000000005</v>
      </c>
      <c r="BE207" s="13">
        <f t="shared" ca="1" si="137"/>
        <v>15981</v>
      </c>
      <c r="BF207">
        <f>ROW()</f>
        <v>207</v>
      </c>
      <c r="BH207" t="str">
        <f t="shared" si="138"/>
        <v>BC203:BC207</v>
      </c>
      <c r="BI207">
        <f t="shared" si="155"/>
        <v>195</v>
      </c>
      <c r="BJ207">
        <f t="shared" ca="1" si="139"/>
        <v>560.47440000000006</v>
      </c>
      <c r="BL207" t="str">
        <f t="shared" si="140"/>
        <v>BC188:BC207</v>
      </c>
      <c r="BM207">
        <f t="shared" si="156"/>
        <v>180</v>
      </c>
      <c r="BN207">
        <f t="shared" ca="1" si="141"/>
        <v>570.4828500000001</v>
      </c>
      <c r="BP207" t="str">
        <f t="shared" si="142"/>
        <v>BC148:BC207</v>
      </c>
      <c r="BQ207">
        <f t="shared" si="157"/>
        <v>140</v>
      </c>
      <c r="BR207">
        <f t="shared" ca="1" si="143"/>
        <v>586.74102833333359</v>
      </c>
      <c r="BT207">
        <f t="shared" ca="1" si="121"/>
        <v>577.20495499999993</v>
      </c>
      <c r="BU207">
        <f t="shared" ca="1" si="126"/>
        <v>9.2282026827539188</v>
      </c>
      <c r="BV207">
        <f t="shared" ca="1" si="127"/>
        <v>595.66136036550779</v>
      </c>
      <c r="BW207">
        <f t="shared" ca="1" si="128"/>
        <v>558.74854963449206</v>
      </c>
      <c r="BY207">
        <f t="shared" ca="1" si="129"/>
        <v>560.47440000000006</v>
      </c>
      <c r="BZ207">
        <f t="shared" ca="1" si="130"/>
        <v>570.4828500000001</v>
      </c>
      <c r="CA207">
        <f t="shared" ca="1" si="131"/>
        <v>586.74102833333359</v>
      </c>
      <c r="CD207" t="str">
        <f>IF(周K!$E$3+CK207-12&gt;工作底稿!$CE$5,"周K!A"&amp;周K!$E$3-$CE$5+1+CK207-8,0)</f>
        <v>周K!A367</v>
      </c>
      <c r="CE207" s="4">
        <f t="shared" ca="1" si="144"/>
        <v>43990</v>
      </c>
      <c r="CF207" s="13">
        <f ca="1">IF($CD207=0,"",VLOOKUP($CE207,周K!$A$6:$F$6842,2,0))</f>
        <v>316</v>
      </c>
      <c r="CG207" s="13">
        <f ca="1">IF($CD207=0,"",VLOOKUP($CE207,周K!$A$6:$F$6842,3,0))</f>
        <v>327</v>
      </c>
      <c r="CH207" s="13">
        <f ca="1">IF($CD207=0,"",VLOOKUP($CE207,周K!$A$6:$F$6842,4,0))</f>
        <v>312.5</v>
      </c>
      <c r="CI207" s="13">
        <f ca="1">IF($CD207=0,"",VLOOKUP($CE207,周K!$A$6:$F$6842,5,0))</f>
        <v>316</v>
      </c>
      <c r="CJ207" s="13">
        <f ca="1">IF($CD207=0,"",VLOOKUP($CE207,周K!$A$6:$F$6842,6,0))</f>
        <v>228901</v>
      </c>
      <c r="CK207">
        <f>ROW()</f>
        <v>207</v>
      </c>
      <c r="CM207" t="str">
        <f t="shared" si="145"/>
        <v>CG203:CG207</v>
      </c>
      <c r="CN207">
        <f t="shared" si="146"/>
        <v>195</v>
      </c>
      <c r="CO207">
        <f t="shared" ca="1" si="147"/>
        <v>307.39999999999998</v>
      </c>
      <c r="CQ207" t="str">
        <f t="shared" si="148"/>
        <v>CG188:CG207</v>
      </c>
      <c r="CR207">
        <f t="shared" si="149"/>
        <v>180</v>
      </c>
      <c r="CS207">
        <f t="shared" ca="1" si="150"/>
        <v>309.52499999999998</v>
      </c>
      <c r="CU207" t="str">
        <f t="shared" si="151"/>
        <v>CG148:CG207</v>
      </c>
      <c r="CV207">
        <f t="shared" si="152"/>
        <v>140</v>
      </c>
      <c r="CW207">
        <f t="shared" ca="1" si="153"/>
        <v>291.78333333333336</v>
      </c>
      <c r="CY207">
        <f t="shared" ca="1" si="154"/>
        <v>566.15084999999999</v>
      </c>
      <c r="CZ207">
        <f t="shared" ca="1" si="120"/>
        <v>568.00661336751523</v>
      </c>
      <c r="DA207">
        <f t="shared" ca="1" si="123"/>
        <v>577.20862964483911</v>
      </c>
      <c r="DB207">
        <f t="shared" ca="1" si="122"/>
        <v>-9.2020162773238781</v>
      </c>
      <c r="DC207">
        <f t="shared" ca="1" si="124"/>
        <v>-10.359667479160155</v>
      </c>
      <c r="DD207">
        <f t="shared" ca="1" si="125"/>
        <v>1.157651201836277</v>
      </c>
    </row>
    <row r="208" spans="51:108" x14ac:dyDescent="0.25">
      <c r="AY208" t="str">
        <f>"日K!A"&amp;日K!$E$3-239+1+BF208-8</f>
        <v>日K!A6800</v>
      </c>
      <c r="AZ208" s="4">
        <f t="shared" ca="1" si="132"/>
        <v>44341</v>
      </c>
      <c r="BA208" s="13">
        <f t="shared" ca="1" si="133"/>
        <v>573.61980000000005</v>
      </c>
      <c r="BB208" s="13">
        <f t="shared" ca="1" si="134"/>
        <v>581.58680000000004</v>
      </c>
      <c r="BC208" s="13">
        <f t="shared" ca="1" si="135"/>
        <v>570.63220000000001</v>
      </c>
      <c r="BD208" s="13">
        <f t="shared" ca="1" si="136"/>
        <v>580.59090000000003</v>
      </c>
      <c r="BE208" s="13">
        <f t="shared" ca="1" si="137"/>
        <v>35445</v>
      </c>
      <c r="BF208">
        <f>ROW()</f>
        <v>208</v>
      </c>
      <c r="BH208" t="str">
        <f t="shared" si="138"/>
        <v>BC204:BC208</v>
      </c>
      <c r="BI208">
        <f t="shared" si="155"/>
        <v>196</v>
      </c>
      <c r="BJ208">
        <f t="shared" ca="1" si="139"/>
        <v>564.05952000000002</v>
      </c>
      <c r="BL208" t="str">
        <f t="shared" si="140"/>
        <v>BC189:BC208</v>
      </c>
      <c r="BM208">
        <f t="shared" si="156"/>
        <v>181</v>
      </c>
      <c r="BN208">
        <f t="shared" ca="1" si="141"/>
        <v>568.98904500000003</v>
      </c>
      <c r="BP208" t="str">
        <f t="shared" si="142"/>
        <v>BC149:BC208</v>
      </c>
      <c r="BQ208">
        <f t="shared" si="157"/>
        <v>141</v>
      </c>
      <c r="BR208">
        <f t="shared" ca="1" si="143"/>
        <v>585.92025000000024</v>
      </c>
      <c r="BT208">
        <f t="shared" ca="1" si="121"/>
        <v>575.86053500000003</v>
      </c>
      <c r="BU208">
        <f t="shared" ca="1" si="126"/>
        <v>9.772001349033502</v>
      </c>
      <c r="BV208">
        <f t="shared" ca="1" si="127"/>
        <v>595.40453769806709</v>
      </c>
      <c r="BW208">
        <f t="shared" ca="1" si="128"/>
        <v>556.31653230193297</v>
      </c>
      <c r="BY208">
        <f t="shared" ca="1" si="129"/>
        <v>564.05952000000002</v>
      </c>
      <c r="BZ208">
        <f t="shared" ca="1" si="130"/>
        <v>568.98904500000003</v>
      </c>
      <c r="CA208">
        <f t="shared" ca="1" si="131"/>
        <v>585.92025000000024</v>
      </c>
      <c r="CD208" t="str">
        <f>IF(周K!$E$3+CK208-12&gt;工作底稿!$CE$5,"周K!A"&amp;周K!$E$3-$CE$5+1+CK208-8,0)</f>
        <v>周K!A368</v>
      </c>
      <c r="CE208" s="4">
        <f t="shared" ca="1" si="144"/>
        <v>43997</v>
      </c>
      <c r="CF208" s="13">
        <f ca="1">IF($CD208=0,"",VLOOKUP($CE208,周K!$A$6:$F$6842,2,0))</f>
        <v>316</v>
      </c>
      <c r="CG208" s="13">
        <f ca="1">IF($CD208=0,"",VLOOKUP($CE208,周K!$A$6:$F$6842,3,0))</f>
        <v>317.5</v>
      </c>
      <c r="CH208" s="13">
        <f ca="1">IF($CD208=0,"",VLOOKUP($CE208,周K!$A$6:$F$6842,4,0))</f>
        <v>308.5</v>
      </c>
      <c r="CI208" s="13">
        <f ca="1">IF($CD208=0,"",VLOOKUP($CE208,周K!$A$6:$F$6842,5,0))</f>
        <v>314.5</v>
      </c>
      <c r="CJ208" s="13">
        <f ca="1">IF($CD208=0,"",VLOOKUP($CE208,周K!$A$6:$F$6842,6,0))</f>
        <v>210024</v>
      </c>
      <c r="CK208">
        <f>ROW()</f>
        <v>208</v>
      </c>
      <c r="CM208" t="str">
        <f t="shared" si="145"/>
        <v>CG204:CG208</v>
      </c>
      <c r="CN208">
        <f t="shared" si="146"/>
        <v>196</v>
      </c>
      <c r="CO208">
        <f t="shared" ca="1" si="147"/>
        <v>310.60000000000002</v>
      </c>
      <c r="CQ208" t="str">
        <f t="shared" si="148"/>
        <v>CG189:CG208</v>
      </c>
      <c r="CR208">
        <f t="shared" si="149"/>
        <v>181</v>
      </c>
      <c r="CS208">
        <f t="shared" ca="1" si="150"/>
        <v>309.10000000000002</v>
      </c>
      <c r="CU208" t="str">
        <f t="shared" si="151"/>
        <v>CG149:CG208</v>
      </c>
      <c r="CV208">
        <f t="shared" si="152"/>
        <v>141</v>
      </c>
      <c r="CW208">
        <f t="shared" ca="1" si="153"/>
        <v>292.57499999999999</v>
      </c>
      <c r="CY208">
        <f t="shared" ca="1" si="154"/>
        <v>578.35020000000009</v>
      </c>
      <c r="CZ208">
        <f t="shared" ca="1" si="120"/>
        <v>569.59793438789757</v>
      </c>
      <c r="DA208">
        <f t="shared" ca="1" si="123"/>
        <v>577.29319041188808</v>
      </c>
      <c r="DB208">
        <f t="shared" ca="1" si="122"/>
        <v>-7.6952560239905097</v>
      </c>
      <c r="DC208">
        <f t="shared" ca="1" si="124"/>
        <v>-10.378200062629263</v>
      </c>
      <c r="DD208">
        <f t="shared" ca="1" si="125"/>
        <v>2.6829440386387535</v>
      </c>
    </row>
    <row r="209" spans="51:108" x14ac:dyDescent="0.25">
      <c r="AY209" t="str">
        <f>"日K!A"&amp;日K!$E$3-239+1+BF209-8</f>
        <v>日K!A6801</v>
      </c>
      <c r="AZ209" s="4">
        <f t="shared" ca="1" si="132"/>
        <v>44342</v>
      </c>
      <c r="BA209" s="13">
        <f t="shared" ca="1" si="133"/>
        <v>584.57439999999997</v>
      </c>
      <c r="BB209" s="13">
        <f t="shared" ca="1" si="134"/>
        <v>585.5702</v>
      </c>
      <c r="BC209" s="13">
        <f t="shared" ca="1" si="135"/>
        <v>578.5992</v>
      </c>
      <c r="BD209" s="13">
        <f t="shared" ca="1" si="136"/>
        <v>582.58259999999996</v>
      </c>
      <c r="BE209" s="13">
        <f t="shared" ca="1" si="137"/>
        <v>19555</v>
      </c>
      <c r="BF209">
        <f>ROW()</f>
        <v>209</v>
      </c>
      <c r="BH209" t="str">
        <f t="shared" si="138"/>
        <v>BC205:BC209</v>
      </c>
      <c r="BI209">
        <f t="shared" si="155"/>
        <v>197</v>
      </c>
      <c r="BJ209">
        <f t="shared" ca="1" si="139"/>
        <v>567.24630000000002</v>
      </c>
      <c r="BL209" t="str">
        <f t="shared" si="140"/>
        <v>BC190:BC209</v>
      </c>
      <c r="BM209">
        <f t="shared" si="156"/>
        <v>182</v>
      </c>
      <c r="BN209">
        <f t="shared" ca="1" si="141"/>
        <v>567.79400499999997</v>
      </c>
      <c r="BP209" t="str">
        <f t="shared" si="142"/>
        <v>BC150:BC209</v>
      </c>
      <c r="BQ209">
        <f t="shared" si="157"/>
        <v>142</v>
      </c>
      <c r="BR209">
        <f t="shared" ca="1" si="143"/>
        <v>585.18266333333349</v>
      </c>
      <c r="BT209">
        <f t="shared" ca="1" si="121"/>
        <v>574.61569999999983</v>
      </c>
      <c r="BU209">
        <f t="shared" ca="1" si="126"/>
        <v>10.165290398083926</v>
      </c>
      <c r="BV209">
        <f t="shared" ca="1" si="127"/>
        <v>594.94628079616768</v>
      </c>
      <c r="BW209">
        <f t="shared" ca="1" si="128"/>
        <v>554.28511920383198</v>
      </c>
      <c r="BY209">
        <f t="shared" ca="1" si="129"/>
        <v>567.24630000000002</v>
      </c>
      <c r="BZ209">
        <f t="shared" ca="1" si="130"/>
        <v>567.79400499999997</v>
      </c>
      <c r="CA209">
        <f t="shared" ca="1" si="131"/>
        <v>585.18266333333349</v>
      </c>
      <c r="CD209" t="str">
        <f>IF(周K!$E$3+CK209-12&gt;工作底稿!$CE$5,"周K!A"&amp;周K!$E$3-$CE$5+1+CK209-8,0)</f>
        <v>周K!A369</v>
      </c>
      <c r="CE209" s="4">
        <f t="shared" ca="1" si="144"/>
        <v>44004</v>
      </c>
      <c r="CF209" s="13">
        <f ca="1">IF($CD209=0,"",VLOOKUP($CE209,周K!$A$6:$F$6842,2,0))</f>
        <v>314.5</v>
      </c>
      <c r="CG209" s="13">
        <f ca="1">IF($CD209=0,"",VLOOKUP($CE209,周K!$A$6:$F$6842,3,0))</f>
        <v>320</v>
      </c>
      <c r="CH209" s="13">
        <f ca="1">IF($CD209=0,"",VLOOKUP($CE209,周K!$A$6:$F$6842,4,0))</f>
        <v>312</v>
      </c>
      <c r="CI209" s="13">
        <f ca="1">IF($CD209=0,"",VLOOKUP($CE209,周K!$A$6:$F$6842,5,0))</f>
        <v>317.5</v>
      </c>
      <c r="CJ209" s="13">
        <f ca="1">IF($CD209=0,"",VLOOKUP($CE209,周K!$A$6:$F$6842,6,0))</f>
        <v>134139</v>
      </c>
      <c r="CK209">
        <f>ROW()</f>
        <v>209</v>
      </c>
      <c r="CM209" t="str">
        <f t="shared" si="145"/>
        <v>CG205:CG209</v>
      </c>
      <c r="CN209">
        <f t="shared" si="146"/>
        <v>197</v>
      </c>
      <c r="CO209">
        <f t="shared" ca="1" si="147"/>
        <v>315</v>
      </c>
      <c r="CQ209" t="str">
        <f t="shared" si="148"/>
        <v>CG190:CG209</v>
      </c>
      <c r="CR209">
        <f t="shared" si="149"/>
        <v>182</v>
      </c>
      <c r="CS209">
        <f t="shared" ca="1" si="150"/>
        <v>308.47500000000002</v>
      </c>
      <c r="CU209" t="str">
        <f t="shared" si="151"/>
        <v>CG150:CG209</v>
      </c>
      <c r="CV209">
        <f t="shared" si="152"/>
        <v>142</v>
      </c>
      <c r="CW209">
        <f t="shared" ca="1" si="153"/>
        <v>293.49166666666667</v>
      </c>
      <c r="CY209">
        <f t="shared" ca="1" si="154"/>
        <v>582.33365000000003</v>
      </c>
      <c r="CZ209">
        <f t="shared" ca="1" si="120"/>
        <v>571.55727525129794</v>
      </c>
      <c r="DA209">
        <f t="shared" ca="1" si="123"/>
        <v>577.66655778878521</v>
      </c>
      <c r="DB209">
        <f t="shared" ca="1" si="122"/>
        <v>-6.1092825374872746</v>
      </c>
      <c r="DC209">
        <f t="shared" ca="1" si="124"/>
        <v>-9.9633008039497284</v>
      </c>
      <c r="DD209">
        <f t="shared" ca="1" si="125"/>
        <v>3.8540182664624538</v>
      </c>
    </row>
    <row r="210" spans="51:108" x14ac:dyDescent="0.25">
      <c r="AY210" t="str">
        <f>"日K!A"&amp;日K!$E$3-239+1+BF210-8</f>
        <v>日K!A6802</v>
      </c>
      <c r="AZ210" s="4">
        <f t="shared" ca="1" si="132"/>
        <v>44343</v>
      </c>
      <c r="BA210" s="13">
        <f t="shared" ca="1" si="133"/>
        <v>577.60329999999999</v>
      </c>
      <c r="BB210" s="13">
        <f t="shared" ca="1" si="134"/>
        <v>579.59500000000003</v>
      </c>
      <c r="BC210" s="13">
        <f t="shared" ca="1" si="135"/>
        <v>570.63220000000001</v>
      </c>
      <c r="BD210" s="13">
        <f t="shared" ca="1" si="136"/>
        <v>579.59500000000003</v>
      </c>
      <c r="BE210" s="13">
        <f t="shared" ca="1" si="137"/>
        <v>70061</v>
      </c>
      <c r="BF210">
        <f>ROW()</f>
        <v>210</v>
      </c>
      <c r="BH210" t="str">
        <f t="shared" si="138"/>
        <v>BC206:BC210</v>
      </c>
      <c r="BI210">
        <f t="shared" si="155"/>
        <v>198</v>
      </c>
      <c r="BJ210">
        <f t="shared" ca="1" si="139"/>
        <v>569.83554000000004</v>
      </c>
      <c r="BL210" t="str">
        <f t="shared" si="140"/>
        <v>BC191:BC210</v>
      </c>
      <c r="BM210">
        <f t="shared" si="156"/>
        <v>183</v>
      </c>
      <c r="BN210">
        <f t="shared" ca="1" si="141"/>
        <v>566.39979000000017</v>
      </c>
      <c r="BP210" t="str">
        <f t="shared" si="142"/>
        <v>BC151:BC210</v>
      </c>
      <c r="BQ210">
        <f t="shared" si="157"/>
        <v>143</v>
      </c>
      <c r="BR210">
        <f t="shared" ca="1" si="143"/>
        <v>584.67595666666682</v>
      </c>
      <c r="BT210">
        <f t="shared" ca="1" si="121"/>
        <v>573.61982999999998</v>
      </c>
      <c r="BU210">
        <f t="shared" ca="1" si="126"/>
        <v>10.420554887237147</v>
      </c>
      <c r="BV210">
        <f t="shared" ca="1" si="127"/>
        <v>594.46093977447424</v>
      </c>
      <c r="BW210">
        <f t="shared" ca="1" si="128"/>
        <v>552.77872022552572</v>
      </c>
      <c r="BY210">
        <f t="shared" ca="1" si="129"/>
        <v>569.83554000000004</v>
      </c>
      <c r="BZ210">
        <f t="shared" ca="1" si="130"/>
        <v>566.39979000000017</v>
      </c>
      <c r="CA210">
        <f t="shared" ca="1" si="131"/>
        <v>584.67595666666682</v>
      </c>
      <c r="CD210" t="str">
        <f>IF(周K!$E$3+CK210-12&gt;工作底稿!$CE$5,"周K!A"&amp;周K!$E$3-$CE$5+1+CK210-8,0)</f>
        <v>周K!A370</v>
      </c>
      <c r="CE210" s="4">
        <f t="shared" ca="1" si="144"/>
        <v>44011</v>
      </c>
      <c r="CF210" s="13">
        <f ca="1">IF($CD210=0,"",VLOOKUP($CE210,周K!$A$6:$F$6842,2,0))</f>
        <v>314</v>
      </c>
      <c r="CG210" s="13">
        <f ca="1">IF($CD210=0,"",VLOOKUP($CE210,周K!$A$6:$F$6842,3,0))</f>
        <v>330.5</v>
      </c>
      <c r="CH210" s="13">
        <f ca="1">IF($CD210=0,"",VLOOKUP($CE210,周K!$A$6:$F$6842,4,0))</f>
        <v>310</v>
      </c>
      <c r="CI210" s="13">
        <f ca="1">IF($CD210=0,"",VLOOKUP($CE210,周K!$A$6:$F$6842,5,0))</f>
        <v>329.5</v>
      </c>
      <c r="CJ210" s="13">
        <f ca="1">IF($CD210=0,"",VLOOKUP($CE210,周K!$A$6:$F$6842,6,0))</f>
        <v>229046</v>
      </c>
      <c r="CK210">
        <f>ROW()</f>
        <v>210</v>
      </c>
      <c r="CM210" t="str">
        <f t="shared" si="145"/>
        <v>CG206:CG210</v>
      </c>
      <c r="CN210">
        <f t="shared" si="146"/>
        <v>198</v>
      </c>
      <c r="CO210">
        <f t="shared" ca="1" si="147"/>
        <v>321.39999999999998</v>
      </c>
      <c r="CQ210" t="str">
        <f t="shared" si="148"/>
        <v>CG191:CG210</v>
      </c>
      <c r="CR210">
        <f t="shared" si="149"/>
        <v>183</v>
      </c>
      <c r="CS210">
        <f t="shared" ca="1" si="150"/>
        <v>308.10000000000002</v>
      </c>
      <c r="CU210" t="str">
        <f t="shared" si="151"/>
        <v>CG151:CG210</v>
      </c>
      <c r="CV210">
        <f t="shared" si="152"/>
        <v>143</v>
      </c>
      <c r="CW210">
        <f t="shared" ca="1" si="153"/>
        <v>294.61666666666667</v>
      </c>
      <c r="CY210">
        <f t="shared" ca="1" si="154"/>
        <v>577.35429999999997</v>
      </c>
      <c r="CZ210">
        <f t="shared" ca="1" si="120"/>
        <v>572.44912521263666</v>
      </c>
      <c r="DA210">
        <f t="shared" ca="1" si="123"/>
        <v>577.64342758220846</v>
      </c>
      <c r="DB210">
        <f t="shared" ca="1" si="122"/>
        <v>-5.1943023695718011</v>
      </c>
      <c r="DC210">
        <f t="shared" ca="1" si="124"/>
        <v>-9.3238826987980907</v>
      </c>
      <c r="DD210">
        <f t="shared" ca="1" si="125"/>
        <v>4.1295803292262896</v>
      </c>
    </row>
    <row r="211" spans="51:108" x14ac:dyDescent="0.25">
      <c r="AY211" t="str">
        <f>"日K!A"&amp;日K!$E$3-239+1+BF211-8</f>
        <v>日K!A6803</v>
      </c>
      <c r="AZ211" s="4">
        <f t="shared" ca="1" si="132"/>
        <v>44344</v>
      </c>
      <c r="BA211" s="13">
        <f t="shared" ca="1" si="133"/>
        <v>584.57439999999997</v>
      </c>
      <c r="BB211" s="13">
        <f t="shared" ca="1" si="134"/>
        <v>589.55370000000005</v>
      </c>
      <c r="BC211" s="13">
        <f t="shared" ca="1" si="135"/>
        <v>579.59500000000003</v>
      </c>
      <c r="BD211" s="13">
        <f t="shared" ca="1" si="136"/>
        <v>587.56200000000001</v>
      </c>
      <c r="BE211" s="13">
        <f t="shared" ca="1" si="137"/>
        <v>30721</v>
      </c>
      <c r="BF211">
        <f>ROW()</f>
        <v>211</v>
      </c>
      <c r="BH211" t="str">
        <f t="shared" si="138"/>
        <v>BC207:BC211</v>
      </c>
      <c r="BI211">
        <f t="shared" si="155"/>
        <v>199</v>
      </c>
      <c r="BJ211">
        <f t="shared" ca="1" si="139"/>
        <v>572.62396000000012</v>
      </c>
      <c r="BL211" t="str">
        <f t="shared" si="140"/>
        <v>BC192:BC211</v>
      </c>
      <c r="BM211">
        <f t="shared" si="156"/>
        <v>184</v>
      </c>
      <c r="BN211">
        <f t="shared" ca="1" si="141"/>
        <v>565.50350500000002</v>
      </c>
      <c r="BP211" t="str">
        <f t="shared" si="142"/>
        <v>BC152:BC211</v>
      </c>
      <c r="BQ211">
        <f t="shared" si="157"/>
        <v>144</v>
      </c>
      <c r="BR211">
        <f t="shared" ca="1" si="143"/>
        <v>584.26904000000002</v>
      </c>
      <c r="BT211">
        <f t="shared" ca="1" si="121"/>
        <v>573.12189499999999</v>
      </c>
      <c r="BU211">
        <f t="shared" ca="1" si="126"/>
        <v>10.491920688453959</v>
      </c>
      <c r="BV211">
        <f t="shared" ca="1" si="127"/>
        <v>594.10573637690788</v>
      </c>
      <c r="BW211">
        <f t="shared" ca="1" si="128"/>
        <v>552.13805362309211</v>
      </c>
      <c r="BY211">
        <f t="shared" ca="1" si="129"/>
        <v>572.62396000000012</v>
      </c>
      <c r="BZ211">
        <f t="shared" ca="1" si="130"/>
        <v>565.50350500000002</v>
      </c>
      <c r="CA211">
        <f t="shared" ca="1" si="131"/>
        <v>584.26904000000002</v>
      </c>
      <c r="CD211" t="str">
        <f>IF(周K!$E$3+CK211-12&gt;工作底稿!$CE$5,"周K!A"&amp;周K!$E$3-$CE$5+1+CK211-8,0)</f>
        <v>周K!A371</v>
      </c>
      <c r="CE211" s="4">
        <f t="shared" ca="1" si="144"/>
        <v>44018</v>
      </c>
      <c r="CF211" s="13">
        <f ca="1">IF($CD211=0,"",VLOOKUP($CE211,周K!$A$6:$F$6842,2,0))</f>
        <v>332.5</v>
      </c>
      <c r="CG211" s="13">
        <f ca="1">IF($CD211=0,"",VLOOKUP($CE211,周K!$A$6:$F$6842,3,0))</f>
        <v>353</v>
      </c>
      <c r="CH211" s="13">
        <f ca="1">IF($CD211=0,"",VLOOKUP($CE211,周K!$A$6:$F$6842,4,0))</f>
        <v>332</v>
      </c>
      <c r="CI211" s="13">
        <f ca="1">IF($CD211=0,"",VLOOKUP($CE211,周K!$A$6:$F$6842,5,0))</f>
        <v>348.5</v>
      </c>
      <c r="CJ211" s="13">
        <f ca="1">IF($CD211=0,"",VLOOKUP($CE211,周K!$A$6:$F$6842,6,0))</f>
        <v>248428</v>
      </c>
      <c r="CK211">
        <f>ROW()</f>
        <v>211</v>
      </c>
      <c r="CM211" t="str">
        <f t="shared" si="145"/>
        <v>CG207:CG211</v>
      </c>
      <c r="CN211">
        <f t="shared" si="146"/>
        <v>199</v>
      </c>
      <c r="CO211">
        <f t="shared" ca="1" si="147"/>
        <v>329.6</v>
      </c>
      <c r="CQ211" t="str">
        <f t="shared" si="148"/>
        <v>CG192:CG211</v>
      </c>
      <c r="CR211">
        <f t="shared" si="149"/>
        <v>184</v>
      </c>
      <c r="CS211">
        <f t="shared" ca="1" si="150"/>
        <v>309.10000000000002</v>
      </c>
      <c r="CU211" t="str">
        <f t="shared" si="151"/>
        <v>CG152:CG211</v>
      </c>
      <c r="CV211">
        <f t="shared" si="152"/>
        <v>144</v>
      </c>
      <c r="CW211">
        <f t="shared" ca="1" si="153"/>
        <v>296.26666666666665</v>
      </c>
      <c r="CY211">
        <f t="shared" ca="1" si="154"/>
        <v>586.06817500000011</v>
      </c>
      <c r="CZ211">
        <f t="shared" ca="1" si="120"/>
        <v>574.54436364146181</v>
      </c>
      <c r="DA211">
        <f t="shared" ca="1" si="123"/>
        <v>578.26748294648928</v>
      </c>
      <c r="DB211">
        <f t="shared" ca="1" si="122"/>
        <v>-3.7231193050274669</v>
      </c>
      <c r="DC211">
        <f t="shared" ca="1" si="124"/>
        <v>-8.3702017911035433</v>
      </c>
      <c r="DD211">
        <f t="shared" ca="1" si="125"/>
        <v>4.6470824860760764</v>
      </c>
    </row>
    <row r="212" spans="51:108" x14ac:dyDescent="0.25">
      <c r="AY212" t="str">
        <f>"日K!A"&amp;日K!$E$3-239+1+BF212-8</f>
        <v>日K!A6804</v>
      </c>
      <c r="AZ212" s="4">
        <f t="shared" ca="1" si="132"/>
        <v>44347</v>
      </c>
      <c r="BA212" s="13">
        <f t="shared" ca="1" si="133"/>
        <v>592.54129999999998</v>
      </c>
      <c r="BB212" s="13">
        <f t="shared" ca="1" si="134"/>
        <v>594.53309999999999</v>
      </c>
      <c r="BC212" s="13">
        <f t="shared" ca="1" si="135"/>
        <v>587.56200000000001</v>
      </c>
      <c r="BD212" s="13">
        <f t="shared" ca="1" si="136"/>
        <v>594.53309999999999</v>
      </c>
      <c r="BE212" s="13">
        <f t="shared" ca="1" si="137"/>
        <v>31557</v>
      </c>
      <c r="BF212">
        <f>ROW()</f>
        <v>212</v>
      </c>
      <c r="BH212" t="str">
        <f t="shared" si="138"/>
        <v>BC208:BC212</v>
      </c>
      <c r="BI212">
        <f t="shared" si="155"/>
        <v>200</v>
      </c>
      <c r="BJ212">
        <f t="shared" ca="1" si="139"/>
        <v>577.40411999999992</v>
      </c>
      <c r="BL212" t="str">
        <f t="shared" si="140"/>
        <v>BC193:BC212</v>
      </c>
      <c r="BM212">
        <f t="shared" si="156"/>
        <v>185</v>
      </c>
      <c r="BN212">
        <f t="shared" ca="1" si="141"/>
        <v>565.60309500000005</v>
      </c>
      <c r="BP212" t="str">
        <f t="shared" si="142"/>
        <v>BC153:BC212</v>
      </c>
      <c r="BQ212">
        <f t="shared" si="157"/>
        <v>145</v>
      </c>
      <c r="BR212">
        <f t="shared" ca="1" si="143"/>
        <v>584.12714666666682</v>
      </c>
      <c r="BT212">
        <f t="shared" ca="1" si="121"/>
        <v>573.57003999999995</v>
      </c>
      <c r="BU212">
        <f t="shared" ca="1" si="126"/>
        <v>10.316241744651244</v>
      </c>
      <c r="BV212">
        <f t="shared" ca="1" si="127"/>
        <v>594.20252348930239</v>
      </c>
      <c r="BW212">
        <f t="shared" ca="1" si="128"/>
        <v>552.9375565106975</v>
      </c>
      <c r="BY212">
        <f t="shared" ca="1" si="129"/>
        <v>577.40411999999992</v>
      </c>
      <c r="BZ212">
        <f t="shared" ca="1" si="130"/>
        <v>565.60309500000005</v>
      </c>
      <c r="CA212">
        <f t="shared" ca="1" si="131"/>
        <v>584.12714666666682</v>
      </c>
      <c r="CD212" t="str">
        <f>IF(周K!$E$3+CK212-12&gt;工作底稿!$CE$5,"周K!A"&amp;周K!$E$3-$CE$5+1+CK212-8,0)</f>
        <v>周K!A372</v>
      </c>
      <c r="CE212" s="4">
        <f t="shared" ca="1" si="144"/>
        <v>44025</v>
      </c>
      <c r="CF212" s="13">
        <f ca="1">IF($CD212=0,"",VLOOKUP($CE212,周K!$A$6:$F$6842,2,0))</f>
        <v>351</v>
      </c>
      <c r="CG212" s="13">
        <f ca="1">IF($CD212=0,"",VLOOKUP($CE212,周K!$A$6:$F$6842,3,0))</f>
        <v>370</v>
      </c>
      <c r="CH212" s="13">
        <f ca="1">IF($CD212=0,"",VLOOKUP($CE212,周K!$A$6:$F$6842,4,0))</f>
        <v>350.5</v>
      </c>
      <c r="CI212" s="13">
        <f ca="1">IF($CD212=0,"",VLOOKUP($CE212,周K!$A$6:$F$6842,5,0))</f>
        <v>367</v>
      </c>
      <c r="CJ212" s="13">
        <f ca="1">IF($CD212=0,"",VLOOKUP($CE212,周K!$A$6:$F$6842,6,0))</f>
        <v>322581</v>
      </c>
      <c r="CK212">
        <f>ROW()</f>
        <v>212</v>
      </c>
      <c r="CM212" t="str">
        <f t="shared" si="145"/>
        <v>CG208:CG212</v>
      </c>
      <c r="CN212">
        <f t="shared" si="146"/>
        <v>200</v>
      </c>
      <c r="CO212">
        <f t="shared" ca="1" si="147"/>
        <v>338.2</v>
      </c>
      <c r="CQ212" t="str">
        <f t="shared" si="148"/>
        <v>CG193:CG212</v>
      </c>
      <c r="CR212">
        <f t="shared" si="149"/>
        <v>185</v>
      </c>
      <c r="CS212">
        <f t="shared" ca="1" si="150"/>
        <v>311.42500000000001</v>
      </c>
      <c r="CU212" t="str">
        <f t="shared" si="151"/>
        <v>CG153:CG212</v>
      </c>
      <c r="CV212">
        <f t="shared" si="152"/>
        <v>145</v>
      </c>
      <c r="CW212">
        <f t="shared" ca="1" si="153"/>
        <v>298.38333333333333</v>
      </c>
      <c r="CY212">
        <f t="shared" ca="1" si="154"/>
        <v>592.79032499999994</v>
      </c>
      <c r="CZ212">
        <f t="shared" ca="1" si="120"/>
        <v>577.35143461969847</v>
      </c>
      <c r="DA212">
        <f t="shared" ca="1" si="123"/>
        <v>579.34324902452715</v>
      </c>
      <c r="DB212">
        <f t="shared" ca="1" si="122"/>
        <v>-1.9918144048286877</v>
      </c>
      <c r="DC212">
        <f t="shared" ca="1" si="124"/>
        <v>-7.2870946651068049</v>
      </c>
      <c r="DD212">
        <f t="shared" ca="1" si="125"/>
        <v>5.2952802602781173</v>
      </c>
    </row>
    <row r="213" spans="51:108" x14ac:dyDescent="0.25">
      <c r="AY213" t="str">
        <f>"日K!A"&amp;日K!$E$3-239+1+BF213-8</f>
        <v>日K!A6805</v>
      </c>
      <c r="AZ213" s="4">
        <f t="shared" ca="1" si="132"/>
        <v>44348</v>
      </c>
      <c r="BA213" s="13">
        <f t="shared" ca="1" si="133"/>
        <v>595.52890000000002</v>
      </c>
      <c r="BB213" s="13">
        <f t="shared" ca="1" si="134"/>
        <v>596.52480000000003</v>
      </c>
      <c r="BC213" s="13">
        <f t="shared" ca="1" si="135"/>
        <v>592.54129999999998</v>
      </c>
      <c r="BD213" s="13">
        <f t="shared" ca="1" si="136"/>
        <v>595.52890000000002</v>
      </c>
      <c r="BE213" s="13">
        <f t="shared" ca="1" si="137"/>
        <v>18405</v>
      </c>
      <c r="BF213">
        <f>ROW()</f>
        <v>213</v>
      </c>
      <c r="BH213" t="str">
        <f t="shared" si="138"/>
        <v>BC209:BC213</v>
      </c>
      <c r="BI213">
        <f t="shared" si="155"/>
        <v>201</v>
      </c>
      <c r="BJ213">
        <f t="shared" ca="1" si="139"/>
        <v>581.78593999999998</v>
      </c>
      <c r="BL213" t="str">
        <f t="shared" si="140"/>
        <v>BC194:BC213</v>
      </c>
      <c r="BM213">
        <f t="shared" si="156"/>
        <v>186</v>
      </c>
      <c r="BN213">
        <f t="shared" ca="1" si="141"/>
        <v>566.25040999999999</v>
      </c>
      <c r="BP213" t="str">
        <f t="shared" si="142"/>
        <v>BC154:BC213</v>
      </c>
      <c r="BQ213">
        <f t="shared" si="157"/>
        <v>146</v>
      </c>
      <c r="BR213">
        <f t="shared" ca="1" si="143"/>
        <v>584.06824166666672</v>
      </c>
      <c r="BT213">
        <f t="shared" ca="1" si="121"/>
        <v>573.91858999999999</v>
      </c>
      <c r="BU213">
        <f t="shared" ca="1" si="126"/>
        <v>9.9514712139993904</v>
      </c>
      <c r="BV213">
        <f t="shared" ca="1" si="127"/>
        <v>593.82153242799882</v>
      </c>
      <c r="BW213">
        <f t="shared" ca="1" si="128"/>
        <v>554.01564757200117</v>
      </c>
      <c r="BY213">
        <f t="shared" ca="1" si="129"/>
        <v>581.78593999999998</v>
      </c>
      <c r="BZ213">
        <f t="shared" ca="1" si="130"/>
        <v>566.25040999999999</v>
      </c>
      <c r="CA213">
        <f t="shared" ca="1" si="131"/>
        <v>584.06824166666672</v>
      </c>
      <c r="CD213" t="str">
        <f>IF(周K!$E$3+CK213-12&gt;工作底稿!$CE$5,"周K!A"&amp;周K!$E$3-$CE$5+1+CK213-8,0)</f>
        <v>周K!A373</v>
      </c>
      <c r="CE213" s="4">
        <f t="shared" ca="1" si="144"/>
        <v>44032</v>
      </c>
      <c r="CF213" s="13">
        <f ca="1">IF($CD213=0,"",VLOOKUP($CE213,周K!$A$6:$F$6842,2,0))</f>
        <v>370</v>
      </c>
      <c r="CG213" s="13">
        <f ca="1">IF($CD213=0,"",VLOOKUP($CE213,周K!$A$6:$F$6842,3,0))</f>
        <v>395</v>
      </c>
      <c r="CH213" s="13">
        <f ca="1">IF($CD213=0,"",VLOOKUP($CE213,周K!$A$6:$F$6842,4,0))</f>
        <v>362.5</v>
      </c>
      <c r="CI213" s="13">
        <f ca="1">IF($CD213=0,"",VLOOKUP($CE213,周K!$A$6:$F$6842,5,0))</f>
        <v>386</v>
      </c>
      <c r="CJ213" s="13">
        <f ca="1">IF($CD213=0,"",VLOOKUP($CE213,周K!$A$6:$F$6842,6,0))</f>
        <v>289726</v>
      </c>
      <c r="CK213">
        <f>ROW()</f>
        <v>213</v>
      </c>
      <c r="CM213" t="str">
        <f t="shared" si="145"/>
        <v>CG209:CG213</v>
      </c>
      <c r="CN213">
        <f t="shared" si="146"/>
        <v>201</v>
      </c>
      <c r="CO213">
        <f t="shared" ca="1" si="147"/>
        <v>353.7</v>
      </c>
      <c r="CQ213" t="str">
        <f t="shared" si="148"/>
        <v>CG194:CG213</v>
      </c>
      <c r="CR213">
        <f t="shared" si="149"/>
        <v>186</v>
      </c>
      <c r="CS213">
        <f t="shared" ca="1" si="150"/>
        <v>314.875</v>
      </c>
      <c r="CU213" t="str">
        <f t="shared" si="151"/>
        <v>CG154:CG213</v>
      </c>
      <c r="CV213">
        <f t="shared" si="152"/>
        <v>146</v>
      </c>
      <c r="CW213">
        <f t="shared" ca="1" si="153"/>
        <v>301.00833333333333</v>
      </c>
      <c r="CY213">
        <f t="shared" ca="1" si="154"/>
        <v>595.03097500000001</v>
      </c>
      <c r="CZ213">
        <f t="shared" ref="CZ213:CZ251" ca="1" si="158">CZ212*(11/13)+CY213*(2/13)</f>
        <v>580.07136390897563</v>
      </c>
      <c r="DA213">
        <f t="shared" ca="1" si="123"/>
        <v>580.50530280048815</v>
      </c>
      <c r="DB213">
        <f t="shared" ca="1" si="122"/>
        <v>-0.43393889151252552</v>
      </c>
      <c r="DC213">
        <f t="shared" ca="1" si="124"/>
        <v>-6.0928613809074426</v>
      </c>
      <c r="DD213">
        <f t="shared" ca="1" si="125"/>
        <v>5.658922489394917</v>
      </c>
    </row>
    <row r="214" spans="51:108" x14ac:dyDescent="0.25">
      <c r="AY214" t="str">
        <f>"日K!A"&amp;日K!$E$3-239+1+BF214-8</f>
        <v>日K!A6806</v>
      </c>
      <c r="AZ214" s="4">
        <f t="shared" ca="1" si="132"/>
        <v>44349</v>
      </c>
      <c r="BA214" s="13">
        <f t="shared" ca="1" si="133"/>
        <v>597.52070000000003</v>
      </c>
      <c r="BB214" s="13">
        <f t="shared" ca="1" si="134"/>
        <v>597.52070000000003</v>
      </c>
      <c r="BC214" s="13">
        <f t="shared" ca="1" si="135"/>
        <v>590.54960000000005</v>
      </c>
      <c r="BD214" s="13">
        <f t="shared" ca="1" si="136"/>
        <v>592.54129999999998</v>
      </c>
      <c r="BE214" s="13">
        <f t="shared" ca="1" si="137"/>
        <v>22417</v>
      </c>
      <c r="BF214">
        <f>ROW()</f>
        <v>214</v>
      </c>
      <c r="BH214" t="str">
        <f t="shared" si="138"/>
        <v>BC210:BC214</v>
      </c>
      <c r="BI214">
        <f t="shared" si="155"/>
        <v>202</v>
      </c>
      <c r="BJ214">
        <f t="shared" ca="1" si="139"/>
        <v>584.17602000000011</v>
      </c>
      <c r="BL214" t="str">
        <f t="shared" si="140"/>
        <v>BC195:BC214</v>
      </c>
      <c r="BM214">
        <f t="shared" si="156"/>
        <v>187</v>
      </c>
      <c r="BN214">
        <f t="shared" ca="1" si="141"/>
        <v>566.64876000000004</v>
      </c>
      <c r="BP214" t="str">
        <f t="shared" si="142"/>
        <v>BC155:BC214</v>
      </c>
      <c r="BQ214">
        <f t="shared" si="157"/>
        <v>147</v>
      </c>
      <c r="BR214">
        <f t="shared" ca="1" si="143"/>
        <v>584.25715333333346</v>
      </c>
      <c r="BT214">
        <f t="shared" ca="1" si="121"/>
        <v>574.41652500000009</v>
      </c>
      <c r="BU214">
        <f t="shared" ca="1" si="126"/>
        <v>9.456457115860271</v>
      </c>
      <c r="BV214">
        <f t="shared" ca="1" si="127"/>
        <v>593.32943923172058</v>
      </c>
      <c r="BW214">
        <f t="shared" ca="1" si="128"/>
        <v>555.5036107682796</v>
      </c>
      <c r="BY214">
        <f t="shared" ca="1" si="129"/>
        <v>584.17602000000011</v>
      </c>
      <c r="BZ214">
        <f t="shared" ca="1" si="130"/>
        <v>566.64876000000004</v>
      </c>
      <c r="CA214">
        <f t="shared" ca="1" si="131"/>
        <v>584.25715333333346</v>
      </c>
      <c r="CD214" t="str">
        <f>IF(周K!$E$3+CK214-12&gt;工作底稿!$CE$5,"周K!A"&amp;周K!$E$3-$CE$5+1+CK214-8,0)</f>
        <v>周K!A374</v>
      </c>
      <c r="CE214" s="4">
        <f t="shared" ca="1" si="144"/>
        <v>44039</v>
      </c>
      <c r="CF214" s="13">
        <f ca="1">IF($CD214=0,"",VLOOKUP($CE214,周K!$A$6:$F$6842,2,0))</f>
        <v>420.5</v>
      </c>
      <c r="CG214" s="13">
        <f ca="1">IF($CD214=0,"",VLOOKUP($CE214,周K!$A$6:$F$6842,3,0))</f>
        <v>466.5</v>
      </c>
      <c r="CH214" s="13">
        <f ca="1">IF($CD214=0,"",VLOOKUP($CE214,周K!$A$6:$F$6842,4,0))</f>
        <v>416.5</v>
      </c>
      <c r="CI214" s="13">
        <f ca="1">IF($CD214=0,"",VLOOKUP($CE214,周K!$A$6:$F$6842,5,0))</f>
        <v>425.5</v>
      </c>
      <c r="CJ214" s="13">
        <f ca="1">IF($CD214=0,"",VLOOKUP($CE214,周K!$A$6:$F$6842,6,0))</f>
        <v>484536</v>
      </c>
      <c r="CK214">
        <f>ROW()</f>
        <v>214</v>
      </c>
      <c r="CM214" t="str">
        <f t="shared" si="145"/>
        <v>CG210:CG214</v>
      </c>
      <c r="CN214">
        <f t="shared" si="146"/>
        <v>202</v>
      </c>
      <c r="CO214">
        <f t="shared" ca="1" si="147"/>
        <v>383</v>
      </c>
      <c r="CQ214" t="str">
        <f t="shared" si="148"/>
        <v>CG195:CG214</v>
      </c>
      <c r="CR214">
        <f t="shared" si="149"/>
        <v>187</v>
      </c>
      <c r="CS214">
        <f t="shared" ca="1" si="150"/>
        <v>322.67500000000001</v>
      </c>
      <c r="CU214" t="str">
        <f t="shared" si="151"/>
        <v>CG155:CG214</v>
      </c>
      <c r="CV214">
        <f t="shared" si="152"/>
        <v>147</v>
      </c>
      <c r="CW214">
        <f t="shared" ca="1" si="153"/>
        <v>304.80833333333334</v>
      </c>
      <c r="CY214">
        <f t="shared" ca="1" si="154"/>
        <v>593.28822500000001</v>
      </c>
      <c r="CZ214">
        <f t="shared" ca="1" si="158"/>
        <v>582.10472715374863</v>
      </c>
      <c r="DA214">
        <f t="shared" ca="1" si="123"/>
        <v>581.45218592637798</v>
      </c>
      <c r="DB214">
        <f t="shared" ca="1" si="122"/>
        <v>0.6525412273706479</v>
      </c>
      <c r="DC214">
        <f t="shared" ca="1" si="124"/>
        <v>-4.8273795233240104</v>
      </c>
      <c r="DD214">
        <f t="shared" ca="1" si="125"/>
        <v>5.4799207506946583</v>
      </c>
    </row>
    <row r="215" spans="51:108" x14ac:dyDescent="0.25">
      <c r="AY215" t="str">
        <f>"日K!A"&amp;日K!$E$3-239+1+BF215-8</f>
        <v>日K!A6807</v>
      </c>
      <c r="AZ215" s="4">
        <f t="shared" ca="1" si="132"/>
        <v>44350</v>
      </c>
      <c r="BA215" s="13">
        <f t="shared" ca="1" si="133"/>
        <v>597.52070000000003</v>
      </c>
      <c r="BB215" s="13">
        <f t="shared" ca="1" si="134"/>
        <v>597.52070000000003</v>
      </c>
      <c r="BC215" s="13">
        <f t="shared" ca="1" si="135"/>
        <v>593.53719999999998</v>
      </c>
      <c r="BD215" s="13">
        <f t="shared" ca="1" si="136"/>
        <v>593.53719999999998</v>
      </c>
      <c r="BE215" s="13">
        <f t="shared" ca="1" si="137"/>
        <v>31704</v>
      </c>
      <c r="BF215">
        <f>ROW()</f>
        <v>215</v>
      </c>
      <c r="BH215" t="str">
        <f t="shared" si="138"/>
        <v>BC211:BC215</v>
      </c>
      <c r="BI215">
        <f t="shared" si="155"/>
        <v>203</v>
      </c>
      <c r="BJ215">
        <f t="shared" ca="1" si="139"/>
        <v>588.75702000000001</v>
      </c>
      <c r="BL215" t="str">
        <f t="shared" si="140"/>
        <v>BC196:BC215</v>
      </c>
      <c r="BM215">
        <f t="shared" si="156"/>
        <v>188</v>
      </c>
      <c r="BN215">
        <f t="shared" ca="1" si="141"/>
        <v>567.44545500000004</v>
      </c>
      <c r="BP215" t="str">
        <f t="shared" si="142"/>
        <v>BC156:BC215</v>
      </c>
      <c r="BQ215">
        <f t="shared" si="157"/>
        <v>148</v>
      </c>
      <c r="BR215">
        <f t="shared" ca="1" si="143"/>
        <v>584.26443666666671</v>
      </c>
      <c r="BT215">
        <f t="shared" ca="1" si="121"/>
        <v>574.86466500000006</v>
      </c>
      <c r="BU215">
        <f t="shared" ca="1" si="126"/>
        <v>8.8341049730153909</v>
      </c>
      <c r="BV215">
        <f t="shared" ca="1" si="127"/>
        <v>592.5328749460308</v>
      </c>
      <c r="BW215">
        <f t="shared" ca="1" si="128"/>
        <v>557.19645505396932</v>
      </c>
      <c r="BY215">
        <f t="shared" ca="1" si="129"/>
        <v>588.75702000000001</v>
      </c>
      <c r="BZ215">
        <f t="shared" ca="1" si="130"/>
        <v>567.44545500000004</v>
      </c>
      <c r="CA215">
        <f t="shared" ca="1" si="131"/>
        <v>584.26443666666671</v>
      </c>
      <c r="CD215" t="str">
        <f>IF(周K!$E$3+CK215-12&gt;工作底稿!$CE$5,"周K!A"&amp;周K!$E$3-$CE$5+1+CK215-8,0)</f>
        <v>周K!A375</v>
      </c>
      <c r="CE215" s="4">
        <f t="shared" ca="1" si="144"/>
        <v>44046</v>
      </c>
      <c r="CF215" s="13">
        <f ca="1">IF($CD215=0,"",VLOOKUP($CE215,周K!$A$6:$F$6842,2,0))</f>
        <v>420.5</v>
      </c>
      <c r="CG215" s="13">
        <f ca="1">IF($CD215=0,"",VLOOKUP($CE215,周K!$A$6:$F$6842,3,0))</f>
        <v>438</v>
      </c>
      <c r="CH215" s="13">
        <f ca="1">IF($CD215=0,"",VLOOKUP($CE215,周K!$A$6:$F$6842,4,0))</f>
        <v>415</v>
      </c>
      <c r="CI215" s="13">
        <f ca="1">IF($CD215=0,"",VLOOKUP($CE215,周K!$A$6:$F$6842,5,0))</f>
        <v>433</v>
      </c>
      <c r="CJ215" s="13">
        <f ca="1">IF($CD215=0,"",VLOOKUP($CE215,周K!$A$6:$F$6842,6,0))</f>
        <v>247502</v>
      </c>
      <c r="CK215">
        <f>ROW()</f>
        <v>215</v>
      </c>
      <c r="CM215" t="str">
        <f t="shared" si="145"/>
        <v>CG211:CG215</v>
      </c>
      <c r="CN215">
        <f t="shared" si="146"/>
        <v>203</v>
      </c>
      <c r="CO215">
        <f t="shared" ca="1" si="147"/>
        <v>404.5</v>
      </c>
      <c r="CQ215" t="str">
        <f t="shared" si="148"/>
        <v>CG196:CG215</v>
      </c>
      <c r="CR215">
        <f t="shared" si="149"/>
        <v>188</v>
      </c>
      <c r="CS215">
        <f t="shared" ca="1" si="150"/>
        <v>330.02499999999998</v>
      </c>
      <c r="CU215" t="str">
        <f t="shared" si="151"/>
        <v>CG156:CG215</v>
      </c>
      <c r="CV215">
        <f t="shared" si="152"/>
        <v>148</v>
      </c>
      <c r="CW215">
        <f t="shared" ca="1" si="153"/>
        <v>307.98333333333335</v>
      </c>
      <c r="CY215">
        <f t="shared" ca="1" si="154"/>
        <v>594.53307500000005</v>
      </c>
      <c r="CZ215">
        <f t="shared" ca="1" si="158"/>
        <v>584.01678066855652</v>
      </c>
      <c r="DA215">
        <f t="shared" ca="1" si="123"/>
        <v>582.42114067257216</v>
      </c>
      <c r="DB215">
        <f t="shared" ca="1" si="122"/>
        <v>1.5956399959843566</v>
      </c>
      <c r="DC215">
        <f t="shared" ca="1" si="124"/>
        <v>-3.566838731820793</v>
      </c>
      <c r="DD215">
        <f t="shared" ca="1" si="125"/>
        <v>5.1624787278051496</v>
      </c>
    </row>
    <row r="216" spans="51:108" x14ac:dyDescent="0.25">
      <c r="AY216" t="str">
        <f>"日K!A"&amp;日K!$E$3-239+1+BF216-8</f>
        <v>日K!A6808</v>
      </c>
      <c r="AZ216" s="4">
        <f t="shared" ca="1" si="132"/>
        <v>44351</v>
      </c>
      <c r="BA216" s="13">
        <f t="shared" ca="1" si="133"/>
        <v>588.55790000000002</v>
      </c>
      <c r="BB216" s="13">
        <f t="shared" ca="1" si="134"/>
        <v>592.54129999999998</v>
      </c>
      <c r="BC216" s="13">
        <f t="shared" ca="1" si="135"/>
        <v>587.56200000000001</v>
      </c>
      <c r="BD216" s="13">
        <f t="shared" ca="1" si="136"/>
        <v>592.54129999999998</v>
      </c>
      <c r="BE216" s="13">
        <f t="shared" ca="1" si="137"/>
        <v>16073</v>
      </c>
      <c r="BF216">
        <f>ROW()</f>
        <v>216</v>
      </c>
      <c r="BH216" t="str">
        <f t="shared" si="138"/>
        <v>BC212:BC216</v>
      </c>
      <c r="BI216">
        <f t="shared" si="155"/>
        <v>204</v>
      </c>
      <c r="BJ216">
        <f t="shared" ca="1" si="139"/>
        <v>590.35041999999999</v>
      </c>
      <c r="BL216" t="str">
        <f t="shared" si="140"/>
        <v>BC197:BC216</v>
      </c>
      <c r="BM216">
        <f t="shared" si="156"/>
        <v>189</v>
      </c>
      <c r="BN216">
        <f t="shared" ca="1" si="141"/>
        <v>567.49525000000006</v>
      </c>
      <c r="BP216" t="str">
        <f t="shared" si="142"/>
        <v>BC157:BC216</v>
      </c>
      <c r="BQ216">
        <f t="shared" si="157"/>
        <v>149</v>
      </c>
      <c r="BR216">
        <f t="shared" ca="1" si="143"/>
        <v>584.38702500000011</v>
      </c>
      <c r="BT216">
        <f t="shared" ca="1" si="121"/>
        <v>574.66549000000009</v>
      </c>
      <c r="BU216">
        <f t="shared" ca="1" si="126"/>
        <v>8.0596919186512039</v>
      </c>
      <c r="BV216">
        <f t="shared" ca="1" si="127"/>
        <v>590.78487383730248</v>
      </c>
      <c r="BW216">
        <f t="shared" ca="1" si="128"/>
        <v>558.5461061626977</v>
      </c>
      <c r="BY216">
        <f t="shared" ca="1" si="129"/>
        <v>590.35041999999999</v>
      </c>
      <c r="BZ216">
        <f t="shared" ca="1" si="130"/>
        <v>567.49525000000006</v>
      </c>
      <c r="CA216">
        <f t="shared" ca="1" si="131"/>
        <v>584.38702500000011</v>
      </c>
      <c r="CD216" t="str">
        <f>IF(周K!$E$3+CK216-12&gt;工作底稿!$CE$5,"周K!A"&amp;周K!$E$3-$CE$5+1+CK216-8,0)</f>
        <v>周K!A376</v>
      </c>
      <c r="CE216" s="4">
        <f t="shared" ca="1" si="144"/>
        <v>44053</v>
      </c>
      <c r="CF216" s="13">
        <f ca="1">IF($CD216=0,"",VLOOKUP($CE216,周K!$A$6:$F$6842,2,0))</f>
        <v>427.5</v>
      </c>
      <c r="CG216" s="13">
        <f ca="1">IF($CD216=0,"",VLOOKUP($CE216,周K!$A$6:$F$6842,3,0))</f>
        <v>437.5</v>
      </c>
      <c r="CH216" s="13">
        <f ca="1">IF($CD216=0,"",VLOOKUP($CE216,周K!$A$6:$F$6842,4,0))</f>
        <v>419</v>
      </c>
      <c r="CI216" s="13">
        <f ca="1">IF($CD216=0,"",VLOOKUP($CE216,周K!$A$6:$F$6842,5,0))</f>
        <v>427</v>
      </c>
      <c r="CJ216" s="13">
        <f ca="1">IF($CD216=0,"",VLOOKUP($CE216,周K!$A$6:$F$6842,6,0))</f>
        <v>194523</v>
      </c>
      <c r="CK216">
        <f>ROW()</f>
        <v>216</v>
      </c>
      <c r="CM216" t="str">
        <f t="shared" si="145"/>
        <v>CG212:CG216</v>
      </c>
      <c r="CN216">
        <f t="shared" si="146"/>
        <v>204</v>
      </c>
      <c r="CO216">
        <f t="shared" ca="1" si="147"/>
        <v>421.4</v>
      </c>
      <c r="CQ216" t="str">
        <f t="shared" si="148"/>
        <v>CG197:CG216</v>
      </c>
      <c r="CR216">
        <f t="shared" si="149"/>
        <v>189</v>
      </c>
      <c r="CS216">
        <f t="shared" ca="1" si="150"/>
        <v>337.6</v>
      </c>
      <c r="CU216" t="str">
        <f t="shared" si="151"/>
        <v>CG157:CG216</v>
      </c>
      <c r="CV216">
        <f t="shared" si="152"/>
        <v>149</v>
      </c>
      <c r="CW216">
        <f t="shared" ca="1" si="153"/>
        <v>311.13333333333333</v>
      </c>
      <c r="CY216">
        <f t="shared" ca="1" si="154"/>
        <v>591.29647499999999</v>
      </c>
      <c r="CZ216">
        <f t="shared" ca="1" si="158"/>
        <v>585.13673364262468</v>
      </c>
      <c r="DA216">
        <f t="shared" ca="1" si="123"/>
        <v>583.07857284497425</v>
      </c>
      <c r="DB216">
        <f t="shared" ca="1" si="122"/>
        <v>2.0581607976504301</v>
      </c>
      <c r="DC216">
        <f t="shared" ca="1" si="124"/>
        <v>-2.3157079457125369</v>
      </c>
      <c r="DD216">
        <f t="shared" ca="1" si="125"/>
        <v>4.3738687433629675</v>
      </c>
    </row>
    <row r="217" spans="51:108" x14ac:dyDescent="0.25">
      <c r="AY217" t="str">
        <f>"日K!A"&amp;日K!$E$3-239+1+BF217-8</f>
        <v>日K!A6809</v>
      </c>
      <c r="AZ217" s="4">
        <f t="shared" ca="1" si="132"/>
        <v>44354</v>
      </c>
      <c r="BA217" s="13">
        <f t="shared" ca="1" si="133"/>
        <v>591.54549999999995</v>
      </c>
      <c r="BB217" s="13">
        <f t="shared" ca="1" si="134"/>
        <v>592.54129999999998</v>
      </c>
      <c r="BC217" s="13">
        <f t="shared" ca="1" si="135"/>
        <v>580.59090000000003</v>
      </c>
      <c r="BD217" s="13">
        <f t="shared" ca="1" si="136"/>
        <v>589.55370000000005</v>
      </c>
      <c r="BE217" s="13">
        <f t="shared" ca="1" si="137"/>
        <v>17729</v>
      </c>
      <c r="BF217">
        <f>ROW()</f>
        <v>217</v>
      </c>
      <c r="BH217" t="str">
        <f t="shared" si="138"/>
        <v>BC213:BC217</v>
      </c>
      <c r="BI217">
        <f t="shared" si="155"/>
        <v>205</v>
      </c>
      <c r="BJ217">
        <f t="shared" ca="1" si="139"/>
        <v>588.95620000000008</v>
      </c>
      <c r="BL217" t="str">
        <f t="shared" si="140"/>
        <v>BC198:BC217</v>
      </c>
      <c r="BM217">
        <f t="shared" si="156"/>
        <v>190</v>
      </c>
      <c r="BN217">
        <f t="shared" ca="1" si="141"/>
        <v>567.24628500000006</v>
      </c>
      <c r="BP217" t="str">
        <f t="shared" si="142"/>
        <v>BC158:BC217</v>
      </c>
      <c r="BQ217">
        <f t="shared" si="157"/>
        <v>150</v>
      </c>
      <c r="BR217">
        <f t="shared" ca="1" si="143"/>
        <v>584.26118833333351</v>
      </c>
      <c r="BT217">
        <f t="shared" ca="1" si="121"/>
        <v>574.81487000000016</v>
      </c>
      <c r="BU217">
        <f t="shared" ca="1" si="126"/>
        <v>7.1269952206135869</v>
      </c>
      <c r="BV217">
        <f t="shared" ca="1" si="127"/>
        <v>589.06886044122734</v>
      </c>
      <c r="BW217">
        <f t="shared" ca="1" si="128"/>
        <v>560.56087955877297</v>
      </c>
      <c r="BY217">
        <f t="shared" ca="1" si="129"/>
        <v>588.95620000000008</v>
      </c>
      <c r="BZ217">
        <f t="shared" ca="1" si="130"/>
        <v>567.24628500000006</v>
      </c>
      <c r="CA217">
        <f t="shared" ca="1" si="131"/>
        <v>584.26118833333351</v>
      </c>
      <c r="CD217" t="str">
        <f>IF(周K!$E$3+CK217-12&gt;工作底稿!$CE$5,"周K!A"&amp;周K!$E$3-$CE$5+1+CK217-8,0)</f>
        <v>周K!A377</v>
      </c>
      <c r="CE217" s="4">
        <f t="shared" ca="1" si="144"/>
        <v>44060</v>
      </c>
      <c r="CF217" s="13">
        <f ca="1">IF($CD217=0,"",VLOOKUP($CE217,周K!$A$6:$F$6842,2,0))</f>
        <v>427</v>
      </c>
      <c r="CG217" s="13">
        <f ca="1">IF($CD217=0,"",VLOOKUP($CE217,周K!$A$6:$F$6842,3,0))</f>
        <v>440.5</v>
      </c>
      <c r="CH217" s="13">
        <f ca="1">IF($CD217=0,"",VLOOKUP($CE217,周K!$A$6:$F$6842,4,0))</f>
        <v>401</v>
      </c>
      <c r="CI217" s="13">
        <f ca="1">IF($CD217=0,"",VLOOKUP($CE217,周K!$A$6:$F$6842,5,0))</f>
        <v>424.5</v>
      </c>
      <c r="CJ217" s="13">
        <f ca="1">IF($CD217=0,"",VLOOKUP($CE217,周K!$A$6:$F$6842,6,0))</f>
        <v>228710</v>
      </c>
      <c r="CK217">
        <f>ROW()</f>
        <v>217</v>
      </c>
      <c r="CM217" t="str">
        <f t="shared" si="145"/>
        <v>CG213:CG217</v>
      </c>
      <c r="CN217">
        <f t="shared" si="146"/>
        <v>205</v>
      </c>
      <c r="CO217">
        <f t="shared" ca="1" si="147"/>
        <v>435.5</v>
      </c>
      <c r="CQ217" t="str">
        <f t="shared" si="148"/>
        <v>CG198:CG217</v>
      </c>
      <c r="CR217">
        <f t="shared" si="149"/>
        <v>190</v>
      </c>
      <c r="CS217">
        <f t="shared" ca="1" si="150"/>
        <v>345.8</v>
      </c>
      <c r="CU217" t="str">
        <f t="shared" si="151"/>
        <v>CG158:CG217</v>
      </c>
      <c r="CV217">
        <f t="shared" si="152"/>
        <v>150</v>
      </c>
      <c r="CW217">
        <f t="shared" ca="1" si="153"/>
        <v>314.44166666666666</v>
      </c>
      <c r="CY217">
        <f t="shared" ca="1" si="154"/>
        <v>588.05989999999997</v>
      </c>
      <c r="CZ217">
        <f t="shared" ca="1" si="158"/>
        <v>585.58645154375927</v>
      </c>
      <c r="DA217">
        <f t="shared" ca="1" si="123"/>
        <v>583.44756004164287</v>
      </c>
      <c r="DB217">
        <f t="shared" ca="1" si="122"/>
        <v>2.1388915021163939</v>
      </c>
      <c r="DC217">
        <f t="shared" ca="1" si="124"/>
        <v>-1.2230248872562142</v>
      </c>
      <c r="DD217">
        <f t="shared" ca="1" si="125"/>
        <v>3.3619163893726078</v>
      </c>
    </row>
    <row r="218" spans="51:108" x14ac:dyDescent="0.25">
      <c r="AY218" t="str">
        <f>"日K!A"&amp;日K!$E$3-239+1+BF218-8</f>
        <v>日K!A6810</v>
      </c>
      <c r="AZ218" s="4">
        <f t="shared" ca="1" si="132"/>
        <v>44355</v>
      </c>
      <c r="BA218" s="13">
        <f t="shared" ca="1" si="133"/>
        <v>587.56200000000001</v>
      </c>
      <c r="BB218" s="13">
        <f t="shared" ca="1" si="134"/>
        <v>592.54129999999998</v>
      </c>
      <c r="BC218" s="13">
        <f t="shared" ca="1" si="135"/>
        <v>585.5702</v>
      </c>
      <c r="BD218" s="13">
        <f t="shared" ca="1" si="136"/>
        <v>586.56610000000001</v>
      </c>
      <c r="BE218" s="13">
        <f t="shared" ca="1" si="137"/>
        <v>14084</v>
      </c>
      <c r="BF218">
        <f>ROW()</f>
        <v>218</v>
      </c>
      <c r="BH218" t="str">
        <f t="shared" si="138"/>
        <v>BC214:BC218</v>
      </c>
      <c r="BI218">
        <f t="shared" si="155"/>
        <v>206</v>
      </c>
      <c r="BJ218">
        <f t="shared" ca="1" si="139"/>
        <v>587.56198000000006</v>
      </c>
      <c r="BL218" t="str">
        <f t="shared" si="140"/>
        <v>BC199:BC218</v>
      </c>
      <c r="BM218">
        <f t="shared" si="156"/>
        <v>191</v>
      </c>
      <c r="BN218">
        <f t="shared" ca="1" si="141"/>
        <v>568.1425650000001</v>
      </c>
      <c r="BP218" t="str">
        <f t="shared" si="142"/>
        <v>BC159:BC218</v>
      </c>
      <c r="BQ218">
        <f t="shared" si="157"/>
        <v>151</v>
      </c>
      <c r="BR218">
        <f t="shared" ca="1" si="143"/>
        <v>584.1852783333336</v>
      </c>
      <c r="BT218">
        <f t="shared" ca="1" si="121"/>
        <v>575.71115000000009</v>
      </c>
      <c r="BU218">
        <f t="shared" ca="1" si="126"/>
        <v>6.0660220197307577</v>
      </c>
      <c r="BV218">
        <f t="shared" ca="1" si="127"/>
        <v>587.84319403946165</v>
      </c>
      <c r="BW218">
        <f t="shared" ca="1" si="128"/>
        <v>563.57910596053853</v>
      </c>
      <c r="BY218">
        <f t="shared" ca="1" si="129"/>
        <v>587.56198000000006</v>
      </c>
      <c r="BZ218">
        <f t="shared" ca="1" si="130"/>
        <v>568.1425650000001</v>
      </c>
      <c r="CA218">
        <f t="shared" ca="1" si="131"/>
        <v>584.1852783333336</v>
      </c>
      <c r="CD218" t="str">
        <f>IF(周K!$E$3+CK218-12&gt;工作底稿!$CE$5,"周K!A"&amp;周K!$E$3-$CE$5+1+CK218-8,0)</f>
        <v>周K!A378</v>
      </c>
      <c r="CE218" s="4">
        <f t="shared" ca="1" si="144"/>
        <v>44067</v>
      </c>
      <c r="CF218" s="13">
        <f ca="1">IF($CD218=0,"",VLOOKUP($CE218,周K!$A$6:$F$6842,2,0))</f>
        <v>427.5</v>
      </c>
      <c r="CG218" s="13">
        <f ca="1">IF($CD218=0,"",VLOOKUP($CE218,周K!$A$6:$F$6842,3,0))</f>
        <v>453.5</v>
      </c>
      <c r="CH218" s="13">
        <f ca="1">IF($CD218=0,"",VLOOKUP($CE218,周K!$A$6:$F$6842,4,0))</f>
        <v>425</v>
      </c>
      <c r="CI218" s="13">
        <f ca="1">IF($CD218=0,"",VLOOKUP($CE218,周K!$A$6:$F$6842,5,0))</f>
        <v>435</v>
      </c>
      <c r="CJ218" s="13">
        <f ca="1">IF($CD218=0,"",VLOOKUP($CE218,周K!$A$6:$F$6842,6,0))</f>
        <v>241877</v>
      </c>
      <c r="CK218">
        <f>ROW()</f>
        <v>218</v>
      </c>
      <c r="CM218" t="str">
        <f t="shared" si="145"/>
        <v>CG214:CG218</v>
      </c>
      <c r="CN218">
        <f t="shared" si="146"/>
        <v>206</v>
      </c>
      <c r="CO218">
        <f t="shared" ca="1" si="147"/>
        <v>447.2</v>
      </c>
      <c r="CQ218" t="str">
        <f t="shared" si="148"/>
        <v>CG199:CG218</v>
      </c>
      <c r="CR218">
        <f t="shared" si="149"/>
        <v>191</v>
      </c>
      <c r="CS218">
        <f t="shared" ca="1" si="150"/>
        <v>354.07499999999999</v>
      </c>
      <c r="CU218" t="str">
        <f t="shared" si="151"/>
        <v>CG159:CG218</v>
      </c>
      <c r="CV218">
        <f t="shared" si="152"/>
        <v>151</v>
      </c>
      <c r="CW218">
        <f t="shared" ca="1" si="153"/>
        <v>317.83333333333331</v>
      </c>
      <c r="CY218">
        <f t="shared" ca="1" si="154"/>
        <v>587.810925</v>
      </c>
      <c r="CZ218">
        <f t="shared" ca="1" si="158"/>
        <v>585.92867822933476</v>
      </c>
      <c r="DA218">
        <f t="shared" ca="1" si="123"/>
        <v>583.77077226078052</v>
      </c>
      <c r="DB218">
        <f t="shared" ca="1" si="122"/>
        <v>2.1579059685542461</v>
      </c>
      <c r="DC218">
        <f t="shared" ca="1" si="124"/>
        <v>-0.30444838658493406</v>
      </c>
      <c r="DD218">
        <f t="shared" ca="1" si="125"/>
        <v>2.4623543551391802</v>
      </c>
    </row>
    <row r="219" spans="51:108" x14ac:dyDescent="0.25">
      <c r="AY219" t="str">
        <f>"日K!A"&amp;日K!$E$3-239+1+BF219-8</f>
        <v>日K!A6811</v>
      </c>
      <c r="AZ219" s="4">
        <f t="shared" ca="1" si="132"/>
        <v>44356</v>
      </c>
      <c r="BA219" s="13">
        <f t="shared" ca="1" si="133"/>
        <v>583.57849999999996</v>
      </c>
      <c r="BB219" s="13">
        <f t="shared" ca="1" si="134"/>
        <v>585.5702</v>
      </c>
      <c r="BC219" s="13">
        <f t="shared" ca="1" si="135"/>
        <v>580.59090000000003</v>
      </c>
      <c r="BD219" s="13">
        <f t="shared" ca="1" si="136"/>
        <v>583.57849999999996</v>
      </c>
      <c r="BE219" s="13">
        <f t="shared" ca="1" si="137"/>
        <v>21575</v>
      </c>
      <c r="BF219">
        <f>ROW()</f>
        <v>219</v>
      </c>
      <c r="BH219" t="str">
        <f t="shared" si="138"/>
        <v>BC215:BC219</v>
      </c>
      <c r="BI219">
        <f t="shared" si="155"/>
        <v>207</v>
      </c>
      <c r="BJ219">
        <f t="shared" ca="1" si="139"/>
        <v>585.57024000000013</v>
      </c>
      <c r="BL219" t="str">
        <f t="shared" si="140"/>
        <v>BC200:BC219</v>
      </c>
      <c r="BM219">
        <f t="shared" si="156"/>
        <v>192</v>
      </c>
      <c r="BN219">
        <f t="shared" ca="1" si="141"/>
        <v>571.37913499999991</v>
      </c>
      <c r="BP219" t="str">
        <f t="shared" si="142"/>
        <v>BC160:BC219</v>
      </c>
      <c r="BQ219">
        <f t="shared" si="157"/>
        <v>152</v>
      </c>
      <c r="BR219">
        <f t="shared" ca="1" si="143"/>
        <v>583.79496000000029</v>
      </c>
      <c r="BT219">
        <f t="shared" ref="BT219:BT251" ca="1" si="159">AVERAGE(BD200:BD219)</f>
        <v>577.00577500000009</v>
      </c>
      <c r="BU219">
        <f t="shared" ca="1" si="126"/>
        <v>4.9454974565963061</v>
      </c>
      <c r="BV219">
        <f t="shared" ca="1" si="127"/>
        <v>586.89676991319266</v>
      </c>
      <c r="BW219">
        <f t="shared" ca="1" si="128"/>
        <v>567.11478008680751</v>
      </c>
      <c r="BY219">
        <f t="shared" ca="1" si="129"/>
        <v>585.57024000000013</v>
      </c>
      <c r="BZ219">
        <f t="shared" ca="1" si="130"/>
        <v>571.37913499999991</v>
      </c>
      <c r="CA219">
        <f t="shared" ca="1" si="131"/>
        <v>583.79496000000029</v>
      </c>
      <c r="CD219" t="str">
        <f>IF(周K!$E$3+CK219-12&gt;工作底稿!$CE$5,"周K!A"&amp;周K!$E$3-$CE$5+1+CK219-8,0)</f>
        <v>周K!A379</v>
      </c>
      <c r="CE219" s="4">
        <f t="shared" ca="1" si="144"/>
        <v>44074</v>
      </c>
      <c r="CF219" s="13">
        <f ca="1">IF($CD219=0,"",VLOOKUP($CE219,周K!$A$6:$F$6842,2,0))</f>
        <v>437</v>
      </c>
      <c r="CG219" s="13">
        <f ca="1">IF($CD219=0,"",VLOOKUP($CE219,周K!$A$6:$F$6842,3,0))</f>
        <v>441</v>
      </c>
      <c r="CH219" s="13">
        <f ca="1">IF($CD219=0,"",VLOOKUP($CE219,周K!$A$6:$F$6842,4,0))</f>
        <v>426.5</v>
      </c>
      <c r="CI219" s="13">
        <f ca="1">IF($CD219=0,"",VLOOKUP($CE219,周K!$A$6:$F$6842,5,0))</f>
        <v>429</v>
      </c>
      <c r="CJ219" s="13">
        <f ca="1">IF($CD219=0,"",VLOOKUP($CE219,周K!$A$6:$F$6842,6,0))</f>
        <v>272746</v>
      </c>
      <c r="CK219">
        <f>ROW()</f>
        <v>219</v>
      </c>
      <c r="CM219" t="str">
        <f t="shared" si="145"/>
        <v>CG215:CG219</v>
      </c>
      <c r="CN219">
        <f t="shared" si="146"/>
        <v>207</v>
      </c>
      <c r="CO219">
        <f t="shared" ca="1" si="147"/>
        <v>442.1</v>
      </c>
      <c r="CQ219" t="str">
        <f t="shared" si="148"/>
        <v>CG200:CG219</v>
      </c>
      <c r="CR219">
        <f t="shared" si="149"/>
        <v>192</v>
      </c>
      <c r="CS219">
        <f t="shared" ca="1" si="150"/>
        <v>360.7</v>
      </c>
      <c r="CU219" t="str">
        <f t="shared" si="151"/>
        <v>CG160:CG219</v>
      </c>
      <c r="CV219">
        <f t="shared" si="152"/>
        <v>152</v>
      </c>
      <c r="CW219">
        <f t="shared" ca="1" si="153"/>
        <v>320.98333333333335</v>
      </c>
      <c r="CY219">
        <f t="shared" ca="1" si="154"/>
        <v>583.32952499999999</v>
      </c>
      <c r="CZ219">
        <f t="shared" ca="1" si="158"/>
        <v>585.52880850174483</v>
      </c>
      <c r="DA219">
        <f t="shared" ca="1" si="123"/>
        <v>583.73808727850042</v>
      </c>
      <c r="DB219">
        <f t="shared" ca="1" si="122"/>
        <v>1.7907212232444181</v>
      </c>
      <c r="DC219">
        <f t="shared" ca="1" si="124"/>
        <v>0.47166534595020138</v>
      </c>
      <c r="DD219">
        <f t="shared" ca="1" si="125"/>
        <v>1.3190558772942167</v>
      </c>
    </row>
    <row r="220" spans="51:108" x14ac:dyDescent="0.25">
      <c r="AY220" t="str">
        <f>"日K!A"&amp;日K!$E$3-239+1+BF220-8</f>
        <v>日K!A6812</v>
      </c>
      <c r="AZ220" s="4">
        <f t="shared" ca="1" si="132"/>
        <v>44357</v>
      </c>
      <c r="BA220" s="13">
        <f t="shared" ca="1" si="133"/>
        <v>588.55790000000002</v>
      </c>
      <c r="BB220" s="13">
        <f t="shared" ca="1" si="134"/>
        <v>596.52480000000003</v>
      </c>
      <c r="BC220" s="13">
        <f t="shared" ca="1" si="135"/>
        <v>584.57439999999997</v>
      </c>
      <c r="BD220" s="13">
        <f t="shared" ca="1" si="136"/>
        <v>596.52480000000003</v>
      </c>
      <c r="BE220" s="13">
        <f t="shared" ca="1" si="137"/>
        <v>29742</v>
      </c>
      <c r="BF220">
        <f>ROW()</f>
        <v>220</v>
      </c>
      <c r="BH220" t="str">
        <f t="shared" si="138"/>
        <v>BC216:BC220</v>
      </c>
      <c r="BI220">
        <f t="shared" si="155"/>
        <v>208</v>
      </c>
      <c r="BJ220">
        <f t="shared" ca="1" si="139"/>
        <v>583.77768000000003</v>
      </c>
      <c r="BL220" t="str">
        <f t="shared" si="140"/>
        <v>BC201:BC220</v>
      </c>
      <c r="BM220">
        <f t="shared" si="156"/>
        <v>193</v>
      </c>
      <c r="BN220">
        <f t="shared" ca="1" si="141"/>
        <v>573.66962999999987</v>
      </c>
      <c r="BP220" t="str">
        <f t="shared" si="142"/>
        <v>BC161:BC220</v>
      </c>
      <c r="BQ220">
        <f t="shared" si="157"/>
        <v>153</v>
      </c>
      <c r="BR220">
        <f t="shared" ca="1" si="143"/>
        <v>583.47103333333348</v>
      </c>
      <c r="BT220">
        <f t="shared" ca="1" si="159"/>
        <v>579.59503000000007</v>
      </c>
      <c r="BU220">
        <f t="shared" ca="1" si="126"/>
        <v>4.0014790186214748</v>
      </c>
      <c r="BV220">
        <f t="shared" ca="1" si="127"/>
        <v>587.597988037243</v>
      </c>
      <c r="BW220">
        <f t="shared" ca="1" si="128"/>
        <v>571.59207196275713</v>
      </c>
      <c r="BY220">
        <f t="shared" ca="1" si="129"/>
        <v>583.77768000000003</v>
      </c>
      <c r="BZ220">
        <f t="shared" ca="1" si="130"/>
        <v>573.66962999999987</v>
      </c>
      <c r="CA220">
        <f t="shared" ca="1" si="131"/>
        <v>583.47103333333348</v>
      </c>
      <c r="CD220" t="str">
        <f>IF(周K!$E$3+CK220-12&gt;工作底稿!$CE$5,"周K!A"&amp;周K!$E$3-$CE$5+1+CK220-8,0)</f>
        <v>周K!A380</v>
      </c>
      <c r="CE220" s="4">
        <f t="shared" ca="1" si="144"/>
        <v>44081</v>
      </c>
      <c r="CF220" s="13">
        <f ca="1">IF($CD220=0,"",VLOOKUP($CE220,周K!$A$6:$F$6842,2,0))</f>
        <v>428</v>
      </c>
      <c r="CG220" s="13">
        <f ca="1">IF($CD220=0,"",VLOOKUP($CE220,周K!$A$6:$F$6842,3,0))</f>
        <v>436.5</v>
      </c>
      <c r="CH220" s="13">
        <f ca="1">IF($CD220=0,"",VLOOKUP($CE220,周K!$A$6:$F$6842,4,0))</f>
        <v>423</v>
      </c>
      <c r="CI220" s="13">
        <f ca="1">IF($CD220=0,"",VLOOKUP($CE220,周K!$A$6:$F$6842,5,0))</f>
        <v>436.5</v>
      </c>
      <c r="CJ220" s="13">
        <f ca="1">IF($CD220=0,"",VLOOKUP($CE220,周K!$A$6:$F$6842,6,0))</f>
        <v>174472</v>
      </c>
      <c r="CK220">
        <f>ROW()</f>
        <v>220</v>
      </c>
      <c r="CM220" t="str">
        <f t="shared" si="145"/>
        <v>CG216:CG220</v>
      </c>
      <c r="CN220">
        <f t="shared" si="146"/>
        <v>208</v>
      </c>
      <c r="CO220">
        <f t="shared" ca="1" si="147"/>
        <v>441.8</v>
      </c>
      <c r="CQ220" t="str">
        <f t="shared" si="148"/>
        <v>CG201:CG220</v>
      </c>
      <c r="CR220">
        <f t="shared" si="149"/>
        <v>193</v>
      </c>
      <c r="CS220">
        <f t="shared" ca="1" si="150"/>
        <v>367.07499999999999</v>
      </c>
      <c r="CU220" t="str">
        <f t="shared" si="151"/>
        <v>CG161:CG220</v>
      </c>
      <c r="CV220">
        <f t="shared" si="152"/>
        <v>153</v>
      </c>
      <c r="CW220">
        <f t="shared" ca="1" si="153"/>
        <v>323.90833333333336</v>
      </c>
      <c r="CY220">
        <f t="shared" ca="1" si="154"/>
        <v>593.53719999999998</v>
      </c>
      <c r="CZ220">
        <f t="shared" ca="1" si="158"/>
        <v>586.76086873224563</v>
      </c>
      <c r="DA220">
        <f t="shared" ca="1" si="123"/>
        <v>584.463947480093</v>
      </c>
      <c r="DB220">
        <f t="shared" ca="1" si="122"/>
        <v>2.2969212521526288</v>
      </c>
      <c r="DC220">
        <f t="shared" ca="1" si="124"/>
        <v>1.1405587411924343</v>
      </c>
      <c r="DD220">
        <f t="shared" ca="1" si="125"/>
        <v>1.1563625109601945</v>
      </c>
    </row>
    <row r="221" spans="51:108" x14ac:dyDescent="0.25">
      <c r="AY221" t="str">
        <f>"日K!A"&amp;日K!$E$3-239+1+BF221-8</f>
        <v>日K!A6813</v>
      </c>
      <c r="AZ221" s="4">
        <f t="shared" ca="1" si="132"/>
        <v>44358</v>
      </c>
      <c r="BA221" s="13">
        <f t="shared" ca="1" si="133"/>
        <v>599.51239999999996</v>
      </c>
      <c r="BB221" s="13">
        <f t="shared" ca="1" si="134"/>
        <v>600.50829999999996</v>
      </c>
      <c r="BC221" s="13">
        <f t="shared" ca="1" si="135"/>
        <v>597.52070000000003</v>
      </c>
      <c r="BD221" s="13">
        <f t="shared" ca="1" si="136"/>
        <v>599.51239999999996</v>
      </c>
      <c r="BE221" s="13">
        <f t="shared" ca="1" si="137"/>
        <v>24941</v>
      </c>
      <c r="BF221">
        <f>ROW()</f>
        <v>221</v>
      </c>
      <c r="BH221" t="str">
        <f t="shared" si="138"/>
        <v>BC217:BC221</v>
      </c>
      <c r="BI221">
        <f t="shared" si="155"/>
        <v>209</v>
      </c>
      <c r="BJ221">
        <f t="shared" ca="1" si="139"/>
        <v>585.76941999999997</v>
      </c>
      <c r="BL221" t="str">
        <f t="shared" si="140"/>
        <v>BC202:BC221</v>
      </c>
      <c r="BM221">
        <f t="shared" si="156"/>
        <v>194</v>
      </c>
      <c r="BN221">
        <f t="shared" ca="1" si="141"/>
        <v>576.05971499999998</v>
      </c>
      <c r="BP221" t="str">
        <f t="shared" si="142"/>
        <v>BC162:BC221</v>
      </c>
      <c r="BQ221">
        <f t="shared" si="157"/>
        <v>154</v>
      </c>
      <c r="BR221">
        <f t="shared" ca="1" si="143"/>
        <v>583.39593833333345</v>
      </c>
      <c r="BT221">
        <f t="shared" ca="1" si="159"/>
        <v>581.83573499999989</v>
      </c>
      <c r="BU221">
        <f t="shared" ca="1" si="126"/>
        <v>3.4233397263983871</v>
      </c>
      <c r="BV221">
        <f t="shared" ca="1" si="127"/>
        <v>588.68241445279671</v>
      </c>
      <c r="BW221">
        <f t="shared" ca="1" si="128"/>
        <v>574.98905554720307</v>
      </c>
      <c r="BY221">
        <f t="shared" ca="1" si="129"/>
        <v>585.76941999999997</v>
      </c>
      <c r="BZ221">
        <f t="shared" ca="1" si="130"/>
        <v>576.05971499999998</v>
      </c>
      <c r="CA221">
        <f t="shared" ca="1" si="131"/>
        <v>583.39593833333345</v>
      </c>
      <c r="CD221" t="str">
        <f>IF(周K!$E$3+CK221-12&gt;工作底稿!$CE$5,"周K!A"&amp;周K!$E$3-$CE$5+1+CK221-8,0)</f>
        <v>周K!A381</v>
      </c>
      <c r="CE221" s="4">
        <f t="shared" ca="1" si="144"/>
        <v>44088</v>
      </c>
      <c r="CF221" s="13">
        <f ca="1">IF($CD221=0,"",VLOOKUP($CE221,周K!$A$6:$F$6842,2,0))</f>
        <v>436</v>
      </c>
      <c r="CG221" s="13">
        <f ca="1">IF($CD221=0,"",VLOOKUP($CE221,周K!$A$6:$F$6842,3,0))</f>
        <v>462</v>
      </c>
      <c r="CH221" s="13">
        <f ca="1">IF($CD221=0,"",VLOOKUP($CE221,周K!$A$6:$F$6842,4,0))</f>
        <v>435.5</v>
      </c>
      <c r="CI221" s="13">
        <f ca="1">IF($CD221=0,"",VLOOKUP($CE221,周K!$A$6:$F$6842,5,0))</f>
        <v>444</v>
      </c>
      <c r="CJ221" s="13">
        <f ca="1">IF($CD221=0,"",VLOOKUP($CE221,周K!$A$6:$F$6842,6,0))</f>
        <v>247016</v>
      </c>
      <c r="CK221">
        <f>ROW()</f>
        <v>221</v>
      </c>
      <c r="CM221" t="str">
        <f t="shared" si="145"/>
        <v>CG217:CG221</v>
      </c>
      <c r="CN221">
        <f t="shared" si="146"/>
        <v>209</v>
      </c>
      <c r="CO221">
        <f t="shared" ca="1" si="147"/>
        <v>446.7</v>
      </c>
      <c r="CQ221" t="str">
        <f t="shared" si="148"/>
        <v>CG202:CG221</v>
      </c>
      <c r="CR221">
        <f t="shared" si="149"/>
        <v>194</v>
      </c>
      <c r="CS221">
        <f t="shared" ca="1" si="150"/>
        <v>374.92500000000001</v>
      </c>
      <c r="CU221" t="str">
        <f t="shared" si="151"/>
        <v>CG162:CG221</v>
      </c>
      <c r="CV221">
        <f t="shared" si="152"/>
        <v>154</v>
      </c>
      <c r="CW221">
        <f t="shared" ca="1" si="153"/>
        <v>327.16666666666669</v>
      </c>
      <c r="CY221">
        <f t="shared" ca="1" si="154"/>
        <v>599.26344999999992</v>
      </c>
      <c r="CZ221">
        <f t="shared" ca="1" si="158"/>
        <v>588.68434277343863</v>
      </c>
      <c r="DA221">
        <f t="shared" ca="1" si="123"/>
        <v>585.56020692601203</v>
      </c>
      <c r="DB221">
        <f t="shared" ca="1" si="122"/>
        <v>3.1241358474266008</v>
      </c>
      <c r="DC221">
        <f t="shared" ca="1" si="124"/>
        <v>1.7089976581096886</v>
      </c>
      <c r="DD221">
        <f t="shared" ca="1" si="125"/>
        <v>1.4151381893169122</v>
      </c>
    </row>
    <row r="222" spans="51:108" x14ac:dyDescent="0.25">
      <c r="AY222" t="str">
        <f>"日K!A"&amp;日K!$E$3-239+1+BF222-8</f>
        <v>日K!A6814</v>
      </c>
      <c r="AZ222" s="4">
        <f t="shared" ca="1" si="132"/>
        <v>44362</v>
      </c>
      <c r="BA222" s="13">
        <f t="shared" ca="1" si="133"/>
        <v>604.49170000000004</v>
      </c>
      <c r="BB222" s="13">
        <f t="shared" ca="1" si="134"/>
        <v>606.48350000000005</v>
      </c>
      <c r="BC222" s="13">
        <f t="shared" ca="1" si="135"/>
        <v>603.49590000000001</v>
      </c>
      <c r="BD222" s="13">
        <f t="shared" ca="1" si="136"/>
        <v>606.48350000000005</v>
      </c>
      <c r="BE222" s="13">
        <f t="shared" ca="1" si="137"/>
        <v>30246</v>
      </c>
      <c r="BF222">
        <f>ROW()</f>
        <v>222</v>
      </c>
      <c r="BH222" t="str">
        <f t="shared" si="138"/>
        <v>BC218:BC222</v>
      </c>
      <c r="BI222">
        <f t="shared" si="155"/>
        <v>210</v>
      </c>
      <c r="BJ222">
        <f t="shared" ca="1" si="139"/>
        <v>590.35041999999999</v>
      </c>
      <c r="BL222" t="str">
        <f t="shared" si="140"/>
        <v>BC203:BC222</v>
      </c>
      <c r="BM222">
        <f t="shared" si="156"/>
        <v>195</v>
      </c>
      <c r="BN222">
        <f t="shared" ca="1" si="141"/>
        <v>579.2962849999999</v>
      </c>
      <c r="BP222" t="str">
        <f t="shared" si="142"/>
        <v>BC163:BC222</v>
      </c>
      <c r="BQ222">
        <f t="shared" si="157"/>
        <v>155</v>
      </c>
      <c r="BR222">
        <f t="shared" ca="1" si="143"/>
        <v>583.46233000000007</v>
      </c>
      <c r="BT222">
        <f t="shared" ca="1" si="159"/>
        <v>584.82333999999992</v>
      </c>
      <c r="BU222">
        <f t="shared" ca="1" si="126"/>
        <v>3.4801223032774597</v>
      </c>
      <c r="BV222">
        <f t="shared" ca="1" si="127"/>
        <v>591.78358460655488</v>
      </c>
      <c r="BW222">
        <f t="shared" ca="1" si="128"/>
        <v>577.86309539344495</v>
      </c>
      <c r="BY222">
        <f t="shared" ca="1" si="129"/>
        <v>590.35041999999999</v>
      </c>
      <c r="BZ222">
        <f t="shared" ca="1" si="130"/>
        <v>579.2962849999999</v>
      </c>
      <c r="CA222">
        <f t="shared" ca="1" si="131"/>
        <v>583.46233000000007</v>
      </c>
      <c r="CD222" t="str">
        <f>IF(周K!$E$3+CK222-12&gt;工作底稿!$CE$5,"周K!A"&amp;周K!$E$3-$CE$5+1+CK222-8,0)</f>
        <v>周K!A382</v>
      </c>
      <c r="CE222" s="4">
        <f t="shared" ca="1" si="144"/>
        <v>44095</v>
      </c>
      <c r="CF222" s="13">
        <f ca="1">IF($CD222=0,"",VLOOKUP($CE222,周K!$A$6:$F$6842,2,0))</f>
        <v>443.5</v>
      </c>
      <c r="CG222" s="13">
        <f ca="1">IF($CD222=0,"",VLOOKUP($CE222,周K!$A$6:$F$6842,3,0))</f>
        <v>450</v>
      </c>
      <c r="CH222" s="13">
        <f ca="1">IF($CD222=0,"",VLOOKUP($CE222,周K!$A$6:$F$6842,4,0))</f>
        <v>421</v>
      </c>
      <c r="CI222" s="13">
        <f ca="1">IF($CD222=0,"",VLOOKUP($CE222,周K!$A$6:$F$6842,5,0))</f>
        <v>424</v>
      </c>
      <c r="CJ222" s="13">
        <f ca="1">IF($CD222=0,"",VLOOKUP($CE222,周K!$A$6:$F$6842,6,0))</f>
        <v>248237</v>
      </c>
      <c r="CK222">
        <f>ROW()</f>
        <v>222</v>
      </c>
      <c r="CM222" t="str">
        <f t="shared" si="145"/>
        <v>CG218:CG222</v>
      </c>
      <c r="CN222">
        <f t="shared" si="146"/>
        <v>210</v>
      </c>
      <c r="CO222">
        <f t="shared" ca="1" si="147"/>
        <v>448.6</v>
      </c>
      <c r="CQ222" t="str">
        <f t="shared" si="148"/>
        <v>CG203:CG222</v>
      </c>
      <c r="CR222">
        <f t="shared" si="149"/>
        <v>195</v>
      </c>
      <c r="CS222">
        <f t="shared" ca="1" si="150"/>
        <v>382.42500000000001</v>
      </c>
      <c r="CU222" t="str">
        <f t="shared" si="151"/>
        <v>CG163:CG222</v>
      </c>
      <c r="CV222">
        <f t="shared" si="152"/>
        <v>155</v>
      </c>
      <c r="CW222">
        <f t="shared" ca="1" si="153"/>
        <v>330.28333333333336</v>
      </c>
      <c r="CY222">
        <f t="shared" ca="1" si="154"/>
        <v>605.73660000000007</v>
      </c>
      <c r="CZ222">
        <f t="shared" ca="1" si="158"/>
        <v>591.30776696214036</v>
      </c>
      <c r="DA222">
        <f t="shared" ca="1" si="123"/>
        <v>587.05475456112231</v>
      </c>
      <c r="DB222">
        <f t="shared" ca="1" si="122"/>
        <v>4.2530124010180543</v>
      </c>
      <c r="DC222">
        <f t="shared" ca="1" si="124"/>
        <v>2.2297700239464198</v>
      </c>
      <c r="DD222">
        <f t="shared" ca="1" si="125"/>
        <v>2.0232423770716346</v>
      </c>
    </row>
    <row r="223" spans="51:108" x14ac:dyDescent="0.25">
      <c r="AY223" t="str">
        <f>"日K!A"&amp;日K!$E$3-239+1+BF223-8</f>
        <v>日K!A6815</v>
      </c>
      <c r="AZ223" s="4">
        <f t="shared" ca="1" si="132"/>
        <v>44363</v>
      </c>
      <c r="BA223" s="13">
        <f t="shared" ca="1" si="133"/>
        <v>605.48760000000004</v>
      </c>
      <c r="BB223" s="13">
        <f t="shared" ca="1" si="134"/>
        <v>605.48760000000004</v>
      </c>
      <c r="BC223" s="13">
        <f t="shared" ca="1" si="135"/>
        <v>602.5</v>
      </c>
      <c r="BD223" s="13">
        <f t="shared" ca="1" si="136"/>
        <v>602.5</v>
      </c>
      <c r="BE223" s="13">
        <f t="shared" ca="1" si="137"/>
        <v>28625</v>
      </c>
      <c r="BF223">
        <f>ROW()</f>
        <v>223</v>
      </c>
      <c r="BH223" t="str">
        <f t="shared" si="138"/>
        <v>BC219:BC223</v>
      </c>
      <c r="BI223">
        <f t="shared" si="155"/>
        <v>211</v>
      </c>
      <c r="BJ223">
        <f t="shared" ca="1" si="139"/>
        <v>593.73638000000005</v>
      </c>
      <c r="BL223" t="str">
        <f t="shared" si="140"/>
        <v>BC204:BC223</v>
      </c>
      <c r="BM223">
        <f t="shared" si="156"/>
        <v>196</v>
      </c>
      <c r="BN223">
        <f t="shared" ca="1" si="141"/>
        <v>581.78595499999983</v>
      </c>
      <c r="BP223" t="str">
        <f t="shared" si="142"/>
        <v>BC164:BC223</v>
      </c>
      <c r="BQ223">
        <f t="shared" si="157"/>
        <v>156</v>
      </c>
      <c r="BR223">
        <f t="shared" ca="1" si="143"/>
        <v>583.51212333333342</v>
      </c>
      <c r="BT223">
        <f t="shared" ca="1" si="159"/>
        <v>586.46651999999995</v>
      </c>
      <c r="BU223">
        <f t="shared" ca="1" si="126"/>
        <v>3.8717984396436624</v>
      </c>
      <c r="BV223">
        <f t="shared" ca="1" si="127"/>
        <v>594.21011687928728</v>
      </c>
      <c r="BW223">
        <f t="shared" ca="1" si="128"/>
        <v>578.72292312071261</v>
      </c>
      <c r="BY223">
        <f t="shared" ca="1" si="129"/>
        <v>593.73638000000005</v>
      </c>
      <c r="BZ223">
        <f t="shared" ca="1" si="130"/>
        <v>581.78595499999983</v>
      </c>
      <c r="CA223">
        <f t="shared" ca="1" si="131"/>
        <v>583.51212333333342</v>
      </c>
      <c r="CD223" t="str">
        <f>IF(周K!$E$3+CK223-12&gt;工作底稿!$CE$5,"周K!A"&amp;周K!$E$3-$CE$5+1+CK223-8,0)</f>
        <v>周K!A383</v>
      </c>
      <c r="CE223" s="4">
        <f t="shared" ca="1" si="144"/>
        <v>44102</v>
      </c>
      <c r="CF223" s="13">
        <f ca="1">IF($CD223=0,"",VLOOKUP($CE223,周K!$A$6:$F$6842,2,0))</f>
        <v>427</v>
      </c>
      <c r="CG223" s="13">
        <f ca="1">IF($CD223=0,"",VLOOKUP($CE223,周K!$A$6:$F$6842,3,0))</f>
        <v>435</v>
      </c>
      <c r="CH223" s="13">
        <f ca="1">IF($CD223=0,"",VLOOKUP($CE223,周K!$A$6:$F$6842,4,0))</f>
        <v>424.5</v>
      </c>
      <c r="CI223" s="13">
        <f ca="1">IF($CD223=0,"",VLOOKUP($CE223,周K!$A$6:$F$6842,5,0))</f>
        <v>433</v>
      </c>
      <c r="CJ223" s="13">
        <f ca="1">IF($CD223=0,"",VLOOKUP($CE223,周K!$A$6:$F$6842,6,0))</f>
        <v>106017</v>
      </c>
      <c r="CK223">
        <f>ROW()</f>
        <v>223</v>
      </c>
      <c r="CM223" t="str">
        <f t="shared" si="145"/>
        <v>CG219:CG223</v>
      </c>
      <c r="CN223">
        <f t="shared" si="146"/>
        <v>211</v>
      </c>
      <c r="CO223">
        <f t="shared" ca="1" si="147"/>
        <v>444.9</v>
      </c>
      <c r="CQ223" t="str">
        <f t="shared" si="148"/>
        <v>CG204:CG223</v>
      </c>
      <c r="CR223">
        <f t="shared" si="149"/>
        <v>196</v>
      </c>
      <c r="CS223">
        <f t="shared" ca="1" si="150"/>
        <v>389.1</v>
      </c>
      <c r="CU223" t="str">
        <f t="shared" si="151"/>
        <v>CG164:CG223</v>
      </c>
      <c r="CV223">
        <f t="shared" si="152"/>
        <v>156</v>
      </c>
      <c r="CW223">
        <f t="shared" ca="1" si="153"/>
        <v>333.3</v>
      </c>
      <c r="CY223">
        <f t="shared" ca="1" si="154"/>
        <v>603.24689999999998</v>
      </c>
      <c r="CZ223">
        <f t="shared" ca="1" si="158"/>
        <v>593.14455666027266</v>
      </c>
      <c r="DA223">
        <f t="shared" ca="1" si="123"/>
        <v>588.25417274177994</v>
      </c>
      <c r="DB223">
        <f t="shared" ca="1" si="122"/>
        <v>4.8903839184927165</v>
      </c>
      <c r="DC223">
        <f t="shared" ca="1" si="124"/>
        <v>2.7006414340710938</v>
      </c>
      <c r="DD223">
        <f t="shared" ca="1" si="125"/>
        <v>2.1897424844216227</v>
      </c>
    </row>
    <row r="224" spans="51:108" x14ac:dyDescent="0.25">
      <c r="AY224" t="str">
        <f>"日K!A"&amp;日K!$E$3-239+1+BF224-8</f>
        <v>日K!A6816</v>
      </c>
      <c r="AZ224" s="4">
        <f t="shared" ca="1" si="132"/>
        <v>44364</v>
      </c>
      <c r="BA224" s="13">
        <f t="shared" ca="1" si="133"/>
        <v>601</v>
      </c>
      <c r="BB224" s="13">
        <f t="shared" ca="1" si="134"/>
        <v>606</v>
      </c>
      <c r="BC224" s="13">
        <f t="shared" ca="1" si="135"/>
        <v>598</v>
      </c>
      <c r="BD224" s="13">
        <f t="shared" ca="1" si="136"/>
        <v>606</v>
      </c>
      <c r="BE224" s="13">
        <f t="shared" ca="1" si="137"/>
        <v>26477</v>
      </c>
      <c r="BF224">
        <f>ROW()</f>
        <v>224</v>
      </c>
      <c r="BH224" t="str">
        <f t="shared" si="138"/>
        <v>BC220:BC224</v>
      </c>
      <c r="BI224">
        <f t="shared" si="155"/>
        <v>212</v>
      </c>
      <c r="BJ224">
        <f t="shared" ca="1" si="139"/>
        <v>597.21820000000002</v>
      </c>
      <c r="BL224" t="str">
        <f t="shared" si="140"/>
        <v>BC205:BC224</v>
      </c>
      <c r="BM224">
        <f t="shared" si="156"/>
        <v>197</v>
      </c>
      <c r="BN224">
        <f t="shared" ca="1" si="141"/>
        <v>583.55268999999998</v>
      </c>
      <c r="BP224" t="str">
        <f t="shared" si="142"/>
        <v>BC165:BC224</v>
      </c>
      <c r="BQ224">
        <f t="shared" si="157"/>
        <v>157</v>
      </c>
      <c r="BR224">
        <f t="shared" ca="1" si="143"/>
        <v>583.66949166666677</v>
      </c>
      <c r="BT224">
        <f t="shared" ca="1" si="159"/>
        <v>588.53367000000003</v>
      </c>
      <c r="BU224">
        <f t="shared" ca="1" si="126"/>
        <v>4.5557976666892666</v>
      </c>
      <c r="BV224">
        <f t="shared" ca="1" si="127"/>
        <v>597.64526533337857</v>
      </c>
      <c r="BW224">
        <f t="shared" ca="1" si="128"/>
        <v>579.42207466662148</v>
      </c>
      <c r="BY224">
        <f t="shared" ca="1" si="129"/>
        <v>597.21820000000002</v>
      </c>
      <c r="BZ224">
        <f t="shared" ca="1" si="130"/>
        <v>583.55268999999998</v>
      </c>
      <c r="CA224">
        <f t="shared" ca="1" si="131"/>
        <v>583.66949166666677</v>
      </c>
      <c r="CD224" t="str">
        <f>IF(周K!$E$3+CK224-12&gt;工作底稿!$CE$5,"周K!A"&amp;周K!$E$3-$CE$5+1+CK224-8,0)</f>
        <v>周K!A384</v>
      </c>
      <c r="CE224" s="4">
        <f t="shared" ca="1" si="144"/>
        <v>44109</v>
      </c>
      <c r="CF224" s="13">
        <f ca="1">IF($CD224=0,"",VLOOKUP($CE224,周K!$A$6:$F$6842,2,0))</f>
        <v>438</v>
      </c>
      <c r="CG224" s="13">
        <f ca="1">IF($CD224=0,"",VLOOKUP($CE224,周K!$A$6:$F$6842,3,0))</f>
        <v>454</v>
      </c>
      <c r="CH224" s="13">
        <f ca="1">IF($CD224=0,"",VLOOKUP($CE224,周K!$A$6:$F$6842,4,0))</f>
        <v>431.5</v>
      </c>
      <c r="CI224" s="13">
        <f ca="1">IF($CD224=0,"",VLOOKUP($CE224,周K!$A$6:$F$6842,5,0))</f>
        <v>453</v>
      </c>
      <c r="CJ224" s="13">
        <f ca="1">IF($CD224=0,"",VLOOKUP($CE224,周K!$A$6:$F$6842,6,0))</f>
        <v>175060</v>
      </c>
      <c r="CK224">
        <f>ROW()</f>
        <v>224</v>
      </c>
      <c r="CM224" t="str">
        <f t="shared" si="145"/>
        <v>CG220:CG224</v>
      </c>
      <c r="CN224">
        <f t="shared" si="146"/>
        <v>212</v>
      </c>
      <c r="CO224">
        <f t="shared" ca="1" si="147"/>
        <v>447.5</v>
      </c>
      <c r="CQ224" t="str">
        <f t="shared" si="148"/>
        <v>CG205:CG224</v>
      </c>
      <c r="CR224">
        <f t="shared" si="149"/>
        <v>197</v>
      </c>
      <c r="CS224">
        <f t="shared" ca="1" si="150"/>
        <v>396.9</v>
      </c>
      <c r="CU224" t="str">
        <f t="shared" si="151"/>
        <v>CG165:CG224</v>
      </c>
      <c r="CV224">
        <f t="shared" si="152"/>
        <v>157</v>
      </c>
      <c r="CW224">
        <f t="shared" ca="1" si="153"/>
        <v>336.625</v>
      </c>
      <c r="CY224">
        <f t="shared" ca="1" si="154"/>
        <v>604</v>
      </c>
      <c r="CZ224">
        <f t="shared" ca="1" si="158"/>
        <v>594.81462486638452</v>
      </c>
      <c r="DA224">
        <f t="shared" ca="1" si="123"/>
        <v>589.42053031646299</v>
      </c>
      <c r="DB224">
        <f t="shared" ca="1" si="122"/>
        <v>5.3940945499215331</v>
      </c>
      <c r="DC224">
        <f t="shared" ca="1" si="124"/>
        <v>3.1226919400641133</v>
      </c>
      <c r="DD224">
        <f t="shared" ca="1" si="125"/>
        <v>2.2714026098574198</v>
      </c>
    </row>
    <row r="225" spans="51:108" x14ac:dyDescent="0.25">
      <c r="AY225" t="str">
        <f>"日K!A"&amp;日K!$E$3-239+1+BF225-8</f>
        <v>日K!A6817</v>
      </c>
      <c r="AZ225" s="4">
        <f t="shared" ca="1" si="132"/>
        <v>44365</v>
      </c>
      <c r="BA225" s="13">
        <f t="shared" ca="1" si="133"/>
        <v>608</v>
      </c>
      <c r="BB225" s="13">
        <f t="shared" ca="1" si="134"/>
        <v>608</v>
      </c>
      <c r="BC225" s="13">
        <f t="shared" ca="1" si="135"/>
        <v>601</v>
      </c>
      <c r="BD225" s="13">
        <f t="shared" ca="1" si="136"/>
        <v>603</v>
      </c>
      <c r="BE225" s="13">
        <f t="shared" ca="1" si="137"/>
        <v>42036</v>
      </c>
      <c r="BF225">
        <f>ROW()</f>
        <v>225</v>
      </c>
      <c r="BH225" t="str">
        <f t="shared" si="138"/>
        <v>BC221:BC225</v>
      </c>
      <c r="BI225">
        <f t="shared" si="155"/>
        <v>213</v>
      </c>
      <c r="BJ225">
        <f t="shared" ca="1" si="139"/>
        <v>600.50332000000003</v>
      </c>
      <c r="BL225" t="str">
        <f t="shared" si="140"/>
        <v>BC206:BC225</v>
      </c>
      <c r="BM225">
        <f t="shared" si="156"/>
        <v>198</v>
      </c>
      <c r="BN225">
        <f t="shared" ca="1" si="141"/>
        <v>585.71839000000011</v>
      </c>
      <c r="BP225" t="str">
        <f t="shared" si="142"/>
        <v>BC166:BC225</v>
      </c>
      <c r="BQ225">
        <f t="shared" si="157"/>
        <v>158</v>
      </c>
      <c r="BR225">
        <f t="shared" ca="1" si="143"/>
        <v>583.95985000000007</v>
      </c>
      <c r="BT225">
        <f t="shared" ca="1" si="159"/>
        <v>590.45081999999991</v>
      </c>
      <c r="BU225">
        <f t="shared" ca="1" si="126"/>
        <v>5.3684123708404252</v>
      </c>
      <c r="BV225">
        <f t="shared" ca="1" si="127"/>
        <v>601.18764474168074</v>
      </c>
      <c r="BW225">
        <f t="shared" ca="1" si="128"/>
        <v>579.71399525831907</v>
      </c>
      <c r="BY225">
        <f t="shared" ca="1" si="129"/>
        <v>600.50332000000003</v>
      </c>
      <c r="BZ225">
        <f t="shared" ca="1" si="130"/>
        <v>585.71839000000011</v>
      </c>
      <c r="CA225">
        <f t="shared" ca="1" si="131"/>
        <v>583.95985000000007</v>
      </c>
      <c r="CD225" t="str">
        <f>IF(周K!$E$3+CK225-12&gt;工作底稿!$CE$5,"周K!A"&amp;周K!$E$3-$CE$5+1+CK225-8,0)</f>
        <v>周K!A385</v>
      </c>
      <c r="CE225" s="4">
        <f t="shared" ca="1" si="144"/>
        <v>44116</v>
      </c>
      <c r="CF225" s="13">
        <f ca="1">IF($CD225=0,"",VLOOKUP($CE225,周K!$A$6:$F$6842,2,0))</f>
        <v>458</v>
      </c>
      <c r="CG225" s="13">
        <f ca="1">IF($CD225=0,"",VLOOKUP($CE225,周K!$A$6:$F$6842,3,0))</f>
        <v>465</v>
      </c>
      <c r="CH225" s="13">
        <f ca="1">IF($CD225=0,"",VLOOKUP($CE225,周K!$A$6:$F$6842,4,0))</f>
        <v>448.5</v>
      </c>
      <c r="CI225" s="13">
        <f ca="1">IF($CD225=0,"",VLOOKUP($CE225,周K!$A$6:$F$6842,5,0))</f>
        <v>449</v>
      </c>
      <c r="CJ225" s="13">
        <f ca="1">IF($CD225=0,"",VLOOKUP($CE225,周K!$A$6:$F$6842,6,0))</f>
        <v>264888</v>
      </c>
      <c r="CK225">
        <f>ROW()</f>
        <v>225</v>
      </c>
      <c r="CM225" t="str">
        <f t="shared" si="145"/>
        <v>CG221:CG225</v>
      </c>
      <c r="CN225">
        <f t="shared" si="146"/>
        <v>213</v>
      </c>
      <c r="CO225">
        <f t="shared" ca="1" si="147"/>
        <v>453.2</v>
      </c>
      <c r="CQ225" t="str">
        <f t="shared" si="148"/>
        <v>CG206:CG225</v>
      </c>
      <c r="CR225">
        <f t="shared" si="149"/>
        <v>198</v>
      </c>
      <c r="CS225">
        <f t="shared" ca="1" si="150"/>
        <v>405.22500000000002</v>
      </c>
      <c r="CU225" t="str">
        <f t="shared" si="151"/>
        <v>CG166:CG225</v>
      </c>
      <c r="CV225">
        <f t="shared" si="152"/>
        <v>158</v>
      </c>
      <c r="CW225">
        <f t="shared" ca="1" si="153"/>
        <v>340.08333333333331</v>
      </c>
      <c r="CY225">
        <f t="shared" ca="1" si="154"/>
        <v>603.75</v>
      </c>
      <c r="CZ225">
        <f t="shared" ca="1" si="158"/>
        <v>596.18929796386385</v>
      </c>
      <c r="DA225">
        <f t="shared" ca="1" si="123"/>
        <v>590.48197251524346</v>
      </c>
      <c r="DB225">
        <f t="shared" ca="1" si="122"/>
        <v>5.707325448620395</v>
      </c>
      <c r="DC225">
        <f t="shared" ca="1" si="124"/>
        <v>3.5281546790607763</v>
      </c>
      <c r="DD225">
        <f t="shared" ca="1" si="125"/>
        <v>2.1791707695596187</v>
      </c>
    </row>
    <row r="226" spans="51:108" x14ac:dyDescent="0.25">
      <c r="AY226" t="str">
        <f>"日K!A"&amp;日K!$E$3-239+1+BF226-8</f>
        <v>日K!A6818</v>
      </c>
      <c r="AZ226" s="4">
        <f t="shared" ca="1" si="132"/>
        <v>44368</v>
      </c>
      <c r="BA226" s="13">
        <f t="shared" ca="1" si="133"/>
        <v>590</v>
      </c>
      <c r="BB226" s="13">
        <f t="shared" ca="1" si="134"/>
        <v>594</v>
      </c>
      <c r="BC226" s="13">
        <f t="shared" ca="1" si="135"/>
        <v>583</v>
      </c>
      <c r="BD226" s="13">
        <f t="shared" ca="1" si="136"/>
        <v>583</v>
      </c>
      <c r="BE226" s="13">
        <f t="shared" ca="1" si="137"/>
        <v>47340</v>
      </c>
      <c r="BF226">
        <f>ROW()</f>
        <v>226</v>
      </c>
      <c r="BH226" t="str">
        <f t="shared" si="138"/>
        <v>BC222:BC226</v>
      </c>
      <c r="BI226">
        <f t="shared" si="155"/>
        <v>214</v>
      </c>
      <c r="BJ226">
        <f t="shared" ca="1" si="139"/>
        <v>597.59917999999993</v>
      </c>
      <c r="BL226" t="str">
        <f t="shared" si="140"/>
        <v>BC207:BC226</v>
      </c>
      <c r="BM226">
        <f t="shared" si="156"/>
        <v>199</v>
      </c>
      <c r="BN226">
        <f t="shared" ca="1" si="141"/>
        <v>586.58574500000009</v>
      </c>
      <c r="BP226" t="str">
        <f t="shared" si="142"/>
        <v>BC167:BC226</v>
      </c>
      <c r="BQ226">
        <f t="shared" si="157"/>
        <v>159</v>
      </c>
      <c r="BR226">
        <f t="shared" ca="1" si="143"/>
        <v>583.83402333333345</v>
      </c>
      <c r="BT226">
        <f t="shared" ca="1" si="159"/>
        <v>591.06920999999988</v>
      </c>
      <c r="BU226">
        <f t="shared" ca="1" si="126"/>
        <v>6.092739743093782</v>
      </c>
      <c r="BV226">
        <f t="shared" ca="1" si="127"/>
        <v>603.25468948618743</v>
      </c>
      <c r="BW226">
        <f t="shared" ca="1" si="128"/>
        <v>578.88373051381234</v>
      </c>
      <c r="BY226">
        <f t="shared" ca="1" si="129"/>
        <v>597.59917999999993</v>
      </c>
      <c r="BZ226">
        <f t="shared" ca="1" si="130"/>
        <v>586.58574500000009</v>
      </c>
      <c r="CA226">
        <f t="shared" ca="1" si="131"/>
        <v>583.83402333333345</v>
      </c>
      <c r="CD226" t="str">
        <f>IF(周K!$E$3+CK226-12&gt;工作底稿!$CE$5,"周K!A"&amp;周K!$E$3-$CE$5+1+CK226-8,0)</f>
        <v>周K!A386</v>
      </c>
      <c r="CE226" s="4">
        <f t="shared" ca="1" si="144"/>
        <v>44123</v>
      </c>
      <c r="CF226" s="13">
        <f ca="1">IF($CD226=0,"",VLOOKUP($CE226,周K!$A$6:$F$6842,2,0))</f>
        <v>453</v>
      </c>
      <c r="CG226" s="13">
        <f ca="1">IF($CD226=0,"",VLOOKUP($CE226,周K!$A$6:$F$6842,3,0))</f>
        <v>458</v>
      </c>
      <c r="CH226" s="13">
        <f ca="1">IF($CD226=0,"",VLOOKUP($CE226,周K!$A$6:$F$6842,4,0))</f>
        <v>449.5</v>
      </c>
      <c r="CI226" s="13">
        <f ca="1">IF($CD226=0,"",VLOOKUP($CE226,周K!$A$6:$F$6842,5,0))</f>
        <v>452</v>
      </c>
      <c r="CJ226" s="13">
        <f ca="1">IF($CD226=0,"",VLOOKUP($CE226,周K!$A$6:$F$6842,6,0))</f>
        <v>135384</v>
      </c>
      <c r="CK226">
        <f>ROW()</f>
        <v>226</v>
      </c>
      <c r="CM226" t="str">
        <f t="shared" si="145"/>
        <v>CG222:CG226</v>
      </c>
      <c r="CN226">
        <f t="shared" si="146"/>
        <v>214</v>
      </c>
      <c r="CO226">
        <f t="shared" ca="1" si="147"/>
        <v>452.4</v>
      </c>
      <c r="CQ226" t="str">
        <f t="shared" si="148"/>
        <v>CG207:CG226</v>
      </c>
      <c r="CR226">
        <f t="shared" si="149"/>
        <v>199</v>
      </c>
      <c r="CS226">
        <f t="shared" ca="1" si="150"/>
        <v>412.52499999999998</v>
      </c>
      <c r="CU226" t="str">
        <f t="shared" si="151"/>
        <v>CG167:CG226</v>
      </c>
      <c r="CV226">
        <f t="shared" si="152"/>
        <v>159</v>
      </c>
      <c r="CW226">
        <f t="shared" ca="1" si="153"/>
        <v>343.4</v>
      </c>
      <c r="CY226">
        <f t="shared" ca="1" si="154"/>
        <v>585.75</v>
      </c>
      <c r="CZ226">
        <f t="shared" ca="1" si="158"/>
        <v>594.5832521232694</v>
      </c>
      <c r="DA226">
        <f t="shared" ca="1" si="123"/>
        <v>590.13145603263285</v>
      </c>
      <c r="DB226">
        <f t="shared" ref="DB226:DB251" ca="1" si="160">CZ226-DA226</f>
        <v>4.4517960906365488</v>
      </c>
      <c r="DC226">
        <f t="shared" ca="1" si="124"/>
        <v>3.7851440777852381</v>
      </c>
      <c r="DD226">
        <f t="shared" ca="1" si="125"/>
        <v>0.6666520128513107</v>
      </c>
    </row>
    <row r="227" spans="51:108" x14ac:dyDescent="0.25">
      <c r="AY227" t="str">
        <f>"日K!A"&amp;日K!$E$3-239+1+BF227-8</f>
        <v>日K!A6819</v>
      </c>
      <c r="AZ227" s="4">
        <f t="shared" ca="1" si="132"/>
        <v>44369</v>
      </c>
      <c r="BA227" s="13">
        <f t="shared" ca="1" si="133"/>
        <v>585</v>
      </c>
      <c r="BB227" s="13">
        <f t="shared" ca="1" si="134"/>
        <v>588</v>
      </c>
      <c r="BC227" s="13">
        <f t="shared" ca="1" si="135"/>
        <v>578</v>
      </c>
      <c r="BD227" s="13">
        <f t="shared" ca="1" si="136"/>
        <v>578</v>
      </c>
      <c r="BE227" s="13">
        <f t="shared" ca="1" si="137"/>
        <v>30578</v>
      </c>
      <c r="BF227">
        <f>ROW()</f>
        <v>227</v>
      </c>
      <c r="BH227" t="str">
        <f t="shared" si="138"/>
        <v>BC223:BC227</v>
      </c>
      <c r="BI227">
        <f t="shared" si="155"/>
        <v>215</v>
      </c>
      <c r="BJ227">
        <f t="shared" ca="1" si="139"/>
        <v>592.5</v>
      </c>
      <c r="BL227" t="str">
        <f t="shared" si="140"/>
        <v>BC208:BC227</v>
      </c>
      <c r="BM227">
        <f t="shared" si="156"/>
        <v>200</v>
      </c>
      <c r="BN227">
        <f t="shared" ca="1" si="141"/>
        <v>587.302685</v>
      </c>
      <c r="BP227" t="str">
        <f t="shared" si="142"/>
        <v>BC168:BC227</v>
      </c>
      <c r="BQ227">
        <f t="shared" si="157"/>
        <v>160</v>
      </c>
      <c r="BR227">
        <f t="shared" ca="1" si="143"/>
        <v>583.99001500000008</v>
      </c>
      <c r="BT227">
        <f t="shared" ca="1" si="159"/>
        <v>591.68656499999997</v>
      </c>
      <c r="BU227">
        <f t="shared" ca="1" si="126"/>
        <v>6.7203681504828614</v>
      </c>
      <c r="BV227">
        <f t="shared" ca="1" si="127"/>
        <v>605.12730130096566</v>
      </c>
      <c r="BW227">
        <f t="shared" ca="1" si="128"/>
        <v>578.24582869903429</v>
      </c>
      <c r="BY227">
        <f t="shared" ca="1" si="129"/>
        <v>592.5</v>
      </c>
      <c r="BZ227">
        <f t="shared" ca="1" si="130"/>
        <v>587.302685</v>
      </c>
      <c r="CA227">
        <f t="shared" ca="1" si="131"/>
        <v>583.99001500000008</v>
      </c>
      <c r="CD227" t="str">
        <f>IF(周K!$E$3+CK227-12&gt;工作底稿!$CE$5,"周K!A"&amp;周K!$E$3-$CE$5+1+CK227-8,0)</f>
        <v>周K!A387</v>
      </c>
      <c r="CE227" s="4">
        <f t="shared" ca="1" si="144"/>
        <v>44130</v>
      </c>
      <c r="CF227" s="13">
        <f ca="1">IF($CD227=0,"",VLOOKUP($CE227,周K!$A$6:$F$6842,2,0))</f>
        <v>455</v>
      </c>
      <c r="CG227" s="13">
        <f ca="1">IF($CD227=0,"",VLOOKUP($CE227,周K!$A$6:$F$6842,3,0))</f>
        <v>455</v>
      </c>
      <c r="CH227" s="13">
        <f ca="1">IF($CD227=0,"",VLOOKUP($CE227,周K!$A$6:$F$6842,4,0))</f>
        <v>432</v>
      </c>
      <c r="CI227" s="13">
        <f ca="1">IF($CD227=0,"",VLOOKUP($CE227,周K!$A$6:$F$6842,5,0))</f>
        <v>432</v>
      </c>
      <c r="CJ227" s="13">
        <f ca="1">IF($CD227=0,"",VLOOKUP($CE227,周K!$A$6:$F$6842,6,0))</f>
        <v>166663</v>
      </c>
      <c r="CK227">
        <f>ROW()</f>
        <v>227</v>
      </c>
      <c r="CM227" t="str">
        <f t="shared" si="145"/>
        <v>CG223:CG227</v>
      </c>
      <c r="CN227">
        <f t="shared" si="146"/>
        <v>215</v>
      </c>
      <c r="CO227">
        <f t="shared" ca="1" si="147"/>
        <v>453.4</v>
      </c>
      <c r="CQ227" t="str">
        <f t="shared" si="148"/>
        <v>CG208:CG227</v>
      </c>
      <c r="CR227">
        <f t="shared" si="149"/>
        <v>200</v>
      </c>
      <c r="CS227">
        <f t="shared" ca="1" si="150"/>
        <v>418.92500000000001</v>
      </c>
      <c r="CU227" t="str">
        <f t="shared" si="151"/>
        <v>CG168:CG227</v>
      </c>
      <c r="CV227">
        <f t="shared" si="152"/>
        <v>160</v>
      </c>
      <c r="CW227">
        <f t="shared" ca="1" si="153"/>
        <v>346.56666666666666</v>
      </c>
      <c r="CY227">
        <f t="shared" ca="1" si="154"/>
        <v>580.5</v>
      </c>
      <c r="CZ227">
        <f t="shared" ca="1" si="158"/>
        <v>592.41659795045871</v>
      </c>
      <c r="DA227">
        <f t="shared" ref="DA227:DA251" ca="1" si="161">DA226*(25/27)+CY227*(2/27)</f>
        <v>589.41801484503037</v>
      </c>
      <c r="DB227">
        <f t="shared" ca="1" si="160"/>
        <v>2.9985831054283381</v>
      </c>
      <c r="DC227">
        <f t="shared" ca="1" si="124"/>
        <v>3.878552648549026</v>
      </c>
      <c r="DD227">
        <f t="shared" ca="1" si="125"/>
        <v>-0.87996954312068798</v>
      </c>
    </row>
    <row r="228" spans="51:108" x14ac:dyDescent="0.25">
      <c r="AY228" t="str">
        <f>"日K!A"&amp;日K!$E$3-239+1+BF228-8</f>
        <v>日K!A6820</v>
      </c>
      <c r="AZ228" s="4">
        <f t="shared" ca="1" si="132"/>
        <v>44370</v>
      </c>
      <c r="BA228" s="13">
        <f t="shared" ca="1" si="133"/>
        <v>583</v>
      </c>
      <c r="BB228" s="13">
        <f t="shared" ca="1" si="134"/>
        <v>598</v>
      </c>
      <c r="BC228" s="13">
        <f t="shared" ca="1" si="135"/>
        <v>581</v>
      </c>
      <c r="BD228" s="13">
        <f t="shared" ca="1" si="136"/>
        <v>595</v>
      </c>
      <c r="BE228" s="13">
        <f t="shared" ca="1" si="137"/>
        <v>36386</v>
      </c>
      <c r="BF228">
        <f>ROW()</f>
        <v>228</v>
      </c>
      <c r="BH228" t="str">
        <f t="shared" si="138"/>
        <v>BC224:BC228</v>
      </c>
      <c r="BI228">
        <f t="shared" si="155"/>
        <v>216</v>
      </c>
      <c r="BJ228">
        <f t="shared" ca="1" si="139"/>
        <v>588.20000000000005</v>
      </c>
      <c r="BL228" t="str">
        <f t="shared" si="140"/>
        <v>BC209:BC228</v>
      </c>
      <c r="BM228">
        <f t="shared" si="156"/>
        <v>201</v>
      </c>
      <c r="BN228">
        <f t="shared" ca="1" si="141"/>
        <v>587.82107500000006</v>
      </c>
      <c r="BP228" t="str">
        <f t="shared" si="142"/>
        <v>BC169:BC228</v>
      </c>
      <c r="BQ228">
        <f t="shared" si="157"/>
        <v>161</v>
      </c>
      <c r="BR228">
        <f t="shared" ca="1" si="143"/>
        <v>584.21260500000017</v>
      </c>
      <c r="BT228">
        <f t="shared" ca="1" si="159"/>
        <v>592.40701999999987</v>
      </c>
      <c r="BU228">
        <f t="shared" ca="1" si="126"/>
        <v>7.2427493199171904</v>
      </c>
      <c r="BV228">
        <f t="shared" ca="1" si="127"/>
        <v>606.89251863983429</v>
      </c>
      <c r="BW228">
        <f t="shared" ca="1" si="128"/>
        <v>577.92152136016546</v>
      </c>
      <c r="BY228">
        <f t="shared" ca="1" si="129"/>
        <v>588.20000000000005</v>
      </c>
      <c r="BZ228">
        <f t="shared" ca="1" si="130"/>
        <v>587.82107500000006</v>
      </c>
      <c r="CA228">
        <f t="shared" ca="1" si="131"/>
        <v>584.21260500000017</v>
      </c>
      <c r="CD228" t="str">
        <f>IF(周K!$E$3+CK228-12&gt;工作底稿!$CE$5,"周K!A"&amp;周K!$E$3-$CE$5+1+CK228-8,0)</f>
        <v>周K!A388</v>
      </c>
      <c r="CE228" s="4">
        <f t="shared" ca="1" si="144"/>
        <v>44137</v>
      </c>
      <c r="CF228" s="13">
        <f ca="1">IF($CD228=0,"",VLOOKUP($CE228,周K!$A$6:$F$6842,2,0))</f>
        <v>433</v>
      </c>
      <c r="CG228" s="13">
        <f ca="1">IF($CD228=0,"",VLOOKUP($CE228,周K!$A$6:$F$6842,3,0))</f>
        <v>455.5</v>
      </c>
      <c r="CH228" s="13">
        <f ca="1">IF($CD228=0,"",VLOOKUP($CE228,周K!$A$6:$F$6842,4,0))</f>
        <v>428</v>
      </c>
      <c r="CI228" s="13">
        <f ca="1">IF($CD228=0,"",VLOOKUP($CE228,周K!$A$6:$F$6842,5,0))</f>
        <v>452.5</v>
      </c>
      <c r="CJ228" s="13">
        <f ca="1">IF($CD228=0,"",VLOOKUP($CE228,周K!$A$6:$F$6842,6,0))</f>
        <v>173115</v>
      </c>
      <c r="CK228">
        <f>ROW()</f>
        <v>228</v>
      </c>
      <c r="CM228" t="str">
        <f t="shared" si="145"/>
        <v>CG224:CG228</v>
      </c>
      <c r="CN228">
        <f t="shared" si="146"/>
        <v>216</v>
      </c>
      <c r="CO228">
        <f t="shared" ca="1" si="147"/>
        <v>457.5</v>
      </c>
      <c r="CQ228" t="str">
        <f t="shared" si="148"/>
        <v>CG209:CG228</v>
      </c>
      <c r="CR228">
        <f t="shared" si="149"/>
        <v>201</v>
      </c>
      <c r="CS228">
        <f t="shared" ca="1" si="150"/>
        <v>425.82499999999999</v>
      </c>
      <c r="CU228" t="str">
        <f t="shared" si="151"/>
        <v>CG169:CG228</v>
      </c>
      <c r="CV228">
        <f t="shared" si="152"/>
        <v>161</v>
      </c>
      <c r="CW228">
        <f t="shared" ca="1" si="153"/>
        <v>349.72500000000002</v>
      </c>
      <c r="CY228">
        <f t="shared" ca="1" si="154"/>
        <v>592.25</v>
      </c>
      <c r="CZ228">
        <f t="shared" ca="1" si="158"/>
        <v>592.39096749654198</v>
      </c>
      <c r="DA228">
        <f t="shared" ca="1" si="161"/>
        <v>589.62779152317626</v>
      </c>
      <c r="DB228">
        <f t="shared" ca="1" si="160"/>
        <v>2.7631759733657191</v>
      </c>
      <c r="DC228">
        <f t="shared" ca="1" si="124"/>
        <v>3.9866031763402816</v>
      </c>
      <c r="DD228">
        <f t="shared" ca="1" si="125"/>
        <v>-1.2234272029745625</v>
      </c>
    </row>
    <row r="229" spans="51:108" x14ac:dyDescent="0.25">
      <c r="AY229" t="str">
        <f>"日K!A"&amp;日K!$E$3-239+1+BF229-8</f>
        <v>日K!A6821</v>
      </c>
      <c r="AZ229" s="4">
        <f t="shared" ca="1" si="132"/>
        <v>44371</v>
      </c>
      <c r="BA229" s="13">
        <f t="shared" ca="1" si="133"/>
        <v>598</v>
      </c>
      <c r="BB229" s="13">
        <f t="shared" ca="1" si="134"/>
        <v>598</v>
      </c>
      <c r="BC229" s="13">
        <f t="shared" ca="1" si="135"/>
        <v>588</v>
      </c>
      <c r="BD229" s="13">
        <f t="shared" ca="1" si="136"/>
        <v>590</v>
      </c>
      <c r="BE229" s="13">
        <f t="shared" ca="1" si="137"/>
        <v>19323</v>
      </c>
      <c r="BF229">
        <f>ROW()</f>
        <v>229</v>
      </c>
      <c r="BH229" t="str">
        <f t="shared" si="138"/>
        <v>BC225:BC229</v>
      </c>
      <c r="BI229">
        <f t="shared" si="155"/>
        <v>217</v>
      </c>
      <c r="BJ229">
        <f t="shared" ca="1" si="139"/>
        <v>586.20000000000005</v>
      </c>
      <c r="BL229" t="str">
        <f t="shared" si="140"/>
        <v>BC210:BC229</v>
      </c>
      <c r="BM229">
        <f t="shared" si="156"/>
        <v>202</v>
      </c>
      <c r="BN229">
        <f t="shared" ca="1" si="141"/>
        <v>588.29111499999999</v>
      </c>
      <c r="BP229" t="str">
        <f t="shared" si="142"/>
        <v>BC170:BC229</v>
      </c>
      <c r="BQ229">
        <f t="shared" si="157"/>
        <v>162</v>
      </c>
      <c r="BR229">
        <f t="shared" ca="1" si="143"/>
        <v>584.38588333333348</v>
      </c>
      <c r="BT229">
        <f t="shared" ca="1" si="159"/>
        <v>592.77788999999996</v>
      </c>
      <c r="BU229">
        <f t="shared" ca="1" si="126"/>
        <v>7.6137632282113046</v>
      </c>
      <c r="BV229">
        <f t="shared" ca="1" si="127"/>
        <v>608.00541645642261</v>
      </c>
      <c r="BW229">
        <f t="shared" ca="1" si="128"/>
        <v>577.5503635435773</v>
      </c>
      <c r="BY229">
        <f t="shared" ca="1" si="129"/>
        <v>586.20000000000005</v>
      </c>
      <c r="BZ229">
        <f t="shared" ca="1" si="130"/>
        <v>588.29111499999999</v>
      </c>
      <c r="CA229">
        <f t="shared" ca="1" si="131"/>
        <v>584.38588333333348</v>
      </c>
      <c r="CD229" t="str">
        <f>IF(周K!$E$3+CK229-12&gt;工作底稿!$CE$5,"周K!A"&amp;周K!$E$3-$CE$5+1+CK229-8,0)</f>
        <v>周K!A389</v>
      </c>
      <c r="CE229" s="4">
        <f t="shared" ca="1" si="144"/>
        <v>44144</v>
      </c>
      <c r="CF229" s="13">
        <f ca="1">IF($CD229=0,"",VLOOKUP($CE229,周K!$A$6:$F$6842,2,0))</f>
        <v>458</v>
      </c>
      <c r="CG229" s="13">
        <f ca="1">IF($CD229=0,"",VLOOKUP($CE229,周K!$A$6:$F$6842,3,0))</f>
        <v>463.5</v>
      </c>
      <c r="CH229" s="13">
        <f ca="1">IF($CD229=0,"",VLOOKUP($CE229,周K!$A$6:$F$6842,4,0))</f>
        <v>448.5</v>
      </c>
      <c r="CI229" s="13">
        <f ca="1">IF($CD229=0,"",VLOOKUP($CE229,周K!$A$6:$F$6842,5,0))</f>
        <v>462</v>
      </c>
      <c r="CJ229" s="13">
        <f ca="1">IF($CD229=0,"",VLOOKUP($CE229,周K!$A$6:$F$6842,6,0))</f>
        <v>210036</v>
      </c>
      <c r="CK229">
        <f>ROW()</f>
        <v>229</v>
      </c>
      <c r="CM229" t="str">
        <f t="shared" si="145"/>
        <v>CG225:CG229</v>
      </c>
      <c r="CN229">
        <f t="shared" si="146"/>
        <v>217</v>
      </c>
      <c r="CO229">
        <f t="shared" ca="1" si="147"/>
        <v>459.4</v>
      </c>
      <c r="CQ229" t="str">
        <f t="shared" si="148"/>
        <v>CG210:CG229</v>
      </c>
      <c r="CR229">
        <f t="shared" si="149"/>
        <v>202</v>
      </c>
      <c r="CS229">
        <f t="shared" ca="1" si="150"/>
        <v>433</v>
      </c>
      <c r="CU229" t="str">
        <f t="shared" si="151"/>
        <v>CG170:CG229</v>
      </c>
      <c r="CV229">
        <f t="shared" si="152"/>
        <v>162</v>
      </c>
      <c r="CW229">
        <f t="shared" ca="1" si="153"/>
        <v>352.95833333333331</v>
      </c>
      <c r="CY229">
        <f t="shared" ca="1" si="154"/>
        <v>591.5</v>
      </c>
      <c r="CZ229">
        <f t="shared" ca="1" si="158"/>
        <v>592.25389557399706</v>
      </c>
      <c r="DA229">
        <f t="shared" ca="1" si="161"/>
        <v>589.76647363257052</v>
      </c>
      <c r="DB229">
        <f t="shared" ca="1" si="160"/>
        <v>2.4874219414265326</v>
      </c>
      <c r="DC229">
        <f t="shared" ca="1" si="124"/>
        <v>4.0077699195929375</v>
      </c>
      <c r="DD229">
        <f t="shared" ca="1" si="125"/>
        <v>-1.5203479781664049</v>
      </c>
    </row>
    <row r="230" spans="51:108" x14ac:dyDescent="0.25">
      <c r="AY230" t="str">
        <f>"日K!A"&amp;日K!$E$3-239+1+BF230-8</f>
        <v>日K!A6822</v>
      </c>
      <c r="AZ230" s="4">
        <f t="shared" ca="1" si="132"/>
        <v>44372</v>
      </c>
      <c r="BA230" s="13">
        <f t="shared" ca="1" si="133"/>
        <v>598</v>
      </c>
      <c r="BB230" s="13">
        <f t="shared" ca="1" si="134"/>
        <v>598</v>
      </c>
      <c r="BC230" s="13">
        <f t="shared" ca="1" si="135"/>
        <v>589</v>
      </c>
      <c r="BD230" s="13">
        <f t="shared" ca="1" si="136"/>
        <v>591</v>
      </c>
      <c r="BE230" s="13">
        <f t="shared" ca="1" si="137"/>
        <v>19140</v>
      </c>
      <c r="BF230">
        <f>ROW()</f>
        <v>230</v>
      </c>
      <c r="BH230" t="str">
        <f t="shared" si="138"/>
        <v>BC226:BC230</v>
      </c>
      <c r="BI230">
        <f t="shared" si="155"/>
        <v>218</v>
      </c>
      <c r="BJ230">
        <f t="shared" ca="1" si="139"/>
        <v>583.79999999999995</v>
      </c>
      <c r="BL230" t="str">
        <f t="shared" si="140"/>
        <v>BC211:BC230</v>
      </c>
      <c r="BM230">
        <f t="shared" si="156"/>
        <v>203</v>
      </c>
      <c r="BN230">
        <f t="shared" ca="1" si="141"/>
        <v>589.20950500000004</v>
      </c>
      <c r="BP230" t="str">
        <f t="shared" si="142"/>
        <v>BC171:BC230</v>
      </c>
      <c r="BQ230">
        <f t="shared" si="157"/>
        <v>163</v>
      </c>
      <c r="BR230">
        <f t="shared" ca="1" si="143"/>
        <v>584.31026333333352</v>
      </c>
      <c r="BT230">
        <f t="shared" ca="1" si="159"/>
        <v>593.34814000000006</v>
      </c>
      <c r="BU230">
        <f t="shared" ca="1" si="126"/>
        <v>7.845226442709424</v>
      </c>
      <c r="BV230">
        <f t="shared" ca="1" si="127"/>
        <v>609.03859288541889</v>
      </c>
      <c r="BW230">
        <f t="shared" ca="1" si="128"/>
        <v>577.65768711458122</v>
      </c>
      <c r="BY230">
        <f t="shared" ca="1" si="129"/>
        <v>583.79999999999995</v>
      </c>
      <c r="BZ230">
        <f t="shared" ca="1" si="130"/>
        <v>589.20950500000004</v>
      </c>
      <c r="CA230">
        <f t="shared" ca="1" si="131"/>
        <v>584.31026333333352</v>
      </c>
      <c r="CD230" t="str">
        <f>IF(周K!$E$3+CK230-12&gt;工作底稿!$CE$5,"周K!A"&amp;周K!$E$3-$CE$5+1+CK230-8,0)</f>
        <v>周K!A390</v>
      </c>
      <c r="CE230" s="4">
        <f t="shared" ca="1" si="144"/>
        <v>44151</v>
      </c>
      <c r="CF230" s="13">
        <f ca="1">IF($CD230=0,"",VLOOKUP($CE230,周K!$A$6:$F$6842,2,0))</f>
        <v>470</v>
      </c>
      <c r="CG230" s="13">
        <f ca="1">IF($CD230=0,"",VLOOKUP($CE230,周K!$A$6:$F$6842,3,0))</f>
        <v>506</v>
      </c>
      <c r="CH230" s="13">
        <f ca="1">IF($CD230=0,"",VLOOKUP($CE230,周K!$A$6:$F$6842,4,0))</f>
        <v>469</v>
      </c>
      <c r="CI230" s="13">
        <f ca="1">IF($CD230=0,"",VLOOKUP($CE230,周K!$A$6:$F$6842,5,0))</f>
        <v>488</v>
      </c>
      <c r="CJ230" s="13">
        <f ca="1">IF($CD230=0,"",VLOOKUP($CE230,周K!$A$6:$F$6842,6,0))</f>
        <v>298340</v>
      </c>
      <c r="CK230">
        <f>ROW()</f>
        <v>230</v>
      </c>
      <c r="CM230" t="str">
        <f t="shared" si="145"/>
        <v>CG226:CG230</v>
      </c>
      <c r="CN230">
        <f t="shared" si="146"/>
        <v>218</v>
      </c>
      <c r="CO230">
        <f t="shared" ca="1" si="147"/>
        <v>467.6</v>
      </c>
      <c r="CQ230" t="str">
        <f t="shared" si="148"/>
        <v>CG211:CG230</v>
      </c>
      <c r="CR230">
        <f t="shared" si="149"/>
        <v>203</v>
      </c>
      <c r="CS230">
        <f t="shared" ca="1" si="150"/>
        <v>441.77499999999998</v>
      </c>
      <c r="CU230" t="str">
        <f t="shared" si="151"/>
        <v>CG171:CG230</v>
      </c>
      <c r="CV230">
        <f t="shared" si="152"/>
        <v>163</v>
      </c>
      <c r="CW230">
        <f t="shared" ca="1" si="153"/>
        <v>356.85</v>
      </c>
      <c r="CY230">
        <f t="shared" ca="1" si="154"/>
        <v>592.25</v>
      </c>
      <c r="CZ230">
        <f t="shared" ca="1" si="158"/>
        <v>592.25329625492054</v>
      </c>
      <c r="DA230">
        <f t="shared" ca="1" si="161"/>
        <v>589.9504385486764</v>
      </c>
      <c r="DB230">
        <f t="shared" ca="1" si="160"/>
        <v>2.30285770624414</v>
      </c>
      <c r="DC230">
        <f t="shared" ca="1" si="124"/>
        <v>3.9165167927948863</v>
      </c>
      <c r="DD230">
        <f t="shared" ca="1" si="125"/>
        <v>-1.6136590865507463</v>
      </c>
    </row>
    <row r="231" spans="51:108" x14ac:dyDescent="0.25">
      <c r="AY231" t="str">
        <f>"日K!A"&amp;日K!$E$3-239+1+BF231-8</f>
        <v>日K!A6823</v>
      </c>
      <c r="AZ231" s="4">
        <f t="shared" ca="1" si="132"/>
        <v>44375</v>
      </c>
      <c r="BA231" s="13">
        <f t="shared" ca="1" si="133"/>
        <v>590</v>
      </c>
      <c r="BB231" s="13">
        <f t="shared" ca="1" si="134"/>
        <v>590</v>
      </c>
      <c r="BC231" s="13">
        <f t="shared" ca="1" si="135"/>
        <v>586</v>
      </c>
      <c r="BD231" s="13">
        <f t="shared" ca="1" si="136"/>
        <v>590</v>
      </c>
      <c r="BE231" s="13">
        <f t="shared" ca="1" si="137"/>
        <v>15402</v>
      </c>
      <c r="BF231">
        <f>ROW()</f>
        <v>231</v>
      </c>
      <c r="BH231" t="str">
        <f t="shared" si="138"/>
        <v>BC227:BC231</v>
      </c>
      <c r="BI231">
        <f t="shared" si="155"/>
        <v>219</v>
      </c>
      <c r="BJ231">
        <f t="shared" ca="1" si="139"/>
        <v>584.4</v>
      </c>
      <c r="BL231" t="str">
        <f t="shared" si="140"/>
        <v>BC212:BC231</v>
      </c>
      <c r="BM231">
        <f t="shared" si="156"/>
        <v>204</v>
      </c>
      <c r="BN231">
        <f t="shared" ca="1" si="141"/>
        <v>589.52975499999991</v>
      </c>
      <c r="BP231" t="str">
        <f t="shared" si="142"/>
        <v>BC172:BC231</v>
      </c>
      <c r="BQ231">
        <f t="shared" si="157"/>
        <v>164</v>
      </c>
      <c r="BR231">
        <f t="shared" ca="1" si="143"/>
        <v>584.25103500000012</v>
      </c>
      <c r="BT231">
        <f t="shared" ca="1" si="159"/>
        <v>593.47003999999993</v>
      </c>
      <c r="BU231">
        <f t="shared" ca="1" si="126"/>
        <v>7.917667983890099</v>
      </c>
      <c r="BV231">
        <f t="shared" ca="1" si="127"/>
        <v>609.30537596778015</v>
      </c>
      <c r="BW231">
        <f t="shared" ca="1" si="128"/>
        <v>577.6347040322197</v>
      </c>
      <c r="BY231">
        <f t="shared" ca="1" si="129"/>
        <v>584.4</v>
      </c>
      <c r="BZ231">
        <f t="shared" ca="1" si="130"/>
        <v>589.52975499999991</v>
      </c>
      <c r="CA231">
        <f t="shared" ca="1" si="131"/>
        <v>584.25103500000012</v>
      </c>
      <c r="CD231" t="str">
        <f>IF(周K!$E$3+CK231-12&gt;工作底稿!$CE$5,"周K!A"&amp;周K!$E$3-$CE$5+1+CK231-8,0)</f>
        <v>周K!A391</v>
      </c>
      <c r="CE231" s="4">
        <f t="shared" ca="1" si="144"/>
        <v>44158</v>
      </c>
      <c r="CF231" s="13">
        <f ca="1">IF($CD231=0,"",VLOOKUP($CE231,周K!$A$6:$F$6842,2,0))</f>
        <v>494.5</v>
      </c>
      <c r="CG231" s="13">
        <f ca="1">IF($CD231=0,"",VLOOKUP($CE231,周K!$A$6:$F$6842,3,0))</f>
        <v>500</v>
      </c>
      <c r="CH231" s="13">
        <f ca="1">IF($CD231=0,"",VLOOKUP($CE231,周K!$A$6:$F$6842,4,0))</f>
        <v>486.5</v>
      </c>
      <c r="CI231" s="13">
        <f ca="1">IF($CD231=0,"",VLOOKUP($CE231,周K!$A$6:$F$6842,5,0))</f>
        <v>489</v>
      </c>
      <c r="CJ231" s="13">
        <f ca="1">IF($CD231=0,"",VLOOKUP($CE231,周K!$A$6:$F$6842,6,0))</f>
        <v>196559</v>
      </c>
      <c r="CK231">
        <f>ROW()</f>
        <v>231</v>
      </c>
      <c r="CM231" t="str">
        <f t="shared" si="145"/>
        <v>CG227:CG231</v>
      </c>
      <c r="CN231">
        <f t="shared" si="146"/>
        <v>219</v>
      </c>
      <c r="CO231">
        <f t="shared" ca="1" si="147"/>
        <v>476</v>
      </c>
      <c r="CQ231" t="str">
        <f t="shared" si="148"/>
        <v>CG212:CG231</v>
      </c>
      <c r="CR231">
        <f t="shared" si="149"/>
        <v>204</v>
      </c>
      <c r="CS231">
        <f t="shared" ca="1" si="150"/>
        <v>449.125</v>
      </c>
      <c r="CU231" t="str">
        <f t="shared" si="151"/>
        <v>CG172:CG231</v>
      </c>
      <c r="CV231">
        <f t="shared" si="152"/>
        <v>164</v>
      </c>
      <c r="CW231">
        <f t="shared" ca="1" si="153"/>
        <v>360.5</v>
      </c>
      <c r="CY231">
        <f t="shared" ca="1" si="154"/>
        <v>589</v>
      </c>
      <c r="CZ231">
        <f t="shared" ca="1" si="158"/>
        <v>591.75278913877889</v>
      </c>
      <c r="DA231">
        <f t="shared" ca="1" si="161"/>
        <v>589.88003569321893</v>
      </c>
      <c r="DB231">
        <f t="shared" ca="1" si="160"/>
        <v>1.8727534455599653</v>
      </c>
      <c r="DC231">
        <f t="shared" ca="1" si="124"/>
        <v>3.6520435755217653</v>
      </c>
      <c r="DD231">
        <f t="shared" ca="1" si="125"/>
        <v>-1.7792901299618</v>
      </c>
    </row>
    <row r="232" spans="51:108" x14ac:dyDescent="0.25">
      <c r="AY232" t="str">
        <f>"日K!A"&amp;日K!$E$3-239+1+BF232-8</f>
        <v>日K!A6824</v>
      </c>
      <c r="AZ232" s="4">
        <f t="shared" ca="1" si="132"/>
        <v>44376</v>
      </c>
      <c r="BA232" s="13">
        <f t="shared" ca="1" si="133"/>
        <v>598</v>
      </c>
      <c r="BB232" s="13">
        <f t="shared" ca="1" si="134"/>
        <v>598</v>
      </c>
      <c r="BC232" s="13">
        <f t="shared" ca="1" si="135"/>
        <v>591</v>
      </c>
      <c r="BD232" s="13">
        <f t="shared" ca="1" si="136"/>
        <v>595</v>
      </c>
      <c r="BE232" s="13">
        <f t="shared" ca="1" si="137"/>
        <v>30838</v>
      </c>
      <c r="BF232">
        <f>ROW()</f>
        <v>232</v>
      </c>
      <c r="BH232" t="str">
        <f t="shared" si="138"/>
        <v>BC228:BC232</v>
      </c>
      <c r="BI232">
        <f t="shared" si="155"/>
        <v>220</v>
      </c>
      <c r="BJ232">
        <f t="shared" ca="1" si="139"/>
        <v>587</v>
      </c>
      <c r="BL232" t="str">
        <f t="shared" si="140"/>
        <v>BC213:BC232</v>
      </c>
      <c r="BM232">
        <f t="shared" si="156"/>
        <v>205</v>
      </c>
      <c r="BN232">
        <f t="shared" ca="1" si="141"/>
        <v>589.70165500000007</v>
      </c>
      <c r="BP232" t="str">
        <f t="shared" si="142"/>
        <v>BC173:BC232</v>
      </c>
      <c r="BQ232">
        <f t="shared" si="157"/>
        <v>165</v>
      </c>
      <c r="BR232">
        <f t="shared" ca="1" si="143"/>
        <v>584.35812833333353</v>
      </c>
      <c r="BT232">
        <f t="shared" ca="1" si="159"/>
        <v>593.49338499999999</v>
      </c>
      <c r="BU232">
        <f t="shared" ca="1" si="126"/>
        <v>7.8860947612954133</v>
      </c>
      <c r="BV232">
        <f t="shared" ca="1" si="127"/>
        <v>609.26557452259078</v>
      </c>
      <c r="BW232">
        <f t="shared" ca="1" si="128"/>
        <v>577.7211954774092</v>
      </c>
      <c r="BY232">
        <f t="shared" ca="1" si="129"/>
        <v>587</v>
      </c>
      <c r="BZ232">
        <f t="shared" ca="1" si="130"/>
        <v>589.70165500000007</v>
      </c>
      <c r="CA232">
        <f t="shared" ca="1" si="131"/>
        <v>584.35812833333353</v>
      </c>
      <c r="CD232" t="str">
        <f>IF(周K!$E$3+CK232-12&gt;工作底稿!$CE$5,"周K!A"&amp;周K!$E$3-$CE$5+1+CK232-8,0)</f>
        <v>周K!A392</v>
      </c>
      <c r="CE232" s="4">
        <f t="shared" ca="1" si="144"/>
        <v>44165</v>
      </c>
      <c r="CF232" s="13">
        <f ca="1">IF($CD232=0,"",VLOOKUP($CE232,周K!$A$6:$F$6842,2,0))</f>
        <v>493</v>
      </c>
      <c r="CG232" s="13">
        <f ca="1">IF($CD232=0,"",VLOOKUP($CE232,周K!$A$6:$F$6842,3,0))</f>
        <v>505</v>
      </c>
      <c r="CH232" s="13">
        <f ca="1">IF($CD232=0,"",VLOOKUP($CE232,周K!$A$6:$F$6842,4,0))</f>
        <v>480.5</v>
      </c>
      <c r="CI232" s="13">
        <f ca="1">IF($CD232=0,"",VLOOKUP($CE232,周K!$A$6:$F$6842,5,0))</f>
        <v>503</v>
      </c>
      <c r="CJ232" s="13">
        <f ca="1">IF($CD232=0,"",VLOOKUP($CE232,周K!$A$6:$F$6842,6,0))</f>
        <v>339252</v>
      </c>
      <c r="CK232">
        <f>ROW()</f>
        <v>232</v>
      </c>
      <c r="CM232" t="str">
        <f t="shared" si="145"/>
        <v>CG228:CG232</v>
      </c>
      <c r="CN232">
        <f t="shared" si="146"/>
        <v>220</v>
      </c>
      <c r="CO232">
        <f t="shared" ca="1" si="147"/>
        <v>486</v>
      </c>
      <c r="CQ232" t="str">
        <f t="shared" si="148"/>
        <v>CG213:CG232</v>
      </c>
      <c r="CR232">
        <f t="shared" si="149"/>
        <v>205</v>
      </c>
      <c r="CS232">
        <f t="shared" ca="1" si="150"/>
        <v>455.875</v>
      </c>
      <c r="CU232" t="str">
        <f t="shared" si="151"/>
        <v>CG173:CG232</v>
      </c>
      <c r="CV232">
        <f t="shared" si="152"/>
        <v>165</v>
      </c>
      <c r="CW232">
        <f t="shared" ca="1" si="153"/>
        <v>364.14166666666665</v>
      </c>
      <c r="CY232">
        <f t="shared" ca="1" si="154"/>
        <v>594.75</v>
      </c>
      <c r="CZ232">
        <f t="shared" ca="1" si="158"/>
        <v>592.21389850204366</v>
      </c>
      <c r="DA232">
        <f t="shared" ca="1" si="161"/>
        <v>590.24077379001756</v>
      </c>
      <c r="DB232">
        <f t="shared" ca="1" si="160"/>
        <v>1.973124712026106</v>
      </c>
      <c r="DC232">
        <f t="shared" ca="1" si="124"/>
        <v>3.3279036636921422</v>
      </c>
      <c r="DD232">
        <f t="shared" ca="1" si="125"/>
        <v>-1.3547789516660362</v>
      </c>
    </row>
    <row r="233" spans="51:108" x14ac:dyDescent="0.25">
      <c r="AY233" t="str">
        <f>"日K!A"&amp;日K!$E$3-239+1+BF233-8</f>
        <v>日K!A6825</v>
      </c>
      <c r="AZ233" s="4">
        <f t="shared" ca="1" si="132"/>
        <v>44377</v>
      </c>
      <c r="BA233" s="13">
        <f t="shared" ca="1" si="133"/>
        <v>599</v>
      </c>
      <c r="BB233" s="13">
        <f t="shared" ca="1" si="134"/>
        <v>599</v>
      </c>
      <c r="BC233" s="13">
        <f t="shared" ca="1" si="135"/>
        <v>595</v>
      </c>
      <c r="BD233" s="13">
        <f t="shared" ca="1" si="136"/>
        <v>595</v>
      </c>
      <c r="BE233" s="13">
        <f t="shared" ca="1" si="137"/>
        <v>34021</v>
      </c>
      <c r="BF233">
        <f>ROW()</f>
        <v>233</v>
      </c>
      <c r="BH233" t="str">
        <f t="shared" si="138"/>
        <v>BC229:BC233</v>
      </c>
      <c r="BI233">
        <f t="shared" si="155"/>
        <v>221</v>
      </c>
      <c r="BJ233">
        <f t="shared" ca="1" si="139"/>
        <v>589.79999999999995</v>
      </c>
      <c r="BL233" t="str">
        <f t="shared" si="140"/>
        <v>BC214:BC233</v>
      </c>
      <c r="BM233">
        <f t="shared" si="156"/>
        <v>206</v>
      </c>
      <c r="BN233">
        <f t="shared" ca="1" si="141"/>
        <v>589.82458999999994</v>
      </c>
      <c r="BP233" t="str">
        <f t="shared" si="142"/>
        <v>BC174:BC233</v>
      </c>
      <c r="BQ233">
        <f t="shared" si="157"/>
        <v>166</v>
      </c>
      <c r="BR233">
        <f t="shared" ca="1" si="143"/>
        <v>584.41570333333345</v>
      </c>
      <c r="BT233">
        <f t="shared" ca="1" si="159"/>
        <v>593.46694000000002</v>
      </c>
      <c r="BU233">
        <f t="shared" ca="1" si="126"/>
        <v>7.7460805706017117</v>
      </c>
      <c r="BV233">
        <f t="shared" ca="1" si="127"/>
        <v>608.9591011412034</v>
      </c>
      <c r="BW233">
        <f t="shared" ca="1" si="128"/>
        <v>577.97477885879664</v>
      </c>
      <c r="BY233">
        <f t="shared" ca="1" si="129"/>
        <v>589.79999999999995</v>
      </c>
      <c r="BZ233">
        <f t="shared" ca="1" si="130"/>
        <v>589.82458999999994</v>
      </c>
      <c r="CA233">
        <f t="shared" ca="1" si="131"/>
        <v>584.41570333333345</v>
      </c>
      <c r="CD233" t="str">
        <f>IF(周K!$E$3+CK233-12&gt;工作底稿!$CE$5,"周K!A"&amp;周K!$E$3-$CE$5+1+CK233-8,0)</f>
        <v>周K!A393</v>
      </c>
      <c r="CE233" s="4">
        <f t="shared" ca="1" si="144"/>
        <v>44172</v>
      </c>
      <c r="CF233" s="13">
        <f ca="1">IF($CD233=0,"",VLOOKUP($CE233,周K!$A$6:$F$6842,2,0))</f>
        <v>512</v>
      </c>
      <c r="CG233" s="13">
        <f ca="1">IF($CD233=0,"",VLOOKUP($CE233,周K!$A$6:$F$6842,3,0))</f>
        <v>525</v>
      </c>
      <c r="CH233" s="13">
        <f ca="1">IF($CD233=0,"",VLOOKUP($CE233,周K!$A$6:$F$6842,4,0))</f>
        <v>505</v>
      </c>
      <c r="CI233" s="13">
        <f ca="1">IF($CD233=0,"",VLOOKUP($CE233,周K!$A$6:$F$6842,5,0))</f>
        <v>516</v>
      </c>
      <c r="CJ233" s="13">
        <f ca="1">IF($CD233=0,"",VLOOKUP($CE233,周K!$A$6:$F$6842,6,0))</f>
        <v>229443</v>
      </c>
      <c r="CK233">
        <f>ROW()</f>
        <v>233</v>
      </c>
      <c r="CM233" t="str">
        <f t="shared" si="145"/>
        <v>CG229:CG233</v>
      </c>
      <c r="CN233">
        <f t="shared" si="146"/>
        <v>221</v>
      </c>
      <c r="CO233">
        <f t="shared" ca="1" si="147"/>
        <v>499.9</v>
      </c>
      <c r="CQ233" t="str">
        <f t="shared" si="148"/>
        <v>CG214:CG233</v>
      </c>
      <c r="CR233">
        <f t="shared" si="149"/>
        <v>206</v>
      </c>
      <c r="CS233">
        <f t="shared" ca="1" si="150"/>
        <v>462.375</v>
      </c>
      <c r="CU233" t="str">
        <f t="shared" si="151"/>
        <v>CG174:CG233</v>
      </c>
      <c r="CV233">
        <f t="shared" si="152"/>
        <v>166</v>
      </c>
      <c r="CW233">
        <f t="shared" ca="1" si="153"/>
        <v>367.92500000000001</v>
      </c>
      <c r="CY233">
        <f t="shared" ca="1" si="154"/>
        <v>596</v>
      </c>
      <c r="CZ233">
        <f t="shared" ca="1" si="158"/>
        <v>592.79637565557539</v>
      </c>
      <c r="DA233">
        <f t="shared" ca="1" si="161"/>
        <v>590.66738313890517</v>
      </c>
      <c r="DB233">
        <f t="shared" ca="1" si="160"/>
        <v>2.1289925166702233</v>
      </c>
      <c r="DC233">
        <f t="shared" ca="1" si="124"/>
        <v>2.965114548886441</v>
      </c>
      <c r="DD233">
        <f t="shared" ca="1" si="125"/>
        <v>-0.83612203221621773</v>
      </c>
    </row>
    <row r="234" spans="51:108" x14ac:dyDescent="0.25">
      <c r="AY234" t="str">
        <f>"日K!A"&amp;日K!$E$3-239+1+BF234-8</f>
        <v>日K!A6826</v>
      </c>
      <c r="AZ234" s="4">
        <f t="shared" ca="1" si="132"/>
        <v>44378</v>
      </c>
      <c r="BA234" s="13">
        <f t="shared" ca="1" si="133"/>
        <v>596</v>
      </c>
      <c r="BB234" s="13">
        <f t="shared" ca="1" si="134"/>
        <v>597</v>
      </c>
      <c r="BC234" s="13">
        <f t="shared" ca="1" si="135"/>
        <v>591</v>
      </c>
      <c r="BD234" s="13">
        <f t="shared" ca="1" si="136"/>
        <v>593</v>
      </c>
      <c r="BE234" s="13">
        <f t="shared" ca="1" si="137"/>
        <v>18720</v>
      </c>
      <c r="BF234">
        <f>ROW()</f>
        <v>234</v>
      </c>
      <c r="BH234" t="str">
        <f t="shared" si="138"/>
        <v>BC230:BC234</v>
      </c>
      <c r="BI234">
        <f t="shared" si="155"/>
        <v>222</v>
      </c>
      <c r="BJ234">
        <f t="shared" ca="1" si="139"/>
        <v>590.4</v>
      </c>
      <c r="BL234" t="str">
        <f t="shared" si="140"/>
        <v>BC215:BC234</v>
      </c>
      <c r="BM234">
        <f t="shared" si="156"/>
        <v>207</v>
      </c>
      <c r="BN234">
        <f t="shared" ca="1" si="141"/>
        <v>589.84711000000004</v>
      </c>
      <c r="BP234" t="str">
        <f t="shared" si="142"/>
        <v>BC175:BC234</v>
      </c>
      <c r="BQ234">
        <f t="shared" si="157"/>
        <v>167</v>
      </c>
      <c r="BR234">
        <f t="shared" ca="1" si="143"/>
        <v>584.17424333333327</v>
      </c>
      <c r="BT234">
        <f t="shared" ca="1" si="159"/>
        <v>593.48987499999998</v>
      </c>
      <c r="BU234">
        <f t="shared" ca="1" si="126"/>
        <v>7.5133588972414582</v>
      </c>
      <c r="BV234">
        <f t="shared" ca="1" si="127"/>
        <v>608.5165927944829</v>
      </c>
      <c r="BW234">
        <f t="shared" ca="1" si="128"/>
        <v>578.46315720551706</v>
      </c>
      <c r="BY234">
        <f t="shared" ca="1" si="129"/>
        <v>590.4</v>
      </c>
      <c r="BZ234">
        <f t="shared" ca="1" si="130"/>
        <v>589.84711000000004</v>
      </c>
      <c r="CA234">
        <f t="shared" ca="1" si="131"/>
        <v>584.17424333333327</v>
      </c>
      <c r="CD234" t="str">
        <f>IF(周K!$E$3+CK234-12&gt;工作底稿!$CE$5,"周K!A"&amp;周K!$E$3-$CE$5+1+CK234-8,0)</f>
        <v>周K!A394</v>
      </c>
      <c r="CE234" s="4">
        <f t="shared" ca="1" si="144"/>
        <v>44179</v>
      </c>
      <c r="CF234" s="13">
        <f ca="1">IF($CD234=0,"",VLOOKUP($CE234,周K!$A$6:$F$6842,2,0))</f>
        <v>512</v>
      </c>
      <c r="CG234" s="13">
        <f ca="1">IF($CD234=0,"",VLOOKUP($CE234,周K!$A$6:$F$6842,3,0))</f>
        <v>515</v>
      </c>
      <c r="CH234" s="13">
        <f ca="1">IF($CD234=0,"",VLOOKUP($CE234,周K!$A$6:$F$6842,4,0))</f>
        <v>504</v>
      </c>
      <c r="CI234" s="13">
        <f ca="1">IF($CD234=0,"",VLOOKUP($CE234,周K!$A$6:$F$6842,5,0))</f>
        <v>510</v>
      </c>
      <c r="CJ234" s="13">
        <f ca="1">IF($CD234=0,"",VLOOKUP($CE234,周K!$A$6:$F$6842,6,0))</f>
        <v>207442</v>
      </c>
      <c r="CK234">
        <f>ROW()</f>
        <v>234</v>
      </c>
      <c r="CM234" t="str">
        <f t="shared" si="145"/>
        <v>CG230:CG234</v>
      </c>
      <c r="CN234">
        <f t="shared" si="146"/>
        <v>222</v>
      </c>
      <c r="CO234">
        <f t="shared" ca="1" si="147"/>
        <v>510.2</v>
      </c>
      <c r="CQ234" t="str">
        <f t="shared" si="148"/>
        <v>CG215:CG234</v>
      </c>
      <c r="CR234">
        <f t="shared" si="149"/>
        <v>207</v>
      </c>
      <c r="CS234">
        <f t="shared" ca="1" si="150"/>
        <v>464.8</v>
      </c>
      <c r="CU234" t="str">
        <f t="shared" si="151"/>
        <v>CG175:CG234</v>
      </c>
      <c r="CV234">
        <f t="shared" si="152"/>
        <v>167</v>
      </c>
      <c r="CW234">
        <f t="shared" ca="1" si="153"/>
        <v>371.6</v>
      </c>
      <c r="CY234">
        <f t="shared" ca="1" si="154"/>
        <v>593.5</v>
      </c>
      <c r="CZ234">
        <f t="shared" ca="1" si="158"/>
        <v>592.90462555471765</v>
      </c>
      <c r="DA234">
        <f t="shared" ca="1" si="161"/>
        <v>590.87720661009735</v>
      </c>
      <c r="DB234">
        <f t="shared" ca="1" si="160"/>
        <v>2.0274189446203081</v>
      </c>
      <c r="DC234">
        <f t="shared" ref="DC234:DC265" ca="1" si="162">AVERAGE(DB226:DB234)</f>
        <v>2.5562360484419866</v>
      </c>
      <c r="DD234">
        <f t="shared" ref="DD234:DD251" ca="1" si="163">DB234-DC234</f>
        <v>-0.52881710382167846</v>
      </c>
    </row>
    <row r="235" spans="51:108" x14ac:dyDescent="0.25">
      <c r="AY235" t="str">
        <f>"日K!A"&amp;日K!$E$3-239+1+BF235-8</f>
        <v>日K!A6827</v>
      </c>
      <c r="AZ235" s="4">
        <f t="shared" ca="1" si="132"/>
        <v>44379</v>
      </c>
      <c r="BA235" s="13">
        <f t="shared" ca="1" si="133"/>
        <v>590</v>
      </c>
      <c r="BB235" s="13">
        <f t="shared" ca="1" si="134"/>
        <v>593</v>
      </c>
      <c r="BC235" s="13">
        <f t="shared" ca="1" si="135"/>
        <v>587</v>
      </c>
      <c r="BD235" s="13">
        <f t="shared" ca="1" si="136"/>
        <v>588</v>
      </c>
      <c r="BE235" s="13">
        <f t="shared" ca="1" si="137"/>
        <v>19634</v>
      </c>
      <c r="BF235">
        <f>ROW()</f>
        <v>235</v>
      </c>
      <c r="BH235" t="str">
        <f t="shared" si="138"/>
        <v>BC231:BC235</v>
      </c>
      <c r="BI235">
        <f t="shared" si="155"/>
        <v>223</v>
      </c>
      <c r="BJ235">
        <f t="shared" ca="1" si="139"/>
        <v>590</v>
      </c>
      <c r="BL235" t="str">
        <f t="shared" si="140"/>
        <v>BC216:BC235</v>
      </c>
      <c r="BM235">
        <f t="shared" si="156"/>
        <v>208</v>
      </c>
      <c r="BN235">
        <f t="shared" ca="1" si="141"/>
        <v>589.52025000000003</v>
      </c>
      <c r="BP235" t="str">
        <f t="shared" si="142"/>
        <v>BC176:BC235</v>
      </c>
      <c r="BQ235">
        <f t="shared" si="157"/>
        <v>168</v>
      </c>
      <c r="BR235">
        <f t="shared" ca="1" si="143"/>
        <v>583.8661166666667</v>
      </c>
      <c r="BT235">
        <f t="shared" ca="1" si="159"/>
        <v>593.21301500000004</v>
      </c>
      <c r="BU235">
        <f t="shared" ca="1" si="126"/>
        <v>7.1688798817113808</v>
      </c>
      <c r="BV235">
        <f t="shared" ca="1" si="127"/>
        <v>607.55077476342285</v>
      </c>
      <c r="BW235">
        <f t="shared" ca="1" si="128"/>
        <v>578.87525523657723</v>
      </c>
      <c r="BY235">
        <f t="shared" ca="1" si="129"/>
        <v>590</v>
      </c>
      <c r="BZ235">
        <f t="shared" ca="1" si="130"/>
        <v>589.52025000000003</v>
      </c>
      <c r="CA235">
        <f t="shared" ca="1" si="131"/>
        <v>583.8661166666667</v>
      </c>
      <c r="CD235" t="str">
        <f>IF(周K!$E$3+CK235-12&gt;工作底稿!$CE$5,"周K!A"&amp;周K!$E$3-$CE$5+1+CK235-8,0)</f>
        <v>周K!A395</v>
      </c>
      <c r="CE235" s="4">
        <f t="shared" ca="1" si="144"/>
        <v>44186</v>
      </c>
      <c r="CF235" s="13">
        <f ca="1">IF($CD235=0,"",VLOOKUP($CE235,周K!$A$6:$F$6842,2,0))</f>
        <v>512</v>
      </c>
      <c r="CG235" s="13">
        <f ca="1">IF($CD235=0,"",VLOOKUP($CE235,周K!$A$6:$F$6842,3,0))</f>
        <v>517</v>
      </c>
      <c r="CH235" s="13">
        <f ca="1">IF($CD235=0,"",VLOOKUP($CE235,周K!$A$6:$F$6842,4,0))</f>
        <v>506</v>
      </c>
      <c r="CI235" s="13">
        <f ca="1">IF($CD235=0,"",VLOOKUP($CE235,周K!$A$6:$F$6842,5,0))</f>
        <v>511</v>
      </c>
      <c r="CJ235" s="13">
        <f ca="1">IF($CD235=0,"",VLOOKUP($CE235,周K!$A$6:$F$6842,6,0))</f>
        <v>106905</v>
      </c>
      <c r="CK235">
        <f>ROW()</f>
        <v>235</v>
      </c>
      <c r="CM235" t="str">
        <f t="shared" si="145"/>
        <v>CG231:CG235</v>
      </c>
      <c r="CN235">
        <f t="shared" si="146"/>
        <v>223</v>
      </c>
      <c r="CO235">
        <f t="shared" ca="1" si="147"/>
        <v>512.4</v>
      </c>
      <c r="CQ235" t="str">
        <f t="shared" si="148"/>
        <v>CG216:CG235</v>
      </c>
      <c r="CR235">
        <f t="shared" si="149"/>
        <v>208</v>
      </c>
      <c r="CS235">
        <f t="shared" ca="1" si="150"/>
        <v>468.75</v>
      </c>
      <c r="CU235" t="str">
        <f t="shared" si="151"/>
        <v>CG176:CG235</v>
      </c>
      <c r="CV235">
        <f t="shared" si="152"/>
        <v>168</v>
      </c>
      <c r="CW235">
        <f t="shared" ca="1" si="153"/>
        <v>375.19166666666666</v>
      </c>
      <c r="CY235">
        <f t="shared" ca="1" si="154"/>
        <v>589</v>
      </c>
      <c r="CZ235">
        <f t="shared" ca="1" si="158"/>
        <v>592.30391393091497</v>
      </c>
      <c r="DA235">
        <f t="shared" ca="1" si="161"/>
        <v>590.7381542686087</v>
      </c>
      <c r="DB235">
        <f t="shared" ca="1" si="160"/>
        <v>1.5657596623062773</v>
      </c>
      <c r="DC235">
        <f t="shared" ca="1" si="162"/>
        <v>2.2355653341830677</v>
      </c>
      <c r="DD235">
        <f t="shared" ca="1" si="163"/>
        <v>-0.66980567187679041</v>
      </c>
    </row>
    <row r="236" spans="51:108" x14ac:dyDescent="0.25">
      <c r="AY236" t="str">
        <f>"日K!A"&amp;日K!$E$3-239+1+BF236-8</f>
        <v>日K!A6828</v>
      </c>
      <c r="AZ236" s="4">
        <f t="shared" ca="1" si="132"/>
        <v>44382</v>
      </c>
      <c r="BA236" s="13">
        <f t="shared" ca="1" si="133"/>
        <v>588</v>
      </c>
      <c r="BB236" s="13">
        <f t="shared" ca="1" si="134"/>
        <v>597</v>
      </c>
      <c r="BC236" s="13">
        <f t="shared" ca="1" si="135"/>
        <v>588</v>
      </c>
      <c r="BD236" s="13">
        <f t="shared" ca="1" si="136"/>
        <v>591</v>
      </c>
      <c r="BE236" s="13">
        <f t="shared" ca="1" si="137"/>
        <v>30274</v>
      </c>
      <c r="BF236">
        <f>ROW()</f>
        <v>236</v>
      </c>
      <c r="BH236" t="str">
        <f t="shared" si="138"/>
        <v>BC232:BC236</v>
      </c>
      <c r="BI236">
        <f t="shared" si="155"/>
        <v>224</v>
      </c>
      <c r="BJ236">
        <f t="shared" ca="1" si="139"/>
        <v>590.4</v>
      </c>
      <c r="BL236" t="str">
        <f t="shared" si="140"/>
        <v>BC217:BC236</v>
      </c>
      <c r="BM236">
        <f t="shared" si="156"/>
        <v>209</v>
      </c>
      <c r="BN236">
        <f t="shared" ca="1" si="141"/>
        <v>589.54214999999999</v>
      </c>
      <c r="BP236" t="str">
        <f t="shared" si="142"/>
        <v>BC177:BC236</v>
      </c>
      <c r="BQ236">
        <f t="shared" si="157"/>
        <v>169</v>
      </c>
      <c r="BR236">
        <f t="shared" ca="1" si="143"/>
        <v>583.657645</v>
      </c>
      <c r="BT236">
        <f t="shared" ca="1" si="159"/>
        <v>593.13595000000009</v>
      </c>
      <c r="BU236">
        <f t="shared" ca="1" si="126"/>
        <v>6.6515624035396499</v>
      </c>
      <c r="BV236">
        <f t="shared" ca="1" si="127"/>
        <v>606.43907480707935</v>
      </c>
      <c r="BW236">
        <f t="shared" ca="1" si="128"/>
        <v>579.83282519292084</v>
      </c>
      <c r="BY236">
        <f t="shared" ca="1" si="129"/>
        <v>590.4</v>
      </c>
      <c r="BZ236">
        <f t="shared" ca="1" si="130"/>
        <v>589.54214999999999</v>
      </c>
      <c r="CA236">
        <f t="shared" ca="1" si="131"/>
        <v>583.657645</v>
      </c>
      <c r="CD236" t="str">
        <f>IF(周K!$E$3+CK236-12&gt;工作底稿!$CE$5,"周K!A"&amp;周K!$E$3-$CE$5+1+CK236-8,0)</f>
        <v>周K!A396</v>
      </c>
      <c r="CE236" s="4">
        <f t="shared" ca="1" si="144"/>
        <v>44193</v>
      </c>
      <c r="CF236" s="13">
        <f ca="1">IF($CD236=0,"",VLOOKUP($CE236,周K!$A$6:$F$6842,2,0))</f>
        <v>512</v>
      </c>
      <c r="CG236" s="13">
        <f ca="1">IF($CD236=0,"",VLOOKUP($CE236,周K!$A$6:$F$6842,3,0))</f>
        <v>530</v>
      </c>
      <c r="CH236" s="13">
        <f ca="1">IF($CD236=0,"",VLOOKUP($CE236,周K!$A$6:$F$6842,4,0))</f>
        <v>509</v>
      </c>
      <c r="CI236" s="13">
        <f ca="1">IF($CD236=0,"",VLOOKUP($CE236,周K!$A$6:$F$6842,5,0))</f>
        <v>530</v>
      </c>
      <c r="CJ236" s="13">
        <f ca="1">IF($CD236=0,"",VLOOKUP($CE236,周K!$A$6:$F$6842,6,0))</f>
        <v>117626</v>
      </c>
      <c r="CK236">
        <f>ROW()</f>
        <v>236</v>
      </c>
      <c r="CM236" t="str">
        <f t="shared" si="145"/>
        <v>CG232:CG236</v>
      </c>
      <c r="CN236">
        <f t="shared" si="146"/>
        <v>224</v>
      </c>
      <c r="CO236">
        <f t="shared" ca="1" si="147"/>
        <v>518.4</v>
      </c>
      <c r="CQ236" t="str">
        <f t="shared" si="148"/>
        <v>CG217:CG236</v>
      </c>
      <c r="CR236">
        <f t="shared" si="149"/>
        <v>209</v>
      </c>
      <c r="CS236">
        <f t="shared" ca="1" si="150"/>
        <v>473.375</v>
      </c>
      <c r="CU236" t="str">
        <f t="shared" si="151"/>
        <v>CG177:CG236</v>
      </c>
      <c r="CV236">
        <f t="shared" si="152"/>
        <v>169</v>
      </c>
      <c r="CW236">
        <f t="shared" ca="1" si="153"/>
        <v>378.83333333333331</v>
      </c>
      <c r="CY236">
        <f t="shared" ca="1" si="154"/>
        <v>591.75</v>
      </c>
      <c r="CZ236">
        <f t="shared" ca="1" si="158"/>
        <v>592.21869640308182</v>
      </c>
      <c r="DA236">
        <f t="shared" ca="1" si="161"/>
        <v>590.81310580426737</v>
      </c>
      <c r="DB236">
        <f t="shared" ca="1" si="160"/>
        <v>1.4055905988144559</v>
      </c>
      <c r="DC236">
        <f t="shared" ca="1" si="162"/>
        <v>2.0585661667815254</v>
      </c>
      <c r="DD236">
        <f t="shared" ca="1" si="163"/>
        <v>-0.65297556796706946</v>
      </c>
    </row>
    <row r="237" spans="51:108" x14ac:dyDescent="0.25">
      <c r="AY237" t="str">
        <f>"日K!A"&amp;日K!$E$3-239+1+BF237-8</f>
        <v>日K!A6829</v>
      </c>
      <c r="AZ237" s="4">
        <f t="shared" ca="1" si="132"/>
        <v>44383</v>
      </c>
      <c r="BA237" s="13">
        <f t="shared" ca="1" si="133"/>
        <v>595</v>
      </c>
      <c r="BB237" s="13">
        <f t="shared" ca="1" si="134"/>
        <v>596</v>
      </c>
      <c r="BC237" s="13">
        <f t="shared" ca="1" si="135"/>
        <v>589</v>
      </c>
      <c r="BD237" s="13">
        <f t="shared" ca="1" si="136"/>
        <v>592</v>
      </c>
      <c r="BE237" s="13">
        <f t="shared" ca="1" si="137"/>
        <v>13831</v>
      </c>
      <c r="BF237">
        <f>ROW()</f>
        <v>237</v>
      </c>
      <c r="BH237" t="str">
        <f t="shared" si="138"/>
        <v>BC233:BC237</v>
      </c>
      <c r="BI237">
        <f t="shared" si="155"/>
        <v>225</v>
      </c>
      <c r="BJ237">
        <f t="shared" ca="1" si="139"/>
        <v>590</v>
      </c>
      <c r="BL237" t="str">
        <f t="shared" si="140"/>
        <v>BC218:BC237</v>
      </c>
      <c r="BM237">
        <f t="shared" si="156"/>
        <v>210</v>
      </c>
      <c r="BN237">
        <f t="shared" ca="1" si="141"/>
        <v>589.96260499999994</v>
      </c>
      <c r="BP237" t="str">
        <f t="shared" si="142"/>
        <v>BC178:BC237</v>
      </c>
      <c r="BQ237">
        <f t="shared" si="157"/>
        <v>170</v>
      </c>
      <c r="BR237">
        <f t="shared" ca="1" si="143"/>
        <v>583.36625333333336</v>
      </c>
      <c r="BT237">
        <f t="shared" ca="1" si="159"/>
        <v>593.25826500000005</v>
      </c>
      <c r="BU237">
        <f t="shared" ca="1" si="126"/>
        <v>5.9645884106041791</v>
      </c>
      <c r="BV237">
        <f t="shared" ca="1" si="127"/>
        <v>605.18744182120838</v>
      </c>
      <c r="BW237">
        <f t="shared" ca="1" si="128"/>
        <v>581.32908817879172</v>
      </c>
      <c r="BY237">
        <f t="shared" ca="1" si="129"/>
        <v>590</v>
      </c>
      <c r="BZ237">
        <f t="shared" ca="1" si="130"/>
        <v>589.96260499999994</v>
      </c>
      <c r="CA237">
        <f t="shared" ca="1" si="131"/>
        <v>583.36625333333336</v>
      </c>
      <c r="CD237" t="str">
        <f>IF(周K!$E$3+CK237-12&gt;工作底稿!$CE$5,"周K!A"&amp;周K!$E$3-$CE$5+1+CK237-8,0)</f>
        <v>周K!A397</v>
      </c>
      <c r="CE237" s="4">
        <f t="shared" ca="1" si="144"/>
        <v>44200</v>
      </c>
      <c r="CF237" s="13">
        <f ca="1">IF($CD237=0,"",VLOOKUP($CE237,周K!$A$6:$F$6842,2,0))</f>
        <v>530</v>
      </c>
      <c r="CG237" s="13">
        <f ca="1">IF($CD237=0,"",VLOOKUP($CE237,周K!$A$6:$F$6842,3,0))</f>
        <v>580</v>
      </c>
      <c r="CH237" s="13">
        <f ca="1">IF($CD237=0,"",VLOOKUP($CE237,周K!$A$6:$F$6842,4,0))</f>
        <v>528</v>
      </c>
      <c r="CI237" s="13">
        <f ca="1">IF($CD237=0,"",VLOOKUP($CE237,周K!$A$6:$F$6842,5,0))</f>
        <v>580</v>
      </c>
      <c r="CJ237" s="13">
        <f ca="1">IF($CD237=0,"",VLOOKUP($CE237,周K!$A$6:$F$6842,6,0))</f>
        <v>246294</v>
      </c>
      <c r="CK237">
        <f>ROW()</f>
        <v>237</v>
      </c>
      <c r="CM237" t="str">
        <f t="shared" si="145"/>
        <v>CG233:CG237</v>
      </c>
      <c r="CN237">
        <f t="shared" si="146"/>
        <v>225</v>
      </c>
      <c r="CO237">
        <f t="shared" ca="1" si="147"/>
        <v>533.4</v>
      </c>
      <c r="CQ237" t="str">
        <f t="shared" si="148"/>
        <v>CG218:CG237</v>
      </c>
      <c r="CR237">
        <f t="shared" si="149"/>
        <v>210</v>
      </c>
      <c r="CS237">
        <f t="shared" ca="1" si="150"/>
        <v>480.35</v>
      </c>
      <c r="CU237" t="str">
        <f t="shared" si="151"/>
        <v>CG178:CG237</v>
      </c>
      <c r="CV237">
        <f t="shared" si="152"/>
        <v>170</v>
      </c>
      <c r="CW237">
        <f t="shared" ca="1" si="153"/>
        <v>383.375</v>
      </c>
      <c r="CY237">
        <f t="shared" ca="1" si="154"/>
        <v>592.25</v>
      </c>
      <c r="CZ237">
        <f t="shared" ca="1" si="158"/>
        <v>592.22351234106918</v>
      </c>
      <c r="DA237">
        <f t="shared" ca="1" si="161"/>
        <v>590.91954241135863</v>
      </c>
      <c r="DB237">
        <f t="shared" ca="1" si="160"/>
        <v>1.3039699297105471</v>
      </c>
      <c r="DC237">
        <f t="shared" ca="1" si="162"/>
        <v>1.8964321619309505</v>
      </c>
      <c r="DD237">
        <f t="shared" ca="1" si="163"/>
        <v>-0.5924622322204034</v>
      </c>
    </row>
    <row r="238" spans="51:108" x14ac:dyDescent="0.25">
      <c r="AY238" t="str">
        <f>"日K!A"&amp;日K!$E$3-239+1+BF238-8</f>
        <v>日K!A6830</v>
      </c>
      <c r="AZ238" s="4">
        <f t="shared" ca="1" si="132"/>
        <v>44384</v>
      </c>
      <c r="BA238" s="13">
        <f t="shared" ca="1" si="133"/>
        <v>590</v>
      </c>
      <c r="BB238" s="13">
        <f t="shared" ca="1" si="134"/>
        <v>594</v>
      </c>
      <c r="BC238" s="13">
        <f t="shared" ca="1" si="135"/>
        <v>588</v>
      </c>
      <c r="BD238" s="13">
        <f t="shared" ca="1" si="136"/>
        <v>594</v>
      </c>
      <c r="BE238" s="13">
        <f t="shared" ca="1" si="137"/>
        <v>17329</v>
      </c>
      <c r="BF238">
        <f>ROW()</f>
        <v>238</v>
      </c>
      <c r="BH238" t="str">
        <f t="shared" si="138"/>
        <v>BC234:BC238</v>
      </c>
      <c r="BI238">
        <f t="shared" si="155"/>
        <v>226</v>
      </c>
      <c r="BJ238">
        <f t="shared" ca="1" si="139"/>
        <v>588.6</v>
      </c>
      <c r="BL238" t="str">
        <f t="shared" si="140"/>
        <v>BC219:BC238</v>
      </c>
      <c r="BM238">
        <f t="shared" si="156"/>
        <v>211</v>
      </c>
      <c r="BN238">
        <f t="shared" ca="1" si="141"/>
        <v>590.08409499999993</v>
      </c>
      <c r="BP238" t="str">
        <f t="shared" si="142"/>
        <v>BC179:BC238</v>
      </c>
      <c r="BQ238">
        <f t="shared" si="157"/>
        <v>171</v>
      </c>
      <c r="BR238">
        <f t="shared" ca="1" si="143"/>
        <v>583.15778166666666</v>
      </c>
      <c r="BT238">
        <f t="shared" ca="1" si="159"/>
        <v>593.62995999999998</v>
      </c>
      <c r="BU238">
        <f t="shared" ca="1" si="126"/>
        <v>5.1611076125623034</v>
      </c>
      <c r="BV238">
        <f t="shared" ca="1" si="127"/>
        <v>603.95217522512462</v>
      </c>
      <c r="BW238">
        <f t="shared" ca="1" si="128"/>
        <v>583.30774477487535</v>
      </c>
      <c r="BY238">
        <f t="shared" ca="1" si="129"/>
        <v>588.6</v>
      </c>
      <c r="BZ238">
        <f t="shared" ca="1" si="130"/>
        <v>590.08409499999993</v>
      </c>
      <c r="CA238">
        <f t="shared" ca="1" si="131"/>
        <v>583.15778166666666</v>
      </c>
      <c r="CD238" t="str">
        <f>IF(周K!$E$3+CK238-12&gt;工作底稿!$CE$5,"周K!A"&amp;周K!$E$3-$CE$5+1+CK238-8,0)</f>
        <v>周K!A398</v>
      </c>
      <c r="CE238" s="4">
        <f t="shared" ca="1" si="144"/>
        <v>44207</v>
      </c>
      <c r="CF238" s="13">
        <f ca="1">IF($CD238=0,"",VLOOKUP($CE238,周K!$A$6:$F$6842,2,0))</f>
        <v>577</v>
      </c>
      <c r="CG238" s="13">
        <f ca="1">IF($CD238=0,"",VLOOKUP($CE238,周K!$A$6:$F$6842,3,0))</f>
        <v>625</v>
      </c>
      <c r="CH238" s="13">
        <f ca="1">IF($CD238=0,"",VLOOKUP($CE238,周K!$A$6:$F$6842,4,0))</f>
        <v>574</v>
      </c>
      <c r="CI238" s="13">
        <f ca="1">IF($CD238=0,"",VLOOKUP($CE238,周K!$A$6:$F$6842,5,0))</f>
        <v>601</v>
      </c>
      <c r="CJ238" s="13">
        <f ca="1">IF($CD238=0,"",VLOOKUP($CE238,周K!$A$6:$F$6842,6,0))</f>
        <v>372393</v>
      </c>
      <c r="CK238">
        <f>ROW()</f>
        <v>238</v>
      </c>
      <c r="CM238" t="str">
        <f t="shared" si="145"/>
        <v>CG234:CG238</v>
      </c>
      <c r="CN238">
        <f t="shared" si="146"/>
        <v>226</v>
      </c>
      <c r="CO238">
        <f t="shared" ca="1" si="147"/>
        <v>553.4</v>
      </c>
      <c r="CQ238" t="str">
        <f t="shared" si="148"/>
        <v>CG219:CG238</v>
      </c>
      <c r="CR238">
        <f t="shared" si="149"/>
        <v>211</v>
      </c>
      <c r="CS238">
        <f t="shared" ca="1" si="150"/>
        <v>488.92500000000001</v>
      </c>
      <c r="CU238" t="str">
        <f t="shared" si="151"/>
        <v>CG179:CG238</v>
      </c>
      <c r="CV238">
        <f t="shared" si="152"/>
        <v>171</v>
      </c>
      <c r="CW238">
        <f t="shared" ca="1" si="153"/>
        <v>388.54166666666669</v>
      </c>
      <c r="CY238">
        <f t="shared" ca="1" si="154"/>
        <v>592.5</v>
      </c>
      <c r="CZ238">
        <f t="shared" ca="1" si="158"/>
        <v>592.26604890398164</v>
      </c>
      <c r="DA238">
        <f t="shared" ca="1" si="161"/>
        <v>591.0366133438506</v>
      </c>
      <c r="DB238">
        <f t="shared" ca="1" si="160"/>
        <v>1.2294355601310372</v>
      </c>
      <c r="DC238">
        <f t="shared" ca="1" si="162"/>
        <v>1.7566558973425623</v>
      </c>
      <c r="DD238">
        <f t="shared" ca="1" si="163"/>
        <v>-0.52722033721152517</v>
      </c>
    </row>
    <row r="239" spans="51:108" x14ac:dyDescent="0.25">
      <c r="AY239" t="str">
        <f>"日K!A"&amp;日K!$E$3-239+1+BF239-8</f>
        <v>日K!A6831</v>
      </c>
      <c r="AZ239" s="4">
        <f t="shared" ca="1" si="132"/>
        <v>44385</v>
      </c>
      <c r="BA239" s="13">
        <f t="shared" ca="1" si="133"/>
        <v>595</v>
      </c>
      <c r="BB239" s="13">
        <f t="shared" ca="1" si="134"/>
        <v>595</v>
      </c>
      <c r="BC239" s="13">
        <f t="shared" ca="1" si="135"/>
        <v>588</v>
      </c>
      <c r="BD239" s="13">
        <f t="shared" ca="1" si="136"/>
        <v>588</v>
      </c>
      <c r="BE239" s="13">
        <f t="shared" ca="1" si="137"/>
        <v>21596</v>
      </c>
      <c r="BF239">
        <f>ROW()</f>
        <v>239</v>
      </c>
      <c r="BH239" t="str">
        <f t="shared" si="138"/>
        <v>BC235:BC239</v>
      </c>
      <c r="BI239">
        <f t="shared" si="155"/>
        <v>227</v>
      </c>
      <c r="BJ239">
        <f t="shared" ca="1" si="139"/>
        <v>588</v>
      </c>
      <c r="BL239" t="str">
        <f t="shared" si="140"/>
        <v>BC220:BC239</v>
      </c>
      <c r="BM239">
        <f t="shared" si="156"/>
        <v>212</v>
      </c>
      <c r="BN239">
        <f t="shared" ca="1" si="141"/>
        <v>590.45455000000004</v>
      </c>
      <c r="BP239" t="str">
        <f t="shared" si="142"/>
        <v>BC180:BC239</v>
      </c>
      <c r="BQ239">
        <f t="shared" si="157"/>
        <v>172</v>
      </c>
      <c r="BR239">
        <f t="shared" ca="1" si="143"/>
        <v>582.93271333333337</v>
      </c>
      <c r="BT239">
        <f t="shared" ca="1" si="159"/>
        <v>593.85103500000002</v>
      </c>
      <c r="BU239">
        <f t="shared" ref="BU239:BU251" ca="1" si="164">STDEV(BT220:BT239)</f>
        <v>4.2468868792605674</v>
      </c>
      <c r="BV239">
        <f t="shared" ref="BV239:BV251" ca="1" si="165">BT239+$BW$5*BU239</f>
        <v>602.34480875852114</v>
      </c>
      <c r="BW239">
        <f t="shared" ref="BW239:BW251" ca="1" si="166">BT239-$BW$5*BU239</f>
        <v>585.35726124147891</v>
      </c>
      <c r="BY239">
        <f t="shared" ca="1" si="129"/>
        <v>588</v>
      </c>
      <c r="BZ239">
        <f t="shared" ca="1" si="130"/>
        <v>590.45455000000004</v>
      </c>
      <c r="CA239">
        <f t="shared" ca="1" si="131"/>
        <v>582.93271333333337</v>
      </c>
      <c r="CD239" t="str">
        <f>IF(周K!$E$3+CK239-12&gt;工作底稿!$CE$5,"周K!A"&amp;周K!$E$3-$CE$5+1+CK239-8,0)</f>
        <v>周K!A399</v>
      </c>
      <c r="CE239" s="4">
        <f t="shared" ca="1" si="144"/>
        <v>44214</v>
      </c>
      <c r="CF239" s="13">
        <f ca="1">IF($CD239=0,"",VLOOKUP($CE239,周K!$A$6:$F$6842,2,0))</f>
        <v>608</v>
      </c>
      <c r="CG239" s="13">
        <f ca="1">IF($CD239=0,"",VLOOKUP($CE239,周K!$A$6:$F$6842,3,0))</f>
        <v>679</v>
      </c>
      <c r="CH239" s="13">
        <f ca="1">IF($CD239=0,"",VLOOKUP($CE239,周K!$A$6:$F$6842,4,0))</f>
        <v>594</v>
      </c>
      <c r="CI239" s="13">
        <f ca="1">IF($CD239=0,"",VLOOKUP($CE239,周K!$A$6:$F$6842,5,0))</f>
        <v>649</v>
      </c>
      <c r="CJ239" s="13">
        <f ca="1">IF($CD239=0,"",VLOOKUP($CE239,周K!$A$6:$F$6842,6,0))</f>
        <v>430649</v>
      </c>
      <c r="CK239">
        <f>ROW()</f>
        <v>239</v>
      </c>
      <c r="CM239" t="str">
        <f t="shared" si="145"/>
        <v>CG235:CG239</v>
      </c>
      <c r="CN239">
        <f t="shared" si="146"/>
        <v>227</v>
      </c>
      <c r="CO239">
        <f t="shared" ca="1" si="147"/>
        <v>586.20000000000005</v>
      </c>
      <c r="CQ239" t="str">
        <f t="shared" si="148"/>
        <v>CG220:CG239</v>
      </c>
      <c r="CR239">
        <f t="shared" si="149"/>
        <v>212</v>
      </c>
      <c r="CS239">
        <f t="shared" ca="1" si="150"/>
        <v>500.82499999999999</v>
      </c>
      <c r="CU239" t="str">
        <f t="shared" si="151"/>
        <v>CG180:CG239</v>
      </c>
      <c r="CV239">
        <f t="shared" si="152"/>
        <v>172</v>
      </c>
      <c r="CW239">
        <f t="shared" ca="1" si="153"/>
        <v>394.65833333333336</v>
      </c>
      <c r="CY239">
        <f t="shared" ca="1" si="154"/>
        <v>589.75</v>
      </c>
      <c r="CZ239">
        <f t="shared" ca="1" si="158"/>
        <v>591.87896445721526</v>
      </c>
      <c r="DA239">
        <f t="shared" ca="1" si="161"/>
        <v>590.9413086517136</v>
      </c>
      <c r="DB239">
        <f t="shared" ca="1" si="160"/>
        <v>0.93765580550166305</v>
      </c>
      <c r="DC239">
        <f t="shared" ca="1" si="162"/>
        <v>1.6049667972600647</v>
      </c>
      <c r="DD239">
        <f t="shared" ca="1" si="163"/>
        <v>-0.66731099175840169</v>
      </c>
    </row>
    <row r="240" spans="51:108" x14ac:dyDescent="0.25">
      <c r="AY240" t="str">
        <f>"日K!A"&amp;日K!$E$3-239+1+BF240-8</f>
        <v>日K!A6832</v>
      </c>
      <c r="AZ240" s="4">
        <f t="shared" ca="1" si="132"/>
        <v>44386</v>
      </c>
      <c r="BA240" s="13">
        <f t="shared" ca="1" si="133"/>
        <v>582</v>
      </c>
      <c r="BB240" s="13">
        <f t="shared" ca="1" si="134"/>
        <v>585</v>
      </c>
      <c r="BC240" s="13">
        <f t="shared" ca="1" si="135"/>
        <v>580</v>
      </c>
      <c r="BD240" s="13">
        <f t="shared" ca="1" si="136"/>
        <v>584</v>
      </c>
      <c r="BE240" s="13">
        <f t="shared" ca="1" si="137"/>
        <v>30602</v>
      </c>
      <c r="BF240">
        <f>ROW()</f>
        <v>240</v>
      </c>
      <c r="BH240" t="str">
        <f t="shared" si="138"/>
        <v>BC236:BC240</v>
      </c>
      <c r="BI240">
        <f t="shared" si="155"/>
        <v>228</v>
      </c>
      <c r="BJ240">
        <f t="shared" ca="1" si="139"/>
        <v>586.6</v>
      </c>
      <c r="BL240" t="str">
        <f t="shared" si="140"/>
        <v>BC221:BC240</v>
      </c>
      <c r="BM240">
        <f t="shared" si="156"/>
        <v>213</v>
      </c>
      <c r="BN240">
        <f t="shared" ca="1" si="141"/>
        <v>590.22582999999997</v>
      </c>
      <c r="BP240" t="str">
        <f t="shared" si="142"/>
        <v>BC181:BC240</v>
      </c>
      <c r="BQ240">
        <f t="shared" si="157"/>
        <v>173</v>
      </c>
      <c r="BR240">
        <f t="shared" ca="1" si="143"/>
        <v>582.6407016666667</v>
      </c>
      <c r="BT240">
        <f t="shared" ca="1" si="159"/>
        <v>593.22479499999997</v>
      </c>
      <c r="BU240">
        <f t="shared" ca="1" si="164"/>
        <v>3.3751985795330701</v>
      </c>
      <c r="BV240">
        <f t="shared" ca="1" si="165"/>
        <v>599.97519215906607</v>
      </c>
      <c r="BW240">
        <f t="shared" ca="1" si="166"/>
        <v>586.47439784093388</v>
      </c>
      <c r="BY240">
        <f t="shared" ca="1" si="129"/>
        <v>586.6</v>
      </c>
      <c r="BZ240">
        <f t="shared" ca="1" si="130"/>
        <v>590.22582999999997</v>
      </c>
      <c r="CA240">
        <f t="shared" ca="1" si="131"/>
        <v>582.6407016666667</v>
      </c>
      <c r="CD240" t="str">
        <f>IF(周K!$E$3+CK240-12&gt;工作底稿!$CE$5,"周K!A"&amp;周K!$E$3-$CE$5+1+CK240-8,0)</f>
        <v>周K!A400</v>
      </c>
      <c r="CE240" s="4">
        <f t="shared" ca="1" si="144"/>
        <v>44221</v>
      </c>
      <c r="CF240" s="13">
        <f ca="1">IF($CD240=0,"",VLOOKUP($CE240,周K!$A$6:$F$6842,2,0))</f>
        <v>642</v>
      </c>
      <c r="CG240" s="13">
        <f ca="1">IF($CD240=0,"",VLOOKUP($CE240,周K!$A$6:$F$6842,3,0))</f>
        <v>646</v>
      </c>
      <c r="CH240" s="13">
        <f ca="1">IF($CD240=0,"",VLOOKUP($CE240,周K!$A$6:$F$6842,4,0))</f>
        <v>591</v>
      </c>
      <c r="CI240" s="13">
        <f ca="1">IF($CD240=0,"",VLOOKUP($CE240,周K!$A$6:$F$6842,5,0))</f>
        <v>591</v>
      </c>
      <c r="CJ240" s="13">
        <f ca="1">IF($CD240=0,"",VLOOKUP($CE240,周K!$A$6:$F$6842,6,0))</f>
        <v>487287</v>
      </c>
      <c r="CK240">
        <f>ROW()</f>
        <v>240</v>
      </c>
      <c r="CM240" t="str">
        <f t="shared" si="145"/>
        <v>CG236:CG240</v>
      </c>
      <c r="CN240">
        <f t="shared" si="146"/>
        <v>228</v>
      </c>
      <c r="CO240">
        <f t="shared" ca="1" si="147"/>
        <v>612</v>
      </c>
      <c r="CQ240" t="str">
        <f t="shared" si="148"/>
        <v>CG221:CG240</v>
      </c>
      <c r="CR240">
        <f t="shared" si="149"/>
        <v>213</v>
      </c>
      <c r="CS240">
        <f t="shared" ca="1" si="150"/>
        <v>511.3</v>
      </c>
      <c r="CU240" t="str">
        <f t="shared" si="151"/>
        <v>CG181:CG240</v>
      </c>
      <c r="CV240">
        <f t="shared" si="152"/>
        <v>173</v>
      </c>
      <c r="CW240">
        <f t="shared" ca="1" si="153"/>
        <v>400.15833333333336</v>
      </c>
      <c r="CY240">
        <f t="shared" ca="1" si="154"/>
        <v>583.25</v>
      </c>
      <c r="CZ240">
        <f t="shared" ca="1" si="158"/>
        <v>590.5514314637976</v>
      </c>
      <c r="DA240">
        <f t="shared" ca="1" si="161"/>
        <v>590.37158208491996</v>
      </c>
      <c r="DB240">
        <f t="shared" ca="1" si="160"/>
        <v>0.17984937887763408</v>
      </c>
      <c r="DC240">
        <f t="shared" ca="1" si="162"/>
        <v>1.4168663454064725</v>
      </c>
      <c r="DD240">
        <f t="shared" ca="1" si="163"/>
        <v>-1.2370169665288384</v>
      </c>
    </row>
    <row r="241" spans="51:108" x14ac:dyDescent="0.25">
      <c r="AY241" t="str">
        <f>"日K!A"&amp;日K!$E$3-239+1+BF241-8</f>
        <v>日K!A6833</v>
      </c>
      <c r="AZ241" s="4">
        <f t="shared" ca="1" si="132"/>
        <v>44389</v>
      </c>
      <c r="BA241" s="13">
        <f t="shared" ca="1" si="133"/>
        <v>595</v>
      </c>
      <c r="BB241" s="13">
        <f t="shared" ca="1" si="134"/>
        <v>597</v>
      </c>
      <c r="BC241" s="13">
        <f t="shared" ca="1" si="135"/>
        <v>590</v>
      </c>
      <c r="BD241" s="13">
        <f t="shared" ca="1" si="136"/>
        <v>593</v>
      </c>
      <c r="BE241" s="13">
        <f t="shared" ca="1" si="137"/>
        <v>33012</v>
      </c>
      <c r="BF241">
        <f>ROW()</f>
        <v>241</v>
      </c>
      <c r="BH241" t="str">
        <f t="shared" si="138"/>
        <v>BC237:BC241</v>
      </c>
      <c r="BI241">
        <f t="shared" si="155"/>
        <v>229</v>
      </c>
      <c r="BJ241">
        <f t="shared" ca="1" si="139"/>
        <v>587</v>
      </c>
      <c r="BL241" t="str">
        <f t="shared" si="140"/>
        <v>BC222:BC241</v>
      </c>
      <c r="BM241">
        <f t="shared" si="156"/>
        <v>214</v>
      </c>
      <c r="BN241">
        <f t="shared" ca="1" si="141"/>
        <v>589.84979499999997</v>
      </c>
      <c r="BP241" t="str">
        <f t="shared" si="142"/>
        <v>BC182:BC241</v>
      </c>
      <c r="BQ241">
        <f t="shared" si="157"/>
        <v>174</v>
      </c>
      <c r="BR241">
        <f t="shared" ca="1" si="143"/>
        <v>582.39917333333335</v>
      </c>
      <c r="BT241">
        <f t="shared" ca="1" si="159"/>
        <v>592.89917500000001</v>
      </c>
      <c r="BU241">
        <f t="shared" ca="1" si="164"/>
        <v>2.528851055390021</v>
      </c>
      <c r="BV241">
        <f t="shared" ca="1" si="165"/>
        <v>597.95687711078006</v>
      </c>
      <c r="BW241">
        <f t="shared" ca="1" si="166"/>
        <v>587.84147288921997</v>
      </c>
      <c r="BY241">
        <f t="shared" ca="1" si="129"/>
        <v>587</v>
      </c>
      <c r="BZ241">
        <f t="shared" ca="1" si="130"/>
        <v>589.84979499999997</v>
      </c>
      <c r="CA241">
        <f t="shared" ca="1" si="131"/>
        <v>582.39917333333335</v>
      </c>
      <c r="CD241" t="str">
        <f>IF(周K!$E$3+CK241-12&gt;工作底稿!$CE$5,"周K!A"&amp;周K!$E$3-$CE$5+1+CK241-8,0)</f>
        <v>周K!A401</v>
      </c>
      <c r="CE241" s="4">
        <f t="shared" ca="1" si="144"/>
        <v>44228</v>
      </c>
      <c r="CF241" s="13">
        <f ca="1">IF($CD241=0,"",VLOOKUP($CE241,周K!$A$6:$F$6842,2,0))</f>
        <v>595</v>
      </c>
      <c r="CG241" s="13">
        <f ca="1">IF($CD241=0,"",VLOOKUP($CE241,周K!$A$6:$F$6842,3,0))</f>
        <v>642</v>
      </c>
      <c r="CH241" s="13">
        <f ca="1">IF($CD241=0,"",VLOOKUP($CE241,周K!$A$6:$F$6842,4,0))</f>
        <v>587</v>
      </c>
      <c r="CI241" s="13">
        <f ca="1">IF($CD241=0,"",VLOOKUP($CE241,周K!$A$6:$F$6842,5,0))</f>
        <v>632</v>
      </c>
      <c r="CJ241" s="13">
        <f ca="1">IF($CD241=0,"",VLOOKUP($CE241,周K!$A$6:$F$6842,6,0))</f>
        <v>315548</v>
      </c>
      <c r="CK241">
        <f>ROW()</f>
        <v>241</v>
      </c>
      <c r="CM241" t="str">
        <f t="shared" si="145"/>
        <v>CG237:CG241</v>
      </c>
      <c r="CN241">
        <f t="shared" si="146"/>
        <v>229</v>
      </c>
      <c r="CO241">
        <f t="shared" ca="1" si="147"/>
        <v>634.4</v>
      </c>
      <c r="CQ241" t="str">
        <f t="shared" si="148"/>
        <v>CG222:CG241</v>
      </c>
      <c r="CR241">
        <f t="shared" si="149"/>
        <v>214</v>
      </c>
      <c r="CS241">
        <f t="shared" ca="1" si="150"/>
        <v>520.29999999999995</v>
      </c>
      <c r="CU241" t="str">
        <f t="shared" si="151"/>
        <v>CG182:CG241</v>
      </c>
      <c r="CV241">
        <f t="shared" si="152"/>
        <v>174</v>
      </c>
      <c r="CW241">
        <f t="shared" ca="1" si="153"/>
        <v>405.14166666666665</v>
      </c>
      <c r="CY241">
        <f t="shared" ca="1" si="154"/>
        <v>593.25</v>
      </c>
      <c r="CZ241">
        <f t="shared" ca="1" si="158"/>
        <v>590.96659585398265</v>
      </c>
      <c r="DA241">
        <f t="shared" ca="1" si="161"/>
        <v>590.58479822677771</v>
      </c>
      <c r="DB241">
        <f t="shared" ca="1" si="160"/>
        <v>0.38179762720494637</v>
      </c>
      <c r="DC241">
        <f t="shared" ca="1" si="162"/>
        <v>1.2400522248707881</v>
      </c>
      <c r="DD241">
        <f t="shared" ca="1" si="163"/>
        <v>-0.85825459766584178</v>
      </c>
    </row>
    <row r="242" spans="51:108" x14ac:dyDescent="0.25">
      <c r="AY242" t="str">
        <f>"日K!A"&amp;日K!$E$3-239+1+BF242-8</f>
        <v>日K!A6834</v>
      </c>
      <c r="AZ242" s="4">
        <f t="shared" ca="1" si="132"/>
        <v>44390</v>
      </c>
      <c r="BA242" s="13">
        <f t="shared" ca="1" si="133"/>
        <v>600</v>
      </c>
      <c r="BB242" s="13">
        <f t="shared" ca="1" si="134"/>
        <v>608</v>
      </c>
      <c r="BC242" s="13">
        <f t="shared" ca="1" si="135"/>
        <v>599</v>
      </c>
      <c r="BD242" s="13">
        <f t="shared" ca="1" si="136"/>
        <v>607</v>
      </c>
      <c r="BE242" s="13">
        <f t="shared" ca="1" si="137"/>
        <v>54894</v>
      </c>
      <c r="BF242">
        <f>ROW()</f>
        <v>242</v>
      </c>
      <c r="BH242" t="str">
        <f t="shared" si="138"/>
        <v>BC238:BC242</v>
      </c>
      <c r="BI242">
        <f t="shared" si="155"/>
        <v>230</v>
      </c>
      <c r="BJ242">
        <f t="shared" ca="1" si="139"/>
        <v>589</v>
      </c>
      <c r="BL242" t="str">
        <f t="shared" si="140"/>
        <v>BC223:BC242</v>
      </c>
      <c r="BM242">
        <f t="shared" si="156"/>
        <v>215</v>
      </c>
      <c r="BN242">
        <f t="shared" ca="1" si="141"/>
        <v>589.625</v>
      </c>
      <c r="BP242" t="str">
        <f t="shared" si="142"/>
        <v>BC183:BC242</v>
      </c>
      <c r="BQ242">
        <f t="shared" si="157"/>
        <v>175</v>
      </c>
      <c r="BR242">
        <f t="shared" ca="1" si="143"/>
        <v>582.37403500000005</v>
      </c>
      <c r="BT242">
        <f t="shared" ca="1" si="159"/>
        <v>592.92499999999995</v>
      </c>
      <c r="BU242">
        <f t="shared" ca="1" si="164"/>
        <v>1.9005922827808488</v>
      </c>
      <c r="BV242">
        <f t="shared" ca="1" si="165"/>
        <v>596.72618456556165</v>
      </c>
      <c r="BW242">
        <f t="shared" ca="1" si="166"/>
        <v>589.12381543443826</v>
      </c>
      <c r="BY242">
        <f t="shared" ca="1" si="129"/>
        <v>589</v>
      </c>
      <c r="BZ242">
        <f t="shared" ca="1" si="130"/>
        <v>589.625</v>
      </c>
      <c r="CA242">
        <f t="shared" ca="1" si="131"/>
        <v>582.37403500000005</v>
      </c>
      <c r="CD242" t="str">
        <f>IF(周K!$E$3+CK242-12&gt;工作底稿!$CE$5,"周K!A"&amp;周K!$E$3-$CE$5+1+CK242-8,0)</f>
        <v>周K!A402</v>
      </c>
      <c r="CE242" s="4">
        <f t="shared" ca="1" si="144"/>
        <v>44244</v>
      </c>
      <c r="CF242" s="13">
        <f ca="1">IF($CD242=0,"",VLOOKUP($CE242,周K!$A$6:$F$6842,2,0))</f>
        <v>663</v>
      </c>
      <c r="CG242" s="13">
        <f ca="1">IF($CD242=0,"",VLOOKUP($CE242,周K!$A$6:$F$6842,3,0))</f>
        <v>668</v>
      </c>
      <c r="CH242" s="13">
        <f ca="1">IF($CD242=0,"",VLOOKUP($CE242,周K!$A$6:$F$6842,4,0))</f>
        <v>647</v>
      </c>
      <c r="CI242" s="13">
        <f ca="1">IF($CD242=0,"",VLOOKUP($CE242,周K!$A$6:$F$6842,5,0))</f>
        <v>652</v>
      </c>
      <c r="CJ242" s="13">
        <f ca="1">IF($CD242=0,"",VLOOKUP($CE242,周K!$A$6:$F$6842,6,0))</f>
        <v>221751</v>
      </c>
      <c r="CK242">
        <f>ROW()</f>
        <v>242</v>
      </c>
      <c r="CM242" t="str">
        <f t="shared" si="145"/>
        <v>CG238:CG242</v>
      </c>
      <c r="CN242">
        <f t="shared" si="146"/>
        <v>230</v>
      </c>
      <c r="CO242">
        <f t="shared" ca="1" si="147"/>
        <v>652</v>
      </c>
      <c r="CQ242" t="str">
        <f t="shared" si="148"/>
        <v>CG223:CG242</v>
      </c>
      <c r="CR242">
        <f t="shared" si="149"/>
        <v>215</v>
      </c>
      <c r="CS242">
        <f t="shared" ca="1" si="150"/>
        <v>531.20000000000005</v>
      </c>
      <c r="CU242" t="str">
        <f t="shared" si="151"/>
        <v>CG183:CG242</v>
      </c>
      <c r="CV242">
        <f t="shared" si="152"/>
        <v>175</v>
      </c>
      <c r="CW242">
        <f t="shared" ca="1" si="153"/>
        <v>410.52499999999998</v>
      </c>
      <c r="CY242">
        <f t="shared" ca="1" si="154"/>
        <v>605.25</v>
      </c>
      <c r="CZ242">
        <f t="shared" ca="1" si="158"/>
        <v>593.16404264567757</v>
      </c>
      <c r="DA242">
        <f t="shared" ca="1" si="161"/>
        <v>591.67110946923867</v>
      </c>
      <c r="DB242">
        <f t="shared" ca="1" si="160"/>
        <v>1.4929331764388962</v>
      </c>
      <c r="DC242">
        <f t="shared" ca="1" si="162"/>
        <v>1.169378964845085</v>
      </c>
      <c r="DD242">
        <f t="shared" ca="1" si="163"/>
        <v>0.32355421159381126</v>
      </c>
    </row>
    <row r="243" spans="51:108" x14ac:dyDescent="0.25">
      <c r="AY243" t="str">
        <f>"日K!A"&amp;日K!$E$3-239+1+BF243-8</f>
        <v>日K!A6835</v>
      </c>
      <c r="AZ243" s="4">
        <f t="shared" ca="1" si="132"/>
        <v>44391</v>
      </c>
      <c r="BA243" s="13">
        <f t="shared" ca="1" si="133"/>
        <v>613</v>
      </c>
      <c r="BB243" s="13">
        <f t="shared" ca="1" si="134"/>
        <v>615</v>
      </c>
      <c r="BC243" s="13">
        <f t="shared" ca="1" si="135"/>
        <v>608</v>
      </c>
      <c r="BD243" s="13">
        <f t="shared" ca="1" si="136"/>
        <v>613</v>
      </c>
      <c r="BE243" s="13">
        <f t="shared" ca="1" si="137"/>
        <v>39670</v>
      </c>
      <c r="BF243">
        <f>ROW()</f>
        <v>243</v>
      </c>
      <c r="BH243" t="str">
        <f t="shared" si="138"/>
        <v>BC239:BC243</v>
      </c>
      <c r="BI243">
        <f t="shared" si="155"/>
        <v>231</v>
      </c>
      <c r="BJ243">
        <f t="shared" ca="1" si="139"/>
        <v>593</v>
      </c>
      <c r="BL243" t="str">
        <f t="shared" si="140"/>
        <v>BC224:BC243</v>
      </c>
      <c r="BM243">
        <f t="shared" si="156"/>
        <v>216</v>
      </c>
      <c r="BN243">
        <f t="shared" ca="1" si="141"/>
        <v>589.9</v>
      </c>
      <c r="BP243" t="str">
        <f t="shared" si="142"/>
        <v>BC184:BC243</v>
      </c>
      <c r="BQ243">
        <f t="shared" si="157"/>
        <v>176</v>
      </c>
      <c r="BR243">
        <f t="shared" ca="1" si="143"/>
        <v>582.53209333333336</v>
      </c>
      <c r="BT243">
        <f t="shared" ca="1" si="159"/>
        <v>593.45000000000005</v>
      </c>
      <c r="BU243">
        <f t="shared" ca="1" si="164"/>
        <v>1.3165057222190759</v>
      </c>
      <c r="BV243">
        <f t="shared" ca="1" si="165"/>
        <v>596.08301144443817</v>
      </c>
      <c r="BW243">
        <f t="shared" ca="1" si="166"/>
        <v>590.81698855556192</v>
      </c>
      <c r="BY243">
        <f t="shared" ca="1" si="129"/>
        <v>593</v>
      </c>
      <c r="BZ243">
        <f t="shared" ca="1" si="130"/>
        <v>589.9</v>
      </c>
      <c r="CA243">
        <f t="shared" ca="1" si="131"/>
        <v>582.53209333333336</v>
      </c>
      <c r="CD243" t="str">
        <f>IF(周K!$E$3+CK243-12&gt;工作底稿!$CE$5,"周K!A"&amp;周K!$E$3-$CE$5+1+CK243-8,0)</f>
        <v>周K!A403</v>
      </c>
      <c r="CE243" s="4">
        <f t="shared" ca="1" si="144"/>
        <v>44249</v>
      </c>
      <c r="CF243" s="13">
        <f ca="1">IF($CD243=0,"",VLOOKUP($CE243,周K!$A$6:$F$6842,2,0))</f>
        <v>660</v>
      </c>
      <c r="CG243" s="13">
        <f ca="1">IF($CD243=0,"",VLOOKUP($CE243,周K!$A$6:$F$6842,3,0))</f>
        <v>662</v>
      </c>
      <c r="CH243" s="13">
        <f ca="1">IF($CD243=0,"",VLOOKUP($CE243,周K!$A$6:$F$6842,4,0))</f>
        <v>606</v>
      </c>
      <c r="CI243" s="13">
        <f ca="1">IF($CD243=0,"",VLOOKUP($CE243,周K!$A$6:$F$6842,5,0))</f>
        <v>606</v>
      </c>
      <c r="CJ243" s="13">
        <f ca="1">IF($CD243=0,"",VLOOKUP($CE243,周K!$A$6:$F$6842,6,0))</f>
        <v>355603</v>
      </c>
      <c r="CK243">
        <f>ROW()</f>
        <v>243</v>
      </c>
      <c r="CM243" t="str">
        <f t="shared" si="145"/>
        <v>CG239:CG243</v>
      </c>
      <c r="CN243">
        <f t="shared" si="146"/>
        <v>231</v>
      </c>
      <c r="CO243">
        <f t="shared" ca="1" si="147"/>
        <v>659.4</v>
      </c>
      <c r="CQ243" t="str">
        <f t="shared" si="148"/>
        <v>CG224:CG243</v>
      </c>
      <c r="CR243">
        <f t="shared" si="149"/>
        <v>216</v>
      </c>
      <c r="CS243">
        <f t="shared" ca="1" si="150"/>
        <v>542.54999999999995</v>
      </c>
      <c r="CU243" t="str">
        <f t="shared" si="151"/>
        <v>CG184:CG243</v>
      </c>
      <c r="CV243">
        <f t="shared" si="152"/>
        <v>176</v>
      </c>
      <c r="CW243">
        <f t="shared" ca="1" si="153"/>
        <v>415.92500000000001</v>
      </c>
      <c r="CY243">
        <f t="shared" ca="1" si="154"/>
        <v>612.25</v>
      </c>
      <c r="CZ243">
        <f t="shared" ca="1" si="158"/>
        <v>596.10034377711179</v>
      </c>
      <c r="DA243">
        <f t="shared" ca="1" si="161"/>
        <v>593.1954717307766</v>
      </c>
      <c r="DB243">
        <f t="shared" ca="1" si="160"/>
        <v>2.9048720463351856</v>
      </c>
      <c r="DC243">
        <f t="shared" ca="1" si="162"/>
        <v>1.2668737539245158</v>
      </c>
      <c r="DD243">
        <f t="shared" ca="1" si="163"/>
        <v>1.6379982924106697</v>
      </c>
    </row>
    <row r="244" spans="51:108" x14ac:dyDescent="0.25">
      <c r="AY244" t="str">
        <f>"日K!A"&amp;日K!$E$3-239+1+BF244-8</f>
        <v>日K!A6836</v>
      </c>
      <c r="AZ244" s="4">
        <f t="shared" ca="1" si="132"/>
        <v>44392</v>
      </c>
      <c r="BA244" s="13">
        <f t="shared" ca="1" si="133"/>
        <v>613</v>
      </c>
      <c r="BB244" s="13">
        <f t="shared" ca="1" si="134"/>
        <v>614</v>
      </c>
      <c r="BC244" s="13">
        <f t="shared" ca="1" si="135"/>
        <v>608</v>
      </c>
      <c r="BD244" s="13">
        <f t="shared" ca="1" si="136"/>
        <v>614</v>
      </c>
      <c r="BE244" s="13">
        <f t="shared" ca="1" si="137"/>
        <v>23058</v>
      </c>
      <c r="BF244">
        <f>ROW()</f>
        <v>244</v>
      </c>
      <c r="BH244" t="str">
        <f t="shared" si="138"/>
        <v>BC240:BC244</v>
      </c>
      <c r="BI244">
        <f t="shared" si="155"/>
        <v>232</v>
      </c>
      <c r="BJ244">
        <f t="shared" ca="1" si="139"/>
        <v>597</v>
      </c>
      <c r="BL244" t="str">
        <f t="shared" si="140"/>
        <v>BC225:BC244</v>
      </c>
      <c r="BM244">
        <f t="shared" si="156"/>
        <v>217</v>
      </c>
      <c r="BN244">
        <f t="shared" ca="1" si="141"/>
        <v>590.4</v>
      </c>
      <c r="BP244" t="str">
        <f t="shared" si="142"/>
        <v>BC185:BC244</v>
      </c>
      <c r="BQ244">
        <f t="shared" si="157"/>
        <v>177</v>
      </c>
      <c r="BR244">
        <f t="shared" ca="1" si="143"/>
        <v>582.78973833333328</v>
      </c>
      <c r="BT244">
        <f t="shared" ca="1" si="159"/>
        <v>593.85</v>
      </c>
      <c r="BU244">
        <f t="shared" ca="1" si="164"/>
        <v>0.90606568975814794</v>
      </c>
      <c r="BV244">
        <f t="shared" ca="1" si="165"/>
        <v>595.66213137951627</v>
      </c>
      <c r="BW244">
        <f t="shared" ca="1" si="166"/>
        <v>592.03786862048378</v>
      </c>
      <c r="BY244">
        <f t="shared" ca="1" si="129"/>
        <v>597</v>
      </c>
      <c r="BZ244">
        <f t="shared" ca="1" si="130"/>
        <v>590.4</v>
      </c>
      <c r="CA244">
        <f t="shared" ca="1" si="131"/>
        <v>582.78973833333328</v>
      </c>
      <c r="CD244" t="str">
        <f>IF(周K!$E$3+CK244-12&gt;工作底稿!$CE$5,"周K!A"&amp;周K!$E$3-$CE$5+1+CK244-8,0)</f>
        <v>周K!A404</v>
      </c>
      <c r="CE244" s="4">
        <f t="shared" ca="1" si="144"/>
        <v>44257</v>
      </c>
      <c r="CF244" s="13">
        <f ca="1">IF($CD244=0,"",VLOOKUP($CE244,周K!$A$6:$F$6842,2,0))</f>
        <v>621</v>
      </c>
      <c r="CG244" s="13">
        <f ca="1">IF($CD244=0,"",VLOOKUP($CE244,周K!$A$6:$F$6842,3,0))</f>
        <v>622</v>
      </c>
      <c r="CH244" s="13">
        <f ca="1">IF($CD244=0,"",VLOOKUP($CE244,周K!$A$6:$F$6842,4,0))</f>
        <v>584</v>
      </c>
      <c r="CI244" s="13">
        <f ca="1">IF($CD244=0,"",VLOOKUP($CE244,周K!$A$6:$F$6842,5,0))</f>
        <v>601</v>
      </c>
      <c r="CJ244" s="13">
        <f ca="1">IF($CD244=0,"",VLOOKUP($CE244,周K!$A$6:$F$6842,6,0))</f>
        <v>280052</v>
      </c>
      <c r="CK244">
        <f>ROW()</f>
        <v>244</v>
      </c>
      <c r="CM244" t="str">
        <f t="shared" si="145"/>
        <v>CG240:CG244</v>
      </c>
      <c r="CN244">
        <f t="shared" si="146"/>
        <v>232</v>
      </c>
      <c r="CO244">
        <f t="shared" ca="1" si="147"/>
        <v>648</v>
      </c>
      <c r="CQ244" t="str">
        <f t="shared" si="148"/>
        <v>CG225:CG244</v>
      </c>
      <c r="CR244">
        <f t="shared" si="149"/>
        <v>217</v>
      </c>
      <c r="CS244">
        <f t="shared" ca="1" si="150"/>
        <v>550.95000000000005</v>
      </c>
      <c r="CU244" t="str">
        <f t="shared" si="151"/>
        <v>CG185:CG244</v>
      </c>
      <c r="CV244">
        <f t="shared" si="152"/>
        <v>177</v>
      </c>
      <c r="CW244">
        <f t="shared" ca="1" si="153"/>
        <v>420.54166666666669</v>
      </c>
      <c r="CY244">
        <f t="shared" ca="1" si="154"/>
        <v>612.5</v>
      </c>
      <c r="CZ244">
        <f t="shared" ca="1" si="158"/>
        <v>598.62336781140232</v>
      </c>
      <c r="DA244">
        <f t="shared" ca="1" si="161"/>
        <v>594.62543678775603</v>
      </c>
      <c r="DB244">
        <f t="shared" ca="1" si="160"/>
        <v>3.9979310236462879</v>
      </c>
      <c r="DC244">
        <f t="shared" ca="1" si="162"/>
        <v>1.5371150162956282</v>
      </c>
      <c r="DD244">
        <f t="shared" ca="1" si="163"/>
        <v>2.46081600735066</v>
      </c>
    </row>
    <row r="245" spans="51:108" x14ac:dyDescent="0.25">
      <c r="AY245" t="str">
        <f>"日K!A"&amp;日K!$E$3-239+1+BF245-8</f>
        <v>日K!A6837</v>
      </c>
      <c r="AZ245" s="4">
        <f t="shared" ca="1" si="132"/>
        <v>44393</v>
      </c>
      <c r="BA245" s="13">
        <f t="shared" ca="1" si="133"/>
        <v>591</v>
      </c>
      <c r="BB245" s="13">
        <f t="shared" ca="1" si="134"/>
        <v>595</v>
      </c>
      <c r="BC245" s="13">
        <f t="shared" ca="1" si="135"/>
        <v>588</v>
      </c>
      <c r="BD245" s="13">
        <f t="shared" ca="1" si="136"/>
        <v>589</v>
      </c>
      <c r="BE245" s="13">
        <f t="shared" ca="1" si="137"/>
        <v>61882</v>
      </c>
      <c r="BF245">
        <f>ROW()</f>
        <v>245</v>
      </c>
      <c r="BH245" t="str">
        <f t="shared" si="138"/>
        <v>BC241:BC245</v>
      </c>
      <c r="BI245">
        <f t="shared" si="155"/>
        <v>233</v>
      </c>
      <c r="BJ245">
        <f t="shared" ca="1" si="139"/>
        <v>598.6</v>
      </c>
      <c r="BL245" t="str">
        <f t="shared" si="140"/>
        <v>BC226:BC245</v>
      </c>
      <c r="BM245">
        <f t="shared" si="156"/>
        <v>218</v>
      </c>
      <c r="BN245">
        <f t="shared" ca="1" si="141"/>
        <v>589.75</v>
      </c>
      <c r="BP245" t="str">
        <f t="shared" si="142"/>
        <v>BC186:BC245</v>
      </c>
      <c r="BQ245">
        <f t="shared" si="157"/>
        <v>178</v>
      </c>
      <c r="BR245">
        <f t="shared" ca="1" si="143"/>
        <v>582.7638433333334</v>
      </c>
      <c r="BT245">
        <f t="shared" ca="1" si="159"/>
        <v>593.15</v>
      </c>
      <c r="BU245">
        <f t="shared" ca="1" si="164"/>
        <v>0.68831459696553954</v>
      </c>
      <c r="BV245">
        <f t="shared" ca="1" si="165"/>
        <v>594.52662919393106</v>
      </c>
      <c r="BW245">
        <f t="shared" ca="1" si="166"/>
        <v>591.7733708060689</v>
      </c>
      <c r="BY245">
        <f t="shared" ca="1" si="129"/>
        <v>598.6</v>
      </c>
      <c r="BZ245">
        <f t="shared" ca="1" si="130"/>
        <v>589.75</v>
      </c>
      <c r="CA245">
        <f t="shared" ca="1" si="131"/>
        <v>582.7638433333334</v>
      </c>
      <c r="CD245" t="str">
        <f>IF(周K!$E$3+CK245-12&gt;工作底稿!$CE$5,"周K!A"&amp;周K!$E$3-$CE$5+1+CK245-8,0)</f>
        <v>周K!A405</v>
      </c>
      <c r="CE245" s="4">
        <f t="shared" ca="1" si="144"/>
        <v>44263</v>
      </c>
      <c r="CF245" s="13">
        <f ca="1">IF($CD245=0,"",VLOOKUP($CE245,周K!$A$6:$F$6842,2,0))</f>
        <v>608</v>
      </c>
      <c r="CG245" s="13">
        <f ca="1">IF($CD245=0,"",VLOOKUP($CE245,周K!$A$6:$F$6842,3,0))</f>
        <v>618</v>
      </c>
      <c r="CH245" s="13">
        <f ca="1">IF($CD245=0,"",VLOOKUP($CE245,周K!$A$6:$F$6842,4,0))</f>
        <v>585</v>
      </c>
      <c r="CI245" s="13">
        <f ca="1">IF($CD245=0,"",VLOOKUP($CE245,周K!$A$6:$F$6842,5,0))</f>
        <v>614</v>
      </c>
      <c r="CJ245" s="13">
        <f ca="1">IF($CD245=0,"",VLOOKUP($CE245,周K!$A$6:$F$6842,6,0))</f>
        <v>253223</v>
      </c>
      <c r="CK245">
        <f>ROW()</f>
        <v>245</v>
      </c>
      <c r="CM245" t="str">
        <f t="shared" si="145"/>
        <v>CG241:CG245</v>
      </c>
      <c r="CN245">
        <f t="shared" si="146"/>
        <v>233</v>
      </c>
      <c r="CO245">
        <f t="shared" ca="1" si="147"/>
        <v>642.4</v>
      </c>
      <c r="CQ245" t="str">
        <f t="shared" si="148"/>
        <v>CG226:CG245</v>
      </c>
      <c r="CR245">
        <f t="shared" si="149"/>
        <v>218</v>
      </c>
      <c r="CS245">
        <f t="shared" ca="1" si="150"/>
        <v>558.6</v>
      </c>
      <c r="CU245" t="str">
        <f t="shared" si="151"/>
        <v>CG186:CG245</v>
      </c>
      <c r="CV245">
        <f t="shared" si="152"/>
        <v>178</v>
      </c>
      <c r="CW245">
        <f t="shared" ca="1" si="153"/>
        <v>425.15833333333336</v>
      </c>
      <c r="CY245">
        <f t="shared" ca="1" si="154"/>
        <v>590.25</v>
      </c>
      <c r="CZ245">
        <f t="shared" ca="1" si="158"/>
        <v>597.33515737887888</v>
      </c>
      <c r="DA245">
        <f t="shared" ca="1" si="161"/>
        <v>594.30133035903327</v>
      </c>
      <c r="DB245">
        <f t="shared" ca="1" si="160"/>
        <v>3.033827019845603</v>
      </c>
      <c r="DC245">
        <f t="shared" ca="1" si="162"/>
        <v>1.7180301741879778</v>
      </c>
      <c r="DD245">
        <f t="shared" ca="1" si="163"/>
        <v>1.3157968456576252</v>
      </c>
    </row>
    <row r="246" spans="51:108" x14ac:dyDescent="0.25">
      <c r="AY246" t="str">
        <f>"日K!A"&amp;日K!$E$3-239+1+BF246-8</f>
        <v>日K!A6838</v>
      </c>
      <c r="AZ246" s="4">
        <f t="shared" ca="1" si="132"/>
        <v>44396</v>
      </c>
      <c r="BA246" s="13">
        <f t="shared" ca="1" si="133"/>
        <v>583</v>
      </c>
      <c r="BB246" s="13">
        <f t="shared" ca="1" si="134"/>
        <v>584</v>
      </c>
      <c r="BC246" s="13">
        <f t="shared" ca="1" si="135"/>
        <v>578</v>
      </c>
      <c r="BD246" s="13">
        <f t="shared" ca="1" si="136"/>
        <v>582</v>
      </c>
      <c r="BE246" s="13">
        <f t="shared" ca="1" si="137"/>
        <v>43249</v>
      </c>
      <c r="BF246">
        <f>ROW()</f>
        <v>246</v>
      </c>
      <c r="BH246" t="str">
        <f t="shared" si="138"/>
        <v>BC242:BC246</v>
      </c>
      <c r="BI246">
        <f t="shared" si="155"/>
        <v>234</v>
      </c>
      <c r="BJ246">
        <f t="shared" ca="1" si="139"/>
        <v>596.20000000000005</v>
      </c>
      <c r="BL246" t="str">
        <f t="shared" si="140"/>
        <v>BC227:BC246</v>
      </c>
      <c r="BM246">
        <f t="shared" si="156"/>
        <v>219</v>
      </c>
      <c r="BN246">
        <f t="shared" ca="1" si="141"/>
        <v>589.5</v>
      </c>
      <c r="BP246" t="str">
        <f t="shared" si="142"/>
        <v>BC187:BC246</v>
      </c>
      <c r="BQ246">
        <f t="shared" si="157"/>
        <v>179</v>
      </c>
      <c r="BR246">
        <f t="shared" ca="1" si="143"/>
        <v>582.58787833333338</v>
      </c>
      <c r="BT246">
        <f t="shared" ca="1" si="159"/>
        <v>593.1</v>
      </c>
      <c r="BU246">
        <f t="shared" ca="1" si="164"/>
        <v>0.49803955632773239</v>
      </c>
      <c r="BV246">
        <f t="shared" ca="1" si="165"/>
        <v>594.0960791126555</v>
      </c>
      <c r="BW246">
        <f t="shared" ca="1" si="166"/>
        <v>592.10392088734454</v>
      </c>
      <c r="BY246">
        <f t="shared" ca="1" si="129"/>
        <v>596.20000000000005</v>
      </c>
      <c r="BZ246">
        <f t="shared" ca="1" si="130"/>
        <v>589.5</v>
      </c>
      <c r="CA246">
        <f t="shared" ca="1" si="131"/>
        <v>582.58787833333338</v>
      </c>
      <c r="CD246" t="str">
        <f>IF(周K!$E$3+CK246-12&gt;工作底稿!$CE$5,"周K!A"&amp;周K!$E$3-$CE$5+1+CK246-8,0)</f>
        <v>周K!A406</v>
      </c>
      <c r="CE246" s="4">
        <f t="shared" ca="1" si="144"/>
        <v>44270</v>
      </c>
      <c r="CF246" s="13">
        <f ca="1">IF($CD246=0,"",VLOOKUP($CE246,周K!$A$6:$F$6842,2,0))</f>
        <v>614</v>
      </c>
      <c r="CG246" s="13">
        <f ca="1">IF($CD246=0,"",VLOOKUP($CE246,周K!$A$6:$F$6842,3,0))</f>
        <v>614</v>
      </c>
      <c r="CH246" s="13">
        <f ca="1">IF($CD246=0,"",VLOOKUP($CE246,周K!$A$6:$F$6842,4,0))</f>
        <v>591</v>
      </c>
      <c r="CI246" s="13">
        <f ca="1">IF($CD246=0,"",VLOOKUP($CE246,周K!$A$6:$F$6842,5,0))</f>
        <v>591</v>
      </c>
      <c r="CJ246" s="13">
        <f ca="1">IF($CD246=0,"",VLOOKUP($CE246,周K!$A$6:$F$6842,6,0))</f>
        <v>216676</v>
      </c>
      <c r="CK246">
        <f>ROW()</f>
        <v>246</v>
      </c>
      <c r="CM246" t="str">
        <f t="shared" si="145"/>
        <v>CG242:CG246</v>
      </c>
      <c r="CN246">
        <f t="shared" si="146"/>
        <v>234</v>
      </c>
      <c r="CO246">
        <f t="shared" ca="1" si="147"/>
        <v>636.79999999999995</v>
      </c>
      <c r="CQ246" t="str">
        <f t="shared" si="148"/>
        <v>CG227:CG246</v>
      </c>
      <c r="CR246">
        <f t="shared" si="149"/>
        <v>219</v>
      </c>
      <c r="CS246">
        <f t="shared" ca="1" si="150"/>
        <v>566.4</v>
      </c>
      <c r="CU246" t="str">
        <f t="shared" si="151"/>
        <v>CG187:CG246</v>
      </c>
      <c r="CV246">
        <f t="shared" si="152"/>
        <v>179</v>
      </c>
      <c r="CW246">
        <f t="shared" ca="1" si="153"/>
        <v>429.625</v>
      </c>
      <c r="CY246">
        <f t="shared" ca="1" si="154"/>
        <v>581.5</v>
      </c>
      <c r="CZ246">
        <f t="shared" ca="1" si="158"/>
        <v>594.89897932058989</v>
      </c>
      <c r="DA246">
        <f t="shared" ca="1" si="161"/>
        <v>593.35308366577146</v>
      </c>
      <c r="DB246">
        <f t="shared" ca="1" si="160"/>
        <v>1.5458956548184233</v>
      </c>
      <c r="DC246">
        <f t="shared" ca="1" si="162"/>
        <v>1.7449108103110751</v>
      </c>
      <c r="DD246">
        <f t="shared" ca="1" si="163"/>
        <v>-0.19901515549265181</v>
      </c>
    </row>
    <row r="247" spans="51:108" x14ac:dyDescent="0.25">
      <c r="AY247" t="str">
        <f>"日K!A"&amp;日K!$E$3-239+1+BF247-8</f>
        <v>日K!A6839</v>
      </c>
      <c r="AZ247" s="4">
        <f t="shared" ca="1" si="132"/>
        <v>44397</v>
      </c>
      <c r="BA247" s="13">
        <f t="shared" ca="1" si="133"/>
        <v>579</v>
      </c>
      <c r="BB247" s="13">
        <f t="shared" ca="1" si="134"/>
        <v>584</v>
      </c>
      <c r="BC247" s="13">
        <f t="shared" ca="1" si="135"/>
        <v>579</v>
      </c>
      <c r="BD247" s="13">
        <f t="shared" ca="1" si="136"/>
        <v>581</v>
      </c>
      <c r="BE247" s="13">
        <f t="shared" ca="1" si="137"/>
        <v>16353</v>
      </c>
      <c r="BF247">
        <f>ROW()</f>
        <v>247</v>
      </c>
      <c r="BH247" t="str">
        <f t="shared" si="138"/>
        <v>BC243:BC247</v>
      </c>
      <c r="BI247">
        <f t="shared" si="155"/>
        <v>235</v>
      </c>
      <c r="BJ247">
        <f t="shared" ca="1" si="139"/>
        <v>592.20000000000005</v>
      </c>
      <c r="BL247" t="str">
        <f t="shared" si="140"/>
        <v>BC228:BC247</v>
      </c>
      <c r="BM247">
        <f t="shared" si="156"/>
        <v>220</v>
      </c>
      <c r="BN247">
        <f t="shared" ca="1" si="141"/>
        <v>589.54999999999995</v>
      </c>
      <c r="BP247" t="str">
        <f t="shared" si="142"/>
        <v>BC188:BC247</v>
      </c>
      <c r="BQ247">
        <f t="shared" si="157"/>
        <v>180</v>
      </c>
      <c r="BR247">
        <f t="shared" ca="1" si="143"/>
        <v>582.44517833333339</v>
      </c>
      <c r="BT247">
        <f t="shared" ca="1" si="159"/>
        <v>593.25</v>
      </c>
      <c r="BU247">
        <f t="shared" ca="1" si="164"/>
        <v>0.35016253765885064</v>
      </c>
      <c r="BV247">
        <f t="shared" ca="1" si="165"/>
        <v>593.95032507531766</v>
      </c>
      <c r="BW247">
        <f t="shared" ca="1" si="166"/>
        <v>592.54967492468234</v>
      </c>
      <c r="BY247">
        <f t="shared" ca="1" si="129"/>
        <v>592.20000000000005</v>
      </c>
      <c r="BZ247">
        <f t="shared" ca="1" si="130"/>
        <v>589.54999999999995</v>
      </c>
      <c r="CA247">
        <f t="shared" ca="1" si="131"/>
        <v>582.44517833333339</v>
      </c>
      <c r="CD247" t="str">
        <f>IF(周K!$E$3+CK247-12&gt;工作底稿!$CE$5,"周K!A"&amp;周K!$E$3-$CE$5+1+CK247-8,0)</f>
        <v>周K!A407</v>
      </c>
      <c r="CE247" s="4">
        <f t="shared" ca="1" si="144"/>
        <v>44277</v>
      </c>
      <c r="CF247" s="13">
        <f ca="1">IF($CD247=0,"",VLOOKUP($CE247,周K!$A$6:$F$6842,2,0))</f>
        <v>588</v>
      </c>
      <c r="CG247" s="13">
        <f ca="1">IF($CD247=0,"",VLOOKUP($CE247,周K!$A$6:$F$6842,3,0))</f>
        <v>603</v>
      </c>
      <c r="CH247" s="13">
        <f ca="1">IF($CD247=0,"",VLOOKUP($CE247,周K!$A$6:$F$6842,4,0))</f>
        <v>570</v>
      </c>
      <c r="CI247" s="13">
        <f ca="1">IF($CD247=0,"",VLOOKUP($CE247,周K!$A$6:$F$6842,5,0))</f>
        <v>590</v>
      </c>
      <c r="CJ247" s="13">
        <f ca="1">IF($CD247=0,"",VLOOKUP($CE247,周K!$A$6:$F$6842,6,0))</f>
        <v>295346</v>
      </c>
      <c r="CK247">
        <f>ROW()</f>
        <v>247</v>
      </c>
      <c r="CM247" t="str">
        <f t="shared" si="145"/>
        <v>CG243:CG247</v>
      </c>
      <c r="CN247">
        <f t="shared" si="146"/>
        <v>235</v>
      </c>
      <c r="CO247">
        <f t="shared" ca="1" si="147"/>
        <v>623.79999999999995</v>
      </c>
      <c r="CQ247" t="str">
        <f t="shared" si="148"/>
        <v>CG228:CG247</v>
      </c>
      <c r="CR247">
        <f t="shared" si="149"/>
        <v>220</v>
      </c>
      <c r="CS247">
        <f t="shared" ca="1" si="150"/>
        <v>573.79999999999995</v>
      </c>
      <c r="CU247" t="str">
        <f t="shared" si="151"/>
        <v>CG188:CG247</v>
      </c>
      <c r="CV247">
        <f t="shared" si="152"/>
        <v>180</v>
      </c>
      <c r="CW247">
        <f t="shared" ca="1" si="153"/>
        <v>434.08333333333331</v>
      </c>
      <c r="CY247">
        <f t="shared" ca="1" si="154"/>
        <v>581.25</v>
      </c>
      <c r="CZ247">
        <f t="shared" ca="1" si="158"/>
        <v>592.7991363481915</v>
      </c>
      <c r="DA247">
        <f t="shared" ca="1" si="161"/>
        <v>592.45655894978836</v>
      </c>
      <c r="DB247">
        <f t="shared" ca="1" si="160"/>
        <v>0.34257739840313661</v>
      </c>
      <c r="DC247">
        <f t="shared" ca="1" si="162"/>
        <v>1.6463710145635306</v>
      </c>
      <c r="DD247">
        <f t="shared" ca="1" si="163"/>
        <v>-1.303793616160394</v>
      </c>
    </row>
    <row r="248" spans="51:108" x14ac:dyDescent="0.25">
      <c r="AY248" t="str">
        <f>"日K!A"&amp;日K!$E$3-239+1+BF248-8</f>
        <v>日K!A6840</v>
      </c>
      <c r="AZ248" s="4">
        <f t="shared" ca="1" si="132"/>
        <v>44398</v>
      </c>
      <c r="BA248" s="13">
        <f t="shared" ca="1" si="133"/>
        <v>586</v>
      </c>
      <c r="BB248" s="13">
        <f t="shared" ca="1" si="134"/>
        <v>586</v>
      </c>
      <c r="BC248" s="13">
        <f t="shared" ca="1" si="135"/>
        <v>580</v>
      </c>
      <c r="BD248" s="13">
        <f t="shared" ca="1" si="136"/>
        <v>585</v>
      </c>
      <c r="BE248" s="13">
        <f t="shared" ca="1" si="137"/>
        <v>26476</v>
      </c>
      <c r="BF248">
        <f>ROW()</f>
        <v>248</v>
      </c>
      <c r="BH248" t="str">
        <f t="shared" si="138"/>
        <v>BC244:BC248</v>
      </c>
      <c r="BI248">
        <f t="shared" si="155"/>
        <v>236</v>
      </c>
      <c r="BJ248">
        <f t="shared" ca="1" si="139"/>
        <v>586.6</v>
      </c>
      <c r="BL248" t="str">
        <f t="shared" si="140"/>
        <v>BC229:BC248</v>
      </c>
      <c r="BM248">
        <f t="shared" si="156"/>
        <v>221</v>
      </c>
      <c r="BN248">
        <f t="shared" ca="1" si="141"/>
        <v>589.5</v>
      </c>
      <c r="BP248" t="str">
        <f t="shared" si="142"/>
        <v>BC189:BC248</v>
      </c>
      <c r="BQ248">
        <f t="shared" si="157"/>
        <v>181</v>
      </c>
      <c r="BR248">
        <f t="shared" ca="1" si="143"/>
        <v>582.10337333333337</v>
      </c>
      <c r="BT248">
        <f t="shared" ca="1" si="159"/>
        <v>592.75</v>
      </c>
      <c r="BU248">
        <f t="shared" ca="1" si="164"/>
        <v>0.31201993474302697</v>
      </c>
      <c r="BV248">
        <f t="shared" ca="1" si="165"/>
        <v>593.37403986948607</v>
      </c>
      <c r="BW248">
        <f t="shared" ca="1" si="166"/>
        <v>592.12596013051393</v>
      </c>
      <c r="BY248">
        <f t="shared" ca="1" si="129"/>
        <v>586.6</v>
      </c>
      <c r="BZ248">
        <f t="shared" ca="1" si="130"/>
        <v>589.5</v>
      </c>
      <c r="CA248">
        <f t="shared" ca="1" si="131"/>
        <v>582.10337333333337</v>
      </c>
      <c r="CD248" t="str">
        <f>IF(周K!$E$3+CK248-12&gt;工作底稿!$CE$5,"周K!A"&amp;周K!$E$3-$CE$5+1+CK248-8,0)</f>
        <v>周K!A408</v>
      </c>
      <c r="CE248" s="4">
        <f t="shared" ca="1" si="144"/>
        <v>44284</v>
      </c>
      <c r="CF248" s="13">
        <f ca="1">IF($CD248=0,"",VLOOKUP($CE248,周K!$A$6:$F$6842,2,0))</f>
        <v>599</v>
      </c>
      <c r="CG248" s="13">
        <f ca="1">IF($CD248=0,"",VLOOKUP($CE248,周K!$A$6:$F$6842,3,0))</f>
        <v>602</v>
      </c>
      <c r="CH248" s="13">
        <f ca="1">IF($CD248=0,"",VLOOKUP($CE248,周K!$A$6:$F$6842,4,0))</f>
        <v>587</v>
      </c>
      <c r="CI248" s="13">
        <f ca="1">IF($CD248=0,"",VLOOKUP($CE248,周K!$A$6:$F$6842,5,0))</f>
        <v>602</v>
      </c>
      <c r="CJ248" s="13">
        <f ca="1">IF($CD248=0,"",VLOOKUP($CE248,周K!$A$6:$F$6842,6,0))</f>
        <v>165688</v>
      </c>
      <c r="CK248">
        <f>ROW()</f>
        <v>248</v>
      </c>
      <c r="CM248" t="str">
        <f t="shared" si="145"/>
        <v>CG244:CG248</v>
      </c>
      <c r="CN248">
        <f t="shared" si="146"/>
        <v>236</v>
      </c>
      <c r="CO248">
        <f t="shared" ca="1" si="147"/>
        <v>611.79999999999995</v>
      </c>
      <c r="CQ248" t="str">
        <f t="shared" si="148"/>
        <v>CG229:CG248</v>
      </c>
      <c r="CR248">
        <f t="shared" si="149"/>
        <v>221</v>
      </c>
      <c r="CS248">
        <f t="shared" ca="1" si="150"/>
        <v>581.125</v>
      </c>
      <c r="CU248" t="str">
        <f t="shared" si="151"/>
        <v>CG189:CG248</v>
      </c>
      <c r="CV248">
        <f t="shared" si="152"/>
        <v>181</v>
      </c>
      <c r="CW248">
        <f t="shared" ca="1" si="153"/>
        <v>438.68333333333334</v>
      </c>
      <c r="CY248">
        <f t="shared" ca="1" si="154"/>
        <v>584</v>
      </c>
      <c r="CZ248">
        <f t="shared" ca="1" si="158"/>
        <v>591.44542306385438</v>
      </c>
      <c r="DA248">
        <f t="shared" ca="1" si="161"/>
        <v>591.83014717572996</v>
      </c>
      <c r="DB248">
        <f t="shared" ca="1" si="160"/>
        <v>-0.38472411187558464</v>
      </c>
      <c r="DC248">
        <f t="shared" ca="1" si="162"/>
        <v>1.4994399126327254</v>
      </c>
      <c r="DD248">
        <f t="shared" ca="1" si="163"/>
        <v>-1.88416402450831</v>
      </c>
    </row>
    <row r="249" spans="51:108" x14ac:dyDescent="0.25">
      <c r="AY249" t="str">
        <f>"日K!A"&amp;日K!$E$3-239+1+BF249-8</f>
        <v>日K!A6841</v>
      </c>
      <c r="AZ249" s="4">
        <f t="shared" ca="1" si="132"/>
        <v>44399</v>
      </c>
      <c r="BA249" s="13">
        <f t="shared" ca="1" si="133"/>
        <v>589</v>
      </c>
      <c r="BB249" s="13">
        <f t="shared" ca="1" si="134"/>
        <v>594</v>
      </c>
      <c r="BC249" s="13">
        <f t="shared" ca="1" si="135"/>
        <v>587</v>
      </c>
      <c r="BD249" s="13">
        <f t="shared" ca="1" si="136"/>
        <v>591</v>
      </c>
      <c r="BE249" s="13">
        <f t="shared" ca="1" si="137"/>
        <v>27076</v>
      </c>
      <c r="BF249">
        <f>ROW()</f>
        <v>249</v>
      </c>
      <c r="BH249" t="str">
        <f t="shared" si="138"/>
        <v>BC245:BC249</v>
      </c>
      <c r="BI249">
        <f t="shared" si="155"/>
        <v>237</v>
      </c>
      <c r="BJ249">
        <f t="shared" ca="1" si="139"/>
        <v>582.4</v>
      </c>
      <c r="BL249" t="str">
        <f t="shared" si="140"/>
        <v>BC230:BC249</v>
      </c>
      <c r="BM249">
        <f t="shared" si="156"/>
        <v>222</v>
      </c>
      <c r="BN249">
        <f t="shared" ca="1" si="141"/>
        <v>589.45000000000005</v>
      </c>
      <c r="BP249" t="str">
        <f t="shared" si="142"/>
        <v>BC190:BC249</v>
      </c>
      <c r="BQ249">
        <f t="shared" si="157"/>
        <v>182</v>
      </c>
      <c r="BR249">
        <f t="shared" ca="1" si="143"/>
        <v>581.84504000000004</v>
      </c>
      <c r="BT249">
        <f t="shared" ca="1" si="159"/>
        <v>592.79999999999995</v>
      </c>
      <c r="BU249">
        <f t="shared" ca="1" si="164"/>
        <v>0.31015601914654545</v>
      </c>
      <c r="BV249">
        <f t="shared" ca="1" si="165"/>
        <v>593.42031203829299</v>
      </c>
      <c r="BW249">
        <f t="shared" ca="1" si="166"/>
        <v>592.17968796170692</v>
      </c>
      <c r="BY249">
        <f t="shared" ca="1" si="129"/>
        <v>582.4</v>
      </c>
      <c r="BZ249">
        <f t="shared" ca="1" si="130"/>
        <v>589.45000000000005</v>
      </c>
      <c r="CA249">
        <f t="shared" ca="1" si="131"/>
        <v>581.84504000000004</v>
      </c>
      <c r="CD249" t="str">
        <f>IF(周K!$E$3+CK249-12&gt;工作底稿!$CE$5,"周K!A"&amp;周K!$E$3-$CE$5+1+CK249-8,0)</f>
        <v>周K!A409</v>
      </c>
      <c r="CE249" s="4">
        <f t="shared" ca="1" si="144"/>
        <v>44292</v>
      </c>
      <c r="CF249" s="13">
        <f ca="1">IF($CD249=0,"",VLOOKUP($CE249,周K!$A$6:$F$6842,2,0))</f>
        <v>615</v>
      </c>
      <c r="CG249" s="13">
        <f ca="1">IF($CD249=0,"",VLOOKUP($CE249,周K!$A$6:$F$6842,3,0))</f>
        <v>618</v>
      </c>
      <c r="CH249" s="13">
        <f ca="1">IF($CD249=0,"",VLOOKUP($CE249,周K!$A$6:$F$6842,4,0))</f>
        <v>603</v>
      </c>
      <c r="CI249" s="13">
        <f ca="1">IF($CD249=0,"",VLOOKUP($CE249,周K!$A$6:$F$6842,5,0))</f>
        <v>610</v>
      </c>
      <c r="CJ249" s="13">
        <f ca="1">IF($CD249=0,"",VLOOKUP($CE249,周K!$A$6:$F$6842,6,0))</f>
        <v>124065</v>
      </c>
      <c r="CK249">
        <f>ROW()</f>
        <v>249</v>
      </c>
      <c r="CM249" t="str">
        <f t="shared" si="145"/>
        <v>CG245:CG249</v>
      </c>
      <c r="CN249">
        <f t="shared" si="146"/>
        <v>237</v>
      </c>
      <c r="CO249">
        <f t="shared" ca="1" si="147"/>
        <v>611</v>
      </c>
      <c r="CQ249" t="str">
        <f t="shared" si="148"/>
        <v>CG230:CG249</v>
      </c>
      <c r="CR249">
        <f t="shared" si="149"/>
        <v>222</v>
      </c>
      <c r="CS249">
        <f t="shared" ca="1" si="150"/>
        <v>588.85</v>
      </c>
      <c r="CU249" t="str">
        <f t="shared" si="151"/>
        <v>CG190:CG249</v>
      </c>
      <c r="CV249">
        <f t="shared" si="152"/>
        <v>182</v>
      </c>
      <c r="CW249">
        <f t="shared" ca="1" si="153"/>
        <v>443.44166666666666</v>
      </c>
      <c r="CY249">
        <f t="shared" ca="1" si="154"/>
        <v>590.75</v>
      </c>
      <c r="CZ249">
        <f t="shared" ca="1" si="158"/>
        <v>591.33843490018444</v>
      </c>
      <c r="DA249">
        <f t="shared" ca="1" si="161"/>
        <v>591.75013627382407</v>
      </c>
      <c r="DB249">
        <f t="shared" ca="1" si="160"/>
        <v>-0.41170137363963022</v>
      </c>
      <c r="DC249">
        <f t="shared" ca="1" si="162"/>
        <v>1.4337120512419181</v>
      </c>
      <c r="DD249">
        <f t="shared" ca="1" si="163"/>
        <v>-1.8454134248815484</v>
      </c>
    </row>
    <row r="250" spans="51:108" x14ac:dyDescent="0.25">
      <c r="AY250" t="str">
        <f>"日K!A"&amp;日K!$E$3-239+1+BF250-8</f>
        <v>日K!A6842</v>
      </c>
      <c r="AZ250" s="4">
        <f t="shared" ca="1" si="132"/>
        <v>44400</v>
      </c>
      <c r="BA250" s="13">
        <f t="shared" ca="1" si="133"/>
        <v>592</v>
      </c>
      <c r="BB250" s="13">
        <f t="shared" ca="1" si="134"/>
        <v>592</v>
      </c>
      <c r="BC250" s="13">
        <f t="shared" ca="1" si="135"/>
        <v>583</v>
      </c>
      <c r="BD250" s="13">
        <f t="shared" ca="1" si="136"/>
        <v>585</v>
      </c>
      <c r="BE250" s="13">
        <f t="shared" ca="1" si="137"/>
        <v>15705</v>
      </c>
      <c r="BF250">
        <f>ROW()</f>
        <v>250</v>
      </c>
      <c r="BH250" t="str">
        <f t="shared" si="138"/>
        <v>BC246:BC250</v>
      </c>
      <c r="BI250">
        <f t="shared" si="155"/>
        <v>238</v>
      </c>
      <c r="BJ250">
        <f t="shared" ca="1" si="139"/>
        <v>581.4</v>
      </c>
      <c r="BL250" t="str">
        <f t="shared" si="140"/>
        <v>BC231:BC250</v>
      </c>
      <c r="BM250">
        <f t="shared" si="156"/>
        <v>223</v>
      </c>
      <c r="BN250">
        <f t="shared" ca="1" si="141"/>
        <v>589.15</v>
      </c>
      <c r="BP250" t="str">
        <f t="shared" si="142"/>
        <v>BC191:BC250</v>
      </c>
      <c r="BQ250">
        <f t="shared" si="157"/>
        <v>183</v>
      </c>
      <c r="BR250">
        <f t="shared" ca="1" si="143"/>
        <v>581.58643166666684</v>
      </c>
      <c r="BT250">
        <f t="shared" ca="1" si="159"/>
        <v>592.5</v>
      </c>
      <c r="BU250">
        <f t="shared" ca="1" si="164"/>
        <v>0.35605463607310051</v>
      </c>
      <c r="BV250">
        <f t="shared" ca="1" si="165"/>
        <v>593.21210927214622</v>
      </c>
      <c r="BW250">
        <f t="shared" ca="1" si="166"/>
        <v>591.78789072785378</v>
      </c>
      <c r="BY250">
        <f t="shared" ca="1" si="129"/>
        <v>581.4</v>
      </c>
      <c r="BZ250">
        <f t="shared" ca="1" si="130"/>
        <v>589.15</v>
      </c>
      <c r="CA250">
        <f t="shared" ca="1" si="131"/>
        <v>581.58643166666684</v>
      </c>
      <c r="CD250" t="str">
        <f>IF(周K!$E$3+CK250-12&gt;工作底稿!$CE$5,"周K!A"&amp;周K!$E$3-$CE$5+1+CK250-8,0)</f>
        <v>周K!A410</v>
      </c>
      <c r="CE250" s="4">
        <f t="shared" ca="1" si="144"/>
        <v>44298</v>
      </c>
      <c r="CF250" s="13">
        <f ca="1">IF($CD250=0,"",VLOOKUP($CE250,周K!$A$6:$F$6842,2,0))</f>
        <v>612</v>
      </c>
      <c r="CG250" s="13">
        <f ca="1">IF($CD250=0,"",VLOOKUP($CE250,周K!$A$6:$F$6842,3,0))</f>
        <v>619</v>
      </c>
      <c r="CH250" s="13">
        <f ca="1">IF($CD250=0,"",VLOOKUP($CE250,周K!$A$6:$F$6842,4,0))</f>
        <v>600</v>
      </c>
      <c r="CI250" s="13">
        <f ca="1">IF($CD250=0,"",VLOOKUP($CE250,周K!$A$6:$F$6842,5,0))</f>
        <v>610</v>
      </c>
      <c r="CJ250" s="13">
        <f ca="1">IF($CD250=0,"",VLOOKUP($CE250,周K!$A$6:$F$6842,6,0))</f>
        <v>168198</v>
      </c>
      <c r="CK250">
        <f>ROW()</f>
        <v>250</v>
      </c>
      <c r="CM250" t="str">
        <f t="shared" si="145"/>
        <v>CG246:CG250</v>
      </c>
      <c r="CN250">
        <f t="shared" si="146"/>
        <v>238</v>
      </c>
      <c r="CO250">
        <f t="shared" ca="1" si="147"/>
        <v>611.20000000000005</v>
      </c>
      <c r="CQ250" t="str">
        <f t="shared" si="148"/>
        <v>CG231:CG250</v>
      </c>
      <c r="CR250">
        <f t="shared" si="149"/>
        <v>223</v>
      </c>
      <c r="CS250">
        <f t="shared" ca="1" si="150"/>
        <v>594.5</v>
      </c>
      <c r="CU250" t="str">
        <f t="shared" si="151"/>
        <v>CG191:CG250</v>
      </c>
      <c r="CV250">
        <f t="shared" si="152"/>
        <v>183</v>
      </c>
      <c r="CW250">
        <f t="shared" ca="1" si="153"/>
        <v>448.125</v>
      </c>
      <c r="CY250">
        <f t="shared" ca="1" si="154"/>
        <v>586.25</v>
      </c>
      <c r="CZ250">
        <f t="shared" ca="1" si="158"/>
        <v>590.55559876169457</v>
      </c>
      <c r="DA250">
        <f t="shared" ca="1" si="161"/>
        <v>591.34271877205924</v>
      </c>
      <c r="DB250">
        <f t="shared" ca="1" si="160"/>
        <v>-0.78712001036467427</v>
      </c>
      <c r="DC250">
        <f t="shared" ca="1" si="162"/>
        <v>1.3038323137341825</v>
      </c>
      <c r="DD250">
        <f t="shared" ca="1" si="163"/>
        <v>-2.0909523240988568</v>
      </c>
    </row>
    <row r="251" spans="51:108" x14ac:dyDescent="0.25">
      <c r="AY251" t="str">
        <f>"日K!A"&amp;日K!$E$3-239+1+BF251-8</f>
        <v>日K!A6843</v>
      </c>
      <c r="AZ251" s="4">
        <f t="shared" ca="1" si="132"/>
        <v>44403</v>
      </c>
      <c r="BA251" s="13">
        <f t="shared" ca="1" si="133"/>
        <v>591</v>
      </c>
      <c r="BB251" s="13">
        <f t="shared" ca="1" si="134"/>
        <v>591</v>
      </c>
      <c r="BC251" s="13">
        <f t="shared" ca="1" si="135"/>
        <v>580</v>
      </c>
      <c r="BD251" s="13">
        <f t="shared" ca="1" si="136"/>
        <v>580</v>
      </c>
      <c r="BE251" s="13">
        <f t="shared" ca="1" si="137"/>
        <v>22443</v>
      </c>
      <c r="BF251">
        <f>ROW()</f>
        <v>251</v>
      </c>
      <c r="BH251" t="str">
        <f t="shared" si="138"/>
        <v>BC247:BC251</v>
      </c>
      <c r="BI251">
        <f t="shared" si="155"/>
        <v>239</v>
      </c>
      <c r="BJ251">
        <f t="shared" ca="1" si="139"/>
        <v>581.79999999999995</v>
      </c>
      <c r="BL251" t="str">
        <f t="shared" si="140"/>
        <v>BC232:BC251</v>
      </c>
      <c r="BM251">
        <f t="shared" si="156"/>
        <v>224</v>
      </c>
      <c r="BN251">
        <f t="shared" ca="1" si="141"/>
        <v>588.85</v>
      </c>
      <c r="BP251" t="str">
        <f t="shared" si="142"/>
        <v>BC192:BC251</v>
      </c>
      <c r="BQ251">
        <f t="shared" si="157"/>
        <v>184</v>
      </c>
      <c r="BR251">
        <f t="shared" ca="1" si="143"/>
        <v>581.29442000000006</v>
      </c>
      <c r="BT251">
        <f t="shared" ca="1" si="159"/>
        <v>592</v>
      </c>
      <c r="BU251">
        <f t="shared" ca="1" si="164"/>
        <v>0.4472811000380591</v>
      </c>
      <c r="BV251">
        <f t="shared" ca="1" si="165"/>
        <v>592.89456220007617</v>
      </c>
      <c r="BW251">
        <f t="shared" ca="1" si="166"/>
        <v>591.10543779992383</v>
      </c>
      <c r="BY251">
        <f t="shared" ca="1" si="129"/>
        <v>581.79999999999995</v>
      </c>
      <c r="BZ251">
        <f t="shared" ca="1" si="130"/>
        <v>588.85</v>
      </c>
      <c r="CA251">
        <f t="shared" ca="1" si="131"/>
        <v>581.29442000000006</v>
      </c>
      <c r="CD251" t="str">
        <f>IF(周K!$E$3+CK251-12&gt;工作底稿!$CE$5,"周K!A"&amp;周K!$E$3-$CE$5+1+CK251-8,0)</f>
        <v>周K!A411</v>
      </c>
      <c r="CE251" s="4">
        <f t="shared" ca="1" si="144"/>
        <v>44305</v>
      </c>
      <c r="CF251" s="13">
        <f ca="1">IF($CD251=0,"",VLOOKUP($CE251,周K!$A$6:$F$6842,2,0))</f>
        <v>605</v>
      </c>
      <c r="CG251" s="13">
        <f ca="1">IF($CD251=0,"",VLOOKUP($CE251,周K!$A$6:$F$6842,3,0))</f>
        <v>607</v>
      </c>
      <c r="CH251" s="13">
        <f ca="1">IF($CD251=0,"",VLOOKUP($CE251,周K!$A$6:$F$6842,4,0))</f>
        <v>590</v>
      </c>
      <c r="CI251" s="13">
        <f ca="1">IF($CD251=0,"",VLOOKUP($CE251,周K!$A$6:$F$6842,5,0))</f>
        <v>602</v>
      </c>
      <c r="CJ251" s="13">
        <f ca="1">IF($CD251=0,"",VLOOKUP($CE251,周K!$A$6:$F$6842,6,0))</f>
        <v>170883</v>
      </c>
      <c r="CK251">
        <f>ROW()</f>
        <v>251</v>
      </c>
      <c r="CM251" t="str">
        <f t="shared" si="145"/>
        <v>CG247:CG251</v>
      </c>
      <c r="CN251">
        <f t="shared" si="146"/>
        <v>239</v>
      </c>
      <c r="CO251">
        <f t="shared" ca="1" si="147"/>
        <v>609.79999999999995</v>
      </c>
      <c r="CQ251" t="str">
        <f t="shared" si="148"/>
        <v>CG232:CG251</v>
      </c>
      <c r="CR251">
        <f t="shared" si="149"/>
        <v>224</v>
      </c>
      <c r="CS251">
        <f t="shared" ca="1" si="150"/>
        <v>599.85</v>
      </c>
      <c r="CU251" t="str">
        <f t="shared" si="151"/>
        <v>CG192:CG251</v>
      </c>
      <c r="CV251">
        <f t="shared" si="152"/>
        <v>184</v>
      </c>
      <c r="CW251">
        <f t="shared" ca="1" si="153"/>
        <v>452.69166666666666</v>
      </c>
      <c r="CY251">
        <f t="shared" ca="1" si="154"/>
        <v>582.75</v>
      </c>
      <c r="CZ251">
        <f t="shared" ca="1" si="158"/>
        <v>589.35473741374153</v>
      </c>
      <c r="DA251">
        <f t="shared" ca="1" si="161"/>
        <v>590.70622108524003</v>
      </c>
      <c r="DB251">
        <f t="shared" ca="1" si="160"/>
        <v>-1.3514836714984995</v>
      </c>
      <c r="DC251">
        <f t="shared" ca="1" si="162"/>
        <v>0.98778599729669425</v>
      </c>
      <c r="DD251">
        <f t="shared" ca="1" si="163"/>
        <v>-2.3392696687951937</v>
      </c>
    </row>
    <row r="252" spans="51:108" x14ac:dyDescent="0.25">
      <c r="AZ252" s="4"/>
      <c r="BA252" s="13"/>
      <c r="BB252" s="13"/>
      <c r="BC252" s="13"/>
      <c r="BD252" s="13"/>
      <c r="BE252" s="13"/>
      <c r="CD252" t="str">
        <f>IF(周K!$E$3+CK252-12&gt;工作底稿!$CE$5,"周K!A"&amp;周K!$E$3-$CE$5+1+CK252-8,0)</f>
        <v>周K!A412</v>
      </c>
      <c r="CE252" s="4">
        <f t="shared" ca="1" si="144"/>
        <v>44312</v>
      </c>
      <c r="CF252" s="13">
        <f ca="1">IF($CD252=0,"",VLOOKUP($CE252,周K!$A$6:$F$6842,2,0))</f>
        <v>605</v>
      </c>
      <c r="CG252" s="13">
        <f ca="1">IF($CD252=0,"",VLOOKUP($CE252,周K!$A$6:$F$6842,3,0))</f>
        <v>611</v>
      </c>
      <c r="CH252" s="13">
        <f ca="1">IF($CD252=0,"",VLOOKUP($CE252,周K!$A$6:$F$6842,4,0))</f>
        <v>600</v>
      </c>
      <c r="CI252" s="13">
        <f ca="1">IF($CD252=0,"",VLOOKUP($CE252,周K!$A$6:$F$6842,5,0))</f>
        <v>600</v>
      </c>
      <c r="CJ252" s="13">
        <f ca="1">IF($CD252=0,"",VLOOKUP($CE252,周K!$A$6:$F$6842,6,0))</f>
        <v>119546</v>
      </c>
      <c r="CK252">
        <f>ROW()</f>
        <v>252</v>
      </c>
      <c r="CM252" t="str">
        <f t="shared" si="145"/>
        <v>CG248:CG252</v>
      </c>
      <c r="CN252">
        <f t="shared" si="146"/>
        <v>240</v>
      </c>
      <c r="CO252">
        <f t="shared" ref="CO252:CO265" ca="1" si="167">IF(CN252&gt;=0,AVERAGE(INDIRECT(CM252)),NA())</f>
        <v>611.4</v>
      </c>
      <c r="CQ252" t="str">
        <f t="shared" si="148"/>
        <v>CG233:CG252</v>
      </c>
      <c r="CR252">
        <f t="shared" si="149"/>
        <v>225</v>
      </c>
      <c r="CS252">
        <f t="shared" ca="1" si="150"/>
        <v>605.15</v>
      </c>
      <c r="CU252" t="str">
        <f t="shared" si="151"/>
        <v>CG193:CG252</v>
      </c>
      <c r="CV252">
        <f t="shared" si="152"/>
        <v>185</v>
      </c>
      <c r="CW252">
        <f t="shared" ca="1" si="153"/>
        <v>457.48333333333335</v>
      </c>
      <c r="CY252">
        <f t="shared" si="154"/>
        <v>0</v>
      </c>
      <c r="CZ252">
        <f t="shared" ref="CZ252:CZ265" ca="1" si="168">CZ251*(11/13)+CY252*(2/13)</f>
        <v>498.68477781162744</v>
      </c>
      <c r="DA252">
        <f t="shared" ref="DA252:DA265" ca="1" si="169">DA251*(25/27)+CY252*(2/27)</f>
        <v>546.95020470855559</v>
      </c>
      <c r="DB252">
        <f t="shared" ref="DB252:DB265" ca="1" si="170">CZ252-DA252</f>
        <v>-48.265426896928147</v>
      </c>
      <c r="DC252">
        <f t="shared" ca="1" si="162"/>
        <v>-4.6978027741770099</v>
      </c>
      <c r="DD252">
        <f t="shared" ref="DD252:DD265" ca="1" si="171">DB252-DC252</f>
        <v>-43.567624122751141</v>
      </c>
    </row>
    <row r="253" spans="51:108" x14ac:dyDescent="0.25">
      <c r="AZ253" s="4"/>
      <c r="BA253" s="13"/>
      <c r="BB253" s="13"/>
      <c r="BC253" s="13"/>
      <c r="BD253" s="13"/>
      <c r="BE253" s="13"/>
      <c r="CD253" t="str">
        <f>IF(周K!$E$3+CK253-12&gt;工作底稿!$CE$5,"周K!A"&amp;周K!$E$3-$CE$5+1+CK253-8,0)</f>
        <v>周K!A413</v>
      </c>
      <c r="CE253" s="4">
        <f t="shared" ca="1" si="144"/>
        <v>44319</v>
      </c>
      <c r="CF253" s="13">
        <f ca="1">IF($CD253=0,"",VLOOKUP($CE253,周K!$A$6:$F$6842,2,0))</f>
        <v>595</v>
      </c>
      <c r="CG253" s="13">
        <f ca="1">IF($CD253=0,"",VLOOKUP($CE253,周K!$A$6:$F$6842,3,0))</f>
        <v>600</v>
      </c>
      <c r="CH253" s="13">
        <f ca="1">IF($CD253=0,"",VLOOKUP($CE253,周K!$A$6:$F$6842,4,0))</f>
        <v>580</v>
      </c>
      <c r="CI253" s="13">
        <f ca="1">IF($CD253=0,"",VLOOKUP($CE253,周K!$A$6:$F$6842,5,0))</f>
        <v>599</v>
      </c>
      <c r="CJ253" s="13">
        <f ca="1">IF($CD253=0,"",VLOOKUP($CE253,周K!$A$6:$F$6842,6,0))</f>
        <v>185980</v>
      </c>
      <c r="CK253">
        <f>ROW()</f>
        <v>253</v>
      </c>
      <c r="CM253" t="str">
        <f t="shared" si="145"/>
        <v>CG249:CG253</v>
      </c>
      <c r="CN253">
        <f t="shared" si="146"/>
        <v>241</v>
      </c>
      <c r="CO253">
        <f t="shared" ca="1" si="167"/>
        <v>611</v>
      </c>
      <c r="CQ253" t="str">
        <f t="shared" si="148"/>
        <v>CG234:CG253</v>
      </c>
      <c r="CR253">
        <f t="shared" si="149"/>
        <v>226</v>
      </c>
      <c r="CS253">
        <f t="shared" ca="1" si="150"/>
        <v>608.9</v>
      </c>
      <c r="CU253" t="str">
        <f t="shared" si="151"/>
        <v>CG194:CG253</v>
      </c>
      <c r="CV253">
        <f t="shared" si="152"/>
        <v>186</v>
      </c>
      <c r="CW253">
        <f t="shared" ca="1" si="153"/>
        <v>462.05</v>
      </c>
      <c r="CY253">
        <f t="shared" si="154"/>
        <v>0</v>
      </c>
      <c r="CZ253">
        <f t="shared" ca="1" si="168"/>
        <v>421.96404276368474</v>
      </c>
      <c r="DA253">
        <f t="shared" ca="1" si="169"/>
        <v>506.43537473014408</v>
      </c>
      <c r="DB253">
        <f t="shared" ca="1" si="170"/>
        <v>-84.471331966459331</v>
      </c>
      <c r="DC253">
        <f t="shared" ca="1" si="162"/>
        <v>-14.527720884188746</v>
      </c>
      <c r="DD253">
        <f t="shared" ca="1" si="171"/>
        <v>-69.943611082270593</v>
      </c>
    </row>
    <row r="254" spans="51:108" x14ac:dyDescent="0.25">
      <c r="AZ254" s="4"/>
      <c r="BA254" s="13"/>
      <c r="BB254" s="13"/>
      <c r="BC254" s="13"/>
      <c r="BD254" s="13"/>
      <c r="BE254" s="13"/>
      <c r="CD254" t="str">
        <f>IF(周K!$E$3+CK254-12&gt;工作底稿!$CE$5,"周K!A"&amp;周K!$E$3-$CE$5+1+CK254-8,0)</f>
        <v>周K!A414</v>
      </c>
      <c r="CE254" s="4">
        <f t="shared" ca="1" si="144"/>
        <v>44326</v>
      </c>
      <c r="CF254" s="13">
        <f ca="1">IF($CD254=0,"",VLOOKUP($CE254,周K!$A$6:$F$6842,2,0))</f>
        <v>596</v>
      </c>
      <c r="CG254" s="13">
        <f ca="1">IF($CD254=0,"",VLOOKUP($CE254,周K!$A$6:$F$6842,3,0))</f>
        <v>597</v>
      </c>
      <c r="CH254" s="13">
        <f ca="1">IF($CD254=0,"",VLOOKUP($CE254,周K!$A$6:$F$6842,4,0))</f>
        <v>518</v>
      </c>
      <c r="CI254" s="13">
        <f ca="1">IF($CD254=0,"",VLOOKUP($CE254,周K!$A$6:$F$6842,5,0))</f>
        <v>557</v>
      </c>
      <c r="CJ254" s="13">
        <f ca="1">IF($CD254=0,"",VLOOKUP($CE254,周K!$A$6:$F$6842,6,0))</f>
        <v>335875</v>
      </c>
      <c r="CK254">
        <f>ROW()</f>
        <v>254</v>
      </c>
      <c r="CM254" t="str">
        <f t="shared" si="145"/>
        <v>CG250:CG254</v>
      </c>
      <c r="CN254">
        <f t="shared" si="146"/>
        <v>242</v>
      </c>
      <c r="CO254">
        <f t="shared" ca="1" si="167"/>
        <v>606.79999999999995</v>
      </c>
      <c r="CQ254" t="str">
        <f t="shared" si="148"/>
        <v>CG235:CG254</v>
      </c>
      <c r="CR254">
        <f t="shared" si="149"/>
        <v>227</v>
      </c>
      <c r="CS254">
        <f t="shared" ca="1" si="150"/>
        <v>613</v>
      </c>
      <c r="CU254" t="str">
        <f t="shared" si="151"/>
        <v>CG195:CG254</v>
      </c>
      <c r="CV254">
        <f t="shared" si="152"/>
        <v>187</v>
      </c>
      <c r="CW254">
        <f t="shared" ca="1" si="153"/>
        <v>466.82499999999999</v>
      </c>
      <c r="CY254">
        <f t="shared" si="154"/>
        <v>0</v>
      </c>
      <c r="CZ254">
        <f t="shared" ca="1" si="168"/>
        <v>357.04649772311785</v>
      </c>
      <c r="DA254">
        <f t="shared" ca="1" si="169"/>
        <v>468.92164326865191</v>
      </c>
      <c r="DB254">
        <f t="shared" ca="1" si="170"/>
        <v>-111.87514554553405</v>
      </c>
      <c r="DC254">
        <f t="shared" ca="1" si="162"/>
        <v>-27.295384502564261</v>
      </c>
      <c r="DD254">
        <f t="shared" ca="1" si="171"/>
        <v>-84.579761042969793</v>
      </c>
    </row>
    <row r="255" spans="51:108" x14ac:dyDescent="0.25">
      <c r="AZ255" s="4"/>
      <c r="BA255" s="13"/>
      <c r="BB255" s="13"/>
      <c r="BC255" s="13"/>
      <c r="BD255" s="13"/>
      <c r="BE255" s="13"/>
      <c r="CD255" t="str">
        <f>IF(周K!$E$3+CK255-12&gt;工作底稿!$CE$5,"周K!A"&amp;周K!$E$3-$CE$5+1+CK255-8,0)</f>
        <v>周K!A415</v>
      </c>
      <c r="CE255" s="4">
        <f t="shared" ca="1" si="144"/>
        <v>44333</v>
      </c>
      <c r="CF255" s="13">
        <f ca="1">IF($CD255=0,"",VLOOKUP($CE255,周K!$A$6:$F$6842,2,0))</f>
        <v>544</v>
      </c>
      <c r="CG255" s="13">
        <f ca="1">IF($CD255=0,"",VLOOKUP($CE255,周K!$A$6:$F$6842,3,0))</f>
        <v>577</v>
      </c>
      <c r="CH255" s="13">
        <f ca="1">IF($CD255=0,"",VLOOKUP($CE255,周K!$A$6:$F$6842,4,0))</f>
        <v>541</v>
      </c>
      <c r="CI255" s="13">
        <f ca="1">IF($CD255=0,"",VLOOKUP($CE255,周K!$A$6:$F$6842,5,0))</f>
        <v>573</v>
      </c>
      <c r="CJ255" s="13">
        <f ca="1">IF($CD255=0,"",VLOOKUP($CE255,周K!$A$6:$F$6842,6,0))</f>
        <v>197257</v>
      </c>
      <c r="CK255">
        <f>ROW()</f>
        <v>255</v>
      </c>
      <c r="CM255" t="str">
        <f t="shared" si="145"/>
        <v>CG251:CG255</v>
      </c>
      <c r="CN255">
        <f t="shared" si="146"/>
        <v>243</v>
      </c>
      <c r="CO255">
        <f t="shared" ca="1" si="167"/>
        <v>598.4</v>
      </c>
      <c r="CQ255" t="str">
        <f t="shared" si="148"/>
        <v>CG236:CG255</v>
      </c>
      <c r="CR255">
        <f t="shared" si="149"/>
        <v>228</v>
      </c>
      <c r="CS255">
        <f t="shared" ca="1" si="150"/>
        <v>616</v>
      </c>
      <c r="CU255" t="str">
        <f t="shared" si="151"/>
        <v>CG196:CG255</v>
      </c>
      <c r="CV255">
        <f t="shared" si="152"/>
        <v>188</v>
      </c>
      <c r="CW255">
        <f t="shared" ca="1" si="153"/>
        <v>471.59166666666664</v>
      </c>
      <c r="CY255">
        <f t="shared" si="154"/>
        <v>0</v>
      </c>
      <c r="CZ255">
        <f t="shared" ca="1" si="168"/>
        <v>302.11626730417663</v>
      </c>
      <c r="DA255">
        <f t="shared" ca="1" si="169"/>
        <v>434.18670673023325</v>
      </c>
      <c r="DB255">
        <f t="shared" ca="1" si="170"/>
        <v>-132.07043942605662</v>
      </c>
      <c r="DC255">
        <f t="shared" ca="1" si="162"/>
        <v>-42.141643955994823</v>
      </c>
      <c r="DD255">
        <f t="shared" ca="1" si="171"/>
        <v>-89.9287954700618</v>
      </c>
    </row>
    <row r="256" spans="51:108" x14ac:dyDescent="0.25">
      <c r="AZ256" s="4"/>
      <c r="BA256" s="13"/>
      <c r="BB256" s="13"/>
      <c r="BC256" s="13"/>
      <c r="BD256" s="13"/>
      <c r="BE256" s="13"/>
      <c r="CD256" t="str">
        <f>IF(周K!$E$3+CK256-12&gt;工作底稿!$CE$5,"周K!A"&amp;周K!$E$3-$CE$5+1+CK256-8,0)</f>
        <v>周K!A416</v>
      </c>
      <c r="CE256" s="4">
        <f t="shared" ca="1" si="144"/>
        <v>44340</v>
      </c>
      <c r="CF256" s="13">
        <f ca="1">IF($CD256=0,"",VLOOKUP($CE256,周K!$A$6:$F$6842,2,0))</f>
        <v>570</v>
      </c>
      <c r="CG256" s="13">
        <f ca="1">IF($CD256=0,"",VLOOKUP($CE256,周K!$A$6:$F$6842,3,0))</f>
        <v>592</v>
      </c>
      <c r="CH256" s="13">
        <f ca="1">IF($CD256=0,"",VLOOKUP($CE256,周K!$A$6:$F$6842,4,0))</f>
        <v>566</v>
      </c>
      <c r="CI256" s="13">
        <f ca="1">IF($CD256=0,"",VLOOKUP($CE256,周K!$A$6:$F$6842,5,0))</f>
        <v>590</v>
      </c>
      <c r="CJ256" s="13">
        <f ca="1">IF($CD256=0,"",VLOOKUP($CE256,周K!$A$6:$F$6842,6,0))</f>
        <v>171763</v>
      </c>
      <c r="CK256">
        <f>ROW()</f>
        <v>256</v>
      </c>
      <c r="CM256" t="str">
        <f t="shared" si="145"/>
        <v>CG252:CG256</v>
      </c>
      <c r="CN256">
        <f t="shared" si="146"/>
        <v>244</v>
      </c>
      <c r="CO256">
        <f t="shared" ca="1" si="167"/>
        <v>595.4</v>
      </c>
      <c r="CQ256" t="str">
        <f t="shared" si="148"/>
        <v>CG237:CG256</v>
      </c>
      <c r="CR256">
        <f t="shared" si="149"/>
        <v>229</v>
      </c>
      <c r="CS256">
        <f t="shared" ca="1" si="150"/>
        <v>619.1</v>
      </c>
      <c r="CU256" t="str">
        <f t="shared" si="151"/>
        <v>CG197:CG256</v>
      </c>
      <c r="CV256">
        <f t="shared" si="152"/>
        <v>189</v>
      </c>
      <c r="CW256">
        <f t="shared" ca="1" si="153"/>
        <v>476.69166666666666</v>
      </c>
      <c r="CY256">
        <f t="shared" si="154"/>
        <v>0</v>
      </c>
      <c r="CZ256">
        <f t="shared" ca="1" si="168"/>
        <v>255.63684156507253</v>
      </c>
      <c r="DA256">
        <f t="shared" ca="1" si="169"/>
        <v>402.02472845391969</v>
      </c>
      <c r="DB256">
        <f t="shared" ca="1" si="170"/>
        <v>-146.38788688884716</v>
      </c>
      <c r="DC256">
        <f t="shared" ca="1" si="162"/>
        <v>-58.445028876800407</v>
      </c>
      <c r="DD256">
        <f t="shared" ca="1" si="171"/>
        <v>-87.942858012046756</v>
      </c>
    </row>
    <row r="257" spans="52:108" x14ac:dyDescent="0.25">
      <c r="AZ257" s="4"/>
      <c r="BA257" s="13"/>
      <c r="BB257" s="13"/>
      <c r="BC257" s="13"/>
      <c r="BD257" s="13"/>
      <c r="BE257" s="13"/>
      <c r="CD257" t="str">
        <f>IF(周K!$E$3+CK257-12&gt;工作底稿!$CE$5,"周K!A"&amp;周K!$E$3-$CE$5+1+CK257-8,0)</f>
        <v>周K!A417</v>
      </c>
      <c r="CE257" s="4">
        <f t="shared" ca="1" si="144"/>
        <v>44347</v>
      </c>
      <c r="CF257" s="13">
        <f ca="1">IF($CD257=0,"",VLOOKUP($CE257,周K!$A$6:$F$6842,2,0))</f>
        <v>595</v>
      </c>
      <c r="CG257" s="13">
        <f ca="1">IF($CD257=0,"",VLOOKUP($CE257,周K!$A$6:$F$6842,3,0))</f>
        <v>600</v>
      </c>
      <c r="CH257" s="13">
        <f ca="1">IF($CD257=0,"",VLOOKUP($CE257,周K!$A$6:$F$6842,4,0))</f>
        <v>590</v>
      </c>
      <c r="CI257" s="13">
        <f ca="1">IF($CD257=0,"",VLOOKUP($CE257,周K!$A$6:$F$6842,5,0))</f>
        <v>595</v>
      </c>
      <c r="CJ257" s="13">
        <f ca="1">IF($CD257=0,"",VLOOKUP($CE257,周K!$A$6:$F$6842,6,0))</f>
        <v>120156</v>
      </c>
      <c r="CK257">
        <f>ROW()</f>
        <v>257</v>
      </c>
      <c r="CM257" t="str">
        <f t="shared" si="145"/>
        <v>CG253:CG257</v>
      </c>
      <c r="CN257">
        <f t="shared" si="146"/>
        <v>245</v>
      </c>
      <c r="CO257">
        <f t="shared" ca="1" si="167"/>
        <v>593.20000000000005</v>
      </c>
      <c r="CQ257" t="str">
        <f t="shared" si="148"/>
        <v>CG238:CG257</v>
      </c>
      <c r="CR257">
        <f t="shared" si="149"/>
        <v>230</v>
      </c>
      <c r="CS257">
        <f t="shared" ca="1" si="150"/>
        <v>620.1</v>
      </c>
      <c r="CU257" t="str">
        <f t="shared" si="151"/>
        <v>CG198:CG257</v>
      </c>
      <c r="CV257">
        <f t="shared" si="152"/>
        <v>190</v>
      </c>
      <c r="CW257">
        <f t="shared" ca="1" si="153"/>
        <v>482.08333333333331</v>
      </c>
      <c r="CY257">
        <f t="shared" si="154"/>
        <v>0</v>
      </c>
      <c r="CZ257">
        <f t="shared" ca="1" si="168"/>
        <v>216.30809670890753</v>
      </c>
      <c r="DA257">
        <f t="shared" ca="1" si="169"/>
        <v>372.24511893881453</v>
      </c>
      <c r="DB257">
        <f t="shared" ca="1" si="170"/>
        <v>-155.937022229907</v>
      </c>
      <c r="DC257">
        <f t="shared" ca="1" si="162"/>
        <v>-75.728617556581682</v>
      </c>
      <c r="DD257">
        <f t="shared" ca="1" si="171"/>
        <v>-80.208404673325319</v>
      </c>
    </row>
    <row r="258" spans="52:108" x14ac:dyDescent="0.25">
      <c r="AZ258" s="4"/>
      <c r="BA258" s="13"/>
      <c r="BB258" s="13"/>
      <c r="BC258" s="13"/>
      <c r="BD258" s="13"/>
      <c r="BE258" s="13"/>
      <c r="CD258" t="str">
        <f>IF(周K!$E$3+CK258-12&gt;工作底稿!$CE$5,"周K!A"&amp;周K!$E$3-$CE$5+1+CK258-8,0)</f>
        <v>周K!A418</v>
      </c>
      <c r="CE258" s="4">
        <f t="shared" ca="1" si="144"/>
        <v>44354</v>
      </c>
      <c r="CF258" s="13">
        <f ca="1">IF($CD258=0,"",VLOOKUP($CE258,周K!$A$6:$F$6842,2,0))</f>
        <v>594</v>
      </c>
      <c r="CG258" s="13">
        <f ca="1">IF($CD258=0,"",VLOOKUP($CE258,周K!$A$6:$F$6842,3,0))</f>
        <v>603</v>
      </c>
      <c r="CH258" s="13">
        <f ca="1">IF($CD258=0,"",VLOOKUP($CE258,周K!$A$6:$F$6842,4,0))</f>
        <v>583</v>
      </c>
      <c r="CI258" s="13">
        <f ca="1">IF($CD258=0,"",VLOOKUP($CE258,周K!$A$6:$F$6842,5,0))</f>
        <v>602</v>
      </c>
      <c r="CJ258" s="13">
        <f ca="1">IF($CD258=0,"",VLOOKUP($CE258,周K!$A$6:$F$6842,6,0))</f>
        <v>108070</v>
      </c>
      <c r="CK258">
        <f>ROW()</f>
        <v>258</v>
      </c>
      <c r="CM258" t="str">
        <f t="shared" si="145"/>
        <v>CG254:CG258</v>
      </c>
      <c r="CN258">
        <f t="shared" si="146"/>
        <v>246</v>
      </c>
      <c r="CO258">
        <f t="shared" ca="1" si="167"/>
        <v>593.79999999999995</v>
      </c>
      <c r="CQ258" t="str">
        <f t="shared" si="148"/>
        <v>CG239:CG258</v>
      </c>
      <c r="CR258">
        <f t="shared" si="149"/>
        <v>231</v>
      </c>
      <c r="CS258">
        <f t="shared" ca="1" si="150"/>
        <v>619</v>
      </c>
      <c r="CU258" t="str">
        <f t="shared" si="151"/>
        <v>CG199:CG258</v>
      </c>
      <c r="CV258">
        <f t="shared" si="152"/>
        <v>191</v>
      </c>
      <c r="CW258">
        <f t="shared" ca="1" si="153"/>
        <v>487.33333333333331</v>
      </c>
      <c r="CY258">
        <f t="shared" si="154"/>
        <v>0</v>
      </c>
      <c r="CZ258">
        <f t="shared" ca="1" si="168"/>
        <v>183.02992798446022</v>
      </c>
      <c r="DA258">
        <f t="shared" ca="1" si="169"/>
        <v>344.67140642482826</v>
      </c>
      <c r="DB258">
        <f t="shared" ca="1" si="170"/>
        <v>-161.64147844036805</v>
      </c>
      <c r="DC258">
        <f t="shared" ca="1" si="162"/>
        <v>-93.643037230662628</v>
      </c>
      <c r="DD258">
        <f t="shared" ca="1" si="171"/>
        <v>-67.998441209705419</v>
      </c>
    </row>
    <row r="259" spans="52:108" x14ac:dyDescent="0.25">
      <c r="AZ259" s="4"/>
      <c r="BA259" s="13"/>
      <c r="BB259" s="13"/>
      <c r="BC259" s="13"/>
      <c r="BD259" s="13"/>
      <c r="BE259" s="13"/>
      <c r="CD259" t="str">
        <f>IF(周K!$E$3+CK259-12&gt;工作底稿!$CE$5,"周K!A"&amp;周K!$E$3-$CE$5+1+CK259-8,0)</f>
        <v>周K!A419</v>
      </c>
      <c r="CE259" s="4">
        <f t="shared" ca="1" si="144"/>
        <v>44362</v>
      </c>
      <c r="CF259" s="13">
        <f ca="1">IF($CD259=0,"",VLOOKUP($CE259,周K!$A$6:$F$6842,2,0))</f>
        <v>607</v>
      </c>
      <c r="CG259" s="13">
        <f ca="1">IF($CD259=0,"",VLOOKUP($CE259,周K!$A$6:$F$6842,3,0))</f>
        <v>609</v>
      </c>
      <c r="CH259" s="13">
        <f ca="1">IF($CD259=0,"",VLOOKUP($CE259,周K!$A$6:$F$6842,4,0))</f>
        <v>598</v>
      </c>
      <c r="CI259" s="13">
        <f ca="1">IF($CD259=0,"",VLOOKUP($CE259,周K!$A$6:$F$6842,5,0))</f>
        <v>603</v>
      </c>
      <c r="CJ259" s="13">
        <f ca="1">IF($CD259=0,"",VLOOKUP($CE259,周K!$A$6:$F$6842,6,0))</f>
        <v>127384</v>
      </c>
      <c r="CK259">
        <f>ROW()</f>
        <v>259</v>
      </c>
      <c r="CM259" t="str">
        <f t="shared" si="145"/>
        <v>CG255:CG259</v>
      </c>
      <c r="CN259">
        <f t="shared" si="146"/>
        <v>247</v>
      </c>
      <c r="CO259">
        <f t="shared" ca="1" si="167"/>
        <v>596.20000000000005</v>
      </c>
      <c r="CQ259" t="str">
        <f t="shared" si="148"/>
        <v>CG240:CG259</v>
      </c>
      <c r="CR259">
        <f t="shared" si="149"/>
        <v>232</v>
      </c>
      <c r="CS259">
        <f t="shared" ca="1" si="150"/>
        <v>615.5</v>
      </c>
      <c r="CU259" t="str">
        <f t="shared" si="151"/>
        <v>CG200:CG259</v>
      </c>
      <c r="CV259">
        <f t="shared" si="152"/>
        <v>192</v>
      </c>
      <c r="CW259">
        <f t="shared" ca="1" si="153"/>
        <v>492.34166666666664</v>
      </c>
      <c r="CY259">
        <f t="shared" si="154"/>
        <v>0</v>
      </c>
      <c r="CZ259">
        <f t="shared" ca="1" si="168"/>
        <v>154.87147752531249</v>
      </c>
      <c r="DA259">
        <f t="shared" ca="1" si="169"/>
        <v>319.14019113410023</v>
      </c>
      <c r="DB259">
        <f t="shared" ca="1" si="170"/>
        <v>-164.26871360878775</v>
      </c>
      <c r="DC259">
        <f t="shared" ca="1" si="162"/>
        <v>-111.8076587415985</v>
      </c>
      <c r="DD259">
        <f t="shared" ca="1" si="171"/>
        <v>-52.461054867189247</v>
      </c>
    </row>
    <row r="260" spans="52:108" x14ac:dyDescent="0.25">
      <c r="AZ260" s="4"/>
      <c r="BA260" s="13"/>
      <c r="BB260" s="13"/>
      <c r="BC260" s="13"/>
      <c r="BD260" s="13"/>
      <c r="BE260" s="13"/>
      <c r="CD260" t="str">
        <f>IF(周K!$E$3+CK260-12&gt;工作底稿!$CE$5,"周K!A"&amp;周K!$E$3-$CE$5+1+CK260-8,0)</f>
        <v>周K!A420</v>
      </c>
      <c r="CE260" s="4">
        <f t="shared" ca="1" si="144"/>
        <v>44368</v>
      </c>
      <c r="CF260" s="13">
        <f ca="1">IF($CD260=0,"",VLOOKUP($CE260,周K!$A$6:$F$6842,2,0))</f>
        <v>590</v>
      </c>
      <c r="CG260" s="13">
        <f ca="1">IF($CD260=0,"",VLOOKUP($CE260,周K!$A$6:$F$6842,3,0))</f>
        <v>598</v>
      </c>
      <c r="CH260" s="13">
        <f ca="1">IF($CD260=0,"",VLOOKUP($CE260,周K!$A$6:$F$6842,4,0))</f>
        <v>578</v>
      </c>
      <c r="CI260" s="13">
        <f ca="1">IF($CD260=0,"",VLOOKUP($CE260,周K!$A$6:$F$6842,5,0))</f>
        <v>591</v>
      </c>
      <c r="CJ260" s="13">
        <f ca="1">IF($CD260=0,"",VLOOKUP($CE260,周K!$A$6:$F$6842,6,0))</f>
        <v>152767</v>
      </c>
      <c r="CK260">
        <f>ROW()</f>
        <v>260</v>
      </c>
      <c r="CM260" t="str">
        <f t="shared" si="145"/>
        <v>CG256:CG260</v>
      </c>
      <c r="CN260">
        <f t="shared" si="146"/>
        <v>248</v>
      </c>
      <c r="CO260">
        <f t="shared" ca="1" si="167"/>
        <v>600.4</v>
      </c>
      <c r="CQ260" t="str">
        <f t="shared" si="148"/>
        <v>CG241:CG260</v>
      </c>
      <c r="CR260">
        <f t="shared" si="149"/>
        <v>233</v>
      </c>
      <c r="CS260">
        <f t="shared" ca="1" si="150"/>
        <v>613.1</v>
      </c>
      <c r="CU260" t="str">
        <f t="shared" si="151"/>
        <v>CG201:CG260</v>
      </c>
      <c r="CV260">
        <f t="shared" si="152"/>
        <v>193</v>
      </c>
      <c r="CW260">
        <f t="shared" ca="1" si="153"/>
        <v>497.15833333333336</v>
      </c>
      <c r="CY260">
        <f t="shared" si="154"/>
        <v>0</v>
      </c>
      <c r="CZ260">
        <f t="shared" ca="1" si="168"/>
        <v>131.04509636757211</v>
      </c>
      <c r="DA260">
        <f t="shared" ca="1" si="169"/>
        <v>295.50017697601874</v>
      </c>
      <c r="DB260">
        <f t="shared" ca="1" si="170"/>
        <v>-164.45508060844662</v>
      </c>
      <c r="DC260">
        <f t="shared" ca="1" si="162"/>
        <v>-129.93028062348162</v>
      </c>
      <c r="DD260">
        <f t="shared" ca="1" si="171"/>
        <v>-34.524799984965</v>
      </c>
    </row>
    <row r="261" spans="52:108" x14ac:dyDescent="0.25">
      <c r="AZ261" s="4"/>
      <c r="BA261" s="13"/>
      <c r="BB261" s="13"/>
      <c r="BC261" s="13"/>
      <c r="BD261" s="13"/>
      <c r="BE261" s="13"/>
      <c r="CD261" t="str">
        <f>IF(周K!$E$3+CK261-12&gt;工作底稿!$CE$5,"周K!A"&amp;周K!$E$3-$CE$5+1+CK261-8,0)</f>
        <v>周K!A421</v>
      </c>
      <c r="CE261" s="4">
        <f t="shared" ca="1" si="144"/>
        <v>44375</v>
      </c>
      <c r="CF261" s="13">
        <f ca="1">IF($CD261=0,"",VLOOKUP($CE261,周K!$A$6:$F$6842,2,0))</f>
        <v>590</v>
      </c>
      <c r="CG261" s="13">
        <f ca="1">IF($CD261=0,"",VLOOKUP($CE261,周K!$A$6:$F$6842,3,0))</f>
        <v>599</v>
      </c>
      <c r="CH261" s="13">
        <f ca="1">IF($CD261=0,"",VLOOKUP($CE261,周K!$A$6:$F$6842,4,0))</f>
        <v>586</v>
      </c>
      <c r="CI261" s="13">
        <f ca="1">IF($CD261=0,"",VLOOKUP($CE261,周K!$A$6:$F$6842,5,0))</f>
        <v>588</v>
      </c>
      <c r="CJ261" s="13">
        <f ca="1">IF($CD261=0,"",VLOOKUP($CE261,周K!$A$6:$F$6842,6,0))</f>
        <v>118614</v>
      </c>
      <c r="CK261">
        <f>ROW()</f>
        <v>261</v>
      </c>
      <c r="CM261" t="str">
        <f t="shared" si="145"/>
        <v>CG257:CG261</v>
      </c>
      <c r="CN261">
        <f t="shared" si="146"/>
        <v>249</v>
      </c>
      <c r="CO261">
        <f t="shared" ca="1" si="167"/>
        <v>601.79999999999995</v>
      </c>
      <c r="CQ261" t="str">
        <f t="shared" si="148"/>
        <v>CG242:CG261</v>
      </c>
      <c r="CR261">
        <f t="shared" si="149"/>
        <v>234</v>
      </c>
      <c r="CS261">
        <f t="shared" ca="1" si="150"/>
        <v>610.95000000000005</v>
      </c>
      <c r="CU261" t="str">
        <f t="shared" si="151"/>
        <v>CG202:CG261</v>
      </c>
      <c r="CV261">
        <f t="shared" si="152"/>
        <v>194</v>
      </c>
      <c r="CW261">
        <f t="shared" ca="1" si="153"/>
        <v>502.05833333333334</v>
      </c>
      <c r="CY261">
        <f t="shared" si="154"/>
        <v>0</v>
      </c>
      <c r="CZ261">
        <f t="shared" ca="1" si="168"/>
        <v>110.88431231102255</v>
      </c>
      <c r="DA261">
        <f t="shared" ca="1" si="169"/>
        <v>273.61127497779512</v>
      </c>
      <c r="DB261">
        <f t="shared" ca="1" si="170"/>
        <v>-162.72696266677258</v>
      </c>
      <c r="DC261">
        <f t="shared" ca="1" si="162"/>
        <v>-142.64822904235322</v>
      </c>
      <c r="DD261">
        <f t="shared" ca="1" si="171"/>
        <v>-20.078733624419357</v>
      </c>
    </row>
    <row r="262" spans="52:108" x14ac:dyDescent="0.25">
      <c r="AZ262" s="4"/>
      <c r="BA262" s="13"/>
      <c r="BB262" s="13"/>
      <c r="BC262" s="13"/>
      <c r="BD262" s="13"/>
      <c r="BE262" s="13"/>
      <c r="CD262" t="str">
        <f>IF(周K!$E$3+CK262-12&gt;工作底稿!$CE$5,"周K!A"&amp;周K!$E$3-$CE$5+1+CK262-8,0)</f>
        <v>周K!A422</v>
      </c>
      <c r="CE262" s="4">
        <f t="shared" ca="1" si="144"/>
        <v>44382</v>
      </c>
      <c r="CF262" s="13">
        <f ca="1">IF($CD262=0,"",VLOOKUP($CE262,周K!$A$6:$F$6842,2,0))</f>
        <v>588</v>
      </c>
      <c r="CG262" s="13">
        <f ca="1">IF($CD262=0,"",VLOOKUP($CE262,周K!$A$6:$F$6842,3,0))</f>
        <v>597</v>
      </c>
      <c r="CH262" s="13">
        <f ca="1">IF($CD262=0,"",VLOOKUP($CE262,周K!$A$6:$F$6842,4,0))</f>
        <v>580</v>
      </c>
      <c r="CI262" s="13">
        <f ca="1">IF($CD262=0,"",VLOOKUP($CE262,周K!$A$6:$F$6842,5,0))</f>
        <v>584</v>
      </c>
      <c r="CJ262" s="13">
        <f ca="1">IF($CD262=0,"",VLOOKUP($CE262,周K!$A$6:$F$6842,6,0))</f>
        <v>113633</v>
      </c>
      <c r="CK262">
        <f>ROW()</f>
        <v>262</v>
      </c>
      <c r="CM262" t="str">
        <f t="shared" si="145"/>
        <v>CG258:CG262</v>
      </c>
      <c r="CN262">
        <f t="shared" si="146"/>
        <v>250</v>
      </c>
      <c r="CO262">
        <f t="shared" ca="1" si="167"/>
        <v>601.20000000000005</v>
      </c>
      <c r="CQ262" t="str">
        <f t="shared" si="148"/>
        <v>CG243:CG262</v>
      </c>
      <c r="CR262">
        <f t="shared" si="149"/>
        <v>235</v>
      </c>
      <c r="CS262">
        <f t="shared" ca="1" si="150"/>
        <v>607.4</v>
      </c>
      <c r="CU262" t="str">
        <f t="shared" si="151"/>
        <v>CG203:CG262</v>
      </c>
      <c r="CV262">
        <f t="shared" si="152"/>
        <v>195</v>
      </c>
      <c r="CW262">
        <f t="shared" ca="1" si="153"/>
        <v>507.00833333333333</v>
      </c>
      <c r="CY262">
        <f t="shared" si="154"/>
        <v>0</v>
      </c>
      <c r="CZ262">
        <f t="shared" ca="1" si="168"/>
        <v>93.825187340096008</v>
      </c>
      <c r="DA262">
        <f t="shared" ca="1" si="169"/>
        <v>253.34377312758807</v>
      </c>
      <c r="DB262">
        <f t="shared" ca="1" si="170"/>
        <v>-159.51858578749204</v>
      </c>
      <c r="DC262">
        <f t="shared" ca="1" si="162"/>
        <v>-150.98681280024573</v>
      </c>
      <c r="DD262">
        <f t="shared" ca="1" si="171"/>
        <v>-8.5317729872463133</v>
      </c>
    </row>
    <row r="263" spans="52:108" x14ac:dyDescent="0.25">
      <c r="AZ263" s="4"/>
      <c r="BA263" s="13"/>
      <c r="BB263" s="13"/>
      <c r="BC263" s="13"/>
      <c r="BD263" s="13"/>
      <c r="BE263" s="13"/>
      <c r="CD263" t="str">
        <f>IF(周K!$E$3+CK263-12&gt;工作底稿!$CE$5,"周K!A"&amp;周K!$E$3-$CE$5+1+CK263-8,0)</f>
        <v>周K!A423</v>
      </c>
      <c r="CE263" s="4">
        <f t="shared" ca="1" si="144"/>
        <v>44389</v>
      </c>
      <c r="CF263" s="13">
        <f ca="1">IF($CD263=0,"",VLOOKUP($CE263,周K!$A$6:$F$6842,2,0))</f>
        <v>595</v>
      </c>
      <c r="CG263" s="13">
        <f ca="1">IF($CD263=0,"",VLOOKUP($CE263,周K!$A$6:$F$6842,3,0))</f>
        <v>615</v>
      </c>
      <c r="CH263" s="13">
        <f ca="1">IF($CD263=0,"",VLOOKUP($CE263,周K!$A$6:$F$6842,4,0))</f>
        <v>588</v>
      </c>
      <c r="CI263" s="13">
        <f ca="1">IF($CD263=0,"",VLOOKUP($CE263,周K!$A$6:$F$6842,5,0))</f>
        <v>589</v>
      </c>
      <c r="CJ263" s="13">
        <f ca="1">IF($CD263=0,"",VLOOKUP($CE263,周K!$A$6:$F$6842,6,0))</f>
        <v>212516</v>
      </c>
      <c r="CK263">
        <f>ROW()</f>
        <v>263</v>
      </c>
      <c r="CM263" t="str">
        <f t="shared" si="145"/>
        <v>CG259:CG263</v>
      </c>
      <c r="CN263">
        <f t="shared" si="146"/>
        <v>251</v>
      </c>
      <c r="CO263">
        <f t="shared" ca="1" si="167"/>
        <v>603.6</v>
      </c>
      <c r="CQ263" t="str">
        <f t="shared" si="148"/>
        <v>CG244:CG263</v>
      </c>
      <c r="CR263">
        <f t="shared" si="149"/>
        <v>236</v>
      </c>
      <c r="CS263">
        <f t="shared" ca="1" si="150"/>
        <v>605.04999999999995</v>
      </c>
      <c r="CU263" t="str">
        <f t="shared" si="151"/>
        <v>CG204:CG263</v>
      </c>
      <c r="CV263">
        <f t="shared" si="152"/>
        <v>196</v>
      </c>
      <c r="CW263">
        <f t="shared" ca="1" si="153"/>
        <v>512.23333333333335</v>
      </c>
      <c r="CY263">
        <f t="shared" si="154"/>
        <v>0</v>
      </c>
      <c r="CZ263">
        <f t="shared" ca="1" si="168"/>
        <v>79.390543133927395</v>
      </c>
      <c r="DA263">
        <f t="shared" ca="1" si="169"/>
        <v>234.57756771072968</v>
      </c>
      <c r="DB263">
        <f t="shared" ca="1" si="170"/>
        <v>-155.18702457680229</v>
      </c>
      <c r="DC263">
        <f t="shared" ca="1" si="162"/>
        <v>-155.79924380372</v>
      </c>
      <c r="DD263">
        <f t="shared" ca="1" si="171"/>
        <v>0.61221922691771624</v>
      </c>
    </row>
    <row r="264" spans="52:108" x14ac:dyDescent="0.25">
      <c r="AZ264" s="4"/>
      <c r="BA264" s="13"/>
      <c r="BB264" s="13"/>
      <c r="BC264" s="13"/>
      <c r="BD264" s="13"/>
      <c r="BE264" s="13"/>
      <c r="CD264" t="str">
        <f>IF(周K!$E$3+CK264-12&gt;工作底稿!$CE$5,"周K!A"&amp;周K!$E$3-$CE$5+1+CK264-8,0)</f>
        <v>周K!A424</v>
      </c>
      <c r="CE264" s="4">
        <f t="shared" ca="1" si="144"/>
        <v>44396</v>
      </c>
      <c r="CF264" s="13">
        <f ca="1">IF($CD264=0,"",VLOOKUP($CE264,周K!$A$6:$F$6842,2,0))</f>
        <v>583</v>
      </c>
      <c r="CG264" s="13">
        <f ca="1">IF($CD264=0,"",VLOOKUP($CE264,周K!$A$6:$F$6842,3,0))</f>
        <v>594</v>
      </c>
      <c r="CH264" s="13">
        <f ca="1">IF($CD264=0,"",VLOOKUP($CE264,周K!$A$6:$F$6842,4,0))</f>
        <v>578</v>
      </c>
      <c r="CI264" s="13">
        <f ca="1">IF($CD264=0,"",VLOOKUP($CE264,周K!$A$6:$F$6842,5,0))</f>
        <v>585</v>
      </c>
      <c r="CJ264" s="13">
        <f ca="1">IF($CD264=0,"",VLOOKUP($CE264,周K!$A$6:$F$6842,6,0))</f>
        <v>128859</v>
      </c>
      <c r="CK264">
        <f>ROW()</f>
        <v>264</v>
      </c>
      <c r="CM264" t="str">
        <f t="shared" si="145"/>
        <v>CG260:CG264</v>
      </c>
      <c r="CN264">
        <f t="shared" si="146"/>
        <v>252</v>
      </c>
      <c r="CO264">
        <f t="shared" ca="1" si="167"/>
        <v>600.6</v>
      </c>
      <c r="CQ264" t="str">
        <f t="shared" si="148"/>
        <v>CG245:CG264</v>
      </c>
      <c r="CR264">
        <f t="shared" si="149"/>
        <v>237</v>
      </c>
      <c r="CS264">
        <f t="shared" ca="1" si="150"/>
        <v>603.65</v>
      </c>
      <c r="CU264" t="str">
        <f t="shared" si="151"/>
        <v>CG205:CG264</v>
      </c>
      <c r="CV264">
        <f t="shared" si="152"/>
        <v>197</v>
      </c>
      <c r="CW264">
        <f t="shared" ca="1" si="153"/>
        <v>517.16666666666663</v>
      </c>
      <c r="CY264">
        <f t="shared" si="154"/>
        <v>0</v>
      </c>
      <c r="CZ264">
        <f t="shared" ca="1" si="168"/>
        <v>67.176613421015489</v>
      </c>
      <c r="DA264">
        <f t="shared" ca="1" si="169"/>
        <v>217.20145158400896</v>
      </c>
      <c r="DB264">
        <f t="shared" ca="1" si="170"/>
        <v>-150.02483816299349</v>
      </c>
      <c r="DC264">
        <f t="shared" ca="1" si="162"/>
        <v>-157.79417699671299</v>
      </c>
      <c r="DD264">
        <f t="shared" ca="1" si="171"/>
        <v>7.7693388337195017</v>
      </c>
    </row>
    <row r="265" spans="52:108" x14ac:dyDescent="0.25">
      <c r="AZ265" s="4"/>
      <c r="BA265" s="13"/>
      <c r="BB265" s="13"/>
      <c r="BC265" s="13"/>
      <c r="BD265" s="13"/>
      <c r="BE265" s="13"/>
      <c r="CD265" t="str">
        <f>IF(周K!$E$3+CK265-12&gt;工作底稿!$CE$5,"周K!A"&amp;周K!$E$3-$CE$5+1+CK265-8,0)</f>
        <v>周K!A425</v>
      </c>
      <c r="CE265" s="4">
        <f t="shared" ref="CE265" ca="1" si="172">IF($CD265=0,"",INDIRECT(CD265))</f>
        <v>44403</v>
      </c>
      <c r="CF265" s="13">
        <f ca="1">IF($CD265=0,"",VLOOKUP($CE265,周K!$A$6:$F$6842,2,0))</f>
        <v>591</v>
      </c>
      <c r="CG265" s="13">
        <f ca="1">IF($CD265=0,"",VLOOKUP($CE265,周K!$A$6:$F$6842,3,0))</f>
        <v>591</v>
      </c>
      <c r="CH265" s="13">
        <f ca="1">IF($CD265=0,"",VLOOKUP($CE265,周K!$A$6:$F$6842,4,0))</f>
        <v>580</v>
      </c>
      <c r="CI265" s="13">
        <f ca="1">IF($CD265=0,"",VLOOKUP($CE265,周K!$A$6:$F$6842,5,0))</f>
        <v>580</v>
      </c>
      <c r="CJ265" s="13">
        <f ca="1">IF($CD265=0,"",VLOOKUP($CE265,周K!$A$6:$F$6842,6,0))</f>
        <v>22443</v>
      </c>
      <c r="CK265">
        <f>ROW()</f>
        <v>265</v>
      </c>
      <c r="CM265" t="str">
        <f t="shared" ref="CM265" si="173">"CG"&amp;$CK265-CO$5+1&amp;":"&amp;"CG"&amp;$CK265</f>
        <v>CG261:CG265</v>
      </c>
      <c r="CN265">
        <f t="shared" ref="CN265" si="174">$CK265-CO$5-7</f>
        <v>253</v>
      </c>
      <c r="CO265">
        <f t="shared" ca="1" si="167"/>
        <v>599.20000000000005</v>
      </c>
      <c r="CQ265" t="str">
        <f t="shared" ref="CQ265" si="175">"CG"&amp;$CK265-CS$5+1&amp;":"&amp;"CG"&amp;$CK265</f>
        <v>CG246:CG265</v>
      </c>
      <c r="CR265">
        <f t="shared" ref="CR265" si="176">$CK265-CS$5-7</f>
        <v>238</v>
      </c>
      <c r="CS265">
        <f t="shared" ref="CS265" ca="1" si="177">IF(CR265&gt;=0,AVERAGE(INDIRECT(CQ265)),NA())</f>
        <v>602.29999999999995</v>
      </c>
      <c r="CU265" t="str">
        <f t="shared" ref="CU265" si="178">"CG"&amp;$CK265-CW$5+1&amp;":"&amp;"CG"&amp;$CK265</f>
        <v>CG206:CG265</v>
      </c>
      <c r="CV265">
        <f t="shared" ref="CV265" si="179">$CK265-CW$5-7</f>
        <v>198</v>
      </c>
      <c r="CW265">
        <f t="shared" ref="CW265" ca="1" si="180">IF(CV265&gt;=0,AVERAGE(INDIRECT(CU265)),NA())</f>
        <v>522.04166666666663</v>
      </c>
      <c r="CY265">
        <f t="shared" ref="CY265" si="181">(BB265+BC265+2*BD265)/4</f>
        <v>0</v>
      </c>
      <c r="CZ265">
        <f t="shared" ca="1" si="168"/>
        <v>56.841749817782336</v>
      </c>
      <c r="DA265">
        <f t="shared" ca="1" si="169"/>
        <v>201.11245517037867</v>
      </c>
      <c r="DB265">
        <f t="shared" ca="1" si="170"/>
        <v>-144.27070535259634</v>
      </c>
      <c r="DC265">
        <f t="shared" ca="1" si="162"/>
        <v>-157.55893460379625</v>
      </c>
      <c r="DD265">
        <f t="shared" ca="1" si="171"/>
        <v>13.288229251199908</v>
      </c>
    </row>
    <row r="266" spans="52:108" x14ac:dyDescent="0.25">
      <c r="AZ266" s="4"/>
      <c r="BA266" s="13"/>
      <c r="BB266" s="13"/>
      <c r="BC266" s="13"/>
      <c r="BD266" s="13"/>
      <c r="BE266" s="13"/>
      <c r="CE266" s="4"/>
      <c r="CF266" s="13"/>
      <c r="CG266" s="13"/>
      <c r="CH266" s="13"/>
      <c r="CI266" s="13"/>
      <c r="CJ266" s="13"/>
    </row>
    <row r="267" spans="52:108" x14ac:dyDescent="0.25">
      <c r="CE267" s="4"/>
      <c r="CF267" s="13"/>
      <c r="CG267" s="13"/>
      <c r="CH267" s="13"/>
      <c r="CI267" s="13"/>
      <c r="CJ267" s="13"/>
    </row>
    <row r="268" spans="52:108" x14ac:dyDescent="0.25">
      <c r="CE268" s="4"/>
      <c r="CF268" s="13"/>
      <c r="CG268" s="13"/>
      <c r="CH268" s="13"/>
      <c r="CI268" s="13"/>
      <c r="CJ268" s="13"/>
    </row>
    <row r="269" spans="52:108" x14ac:dyDescent="0.25">
      <c r="CE269" s="4"/>
      <c r="CF269" s="13"/>
      <c r="CG269" s="13"/>
      <c r="CH269" s="13"/>
      <c r="CI269" s="13"/>
      <c r="CJ269" s="13"/>
    </row>
    <row r="270" spans="52:108" x14ac:dyDescent="0.25">
      <c r="CE270" s="4"/>
      <c r="CF270" s="13"/>
      <c r="CG270" s="13"/>
      <c r="CH270" s="13"/>
      <c r="CI270" s="13"/>
      <c r="CJ270" s="13"/>
    </row>
    <row r="271" spans="52:108" x14ac:dyDescent="0.25">
      <c r="CE271" s="4"/>
      <c r="CF271" s="13"/>
      <c r="CG271" s="13"/>
      <c r="CH271" s="13"/>
      <c r="CI271" s="13"/>
      <c r="CJ271" s="13"/>
    </row>
    <row r="272" spans="52:108" x14ac:dyDescent="0.25">
      <c r="CE272" s="4"/>
      <c r="CF272" s="13"/>
      <c r="CG272" s="13"/>
      <c r="CH272" s="13"/>
      <c r="CI272" s="13"/>
      <c r="CJ272" s="13"/>
    </row>
    <row r="273" spans="83:88" x14ac:dyDescent="0.25">
      <c r="CE273" s="4"/>
      <c r="CF273" s="13"/>
      <c r="CG273" s="13"/>
      <c r="CH273" s="13"/>
      <c r="CI273" s="13"/>
      <c r="CJ273" s="13"/>
    </row>
    <row r="274" spans="83:88" x14ac:dyDescent="0.25">
      <c r="CE274" s="4"/>
      <c r="CF274" s="13"/>
      <c r="CG274" s="13"/>
      <c r="CH274" s="13"/>
      <c r="CI274" s="13"/>
      <c r="CJ274" s="13"/>
    </row>
    <row r="275" spans="83:88" x14ac:dyDescent="0.25">
      <c r="CE275" s="4"/>
      <c r="CF275" s="13"/>
      <c r="CG275" s="13"/>
      <c r="CH275" s="13"/>
      <c r="CI275" s="13"/>
      <c r="CJ275" s="13"/>
    </row>
    <row r="276" spans="83:88" x14ac:dyDescent="0.25">
      <c r="CE276" s="4"/>
      <c r="CF276" s="13"/>
      <c r="CG276" s="13"/>
      <c r="CH276" s="13"/>
      <c r="CI276" s="13"/>
      <c r="CJ276" s="13"/>
    </row>
    <row r="277" spans="83:88" x14ac:dyDescent="0.25">
      <c r="CE277" s="4"/>
      <c r="CF277" s="13"/>
      <c r="CG277" s="13"/>
      <c r="CH277" s="13"/>
      <c r="CI277" s="13"/>
      <c r="CJ277" s="13"/>
    </row>
    <row r="278" spans="83:88" x14ac:dyDescent="0.25">
      <c r="CE278" s="4"/>
      <c r="CF278" s="13"/>
      <c r="CG278" s="13"/>
      <c r="CH278" s="13"/>
      <c r="CI278" s="13"/>
      <c r="CJ278" s="13"/>
    </row>
    <row r="279" spans="83:88" x14ac:dyDescent="0.25">
      <c r="CE279" s="4"/>
      <c r="CF279" s="13"/>
      <c r="CG279" s="13"/>
      <c r="CH279" s="13"/>
      <c r="CI279" s="13"/>
      <c r="CJ279" s="13"/>
    </row>
    <row r="280" spans="83:88" x14ac:dyDescent="0.25">
      <c r="CE280" s="4"/>
      <c r="CF280" s="13"/>
      <c r="CG280" s="13"/>
      <c r="CH280" s="13"/>
      <c r="CI280" s="13"/>
      <c r="CJ280" s="13"/>
    </row>
    <row r="281" spans="83:88" x14ac:dyDescent="0.25">
      <c r="CE281" s="4"/>
      <c r="CF281" s="13"/>
      <c r="CG281" s="13"/>
      <c r="CH281" s="13"/>
      <c r="CI281" s="13"/>
      <c r="CJ281" s="13"/>
    </row>
    <row r="282" spans="83:88" x14ac:dyDescent="0.25">
      <c r="CE282" s="4"/>
      <c r="CF282" s="13"/>
      <c r="CG282" s="13"/>
      <c r="CH282" s="13"/>
      <c r="CI282" s="13"/>
      <c r="CJ282" s="13"/>
    </row>
    <row r="283" spans="83:88" x14ac:dyDescent="0.25">
      <c r="CE283" s="4"/>
      <c r="CF283" s="13"/>
      <c r="CG283" s="13"/>
      <c r="CH283" s="13"/>
      <c r="CI283" s="13"/>
      <c r="CJ283" s="13"/>
    </row>
    <row r="284" spans="83:88" x14ac:dyDescent="0.25">
      <c r="CE284" s="4"/>
      <c r="CF284" s="13"/>
      <c r="CG284" s="13"/>
      <c r="CH284" s="13"/>
      <c r="CI284" s="13"/>
      <c r="CJ284" s="13"/>
    </row>
    <row r="285" spans="83:88" x14ac:dyDescent="0.25">
      <c r="CE285" s="4"/>
      <c r="CF285" s="13"/>
      <c r="CG285" s="13"/>
      <c r="CH285" s="13"/>
      <c r="CI285" s="13"/>
      <c r="CJ285" s="13"/>
    </row>
    <row r="286" spans="83:88" x14ac:dyDescent="0.25">
      <c r="CE286" s="4"/>
      <c r="CF286" s="13"/>
      <c r="CG286" s="13"/>
      <c r="CH286" s="13"/>
      <c r="CI286" s="13"/>
      <c r="CJ286" s="13"/>
    </row>
    <row r="287" spans="83:88" x14ac:dyDescent="0.25">
      <c r="CE287" s="4"/>
      <c r="CF287" s="13"/>
      <c r="CG287" s="13"/>
      <c r="CH287" s="13"/>
      <c r="CI287" s="13"/>
      <c r="CJ287" s="13"/>
    </row>
    <row r="288" spans="83:88" x14ac:dyDescent="0.25">
      <c r="CE288" s="4"/>
      <c r="CF288" s="13"/>
      <c r="CG288" s="13"/>
      <c r="CH288" s="13"/>
      <c r="CI288" s="13"/>
      <c r="CJ288" s="13"/>
    </row>
    <row r="289" spans="83:88" x14ac:dyDescent="0.25">
      <c r="CE289" s="4"/>
      <c r="CF289" s="13"/>
      <c r="CG289" s="13"/>
      <c r="CH289" s="13"/>
      <c r="CI289" s="13"/>
      <c r="CJ289" s="13"/>
    </row>
    <row r="290" spans="83:88" x14ac:dyDescent="0.25">
      <c r="CE290" s="4"/>
      <c r="CF290" s="13"/>
      <c r="CG290" s="13"/>
      <c r="CH290" s="13"/>
      <c r="CI290" s="13"/>
      <c r="CJ290" s="13"/>
    </row>
    <row r="291" spans="83:88" x14ac:dyDescent="0.25">
      <c r="CE291" s="4"/>
      <c r="CF291" s="13"/>
      <c r="CG291" s="13"/>
      <c r="CH291" s="13"/>
      <c r="CI291" s="13"/>
      <c r="CJ291" s="13"/>
    </row>
    <row r="292" spans="83:88" x14ac:dyDescent="0.25">
      <c r="CE292" s="4"/>
      <c r="CF292" s="13"/>
      <c r="CG292" s="13"/>
      <c r="CH292" s="13"/>
      <c r="CI292" s="13"/>
      <c r="CJ292" s="13"/>
    </row>
    <row r="293" spans="83:88" x14ac:dyDescent="0.25">
      <c r="CE293" s="4"/>
      <c r="CF293" s="13"/>
      <c r="CG293" s="13"/>
      <c r="CH293" s="13"/>
      <c r="CI293" s="13"/>
      <c r="CJ293" s="13"/>
    </row>
    <row r="294" spans="83:88" x14ac:dyDescent="0.25">
      <c r="CE294" s="4"/>
      <c r="CF294" s="13"/>
      <c r="CG294" s="13"/>
      <c r="CH294" s="13"/>
      <c r="CI294" s="13"/>
      <c r="CJ294" s="13"/>
    </row>
    <row r="295" spans="83:88" x14ac:dyDescent="0.25">
      <c r="CE295" s="4"/>
      <c r="CF295" s="13"/>
      <c r="CG295" s="13"/>
      <c r="CH295" s="13"/>
      <c r="CI295" s="13"/>
      <c r="CJ295" s="13"/>
    </row>
    <row r="296" spans="83:88" x14ac:dyDescent="0.25">
      <c r="CE296" s="4"/>
      <c r="CF296" s="13"/>
      <c r="CG296" s="13"/>
      <c r="CH296" s="13"/>
      <c r="CI296" s="13"/>
      <c r="CJ296" s="13"/>
    </row>
    <row r="297" spans="83:88" x14ac:dyDescent="0.25">
      <c r="CE297" s="4"/>
      <c r="CF297" s="13"/>
      <c r="CG297" s="13"/>
      <c r="CH297" s="13"/>
      <c r="CI297" s="13"/>
      <c r="CJ297" s="13"/>
    </row>
    <row r="298" spans="83:88" x14ac:dyDescent="0.25">
      <c r="CE298" s="4"/>
      <c r="CF298" s="13"/>
      <c r="CG298" s="13"/>
      <c r="CH298" s="13"/>
      <c r="CI298" s="13"/>
      <c r="CJ298" s="13"/>
    </row>
    <row r="299" spans="83:88" x14ac:dyDescent="0.25">
      <c r="CE299" s="4"/>
      <c r="CF299" s="13"/>
      <c r="CG299" s="13"/>
      <c r="CH299" s="13"/>
      <c r="CI299" s="13"/>
      <c r="CJ299" s="13"/>
    </row>
    <row r="300" spans="83:88" x14ac:dyDescent="0.25">
      <c r="CE300" s="4"/>
      <c r="CF300" s="13"/>
      <c r="CG300" s="13"/>
      <c r="CH300" s="13"/>
      <c r="CI300" s="13"/>
      <c r="CJ300" s="13"/>
    </row>
    <row r="301" spans="83:88" x14ac:dyDescent="0.25">
      <c r="CE301" s="4"/>
      <c r="CF301" s="13"/>
      <c r="CG301" s="13"/>
      <c r="CH301" s="13"/>
      <c r="CI301" s="13"/>
      <c r="CJ301" s="13"/>
    </row>
    <row r="302" spans="83:88" x14ac:dyDescent="0.25">
      <c r="CE302" s="4"/>
      <c r="CF302" s="13"/>
      <c r="CG302" s="13"/>
      <c r="CH302" s="13"/>
      <c r="CI302" s="13"/>
      <c r="CJ302" s="13"/>
    </row>
    <row r="303" spans="83:88" x14ac:dyDescent="0.25">
      <c r="CE303" s="4"/>
      <c r="CF303" s="13"/>
      <c r="CG303" s="13"/>
      <c r="CH303" s="13"/>
      <c r="CI303" s="13"/>
      <c r="CJ303" s="13"/>
    </row>
    <row r="304" spans="83:88" x14ac:dyDescent="0.25">
      <c r="CE304" s="4"/>
      <c r="CF304" s="13"/>
      <c r="CG304" s="13"/>
      <c r="CH304" s="13"/>
      <c r="CI304" s="13"/>
      <c r="CJ304" s="13"/>
    </row>
    <row r="305" spans="83:88" x14ac:dyDescent="0.25">
      <c r="CE305" s="4"/>
      <c r="CF305" s="13"/>
      <c r="CG305" s="13"/>
      <c r="CH305" s="13"/>
      <c r="CI305" s="13"/>
      <c r="CJ305" s="13"/>
    </row>
    <row r="306" spans="83:88" x14ac:dyDescent="0.25">
      <c r="CE306" s="4"/>
      <c r="CF306" s="13"/>
      <c r="CG306" s="13"/>
      <c r="CH306" s="13"/>
      <c r="CI306" s="13"/>
      <c r="CJ306" s="13"/>
    </row>
    <row r="307" spans="83:88" x14ac:dyDescent="0.25">
      <c r="CE307" s="4"/>
      <c r="CF307" s="13"/>
      <c r="CG307" s="13"/>
      <c r="CH307" s="13"/>
      <c r="CI307" s="13"/>
      <c r="CJ307" s="13"/>
    </row>
    <row r="308" spans="83:88" x14ac:dyDescent="0.25">
      <c r="CE308" s="4"/>
      <c r="CF308" s="13"/>
      <c r="CG308" s="13"/>
      <c r="CH308" s="13"/>
      <c r="CI308" s="13"/>
      <c r="CJ308" s="13"/>
    </row>
    <row r="309" spans="83:88" x14ac:dyDescent="0.25">
      <c r="CE309" s="4"/>
      <c r="CF309" s="13"/>
      <c r="CG309" s="13"/>
      <c r="CH309" s="13"/>
      <c r="CI309" s="13"/>
      <c r="CJ309" s="13"/>
    </row>
    <row r="310" spans="83:88" x14ac:dyDescent="0.25">
      <c r="CE310" s="4"/>
      <c r="CF310" s="13"/>
      <c r="CG310" s="13"/>
      <c r="CH310" s="13"/>
      <c r="CI310" s="13"/>
      <c r="CJ310" s="13"/>
    </row>
    <row r="311" spans="83:88" x14ac:dyDescent="0.25">
      <c r="CE311" s="4"/>
      <c r="CF311" s="13"/>
      <c r="CG311" s="13"/>
      <c r="CH311" s="13"/>
      <c r="CI311" s="13"/>
      <c r="CJ311" s="13"/>
    </row>
    <row r="312" spans="83:88" x14ac:dyDescent="0.25">
      <c r="CE312" s="4"/>
      <c r="CF312" s="13"/>
      <c r="CG312" s="13"/>
      <c r="CH312" s="13"/>
      <c r="CI312" s="13"/>
      <c r="CJ312" s="13"/>
    </row>
    <row r="313" spans="83:88" x14ac:dyDescent="0.25">
      <c r="CE313" s="4"/>
      <c r="CF313" s="13"/>
      <c r="CG313" s="13"/>
      <c r="CH313" s="13"/>
      <c r="CI313" s="13"/>
      <c r="CJ313" s="13"/>
    </row>
    <row r="314" spans="83:88" x14ac:dyDescent="0.25">
      <c r="CE314" s="4"/>
      <c r="CF314" s="13"/>
      <c r="CG314" s="13"/>
      <c r="CH314" s="13"/>
      <c r="CI314" s="13"/>
      <c r="CJ314" s="13"/>
    </row>
    <row r="315" spans="83:88" x14ac:dyDescent="0.25">
      <c r="CE315" s="4"/>
      <c r="CF315" s="13"/>
      <c r="CG315" s="13"/>
      <c r="CH315" s="13"/>
      <c r="CI315" s="13"/>
      <c r="CJ315" s="13"/>
    </row>
    <row r="316" spans="83:88" x14ac:dyDescent="0.25">
      <c r="CE316" s="4"/>
      <c r="CF316" s="13"/>
      <c r="CG316" s="13"/>
      <c r="CH316" s="13"/>
      <c r="CI316" s="13"/>
      <c r="CJ316" s="13"/>
    </row>
    <row r="317" spans="83:88" x14ac:dyDescent="0.25">
      <c r="CE317" s="4"/>
      <c r="CF317" s="13"/>
      <c r="CG317" s="13"/>
      <c r="CH317" s="13"/>
      <c r="CI317" s="13"/>
      <c r="CJ317" s="13"/>
    </row>
    <row r="318" spans="83:88" x14ac:dyDescent="0.25">
      <c r="CE318" s="4"/>
      <c r="CF318" s="13"/>
      <c r="CG318" s="13"/>
      <c r="CH318" s="13"/>
      <c r="CI318" s="13"/>
      <c r="CJ318" s="13"/>
    </row>
    <row r="319" spans="83:88" x14ac:dyDescent="0.25">
      <c r="CE319" s="4"/>
      <c r="CF319" s="13"/>
      <c r="CG319" s="13"/>
      <c r="CH319" s="13"/>
      <c r="CI319" s="13"/>
      <c r="CJ319" s="13"/>
    </row>
    <row r="320" spans="83:88" x14ac:dyDescent="0.25">
      <c r="CE320" s="4"/>
      <c r="CF320" s="13"/>
      <c r="CG320" s="13"/>
      <c r="CH320" s="13"/>
      <c r="CI320" s="13"/>
      <c r="CJ320" s="13"/>
    </row>
    <row r="321" spans="83:88" x14ac:dyDescent="0.25">
      <c r="CE321" s="4"/>
      <c r="CF321" s="13"/>
      <c r="CG321" s="13"/>
      <c r="CH321" s="13"/>
      <c r="CI321" s="13"/>
      <c r="CJ321" s="13"/>
    </row>
    <row r="322" spans="83:88" x14ac:dyDescent="0.25">
      <c r="CE322" s="4"/>
      <c r="CF322" s="13"/>
      <c r="CG322" s="13"/>
      <c r="CH322" s="13"/>
      <c r="CI322" s="13"/>
      <c r="CJ322" s="13"/>
    </row>
    <row r="323" spans="83:88" x14ac:dyDescent="0.25">
      <c r="CE323" s="4"/>
      <c r="CF323" s="13"/>
      <c r="CG323" s="13"/>
      <c r="CH323" s="13"/>
      <c r="CI323" s="13"/>
      <c r="CJ323" s="13"/>
    </row>
    <row r="324" spans="83:88" x14ac:dyDescent="0.25">
      <c r="CE324" s="4"/>
      <c r="CF324" s="13"/>
      <c r="CG324" s="13"/>
      <c r="CH324" s="13"/>
      <c r="CI324" s="13"/>
      <c r="CJ324" s="13"/>
    </row>
    <row r="325" spans="83:88" x14ac:dyDescent="0.25">
      <c r="CE325" s="4"/>
      <c r="CF325" s="13"/>
      <c r="CG325" s="13"/>
      <c r="CH325" s="13"/>
      <c r="CI325" s="13"/>
      <c r="CJ325" s="13"/>
    </row>
    <row r="326" spans="83:88" x14ac:dyDescent="0.25">
      <c r="CE326" s="4"/>
      <c r="CF326" s="13"/>
      <c r="CG326" s="13"/>
      <c r="CH326" s="13"/>
      <c r="CI326" s="13"/>
      <c r="CJ326" s="13"/>
    </row>
    <row r="327" spans="83:88" x14ac:dyDescent="0.25">
      <c r="CE327" s="4"/>
      <c r="CF327" s="13"/>
      <c r="CG327" s="13"/>
      <c r="CH327" s="13"/>
      <c r="CI327" s="13"/>
      <c r="CJ327" s="13"/>
    </row>
    <row r="328" spans="83:88" x14ac:dyDescent="0.25">
      <c r="CE328" s="4"/>
      <c r="CF328" s="13"/>
      <c r="CG328" s="13"/>
      <c r="CH328" s="13"/>
      <c r="CI328" s="13"/>
      <c r="CJ328" s="13"/>
    </row>
    <row r="329" spans="83:88" x14ac:dyDescent="0.25">
      <c r="CE329" s="4"/>
      <c r="CF329" s="13"/>
      <c r="CG329" s="13"/>
      <c r="CH329" s="13"/>
      <c r="CI329" s="13"/>
      <c r="CJ329" s="13"/>
    </row>
    <row r="330" spans="83:88" x14ac:dyDescent="0.25">
      <c r="CE330" s="4"/>
      <c r="CF330" s="13"/>
      <c r="CG330" s="13"/>
      <c r="CH330" s="13"/>
      <c r="CI330" s="13"/>
      <c r="CJ330" s="13"/>
    </row>
    <row r="331" spans="83:88" x14ac:dyDescent="0.25">
      <c r="CE331" s="4"/>
      <c r="CF331" s="13"/>
      <c r="CG331" s="13"/>
      <c r="CH331" s="13"/>
      <c r="CI331" s="13"/>
      <c r="CJ331" s="13"/>
    </row>
    <row r="332" spans="83:88" x14ac:dyDescent="0.25">
      <c r="CE332" s="4"/>
      <c r="CF332" s="13"/>
      <c r="CG332" s="13"/>
      <c r="CH332" s="13"/>
      <c r="CI332" s="13"/>
      <c r="CJ332" s="13"/>
    </row>
    <row r="333" spans="83:88" x14ac:dyDescent="0.25">
      <c r="CE333" s="4"/>
      <c r="CF333" s="13"/>
      <c r="CG333" s="13"/>
      <c r="CH333" s="13"/>
      <c r="CI333" s="13"/>
      <c r="CJ333" s="13"/>
    </row>
    <row r="334" spans="83:88" x14ac:dyDescent="0.25">
      <c r="CE334" s="4"/>
      <c r="CF334" s="13"/>
      <c r="CG334" s="13"/>
      <c r="CH334" s="13"/>
      <c r="CI334" s="13"/>
      <c r="CJ334" s="13"/>
    </row>
    <row r="335" spans="83:88" x14ac:dyDescent="0.25">
      <c r="CE335" s="4"/>
      <c r="CF335" s="13"/>
      <c r="CG335" s="13"/>
      <c r="CH335" s="13"/>
      <c r="CI335" s="13"/>
      <c r="CJ335" s="13"/>
    </row>
    <row r="336" spans="83:88" x14ac:dyDescent="0.25">
      <c r="CE336" s="4"/>
      <c r="CF336" s="13"/>
      <c r="CG336" s="13"/>
      <c r="CH336" s="13"/>
      <c r="CI336" s="13"/>
      <c r="CJ336" s="13"/>
    </row>
    <row r="337" spans="83:88" x14ac:dyDescent="0.25">
      <c r="CE337" s="4"/>
      <c r="CF337" s="13"/>
      <c r="CG337" s="13"/>
      <c r="CH337" s="13"/>
      <c r="CI337" s="13"/>
      <c r="CJ337" s="13"/>
    </row>
    <row r="338" spans="83:88" x14ac:dyDescent="0.25">
      <c r="CE338" s="4"/>
      <c r="CF338" s="13"/>
      <c r="CG338" s="13"/>
      <c r="CH338" s="13"/>
      <c r="CI338" s="13"/>
      <c r="CJ338" s="13"/>
    </row>
    <row r="339" spans="83:88" x14ac:dyDescent="0.25">
      <c r="CE339" s="4"/>
      <c r="CF339" s="13"/>
      <c r="CG339" s="13"/>
      <c r="CH339" s="13"/>
      <c r="CI339" s="13"/>
      <c r="CJ339" s="13"/>
    </row>
    <row r="340" spans="83:88" x14ac:dyDescent="0.25">
      <c r="CE340" s="4"/>
      <c r="CF340" s="13"/>
      <c r="CG340" s="13"/>
      <c r="CH340" s="13"/>
      <c r="CI340" s="13"/>
      <c r="CJ340" s="13"/>
    </row>
    <row r="341" spans="83:88" x14ac:dyDescent="0.25">
      <c r="CE341" s="4"/>
      <c r="CF341" s="13"/>
      <c r="CG341" s="13"/>
      <c r="CH341" s="13"/>
      <c r="CI341" s="13"/>
      <c r="CJ341" s="13"/>
    </row>
    <row r="342" spans="83:88" x14ac:dyDescent="0.25">
      <c r="CE342" s="4"/>
      <c r="CF342" s="13"/>
      <c r="CG342" s="13"/>
      <c r="CH342" s="13"/>
      <c r="CI342" s="13"/>
      <c r="CJ342" s="13"/>
    </row>
    <row r="343" spans="83:88" x14ac:dyDescent="0.25">
      <c r="CE343" s="4"/>
      <c r="CF343" s="13"/>
      <c r="CG343" s="13"/>
      <c r="CH343" s="13"/>
      <c r="CI343" s="13"/>
      <c r="CJ343" s="13"/>
    </row>
    <row r="344" spans="83:88" x14ac:dyDescent="0.25">
      <c r="CE344" s="4"/>
      <c r="CF344" s="13"/>
      <c r="CG344" s="13"/>
      <c r="CH344" s="13"/>
      <c r="CI344" s="13"/>
      <c r="CJ344" s="13"/>
    </row>
    <row r="345" spans="83:88" x14ac:dyDescent="0.25">
      <c r="CE345" s="4"/>
      <c r="CF345" s="13"/>
      <c r="CG345" s="13"/>
      <c r="CH345" s="13"/>
      <c r="CI345" s="13"/>
      <c r="CJ345" s="13"/>
    </row>
    <row r="346" spans="83:88" x14ac:dyDescent="0.25">
      <c r="CE346" s="4"/>
      <c r="CF346" s="13"/>
      <c r="CG346" s="13"/>
      <c r="CH346" s="13"/>
      <c r="CI346" s="13"/>
      <c r="CJ346" s="13"/>
    </row>
    <row r="347" spans="83:88" x14ac:dyDescent="0.25">
      <c r="CE347" s="4"/>
      <c r="CF347" s="13"/>
      <c r="CG347" s="13"/>
      <c r="CH347" s="13"/>
      <c r="CI347" s="13"/>
      <c r="CJ347" s="13"/>
    </row>
    <row r="348" spans="83:88" x14ac:dyDescent="0.25">
      <c r="CE348" s="4"/>
      <c r="CF348" s="13"/>
      <c r="CG348" s="13"/>
      <c r="CH348" s="13"/>
      <c r="CI348" s="13"/>
      <c r="CJ348" s="13"/>
    </row>
    <row r="349" spans="83:88" x14ac:dyDescent="0.25">
      <c r="CE349" s="4"/>
      <c r="CF349" s="13"/>
      <c r="CG349" s="13"/>
      <c r="CH349" s="13"/>
      <c r="CI349" s="13"/>
      <c r="CJ349" s="13"/>
    </row>
  </sheetData>
  <mergeCells count="16">
    <mergeCell ref="A6:I6"/>
    <mergeCell ref="L6:T6"/>
    <mergeCell ref="W6:AA6"/>
    <mergeCell ref="AD6:AN6"/>
    <mergeCell ref="AQ6:AV6"/>
    <mergeCell ref="CM6:CO6"/>
    <mergeCell ref="CQ6:CS6"/>
    <mergeCell ref="CU6:CW6"/>
    <mergeCell ref="CY6:DD6"/>
    <mergeCell ref="AY6:BF6"/>
    <mergeCell ref="CD6:CK6"/>
    <mergeCell ref="BH6:BJ6"/>
    <mergeCell ref="BL6:BN6"/>
    <mergeCell ref="BP6:BR6"/>
    <mergeCell ref="BT6:BW6"/>
    <mergeCell ref="BY6:CA6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9DF6-1487-4A26-8434-96502222B33A}">
  <sheetPr codeName="工作表2"/>
  <dimension ref="A2:I96"/>
  <sheetViews>
    <sheetView workbookViewId="0">
      <selection activeCell="C4" sqref="C4"/>
    </sheetView>
  </sheetViews>
  <sheetFormatPr defaultRowHeight="16.5" x14ac:dyDescent="0.25"/>
  <cols>
    <col min="1" max="1" width="44.625" bestFit="1" customWidth="1"/>
    <col min="2" max="2" width="23.625" bestFit="1" customWidth="1"/>
    <col min="3" max="3" width="21.5" bestFit="1" customWidth="1"/>
    <col min="4" max="4" width="44.5" bestFit="1" customWidth="1"/>
  </cols>
  <sheetData>
    <row r="2" spans="1:9" x14ac:dyDescent="0.25">
      <c r="A2" t="s">
        <v>0</v>
      </c>
      <c r="B2" t="s">
        <v>8</v>
      </c>
      <c r="C2" t="s">
        <v>9</v>
      </c>
      <c r="D2" t="s">
        <v>10</v>
      </c>
    </row>
    <row r="3" spans="1:9" x14ac:dyDescent="0.25">
      <c r="A3">
        <f>總表!A2</f>
        <v>2330</v>
      </c>
      <c r="B3" t="str">
        <f>券商名單!B2</f>
        <v>http://newjust.masterlink.com.tw/</v>
      </c>
      <c r="C3" t="str">
        <f>"z/zc/zcr/zcr_"&amp;總表!A2&amp;".djhtm"</f>
        <v>z/zc/zcr/zcr_2330.djhtm</v>
      </c>
      <c r="D3" t="str">
        <f>B3&amp;C3</f>
        <v>http://newjust.masterlink.com.tw/z/zc/zcr/zcr_2330.djhtm</v>
      </c>
    </row>
    <row r="6" spans="1:9" x14ac:dyDescent="0.25">
      <c r="A6" t="s">
        <v>3887</v>
      </c>
    </row>
    <row r="7" spans="1:9" ht="33" x14ac:dyDescent="0.25">
      <c r="A7" s="2" t="s">
        <v>20</v>
      </c>
    </row>
    <row r="8" spans="1:9" x14ac:dyDescent="0.25">
      <c r="A8" t="s">
        <v>21</v>
      </c>
      <c r="B8" t="s">
        <v>11</v>
      </c>
      <c r="C8" t="s">
        <v>12</v>
      </c>
      <c r="D8" t="s">
        <v>13</v>
      </c>
      <c r="E8" t="s">
        <v>14</v>
      </c>
      <c r="F8" t="s">
        <v>15</v>
      </c>
      <c r="G8" t="s">
        <v>16</v>
      </c>
      <c r="H8" t="s">
        <v>17</v>
      </c>
      <c r="I8" t="s">
        <v>18</v>
      </c>
    </row>
    <row r="9" spans="1:9" x14ac:dyDescent="0.25">
      <c r="A9" t="s">
        <v>22</v>
      </c>
      <c r="B9" t="s">
        <v>23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</row>
    <row r="10" spans="1:9" x14ac:dyDescent="0.25">
      <c r="A10" t="s">
        <v>24</v>
      </c>
      <c r="B10">
        <v>9.16</v>
      </c>
      <c r="C10">
        <v>9.26</v>
      </c>
      <c r="D10">
        <v>9.6300000000000008</v>
      </c>
      <c r="E10">
        <v>8.69</v>
      </c>
      <c r="F10">
        <v>8.73</v>
      </c>
      <c r="G10">
        <v>9.0399999999999991</v>
      </c>
      <c r="H10">
        <v>8.26</v>
      </c>
      <c r="I10">
        <v>7.08</v>
      </c>
    </row>
    <row r="11" spans="1:9" x14ac:dyDescent="0.25">
      <c r="A11" t="s">
        <v>25</v>
      </c>
      <c r="B11">
        <v>4.9400000000000004</v>
      </c>
      <c r="C11">
        <v>5.32</v>
      </c>
      <c r="D11">
        <v>5.42</v>
      </c>
      <c r="E11">
        <v>5.0599999999999996</v>
      </c>
      <c r="F11">
        <v>5.0999999999999996</v>
      </c>
      <c r="G11">
        <v>5.3</v>
      </c>
      <c r="H11">
        <v>4.6500000000000004</v>
      </c>
      <c r="I11">
        <v>3.05</v>
      </c>
    </row>
    <row r="12" spans="1:9" x14ac:dyDescent="0.25">
      <c r="A12" t="s">
        <v>26</v>
      </c>
      <c r="B12">
        <v>7.9</v>
      </c>
      <c r="C12">
        <v>8.0500000000000007</v>
      </c>
      <c r="D12">
        <v>8.16</v>
      </c>
      <c r="E12">
        <v>7.45</v>
      </c>
      <c r="F12">
        <v>7.48</v>
      </c>
      <c r="G12">
        <v>7.8</v>
      </c>
      <c r="H12">
        <v>7.12</v>
      </c>
      <c r="I12">
        <v>5.74</v>
      </c>
    </row>
    <row r="13" spans="1:9" x14ac:dyDescent="0.25">
      <c r="A13" t="s">
        <v>27</v>
      </c>
      <c r="B13">
        <v>7.37</v>
      </c>
      <c r="C13">
        <v>7.85</v>
      </c>
      <c r="D13">
        <v>7.83</v>
      </c>
      <c r="E13">
        <v>7.12</v>
      </c>
      <c r="F13">
        <v>7.1</v>
      </c>
      <c r="G13">
        <v>7.23</v>
      </c>
      <c r="H13">
        <v>6.44</v>
      </c>
      <c r="I13">
        <v>4.05</v>
      </c>
    </row>
    <row r="14" spans="1:9" x14ac:dyDescent="0.25">
      <c r="A14" t="s">
        <v>28</v>
      </c>
      <c r="B14">
        <v>7.55</v>
      </c>
      <c r="C14">
        <v>7.62</v>
      </c>
      <c r="D14">
        <v>7.49</v>
      </c>
      <c r="E14">
        <v>7.15</v>
      </c>
      <c r="F14">
        <v>7.09</v>
      </c>
      <c r="G14">
        <v>7.3</v>
      </c>
      <c r="H14">
        <v>6.47</v>
      </c>
      <c r="I14">
        <v>4.03</v>
      </c>
    </row>
    <row r="15" spans="1:9" x14ac:dyDescent="0.25">
      <c r="A15" t="s">
        <v>29</v>
      </c>
      <c r="B15">
        <v>52.36</v>
      </c>
      <c r="C15">
        <v>53.99</v>
      </c>
      <c r="D15">
        <v>53.44</v>
      </c>
      <c r="E15">
        <v>53.01</v>
      </c>
      <c r="F15">
        <v>51.77</v>
      </c>
      <c r="G15">
        <v>50.2</v>
      </c>
      <c r="H15">
        <v>47.58</v>
      </c>
      <c r="I15">
        <v>43.02</v>
      </c>
    </row>
    <row r="16" spans="1:9" x14ac:dyDescent="0.25">
      <c r="A16" t="s">
        <v>30</v>
      </c>
      <c r="B16">
        <v>52.38</v>
      </c>
      <c r="C16">
        <v>54</v>
      </c>
      <c r="D16">
        <v>53.45</v>
      </c>
      <c r="E16">
        <v>52.99</v>
      </c>
      <c r="F16">
        <v>51.76</v>
      </c>
      <c r="G16">
        <v>50.18</v>
      </c>
      <c r="H16">
        <v>47.57</v>
      </c>
      <c r="I16">
        <v>43.04</v>
      </c>
    </row>
    <row r="17" spans="1:9" x14ac:dyDescent="0.25">
      <c r="A17" t="s">
        <v>31</v>
      </c>
      <c r="B17">
        <v>41.54</v>
      </c>
      <c r="C17">
        <v>43.46</v>
      </c>
      <c r="D17">
        <v>42.1</v>
      </c>
      <c r="E17">
        <v>42.19</v>
      </c>
      <c r="F17">
        <v>41.38</v>
      </c>
      <c r="G17">
        <v>39.159999999999997</v>
      </c>
      <c r="H17">
        <v>36.82</v>
      </c>
      <c r="I17">
        <v>31.66</v>
      </c>
    </row>
    <row r="18" spans="1:9" x14ac:dyDescent="0.25">
      <c r="A18" t="s">
        <v>32</v>
      </c>
      <c r="B18">
        <v>42.79</v>
      </c>
      <c r="C18">
        <v>44.56</v>
      </c>
      <c r="D18">
        <v>43.52</v>
      </c>
      <c r="E18">
        <v>43.9</v>
      </c>
      <c r="F18">
        <v>42.55</v>
      </c>
      <c r="G18">
        <v>40.590000000000003</v>
      </c>
      <c r="H18">
        <v>38.33</v>
      </c>
      <c r="I18">
        <v>33.42</v>
      </c>
    </row>
    <row r="19" spans="1:9" x14ac:dyDescent="0.25">
      <c r="A19" t="s">
        <v>33</v>
      </c>
      <c r="B19">
        <v>38.56</v>
      </c>
      <c r="C19">
        <v>39.51</v>
      </c>
      <c r="D19">
        <v>38.54</v>
      </c>
      <c r="E19">
        <v>38.909999999999997</v>
      </c>
      <c r="F19">
        <v>37.69</v>
      </c>
      <c r="G19">
        <v>36.590000000000003</v>
      </c>
      <c r="H19">
        <v>34.5</v>
      </c>
      <c r="I19">
        <v>27.71</v>
      </c>
    </row>
    <row r="20" spans="1:9" x14ac:dyDescent="0.25">
      <c r="A20" t="s">
        <v>34</v>
      </c>
      <c r="B20">
        <v>1.25</v>
      </c>
      <c r="C20">
        <v>1.1000000000000001</v>
      </c>
      <c r="D20">
        <v>1.42</v>
      </c>
      <c r="E20">
        <v>1.71</v>
      </c>
      <c r="F20">
        <v>1.17</v>
      </c>
      <c r="G20">
        <v>1.43</v>
      </c>
      <c r="H20">
        <v>1.52</v>
      </c>
      <c r="I20">
        <v>1.76</v>
      </c>
    </row>
    <row r="21" spans="1:9" x14ac:dyDescent="0.25">
      <c r="A21" t="s">
        <v>35</v>
      </c>
      <c r="B21">
        <v>39.479999999999997</v>
      </c>
      <c r="C21">
        <v>38.33</v>
      </c>
      <c r="D21">
        <v>36.86</v>
      </c>
      <c r="E21">
        <v>39.130000000000003</v>
      </c>
      <c r="F21">
        <v>37.659999999999997</v>
      </c>
      <c r="G21">
        <v>36.909999999999997</v>
      </c>
      <c r="H21">
        <v>34.71</v>
      </c>
      <c r="I21">
        <v>27.56</v>
      </c>
    </row>
    <row r="22" spans="1:9" ht="33" x14ac:dyDescent="0.25">
      <c r="A22" s="2" t="s">
        <v>36</v>
      </c>
    </row>
    <row r="23" spans="1:9" x14ac:dyDescent="0.25">
      <c r="A23" t="s">
        <v>21</v>
      </c>
      <c r="B23" t="s">
        <v>11</v>
      </c>
      <c r="C23" t="s">
        <v>12</v>
      </c>
      <c r="D23" t="s">
        <v>13</v>
      </c>
      <c r="E23" t="s">
        <v>14</v>
      </c>
      <c r="F23" t="s">
        <v>15</v>
      </c>
      <c r="G23" t="s">
        <v>16</v>
      </c>
      <c r="H23" t="s">
        <v>17</v>
      </c>
      <c r="I23" t="s">
        <v>18</v>
      </c>
    </row>
    <row r="24" spans="1:9" x14ac:dyDescent="0.25">
      <c r="A24" t="s">
        <v>22</v>
      </c>
      <c r="B24" t="s">
        <v>23</v>
      </c>
      <c r="C24" t="s">
        <v>23</v>
      </c>
      <c r="D24" t="s">
        <v>23</v>
      </c>
      <c r="E24" t="s">
        <v>23</v>
      </c>
      <c r="F24" t="s">
        <v>23</v>
      </c>
      <c r="G24" t="s">
        <v>23</v>
      </c>
      <c r="H24" t="s">
        <v>23</v>
      </c>
      <c r="I24" t="s">
        <v>23</v>
      </c>
    </row>
    <row r="25" spans="1:9" x14ac:dyDescent="0.25">
      <c r="A25" t="s">
        <v>37</v>
      </c>
      <c r="B25">
        <v>74.77</v>
      </c>
      <c r="C25">
        <v>71.33</v>
      </c>
      <c r="D25">
        <v>68.930000000000007</v>
      </c>
      <c r="E25">
        <v>66.349999999999994</v>
      </c>
      <c r="F25">
        <v>64.64</v>
      </c>
      <c r="G25">
        <v>62.53</v>
      </c>
      <c r="H25">
        <v>61.2</v>
      </c>
      <c r="I25">
        <v>59.92</v>
      </c>
    </row>
    <row r="26" spans="1:9" x14ac:dyDescent="0.25">
      <c r="A26" t="s">
        <v>38</v>
      </c>
      <c r="B26">
        <v>20.61</v>
      </c>
      <c r="C26">
        <v>19.600000000000001</v>
      </c>
      <c r="D26">
        <v>18.77</v>
      </c>
      <c r="E26">
        <v>17.63</v>
      </c>
      <c r="F26">
        <v>15.5</v>
      </c>
      <c r="G26">
        <v>13.38</v>
      </c>
      <c r="H26">
        <v>12.75</v>
      </c>
      <c r="I26">
        <v>12.3</v>
      </c>
    </row>
    <row r="27" spans="1:9" x14ac:dyDescent="0.25">
      <c r="A27" t="s">
        <v>39</v>
      </c>
      <c r="B27">
        <v>8.7899999999999991</v>
      </c>
      <c r="C27">
        <v>9.99</v>
      </c>
      <c r="D27">
        <v>7.33</v>
      </c>
      <c r="E27">
        <v>6.57</v>
      </c>
      <c r="F27">
        <v>7.83</v>
      </c>
      <c r="G27">
        <v>7.83</v>
      </c>
      <c r="H27">
        <v>5.47</v>
      </c>
      <c r="I27">
        <v>4.54</v>
      </c>
    </row>
    <row r="28" spans="1:9" x14ac:dyDescent="0.25">
      <c r="A28" t="s">
        <v>40</v>
      </c>
      <c r="B28">
        <v>13.98</v>
      </c>
      <c r="C28">
        <v>13.94</v>
      </c>
      <c r="D28">
        <v>13.75</v>
      </c>
      <c r="E28">
        <v>11.98</v>
      </c>
      <c r="F28">
        <v>11.98</v>
      </c>
      <c r="G28">
        <v>12.23</v>
      </c>
      <c r="H28">
        <v>11.3</v>
      </c>
      <c r="I28">
        <v>9.2899999999999991</v>
      </c>
    </row>
    <row r="29" spans="1:9" x14ac:dyDescent="0.25">
      <c r="A29" t="s">
        <v>41</v>
      </c>
      <c r="B29">
        <v>5.81</v>
      </c>
      <c r="C29">
        <v>6.06</v>
      </c>
      <c r="D29">
        <v>5.79</v>
      </c>
      <c r="E29">
        <v>5.0599999999999996</v>
      </c>
      <c r="F29">
        <v>4.96</v>
      </c>
      <c r="G29">
        <v>4.79</v>
      </c>
      <c r="H29">
        <v>4.16</v>
      </c>
      <c r="I29">
        <v>2.94</v>
      </c>
    </row>
    <row r="30" spans="1:9" x14ac:dyDescent="0.25">
      <c r="A30" t="s">
        <v>42</v>
      </c>
      <c r="B30">
        <v>5.98</v>
      </c>
      <c r="C30">
        <v>6.21</v>
      </c>
      <c r="D30">
        <v>5.98</v>
      </c>
      <c r="E30">
        <v>5.26</v>
      </c>
      <c r="F30">
        <v>5.0999999999999996</v>
      </c>
      <c r="G30">
        <v>4.97</v>
      </c>
      <c r="H30">
        <v>4.33</v>
      </c>
      <c r="I30">
        <v>3.11</v>
      </c>
    </row>
    <row r="31" spans="1:9" x14ac:dyDescent="0.25">
      <c r="A31" t="s">
        <v>43</v>
      </c>
      <c r="B31">
        <v>5.62</v>
      </c>
      <c r="C31">
        <v>4.9000000000000004</v>
      </c>
      <c r="D31">
        <v>5.09</v>
      </c>
      <c r="E31">
        <v>4.2</v>
      </c>
      <c r="F31">
        <v>4.62</v>
      </c>
      <c r="G31">
        <v>3.83</v>
      </c>
      <c r="H31">
        <v>3.77</v>
      </c>
      <c r="I31">
        <v>2.71</v>
      </c>
    </row>
    <row r="32" spans="1:9" x14ac:dyDescent="0.25">
      <c r="A32" t="s">
        <v>44</v>
      </c>
      <c r="B32">
        <v>5.39</v>
      </c>
      <c r="C32">
        <v>5.51</v>
      </c>
      <c r="D32">
        <v>5.3</v>
      </c>
      <c r="E32">
        <v>4.66</v>
      </c>
      <c r="F32">
        <v>4.51</v>
      </c>
      <c r="G32">
        <v>4.47</v>
      </c>
      <c r="H32">
        <v>3.9</v>
      </c>
      <c r="I32">
        <v>2.57</v>
      </c>
    </row>
    <row r="33" spans="1:9" ht="33" x14ac:dyDescent="0.25">
      <c r="A33" s="2" t="s">
        <v>45</v>
      </c>
    </row>
    <row r="34" spans="1:9" x14ac:dyDescent="0.25">
      <c r="A34" t="s">
        <v>21</v>
      </c>
      <c r="B34" t="s">
        <v>11</v>
      </c>
      <c r="C34" t="s">
        <v>12</v>
      </c>
      <c r="D34" t="s">
        <v>13</v>
      </c>
      <c r="E34" t="s">
        <v>14</v>
      </c>
      <c r="F34" t="s">
        <v>15</v>
      </c>
      <c r="G34" t="s">
        <v>16</v>
      </c>
      <c r="H34" t="s">
        <v>17</v>
      </c>
      <c r="I34" t="s">
        <v>18</v>
      </c>
    </row>
    <row r="35" spans="1:9" x14ac:dyDescent="0.25">
      <c r="A35" t="s">
        <v>22</v>
      </c>
      <c r="B35" t="s">
        <v>23</v>
      </c>
      <c r="C35" t="s">
        <v>23</v>
      </c>
      <c r="D35" t="s">
        <v>23</v>
      </c>
      <c r="E35" t="s">
        <v>23</v>
      </c>
      <c r="F35" t="s">
        <v>23</v>
      </c>
      <c r="G35" t="s">
        <v>23</v>
      </c>
      <c r="H35" t="s">
        <v>23</v>
      </c>
      <c r="I35" t="s">
        <v>23</v>
      </c>
    </row>
    <row r="36" spans="1:9" x14ac:dyDescent="0.25">
      <c r="A36" t="s">
        <v>46</v>
      </c>
      <c r="B36">
        <v>16.68</v>
      </c>
      <c r="C36">
        <v>13.96</v>
      </c>
      <c r="D36">
        <v>21.63</v>
      </c>
      <c r="E36">
        <v>28.92</v>
      </c>
      <c r="F36">
        <v>42.02</v>
      </c>
      <c r="G36">
        <v>9.48</v>
      </c>
      <c r="H36">
        <v>12.56</v>
      </c>
      <c r="I36">
        <v>3.31</v>
      </c>
    </row>
    <row r="37" spans="1:9" x14ac:dyDescent="0.25">
      <c r="A37" t="s">
        <v>47</v>
      </c>
      <c r="B37">
        <v>18.03</v>
      </c>
      <c r="C37">
        <v>22.57</v>
      </c>
      <c r="D37">
        <v>36.61</v>
      </c>
      <c r="E37">
        <v>58.86</v>
      </c>
      <c r="F37">
        <v>77.95</v>
      </c>
      <c r="G37">
        <v>15.36</v>
      </c>
      <c r="H37">
        <v>13.01</v>
      </c>
      <c r="I37">
        <v>-7.09</v>
      </c>
    </row>
    <row r="38" spans="1:9" x14ac:dyDescent="0.25">
      <c r="A38" t="s">
        <v>48</v>
      </c>
      <c r="B38">
        <v>18.079999999999998</v>
      </c>
      <c r="C38">
        <v>22.63</v>
      </c>
      <c r="D38">
        <v>36.64</v>
      </c>
      <c r="E38">
        <v>58.7</v>
      </c>
      <c r="F38">
        <v>77.930000000000007</v>
      </c>
      <c r="G38">
        <v>15.26</v>
      </c>
      <c r="H38">
        <v>13.01</v>
      </c>
      <c r="I38">
        <v>-6.99</v>
      </c>
    </row>
    <row r="39" spans="1:9" x14ac:dyDescent="0.25">
      <c r="A39" t="s">
        <v>49</v>
      </c>
      <c r="B39">
        <v>17.13</v>
      </c>
      <c r="C39">
        <v>26.46</v>
      </c>
      <c r="D39">
        <v>39.08</v>
      </c>
      <c r="E39">
        <v>71.81</v>
      </c>
      <c r="F39">
        <v>99.98</v>
      </c>
      <c r="G39">
        <v>15.98</v>
      </c>
      <c r="H39">
        <v>13.27</v>
      </c>
      <c r="I39">
        <v>-9.6199999999999992</v>
      </c>
    </row>
    <row r="40" spans="1:9" x14ac:dyDescent="0.25">
      <c r="A40" t="s">
        <v>50</v>
      </c>
      <c r="B40">
        <v>17.34</v>
      </c>
      <c r="C40">
        <v>25.1</v>
      </c>
      <c r="D40">
        <v>38.090000000000003</v>
      </c>
      <c r="E40">
        <v>69.34</v>
      </c>
      <c r="F40">
        <v>93.82</v>
      </c>
      <c r="G40">
        <v>15.93</v>
      </c>
      <c r="H40">
        <v>13.59</v>
      </c>
      <c r="I40">
        <v>-8.0399999999999991</v>
      </c>
    </row>
    <row r="41" spans="1:9" x14ac:dyDescent="0.25">
      <c r="A41" t="s">
        <v>51</v>
      </c>
      <c r="B41">
        <v>19.37</v>
      </c>
      <c r="C41">
        <v>23.04</v>
      </c>
      <c r="D41">
        <v>35.880000000000003</v>
      </c>
      <c r="E41">
        <v>81.040000000000006</v>
      </c>
      <c r="F41">
        <v>90.7</v>
      </c>
      <c r="G41">
        <v>16.07</v>
      </c>
      <c r="H41">
        <v>13.47</v>
      </c>
      <c r="I41">
        <v>-7.63</v>
      </c>
    </row>
    <row r="42" spans="1:9" x14ac:dyDescent="0.25">
      <c r="A42" t="s">
        <v>52</v>
      </c>
      <c r="B42">
        <v>19.37</v>
      </c>
      <c r="C42">
        <v>23.04</v>
      </c>
      <c r="D42">
        <v>35.880000000000003</v>
      </c>
      <c r="E42">
        <v>81.040000000000006</v>
      </c>
      <c r="F42">
        <v>90.7</v>
      </c>
      <c r="G42">
        <v>16.07</v>
      </c>
      <c r="H42">
        <v>13.47</v>
      </c>
      <c r="I42">
        <v>-7.63</v>
      </c>
    </row>
    <row r="43" spans="1:9" x14ac:dyDescent="0.25">
      <c r="A43" t="s">
        <v>53</v>
      </c>
      <c r="B43">
        <v>22.33</v>
      </c>
      <c r="C43">
        <v>18.329999999999998</v>
      </c>
      <c r="D43">
        <v>29.15</v>
      </c>
      <c r="E43">
        <v>83.05</v>
      </c>
      <c r="F43">
        <v>88.89</v>
      </c>
      <c r="G43">
        <v>16.420000000000002</v>
      </c>
      <c r="H43">
        <v>13</v>
      </c>
      <c r="I43">
        <v>-11.38</v>
      </c>
    </row>
    <row r="44" spans="1:9" x14ac:dyDescent="0.25">
      <c r="A44" t="s">
        <v>54</v>
      </c>
      <c r="B44">
        <v>24.57</v>
      </c>
      <c r="C44">
        <v>21.9</v>
      </c>
      <c r="D44">
        <v>23.49</v>
      </c>
      <c r="E44">
        <v>9.35</v>
      </c>
      <c r="F44">
        <v>7.13</v>
      </c>
      <c r="G44">
        <v>8.36</v>
      </c>
      <c r="H44">
        <v>8.34</v>
      </c>
      <c r="I44">
        <v>9.0500000000000007</v>
      </c>
    </row>
    <row r="45" spans="1:9" x14ac:dyDescent="0.25">
      <c r="A45" t="s">
        <v>55</v>
      </c>
      <c r="B45">
        <v>15.74</v>
      </c>
      <c r="C45">
        <v>14.09</v>
      </c>
      <c r="D45">
        <v>12.65</v>
      </c>
      <c r="E45">
        <v>10.73</v>
      </c>
      <c r="F45">
        <v>-3.81</v>
      </c>
      <c r="G45">
        <v>-3.3</v>
      </c>
      <c r="H45">
        <v>0.74</v>
      </c>
      <c r="I45">
        <v>4.28</v>
      </c>
    </row>
    <row r="46" spans="1:9" x14ac:dyDescent="0.25">
      <c r="A46" t="s">
        <v>56</v>
      </c>
      <c r="B46">
        <v>1.77</v>
      </c>
      <c r="C46">
        <v>1.93</v>
      </c>
      <c r="D46">
        <v>2.38</v>
      </c>
      <c r="E46">
        <v>2.15</v>
      </c>
      <c r="F46">
        <v>2.13</v>
      </c>
      <c r="G46">
        <v>0.43</v>
      </c>
      <c r="H46">
        <v>0.28999999999999998</v>
      </c>
      <c r="I46">
        <v>-0.11</v>
      </c>
    </row>
    <row r="47" spans="1:9" x14ac:dyDescent="0.25">
      <c r="A47" t="s">
        <v>57</v>
      </c>
      <c r="B47">
        <v>0.24</v>
      </c>
      <c r="C47">
        <v>1.43</v>
      </c>
      <c r="D47">
        <v>14.72</v>
      </c>
      <c r="E47">
        <v>0.03</v>
      </c>
      <c r="F47">
        <v>-2.09</v>
      </c>
      <c r="G47">
        <v>8.26</v>
      </c>
      <c r="H47">
        <v>21.6</v>
      </c>
      <c r="I47">
        <v>10.19</v>
      </c>
    </row>
    <row r="48" spans="1:9" x14ac:dyDescent="0.25">
      <c r="A48" t="s">
        <v>58</v>
      </c>
      <c r="B48">
        <v>-4.1900000000000004</v>
      </c>
      <c r="C48">
        <v>4.71</v>
      </c>
      <c r="D48">
        <v>14.46</v>
      </c>
      <c r="E48">
        <v>2</v>
      </c>
      <c r="F48">
        <v>3.44</v>
      </c>
      <c r="G48">
        <v>15.16</v>
      </c>
      <c r="H48">
        <v>41.39</v>
      </c>
      <c r="I48">
        <v>18.73</v>
      </c>
    </row>
    <row r="49" spans="1:9" x14ac:dyDescent="0.25">
      <c r="A49" t="s">
        <v>59</v>
      </c>
      <c r="B49">
        <v>-2.16</v>
      </c>
      <c r="C49">
        <v>3.96</v>
      </c>
      <c r="D49">
        <v>13.64</v>
      </c>
      <c r="E49">
        <v>3.27</v>
      </c>
      <c r="F49">
        <v>0.85</v>
      </c>
      <c r="G49">
        <v>14.81</v>
      </c>
      <c r="H49">
        <v>51.41</v>
      </c>
      <c r="I49">
        <v>8.7799999999999994</v>
      </c>
    </row>
    <row r="50" spans="1:9" x14ac:dyDescent="0.25">
      <c r="A50" t="s">
        <v>60</v>
      </c>
      <c r="B50">
        <v>-3.75</v>
      </c>
      <c r="C50">
        <v>3.86</v>
      </c>
      <c r="D50">
        <v>13.73</v>
      </c>
      <c r="E50">
        <v>3.22</v>
      </c>
      <c r="F50">
        <v>2.61</v>
      </c>
      <c r="G50">
        <v>14.64</v>
      </c>
      <c r="H50">
        <v>39.47</v>
      </c>
      <c r="I50">
        <v>18.13</v>
      </c>
    </row>
    <row r="51" spans="1:9" x14ac:dyDescent="0.25">
      <c r="A51" t="s">
        <v>61</v>
      </c>
      <c r="B51">
        <v>15.32</v>
      </c>
      <c r="C51">
        <v>15.03</v>
      </c>
      <c r="D51">
        <v>25.58</v>
      </c>
      <c r="E51">
        <v>30.68</v>
      </c>
      <c r="F51">
        <v>29.84</v>
      </c>
      <c r="G51">
        <v>26.15</v>
      </c>
      <c r="H51">
        <v>14.25</v>
      </c>
      <c r="I51">
        <v>10.5</v>
      </c>
    </row>
    <row r="52" spans="1:9" ht="33" x14ac:dyDescent="0.25">
      <c r="A52" s="2" t="s">
        <v>62</v>
      </c>
    </row>
    <row r="53" spans="1:9" x14ac:dyDescent="0.25">
      <c r="A53" t="s">
        <v>21</v>
      </c>
      <c r="B53" t="s">
        <v>11</v>
      </c>
      <c r="C53" t="s">
        <v>12</v>
      </c>
      <c r="D53" t="s">
        <v>13</v>
      </c>
      <c r="E53" t="s">
        <v>14</v>
      </c>
      <c r="F53" t="s">
        <v>15</v>
      </c>
      <c r="G53" t="s">
        <v>16</v>
      </c>
      <c r="H53" t="s">
        <v>17</v>
      </c>
      <c r="I53" t="s">
        <v>18</v>
      </c>
    </row>
    <row r="54" spans="1:9" x14ac:dyDescent="0.25">
      <c r="A54" t="s">
        <v>22</v>
      </c>
      <c r="B54" t="s">
        <v>23</v>
      </c>
      <c r="C54" t="s">
        <v>23</v>
      </c>
      <c r="D54" t="s">
        <v>23</v>
      </c>
      <c r="E54" t="s">
        <v>23</v>
      </c>
      <c r="F54" t="s">
        <v>23</v>
      </c>
      <c r="G54" t="s">
        <v>23</v>
      </c>
      <c r="H54" t="s">
        <v>23</v>
      </c>
      <c r="I54" t="s">
        <v>23</v>
      </c>
    </row>
    <row r="55" spans="1:9" x14ac:dyDescent="0.25">
      <c r="A55" t="s">
        <v>63</v>
      </c>
      <c r="B55">
        <v>16.59</v>
      </c>
      <c r="C55">
        <v>15.31</v>
      </c>
      <c r="D55">
        <v>15.22</v>
      </c>
      <c r="E55">
        <v>13.68</v>
      </c>
      <c r="F55">
        <v>13.4</v>
      </c>
      <c r="G55">
        <v>13.73</v>
      </c>
      <c r="H55">
        <v>15.25</v>
      </c>
      <c r="I55">
        <v>14.43</v>
      </c>
    </row>
    <row r="56" spans="1:9" x14ac:dyDescent="0.25">
      <c r="A56" t="s">
        <v>64</v>
      </c>
      <c r="B56">
        <v>0.13</v>
      </c>
      <c r="C56">
        <v>0.13</v>
      </c>
      <c r="D56">
        <v>0.14000000000000001</v>
      </c>
      <c r="E56">
        <v>0.13</v>
      </c>
      <c r="F56">
        <v>0.13</v>
      </c>
      <c r="G56">
        <v>0.14000000000000001</v>
      </c>
      <c r="H56">
        <v>0.13</v>
      </c>
      <c r="I56">
        <v>0.11</v>
      </c>
    </row>
    <row r="57" spans="1:9" x14ac:dyDescent="0.25">
      <c r="A57" t="s">
        <v>65</v>
      </c>
      <c r="B57">
        <v>2.31</v>
      </c>
      <c r="C57">
        <v>2.34</v>
      </c>
      <c r="D57">
        <v>2.2799999999999998</v>
      </c>
      <c r="E57">
        <v>2.1</v>
      </c>
      <c r="F57">
        <v>2.17</v>
      </c>
      <c r="G57">
        <v>2.2200000000000002</v>
      </c>
      <c r="H57">
        <v>2.2400000000000002</v>
      </c>
      <c r="I57">
        <v>2.16</v>
      </c>
    </row>
    <row r="58" spans="1:9" x14ac:dyDescent="0.25">
      <c r="A58" t="s">
        <v>66</v>
      </c>
      <c r="B58">
        <v>39.36</v>
      </c>
      <c r="C58">
        <v>38.840000000000003</v>
      </c>
      <c r="D58">
        <v>39.85</v>
      </c>
      <c r="E58">
        <v>43.35</v>
      </c>
      <c r="F58">
        <v>41.92</v>
      </c>
      <c r="G58">
        <v>40.9</v>
      </c>
      <c r="H58">
        <v>40.61</v>
      </c>
      <c r="I58">
        <v>42.08</v>
      </c>
    </row>
    <row r="59" spans="1:9" x14ac:dyDescent="0.25">
      <c r="A59" t="s">
        <v>67</v>
      </c>
      <c r="B59">
        <v>1.18</v>
      </c>
      <c r="C59">
        <v>1.35</v>
      </c>
      <c r="D59">
        <v>1.7</v>
      </c>
      <c r="E59">
        <v>1.78</v>
      </c>
      <c r="F59">
        <v>1.86</v>
      </c>
      <c r="G59">
        <v>1.76</v>
      </c>
      <c r="H59">
        <v>1.5</v>
      </c>
      <c r="I59">
        <v>1.27</v>
      </c>
    </row>
    <row r="60" spans="1:9" x14ac:dyDescent="0.25">
      <c r="A60" t="s">
        <v>68</v>
      </c>
      <c r="B60">
        <v>76.94</v>
      </c>
      <c r="C60">
        <v>67.52</v>
      </c>
      <c r="D60">
        <v>53.55</v>
      </c>
      <c r="E60">
        <v>51.13</v>
      </c>
      <c r="F60">
        <v>48.98</v>
      </c>
      <c r="G60">
        <v>51.74</v>
      </c>
      <c r="H60">
        <v>60.7</v>
      </c>
      <c r="I60">
        <v>71.87</v>
      </c>
    </row>
    <row r="61" spans="1:9" x14ac:dyDescent="0.25">
      <c r="A61" t="s">
        <v>69</v>
      </c>
      <c r="B61">
        <v>0.23</v>
      </c>
      <c r="C61">
        <v>0.24</v>
      </c>
      <c r="D61">
        <v>0.24</v>
      </c>
      <c r="E61">
        <v>0.21</v>
      </c>
      <c r="F61">
        <v>0.22</v>
      </c>
      <c r="G61">
        <v>0.25</v>
      </c>
      <c r="H61">
        <v>0.25</v>
      </c>
      <c r="I61">
        <v>0.21</v>
      </c>
    </row>
    <row r="62" spans="1:9" x14ac:dyDescent="0.25">
      <c r="A62" t="s">
        <v>70</v>
      </c>
      <c r="B62">
        <v>0.19</v>
      </c>
      <c r="C62">
        <v>0.2</v>
      </c>
      <c r="D62">
        <v>0.2</v>
      </c>
      <c r="E62">
        <v>0.18</v>
      </c>
      <c r="F62">
        <v>0.19</v>
      </c>
      <c r="G62">
        <v>0.2</v>
      </c>
      <c r="H62">
        <v>0.19</v>
      </c>
      <c r="I62">
        <v>0.15</v>
      </c>
    </row>
    <row r="63" spans="1:9" x14ac:dyDescent="0.25">
      <c r="A63" t="s">
        <v>71</v>
      </c>
      <c r="B63">
        <v>21</v>
      </c>
      <c r="C63">
        <v>22.43</v>
      </c>
      <c r="D63">
        <v>22.05</v>
      </c>
      <c r="E63">
        <v>24.71</v>
      </c>
      <c r="F63">
        <v>24.29</v>
      </c>
      <c r="G63">
        <v>22.22</v>
      </c>
      <c r="H63">
        <v>20.59</v>
      </c>
      <c r="I63">
        <v>19.96</v>
      </c>
    </row>
    <row r="64" spans="1:9" x14ac:dyDescent="0.25">
      <c r="A64" t="s">
        <v>72</v>
      </c>
      <c r="B64">
        <v>95.3</v>
      </c>
      <c r="C64">
        <v>83.94</v>
      </c>
      <c r="D64">
        <v>71.349999999999994</v>
      </c>
      <c r="E64">
        <v>69.760000000000005</v>
      </c>
      <c r="F64">
        <v>66.61</v>
      </c>
      <c r="G64">
        <v>70.42</v>
      </c>
      <c r="H64">
        <v>80.709999999999994</v>
      </c>
      <c r="I64">
        <v>93.99</v>
      </c>
    </row>
    <row r="65" spans="1:9" ht="33" x14ac:dyDescent="0.25">
      <c r="A65" s="2" t="s">
        <v>73</v>
      </c>
    </row>
    <row r="66" spans="1:9" x14ac:dyDescent="0.25">
      <c r="A66" t="s">
        <v>21</v>
      </c>
      <c r="B66" t="s">
        <v>11</v>
      </c>
      <c r="C66" t="s">
        <v>12</v>
      </c>
      <c r="D66" t="s">
        <v>13</v>
      </c>
      <c r="E66" t="s">
        <v>14</v>
      </c>
      <c r="F66" t="s">
        <v>15</v>
      </c>
      <c r="G66" t="s">
        <v>16</v>
      </c>
      <c r="H66" t="s">
        <v>17</v>
      </c>
      <c r="I66" t="s">
        <v>18</v>
      </c>
    </row>
    <row r="67" spans="1:9" x14ac:dyDescent="0.25">
      <c r="A67" t="s">
        <v>22</v>
      </c>
      <c r="B67" t="s">
        <v>23</v>
      </c>
      <c r="C67" t="s">
        <v>23</v>
      </c>
      <c r="D67" t="s">
        <v>23</v>
      </c>
      <c r="E67" t="s">
        <v>23</v>
      </c>
      <c r="F67" t="s">
        <v>23</v>
      </c>
      <c r="G67" t="s">
        <v>23</v>
      </c>
      <c r="H67" t="s">
        <v>23</v>
      </c>
      <c r="I67" t="s">
        <v>23</v>
      </c>
    </row>
    <row r="68" spans="1:9" x14ac:dyDescent="0.25">
      <c r="A68" t="s">
        <v>74</v>
      </c>
      <c r="B68" t="s">
        <v>19</v>
      </c>
      <c r="C68" t="s">
        <v>19</v>
      </c>
      <c r="D68" t="s">
        <v>19</v>
      </c>
      <c r="E68" t="s">
        <v>19</v>
      </c>
      <c r="F68" t="s">
        <v>19</v>
      </c>
      <c r="G68" t="s">
        <v>19</v>
      </c>
      <c r="H68" t="s">
        <v>19</v>
      </c>
      <c r="I68" t="s">
        <v>19</v>
      </c>
    </row>
    <row r="69" spans="1:9" x14ac:dyDescent="0.25">
      <c r="A69" t="s">
        <v>75</v>
      </c>
      <c r="B69" t="s">
        <v>19</v>
      </c>
      <c r="C69" t="s">
        <v>19</v>
      </c>
      <c r="D69" t="s">
        <v>19</v>
      </c>
      <c r="E69" t="s">
        <v>19</v>
      </c>
      <c r="F69" t="s">
        <v>19</v>
      </c>
      <c r="G69" t="s">
        <v>19</v>
      </c>
      <c r="H69" t="s">
        <v>19</v>
      </c>
      <c r="I69" t="s">
        <v>19</v>
      </c>
    </row>
    <row r="70" spans="1:9" x14ac:dyDescent="0.25">
      <c r="A70" t="s">
        <v>76</v>
      </c>
      <c r="B70">
        <v>172.26</v>
      </c>
      <c r="C70">
        <v>176.97</v>
      </c>
      <c r="D70">
        <v>175.04</v>
      </c>
      <c r="E70">
        <v>139.88999999999999</v>
      </c>
      <c r="F70">
        <v>136.13</v>
      </c>
      <c r="G70">
        <v>139.25</v>
      </c>
      <c r="H70">
        <v>171.68</v>
      </c>
      <c r="I70">
        <v>162.34</v>
      </c>
    </row>
    <row r="71" spans="1:9" x14ac:dyDescent="0.25">
      <c r="A71" t="s">
        <v>77</v>
      </c>
      <c r="B71">
        <v>145.72999999999999</v>
      </c>
      <c r="C71">
        <v>151.91999999999999</v>
      </c>
      <c r="D71">
        <v>153.86000000000001</v>
      </c>
      <c r="E71">
        <v>123.16</v>
      </c>
      <c r="F71">
        <v>120.11</v>
      </c>
      <c r="G71">
        <v>122.44</v>
      </c>
      <c r="H71">
        <v>147.62</v>
      </c>
      <c r="I71">
        <v>141.79</v>
      </c>
    </row>
    <row r="72" spans="1:9" x14ac:dyDescent="0.25">
      <c r="A72" t="s">
        <v>78</v>
      </c>
      <c r="B72">
        <v>50.39</v>
      </c>
      <c r="C72">
        <v>49.18</v>
      </c>
      <c r="D72">
        <v>47.38</v>
      </c>
      <c r="E72">
        <v>42.26</v>
      </c>
      <c r="F72">
        <v>39.729999999999997</v>
      </c>
      <c r="G72">
        <v>39.619999999999997</v>
      </c>
      <c r="H72">
        <v>34.44</v>
      </c>
      <c r="I72">
        <v>44.06</v>
      </c>
    </row>
    <row r="73" spans="1:9" x14ac:dyDescent="0.25">
      <c r="A73" t="s">
        <v>79</v>
      </c>
      <c r="B73">
        <v>33.51</v>
      </c>
      <c r="C73">
        <v>32.97</v>
      </c>
      <c r="D73">
        <v>32.15</v>
      </c>
      <c r="E73">
        <v>29.71</v>
      </c>
      <c r="F73">
        <v>28.43</v>
      </c>
      <c r="G73">
        <v>28.38</v>
      </c>
      <c r="H73">
        <v>25.62</v>
      </c>
      <c r="I73">
        <v>30.59</v>
      </c>
    </row>
    <row r="74" spans="1:9" x14ac:dyDescent="0.25">
      <c r="A74" t="s">
        <v>80</v>
      </c>
      <c r="B74">
        <v>66.489999999999995</v>
      </c>
      <c r="C74">
        <v>67.03</v>
      </c>
      <c r="D74">
        <v>67.849999999999994</v>
      </c>
      <c r="E74">
        <v>70.290000000000006</v>
      </c>
      <c r="F74">
        <v>71.569999999999993</v>
      </c>
      <c r="G74">
        <v>71.62</v>
      </c>
      <c r="H74">
        <v>74.38</v>
      </c>
      <c r="I74">
        <v>69.41</v>
      </c>
    </row>
    <row r="75" spans="1:9" x14ac:dyDescent="0.25">
      <c r="A75" t="s">
        <v>81</v>
      </c>
      <c r="B75">
        <v>133.88</v>
      </c>
      <c r="C75">
        <v>135.43</v>
      </c>
      <c r="D75">
        <v>134.02000000000001</v>
      </c>
      <c r="E75">
        <v>120.76</v>
      </c>
      <c r="F75">
        <v>119.84</v>
      </c>
      <c r="G75">
        <v>121.8</v>
      </c>
      <c r="H75">
        <v>134.61000000000001</v>
      </c>
      <c r="I75">
        <v>139.1</v>
      </c>
    </row>
    <row r="76" spans="1:9" x14ac:dyDescent="0.25">
      <c r="A76" t="s">
        <v>82</v>
      </c>
      <c r="B76">
        <v>21.46</v>
      </c>
      <c r="C76">
        <v>18.760000000000002</v>
      </c>
      <c r="D76">
        <v>21.59</v>
      </c>
      <c r="E76">
        <v>15.76</v>
      </c>
      <c r="F76">
        <v>12.02</v>
      </c>
      <c r="G76">
        <v>10.81</v>
      </c>
      <c r="H76">
        <v>8.9700000000000006</v>
      </c>
      <c r="I76">
        <v>10.4</v>
      </c>
    </row>
    <row r="77" spans="1:9" x14ac:dyDescent="0.25">
      <c r="A77" t="s">
        <v>83</v>
      </c>
      <c r="B77" t="s">
        <v>19</v>
      </c>
      <c r="C77" t="s">
        <v>19</v>
      </c>
      <c r="D77" t="s">
        <v>19</v>
      </c>
      <c r="E77" t="s">
        <v>19</v>
      </c>
      <c r="F77" t="s">
        <v>19</v>
      </c>
      <c r="G77" t="s">
        <v>19</v>
      </c>
      <c r="H77" t="s">
        <v>19</v>
      </c>
      <c r="I77" t="s">
        <v>19</v>
      </c>
    </row>
    <row r="78" spans="1:9" x14ac:dyDescent="0.25">
      <c r="A78" t="s">
        <v>84</v>
      </c>
      <c r="B78">
        <v>201.84</v>
      </c>
      <c r="C78">
        <v>210.62</v>
      </c>
      <c r="D78">
        <v>416.7</v>
      </c>
      <c r="E78">
        <v>334.37</v>
      </c>
      <c r="F78">
        <v>250.07</v>
      </c>
      <c r="G78">
        <v>201.1</v>
      </c>
      <c r="H78">
        <v>134.19</v>
      </c>
      <c r="I78">
        <v>94.14</v>
      </c>
    </row>
    <row r="79" spans="1:9" ht="33" x14ac:dyDescent="0.25">
      <c r="A79" s="2" t="s">
        <v>85</v>
      </c>
    </row>
    <row r="80" spans="1:9" x14ac:dyDescent="0.25">
      <c r="A80" t="s">
        <v>21</v>
      </c>
      <c r="B80" t="s">
        <v>11</v>
      </c>
      <c r="C80" t="s">
        <v>12</v>
      </c>
      <c r="D80" t="s">
        <v>13</v>
      </c>
      <c r="E80" t="s">
        <v>14</v>
      </c>
      <c r="F80" t="s">
        <v>15</v>
      </c>
      <c r="G80" t="s">
        <v>16</v>
      </c>
      <c r="H80" t="s">
        <v>17</v>
      </c>
      <c r="I80" t="s">
        <v>18</v>
      </c>
    </row>
    <row r="81" spans="1:9" x14ac:dyDescent="0.25">
      <c r="A81" t="s">
        <v>22</v>
      </c>
      <c r="B81" t="s">
        <v>23</v>
      </c>
      <c r="C81" t="s">
        <v>23</v>
      </c>
      <c r="D81" t="s">
        <v>23</v>
      </c>
      <c r="E81" t="s">
        <v>23</v>
      </c>
      <c r="F81" t="s">
        <v>23</v>
      </c>
      <c r="G81" t="s">
        <v>23</v>
      </c>
      <c r="H81" t="s">
        <v>23</v>
      </c>
      <c r="I81" t="s">
        <v>23</v>
      </c>
    </row>
    <row r="82" spans="1:9" x14ac:dyDescent="0.25">
      <c r="A82" t="s">
        <v>86</v>
      </c>
      <c r="B82" s="3">
        <v>56831</v>
      </c>
      <c r="C82" s="3">
        <v>56831</v>
      </c>
      <c r="D82" s="3">
        <v>51297</v>
      </c>
      <c r="E82" s="3">
        <v>51297</v>
      </c>
      <c r="F82" s="3">
        <v>51297</v>
      </c>
      <c r="G82" s="3">
        <v>51297</v>
      </c>
      <c r="H82" s="3">
        <v>48752</v>
      </c>
      <c r="I82" s="3">
        <v>48752</v>
      </c>
    </row>
    <row r="83" spans="1:9" x14ac:dyDescent="0.25">
      <c r="A83" t="s">
        <v>87</v>
      </c>
      <c r="B83">
        <v>10.79</v>
      </c>
      <c r="C83">
        <v>10.6</v>
      </c>
      <c r="D83">
        <v>11.47</v>
      </c>
      <c r="E83">
        <v>10.79</v>
      </c>
      <c r="F83">
        <v>10.41</v>
      </c>
      <c r="G83">
        <v>11.01</v>
      </c>
      <c r="H83">
        <v>10.71</v>
      </c>
      <c r="I83">
        <v>11.27</v>
      </c>
    </row>
    <row r="84" spans="1:9" x14ac:dyDescent="0.25">
      <c r="A84" t="s">
        <v>88</v>
      </c>
      <c r="B84">
        <v>10.51</v>
      </c>
      <c r="C84">
        <v>10.43</v>
      </c>
      <c r="D84">
        <v>10.29</v>
      </c>
      <c r="E84">
        <v>10.92</v>
      </c>
      <c r="F84">
        <v>10.47</v>
      </c>
      <c r="G84">
        <v>10.11</v>
      </c>
      <c r="H84">
        <v>10.11</v>
      </c>
      <c r="I84">
        <v>10.210000000000001</v>
      </c>
    </row>
    <row r="85" spans="1:9" x14ac:dyDescent="0.25">
      <c r="A85" t="s">
        <v>89</v>
      </c>
      <c r="B85">
        <v>8.49</v>
      </c>
      <c r="C85">
        <v>8.2799999999999994</v>
      </c>
      <c r="D85">
        <v>8.33</v>
      </c>
      <c r="E85">
        <v>8.01</v>
      </c>
      <c r="F85">
        <v>8.0399999999999991</v>
      </c>
      <c r="G85">
        <v>8.08</v>
      </c>
      <c r="H85">
        <v>8.18</v>
      </c>
      <c r="I85">
        <v>8.8800000000000008</v>
      </c>
    </row>
    <row r="86" spans="1:9" x14ac:dyDescent="0.25">
      <c r="A86" t="s">
        <v>90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 t="s">
        <v>91</v>
      </c>
      <c r="B87">
        <v>34.43</v>
      </c>
      <c r="C87">
        <v>41.99</v>
      </c>
      <c r="D87">
        <v>32.33</v>
      </c>
      <c r="E87">
        <v>27.71</v>
      </c>
      <c r="F87">
        <v>34.44</v>
      </c>
      <c r="G87">
        <v>34.36</v>
      </c>
      <c r="H87">
        <v>28.65</v>
      </c>
      <c r="I87">
        <v>18.920000000000002</v>
      </c>
    </row>
    <row r="88" spans="1:9" x14ac:dyDescent="0.25">
      <c r="A88" t="s">
        <v>92</v>
      </c>
      <c r="B88">
        <v>0.2</v>
      </c>
      <c r="C88">
        <v>0.24</v>
      </c>
      <c r="D88">
        <v>0.13</v>
      </c>
      <c r="E88">
        <v>0.18</v>
      </c>
      <c r="F88">
        <v>0.27</v>
      </c>
      <c r="G88">
        <v>0.37</v>
      </c>
      <c r="H88">
        <v>0.49</v>
      </c>
      <c r="I88">
        <v>0.48</v>
      </c>
    </row>
    <row r="89" spans="1:9" x14ac:dyDescent="0.25">
      <c r="A89" t="s">
        <v>93</v>
      </c>
      <c r="B89">
        <v>9.8800000000000008</v>
      </c>
      <c r="C89">
        <v>11.35</v>
      </c>
      <c r="D89">
        <v>11.44</v>
      </c>
      <c r="E89">
        <v>11.37</v>
      </c>
      <c r="F89">
        <v>11.41</v>
      </c>
      <c r="G89">
        <v>9.86</v>
      </c>
      <c r="H89">
        <v>10</v>
      </c>
      <c r="I89">
        <v>17.100000000000001</v>
      </c>
    </row>
    <row r="90" spans="1:9" x14ac:dyDescent="0.25">
      <c r="A90" t="s">
        <v>94</v>
      </c>
      <c r="B90">
        <v>9.8800000000000008</v>
      </c>
      <c r="C90">
        <v>11.35</v>
      </c>
      <c r="D90">
        <v>11.44</v>
      </c>
      <c r="E90">
        <v>11.37</v>
      </c>
      <c r="F90">
        <v>11.41</v>
      </c>
      <c r="G90">
        <v>9.86</v>
      </c>
      <c r="H90">
        <v>10</v>
      </c>
      <c r="I90">
        <v>17.100000000000001</v>
      </c>
    </row>
    <row r="91" spans="1:9" ht="33" x14ac:dyDescent="0.25">
      <c r="A91" s="2" t="s">
        <v>95</v>
      </c>
    </row>
    <row r="92" spans="1:9" x14ac:dyDescent="0.25">
      <c r="A92" t="s">
        <v>21</v>
      </c>
      <c r="B92" t="s">
        <v>11</v>
      </c>
      <c r="C92" t="s">
        <v>12</v>
      </c>
      <c r="D92" t="s">
        <v>13</v>
      </c>
      <c r="E92" t="s">
        <v>14</v>
      </c>
      <c r="F92" t="s">
        <v>15</v>
      </c>
      <c r="G92" t="s">
        <v>16</v>
      </c>
      <c r="H92" t="s">
        <v>17</v>
      </c>
      <c r="I92" t="s">
        <v>18</v>
      </c>
    </row>
    <row r="93" spans="1:9" x14ac:dyDescent="0.25">
      <c r="A93" t="s">
        <v>22</v>
      </c>
      <c r="B93" t="s">
        <v>23</v>
      </c>
      <c r="C93" t="s">
        <v>23</v>
      </c>
      <c r="D93" t="s">
        <v>23</v>
      </c>
      <c r="E93" t="s">
        <v>23</v>
      </c>
      <c r="F93" t="s">
        <v>23</v>
      </c>
      <c r="G93" t="s">
        <v>23</v>
      </c>
      <c r="H93" t="s">
        <v>23</v>
      </c>
      <c r="I93" t="s">
        <v>23</v>
      </c>
    </row>
    <row r="94" spans="1:9" x14ac:dyDescent="0.25">
      <c r="A94" t="s">
        <v>96</v>
      </c>
      <c r="B94" s="3">
        <v>6377</v>
      </c>
      <c r="C94" s="3">
        <v>6362</v>
      </c>
      <c r="D94" s="3">
        <v>6948</v>
      </c>
      <c r="E94" s="3">
        <v>6057</v>
      </c>
      <c r="F94" s="3">
        <v>6055</v>
      </c>
      <c r="G94" s="3">
        <v>6184</v>
      </c>
      <c r="H94" s="3">
        <v>6011</v>
      </c>
      <c r="I94" s="3">
        <v>4943</v>
      </c>
    </row>
    <row r="95" spans="1:9" x14ac:dyDescent="0.25">
      <c r="A95" t="s">
        <v>97</v>
      </c>
      <c r="B95" s="3">
        <v>2649</v>
      </c>
      <c r="C95" s="3">
        <v>2765</v>
      </c>
      <c r="D95" s="3">
        <v>2925</v>
      </c>
      <c r="E95" s="3">
        <v>2556</v>
      </c>
      <c r="F95" s="3">
        <v>2505</v>
      </c>
      <c r="G95" s="3">
        <v>2422</v>
      </c>
      <c r="H95" s="3">
        <v>2213</v>
      </c>
      <c r="I95" s="3">
        <v>1565</v>
      </c>
    </row>
    <row r="96" spans="1:9" x14ac:dyDescent="0.25">
      <c r="A96" t="s">
        <v>98</v>
      </c>
      <c r="B96" s="3">
        <v>29184</v>
      </c>
      <c r="C96" s="3">
        <v>27372</v>
      </c>
      <c r="D96" s="3">
        <v>29328</v>
      </c>
      <c r="E96" s="3">
        <v>29116</v>
      </c>
      <c r="F96" s="3">
        <v>28037</v>
      </c>
      <c r="G96" s="3">
        <v>26364</v>
      </c>
      <c r="H96" s="3">
        <v>24572</v>
      </c>
      <c r="I96" s="3">
        <v>23443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8408-6C88-405B-B565-626E048ACFEF}">
  <sheetPr codeName="工作表4"/>
  <dimension ref="A2:I103"/>
  <sheetViews>
    <sheetView workbookViewId="0">
      <selection activeCell="C4" sqref="C4"/>
    </sheetView>
  </sheetViews>
  <sheetFormatPr defaultRowHeight="16.5" x14ac:dyDescent="0.25"/>
  <cols>
    <col min="1" max="1" width="63.25" bestFit="1" customWidth="1"/>
    <col min="2" max="2" width="26.875" bestFit="1" customWidth="1"/>
    <col min="3" max="3" width="21.5" bestFit="1" customWidth="1"/>
    <col min="4" max="4" width="47.875" bestFit="1" customWidth="1"/>
    <col min="5" max="6" width="9.5" bestFit="1" customWidth="1"/>
    <col min="7" max="7" width="21.5" bestFit="1" customWidth="1"/>
    <col min="8" max="8" width="22.625" bestFit="1" customWidth="1"/>
  </cols>
  <sheetData>
    <row r="2" spans="1:9" x14ac:dyDescent="0.25">
      <c r="A2" t="s">
        <v>0</v>
      </c>
      <c r="B2" t="s">
        <v>8</v>
      </c>
      <c r="C2" t="s">
        <v>9</v>
      </c>
      <c r="D2" t="s">
        <v>10</v>
      </c>
    </row>
    <row r="3" spans="1:9" x14ac:dyDescent="0.25">
      <c r="A3">
        <f>總表!A2</f>
        <v>2330</v>
      </c>
      <c r="B3" t="str">
        <f>券商名單!B2</f>
        <v>http://newjust.masterlink.com.tw/</v>
      </c>
      <c r="C3" t="str">
        <f>"z/zc/zc3/zc3_"&amp;總表!A2&amp;".djhtm"</f>
        <v>z/zc/zc3/zc3_2330.djhtm</v>
      </c>
      <c r="D3" t="str">
        <f>B3&amp;C3</f>
        <v>http://newjust.masterlink.com.tw/z/zc/zc3/zc3_2330.djhtm</v>
      </c>
    </row>
    <row r="6" spans="1:9" ht="33" x14ac:dyDescent="0.25">
      <c r="A6" s="2" t="s">
        <v>3888</v>
      </c>
    </row>
    <row r="7" spans="1:9" x14ac:dyDescent="0.25">
      <c r="A7" t="s">
        <v>21</v>
      </c>
      <c r="B7" t="s">
        <v>11</v>
      </c>
      <c r="C7" t="s">
        <v>12</v>
      </c>
      <c r="D7" t="s">
        <v>13</v>
      </c>
      <c r="E7" t="s">
        <v>14</v>
      </c>
      <c r="F7" t="s">
        <v>15</v>
      </c>
      <c r="G7" t="s">
        <v>16</v>
      </c>
      <c r="H7" t="s">
        <v>17</v>
      </c>
      <c r="I7" t="s">
        <v>18</v>
      </c>
    </row>
    <row r="8" spans="1:9" x14ac:dyDescent="0.25">
      <c r="A8" t="s">
        <v>22</v>
      </c>
      <c r="B8" t="s">
        <v>23</v>
      </c>
      <c r="C8" t="s">
        <v>23</v>
      </c>
      <c r="D8" t="s">
        <v>23</v>
      </c>
      <c r="E8" t="s">
        <v>23</v>
      </c>
      <c r="F8" t="s">
        <v>23</v>
      </c>
      <c r="G8" t="s">
        <v>23</v>
      </c>
      <c r="H8" t="s">
        <v>23</v>
      </c>
      <c r="I8" t="s">
        <v>23</v>
      </c>
    </row>
    <row r="9" spans="1:9" x14ac:dyDescent="0.25">
      <c r="A9" t="s">
        <v>99</v>
      </c>
      <c r="B9" s="3">
        <v>155064</v>
      </c>
      <c r="C9" s="3">
        <v>161107</v>
      </c>
      <c r="D9" s="3">
        <v>155124</v>
      </c>
      <c r="E9" s="3">
        <v>136399</v>
      </c>
      <c r="F9" s="3">
        <v>132147</v>
      </c>
      <c r="G9" s="3">
        <v>128782</v>
      </c>
      <c r="H9" s="3">
        <v>112336</v>
      </c>
      <c r="I9" s="3">
        <v>80545</v>
      </c>
    </row>
    <row r="10" spans="1:9" x14ac:dyDescent="0.25">
      <c r="A10" t="s">
        <v>100</v>
      </c>
      <c r="B10" s="3">
        <v>98973</v>
      </c>
      <c r="C10" s="3">
        <v>95648</v>
      </c>
      <c r="D10" s="3">
        <v>92825</v>
      </c>
      <c r="E10" s="3">
        <v>68982</v>
      </c>
      <c r="F10" s="3">
        <v>67084</v>
      </c>
      <c r="G10" s="3">
        <v>66137</v>
      </c>
      <c r="H10" s="3">
        <v>65377</v>
      </c>
      <c r="I10" s="3">
        <v>73705</v>
      </c>
    </row>
    <row r="11" spans="1:9" x14ac:dyDescent="0.25">
      <c r="A11" t="s">
        <v>101</v>
      </c>
      <c r="B11" s="3">
        <v>1927</v>
      </c>
      <c r="C11" s="3">
        <v>1914</v>
      </c>
      <c r="D11" s="3">
        <v>1908</v>
      </c>
      <c r="E11" s="3">
        <v>1894</v>
      </c>
      <c r="F11" s="3">
        <v>1471</v>
      </c>
      <c r="G11" s="3">
        <v>1394</v>
      </c>
      <c r="H11" s="3">
        <v>1379</v>
      </c>
      <c r="I11" s="3">
        <v>1344</v>
      </c>
    </row>
    <row r="12" spans="1:9" x14ac:dyDescent="0.25">
      <c r="A12" t="s">
        <v>102</v>
      </c>
      <c r="B12">
        <v>0</v>
      </c>
      <c r="C12">
        <v>-1</v>
      </c>
      <c r="D12">
        <v>4</v>
      </c>
      <c r="E12">
        <v>-1</v>
      </c>
      <c r="F12">
        <v>2</v>
      </c>
      <c r="G12">
        <v>-1</v>
      </c>
      <c r="H12">
        <v>4</v>
      </c>
      <c r="I12">
        <v>4</v>
      </c>
    </row>
    <row r="13" spans="1:9" x14ac:dyDescent="0.25">
      <c r="A13" t="s">
        <v>103</v>
      </c>
      <c r="B13">
        <v>0</v>
      </c>
      <c r="C13">
        <v>-1</v>
      </c>
      <c r="D13">
        <v>-6</v>
      </c>
      <c r="E13">
        <v>1</v>
      </c>
      <c r="F13">
        <v>3</v>
      </c>
      <c r="G13">
        <v>-2</v>
      </c>
      <c r="H13">
        <v>68</v>
      </c>
      <c r="I13">
        <v>552</v>
      </c>
    </row>
    <row r="14" spans="1:9" x14ac:dyDescent="0.25">
      <c r="A14" t="s">
        <v>104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105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106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107</v>
      </c>
      <c r="B17">
        <v>772</v>
      </c>
      <c r="C17">
        <v>769</v>
      </c>
      <c r="D17">
        <v>373</v>
      </c>
      <c r="E17">
        <v>409</v>
      </c>
      <c r="F17">
        <v>531</v>
      </c>
      <c r="G17">
        <v>644</v>
      </c>
      <c r="H17">
        <v>843</v>
      </c>
      <c r="I17">
        <v>865</v>
      </c>
    </row>
    <row r="18" spans="1:9" x14ac:dyDescent="0.25">
      <c r="A18" t="s">
        <v>108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109</v>
      </c>
      <c r="B19" s="3">
        <v>-1461</v>
      </c>
      <c r="C19" s="3">
        <v>-1653</v>
      </c>
      <c r="D19" s="3">
        <v>-1898</v>
      </c>
      <c r="E19" s="3">
        <v>-2478</v>
      </c>
      <c r="F19" s="3">
        <v>-2989</v>
      </c>
      <c r="G19" s="3">
        <v>-3318</v>
      </c>
      <c r="H19" s="3">
        <v>-3916</v>
      </c>
      <c r="I19" s="3">
        <v>-4547</v>
      </c>
    </row>
    <row r="20" spans="1:9" x14ac:dyDescent="0.25">
      <c r="A20" t="s">
        <v>110</v>
      </c>
      <c r="B20">
        <v>-169</v>
      </c>
      <c r="C20">
        <v>-185</v>
      </c>
      <c r="D20">
        <v>-111</v>
      </c>
      <c r="E20">
        <v>-231</v>
      </c>
      <c r="F20">
        <v>-111</v>
      </c>
      <c r="G20">
        <v>-171</v>
      </c>
      <c r="H20">
        <v>-2</v>
      </c>
      <c r="I20">
        <v>-244</v>
      </c>
    </row>
    <row r="21" spans="1:9" x14ac:dyDescent="0.25">
      <c r="A21" t="s">
        <v>111</v>
      </c>
      <c r="B21">
        <v>2</v>
      </c>
      <c r="C21">
        <v>2</v>
      </c>
      <c r="D21">
        <v>2</v>
      </c>
      <c r="E21">
        <v>2</v>
      </c>
      <c r="F21">
        <v>1</v>
      </c>
      <c r="G21">
        <v>1</v>
      </c>
      <c r="H21">
        <v>1</v>
      </c>
      <c r="I21">
        <v>0</v>
      </c>
    </row>
    <row r="22" spans="1:9" x14ac:dyDescent="0.25">
      <c r="A22" t="s">
        <v>112</v>
      </c>
      <c r="B22" s="3">
        <v>-1267</v>
      </c>
      <c r="C22" s="3">
        <v>-1355</v>
      </c>
      <c r="D22">
        <v>-833</v>
      </c>
      <c r="E22">
        <v>-679</v>
      </c>
      <c r="F22">
        <v>-726</v>
      </c>
      <c r="G22">
        <v>-866</v>
      </c>
      <c r="H22">
        <v>-916</v>
      </c>
      <c r="I22">
        <v>-629</v>
      </c>
    </row>
    <row r="23" spans="1:9" x14ac:dyDescent="0.25">
      <c r="A23" t="s">
        <v>113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114</v>
      </c>
      <c r="B24">
        <v>-10</v>
      </c>
      <c r="C24">
        <v>-37</v>
      </c>
      <c r="D24">
        <v>-146</v>
      </c>
      <c r="E24">
        <v>29</v>
      </c>
      <c r="F24">
        <v>-35</v>
      </c>
      <c r="G24">
        <v>0</v>
      </c>
      <c r="H24">
        <v>0</v>
      </c>
      <c r="I24">
        <v>0</v>
      </c>
    </row>
    <row r="25" spans="1:9" x14ac:dyDescent="0.25">
      <c r="A25" t="s">
        <v>115</v>
      </c>
      <c r="B25">
        <v>0</v>
      </c>
      <c r="C25">
        <v>0</v>
      </c>
      <c r="D25">
        <v>0</v>
      </c>
      <c r="E25">
        <v>0</v>
      </c>
      <c r="F25">
        <v>0</v>
      </c>
      <c r="G25">
        <v>84</v>
      </c>
      <c r="H25">
        <v>166</v>
      </c>
      <c r="I25">
        <v>279</v>
      </c>
    </row>
    <row r="26" spans="1:9" x14ac:dyDescent="0.25">
      <c r="A26" t="s">
        <v>116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117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2</v>
      </c>
    </row>
    <row r="28" spans="1:9" x14ac:dyDescent="0.25">
      <c r="A28" t="s">
        <v>118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-53</v>
      </c>
    </row>
    <row r="29" spans="1:9" x14ac:dyDescent="0.25">
      <c r="A29" t="s">
        <v>119</v>
      </c>
      <c r="B29">
        <v>-3</v>
      </c>
      <c r="C29">
        <v>-112</v>
      </c>
      <c r="D29">
        <v>-400</v>
      </c>
      <c r="E29">
        <v>-748</v>
      </c>
      <c r="F29">
        <v>-179</v>
      </c>
      <c r="G29">
        <v>-39</v>
      </c>
      <c r="H29">
        <v>-327</v>
      </c>
      <c r="I29">
        <v>-172</v>
      </c>
    </row>
    <row r="30" spans="1:9" x14ac:dyDescent="0.25">
      <c r="A30" t="s">
        <v>120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121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122</v>
      </c>
      <c r="B32">
        <v>274</v>
      </c>
      <c r="C32">
        <v>0</v>
      </c>
      <c r="D32">
        <v>10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123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124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25">
      <c r="A35" t="s">
        <v>125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25">
      <c r="A36" t="s">
        <v>126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127</v>
      </c>
      <c r="B37" s="3">
        <v>3930</v>
      </c>
      <c r="C37" s="3">
        <v>-1113</v>
      </c>
      <c r="D37" s="3">
        <v>-1799</v>
      </c>
      <c r="E37" s="3">
        <v>1027</v>
      </c>
      <c r="F37" s="3">
        <v>-1080</v>
      </c>
      <c r="G37">
        <v>463</v>
      </c>
      <c r="H37">
        <v>466</v>
      </c>
      <c r="I37">
        <v>-153</v>
      </c>
    </row>
    <row r="38" spans="1:9" x14ac:dyDescent="0.25">
      <c r="A38" t="s">
        <v>128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129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130</v>
      </c>
      <c r="B40" s="3">
        <v>-21441</v>
      </c>
      <c r="C40" s="3">
        <v>16540</v>
      </c>
      <c r="D40" s="3">
        <v>-12978</v>
      </c>
      <c r="E40" s="3">
        <v>-3179</v>
      </c>
      <c r="F40" s="3">
        <v>-8161</v>
      </c>
      <c r="G40" s="3">
        <v>3730</v>
      </c>
      <c r="H40" s="3">
        <v>-31486</v>
      </c>
      <c r="I40" s="3">
        <v>-11556</v>
      </c>
    </row>
    <row r="41" spans="1:9" x14ac:dyDescent="0.25">
      <c r="A41" t="s">
        <v>131</v>
      </c>
      <c r="B41">
        <v>-2</v>
      </c>
      <c r="C41">
        <v>-9</v>
      </c>
      <c r="D41">
        <v>28</v>
      </c>
      <c r="E41">
        <v>-2</v>
      </c>
      <c r="F41">
        <v>-9</v>
      </c>
      <c r="G41">
        <v>5</v>
      </c>
      <c r="H41">
        <v>0</v>
      </c>
      <c r="I41">
        <v>-8</v>
      </c>
    </row>
    <row r="42" spans="1:9" x14ac:dyDescent="0.25">
      <c r="A42" t="s">
        <v>132</v>
      </c>
      <c r="B42" s="3">
        <v>-17214</v>
      </c>
      <c r="C42" s="3">
        <v>-27844</v>
      </c>
      <c r="D42" s="3">
        <v>-23721</v>
      </c>
      <c r="E42" s="3">
        <v>-7510</v>
      </c>
      <c r="F42" s="3">
        <v>4703</v>
      </c>
      <c r="G42" s="3">
        <v>13705</v>
      </c>
      <c r="H42" s="3">
        <v>11546</v>
      </c>
      <c r="I42">
        <v>451</v>
      </c>
    </row>
    <row r="43" spans="1:9" x14ac:dyDescent="0.25">
      <c r="A43" t="s">
        <v>133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134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5">
      <c r="A45" t="s">
        <v>135</v>
      </c>
      <c r="B45" s="3">
        <v>-2917</v>
      </c>
      <c r="C45" s="3">
        <v>-1043</v>
      </c>
      <c r="D45">
        <v>815</v>
      </c>
      <c r="E45">
        <v>-491</v>
      </c>
      <c r="F45" s="3">
        <v>2110</v>
      </c>
      <c r="G45" s="3">
        <v>2756</v>
      </c>
      <c r="H45" s="3">
        <v>-3736</v>
      </c>
      <c r="I45" s="3">
        <v>1818</v>
      </c>
    </row>
    <row r="46" spans="1:9" x14ac:dyDescent="0.25">
      <c r="A46" t="s">
        <v>136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 t="s">
        <v>137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25">
      <c r="A48" t="s">
        <v>138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25">
      <c r="A49" t="s">
        <v>139</v>
      </c>
      <c r="B49" s="3">
        <v>-2497</v>
      </c>
      <c r="C49">
        <v>200</v>
      </c>
      <c r="D49" s="3">
        <v>1359</v>
      </c>
      <c r="E49">
        <v>-240</v>
      </c>
      <c r="F49">
        <v>-240</v>
      </c>
      <c r="G49" s="3">
        <v>4053</v>
      </c>
      <c r="H49" s="3">
        <v>4144</v>
      </c>
      <c r="I49" s="3">
        <v>4642</v>
      </c>
    </row>
    <row r="50" spans="1:9" x14ac:dyDescent="0.25">
      <c r="A50" t="s">
        <v>140</v>
      </c>
      <c r="B50" s="3">
        <v>4093</v>
      </c>
      <c r="C50" s="3">
        <v>11656</v>
      </c>
      <c r="D50" s="3">
        <v>-10680</v>
      </c>
      <c r="E50" s="3">
        <v>9774</v>
      </c>
      <c r="F50" s="3">
        <v>5081</v>
      </c>
      <c r="G50" s="3">
        <v>10077</v>
      </c>
      <c r="H50" s="3">
        <v>-12924</v>
      </c>
      <c r="I50" s="3">
        <v>5783</v>
      </c>
    </row>
    <row r="51" spans="1:9" x14ac:dyDescent="0.25">
      <c r="A51" t="s">
        <v>141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25">
      <c r="A52" t="s">
        <v>142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143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25">
      <c r="A54" t="s">
        <v>144</v>
      </c>
      <c r="B54">
        <v>-620</v>
      </c>
      <c r="C54">
        <v>12</v>
      </c>
      <c r="D54">
        <v>4</v>
      </c>
      <c r="E54">
        <v>4</v>
      </c>
      <c r="F54">
        <v>-805</v>
      </c>
      <c r="G54">
        <v>19</v>
      </c>
      <c r="H54">
        <v>17</v>
      </c>
      <c r="I54">
        <v>11</v>
      </c>
    </row>
    <row r="55" spans="1:9" x14ac:dyDescent="0.25">
      <c r="A55" t="s">
        <v>145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25">
      <c r="A56" t="s">
        <v>146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25">
      <c r="A57" t="s">
        <v>147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25">
      <c r="A58" t="s">
        <v>148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25">
      <c r="A59" t="s">
        <v>149</v>
      </c>
      <c r="B59">
        <v>-402</v>
      </c>
      <c r="C59">
        <v>-465</v>
      </c>
      <c r="D59" s="3">
        <v>-18355</v>
      </c>
      <c r="E59" s="3">
        <v>-31165</v>
      </c>
      <c r="F59" s="3">
        <v>-1379</v>
      </c>
      <c r="G59" s="3">
        <v>-14074</v>
      </c>
      <c r="H59">
        <v>-142</v>
      </c>
      <c r="I59" s="3">
        <v>-37590</v>
      </c>
    </row>
    <row r="60" spans="1:9" x14ac:dyDescent="0.25">
      <c r="A60" t="s">
        <v>150</v>
      </c>
      <c r="B60" s="3">
        <v>10782</v>
      </c>
      <c r="C60" s="3">
        <v>5100</v>
      </c>
      <c r="D60" s="3">
        <v>8647</v>
      </c>
      <c r="E60" s="3">
        <v>-1458</v>
      </c>
      <c r="F60" s="3">
        <v>5611</v>
      </c>
      <c r="G60" s="3">
        <v>-10424</v>
      </c>
      <c r="H60" s="3">
        <v>-1147</v>
      </c>
      <c r="I60" s="3">
        <v>2712</v>
      </c>
    </row>
    <row r="61" spans="1:9" x14ac:dyDescent="0.25">
      <c r="A61" t="s">
        <v>151</v>
      </c>
      <c r="B61" s="3">
        <v>227816</v>
      </c>
      <c r="C61" s="3">
        <v>259131</v>
      </c>
      <c r="D61" s="3">
        <v>190171</v>
      </c>
      <c r="E61" s="3">
        <v>170335</v>
      </c>
      <c r="F61" s="3">
        <v>203029</v>
      </c>
      <c r="G61" s="3">
        <v>202954</v>
      </c>
      <c r="H61" s="3">
        <v>141753</v>
      </c>
      <c r="I61" s="3">
        <v>117761</v>
      </c>
    </row>
    <row r="62" spans="1:9" x14ac:dyDescent="0.25">
      <c r="A62" t="s">
        <v>152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25">
      <c r="A63" t="s">
        <v>153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25">
      <c r="A64" t="s">
        <v>154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25">
      <c r="A65" t="s">
        <v>155</v>
      </c>
      <c r="B65" s="3">
        <v>-248029</v>
      </c>
      <c r="C65" s="3">
        <v>-88675</v>
      </c>
      <c r="D65" s="3">
        <v>-99306</v>
      </c>
      <c r="E65" s="3">
        <v>-126698</v>
      </c>
      <c r="F65" s="3">
        <v>-192560</v>
      </c>
      <c r="G65" s="3">
        <v>-170010</v>
      </c>
      <c r="H65" s="3">
        <v>-98118</v>
      </c>
      <c r="I65" s="3">
        <v>-116353</v>
      </c>
    </row>
    <row r="66" spans="1:9" x14ac:dyDescent="0.25">
      <c r="A66" t="s">
        <v>156</v>
      </c>
      <c r="B66">
        <v>58</v>
      </c>
      <c r="C66">
        <v>201</v>
      </c>
      <c r="D66">
        <v>224</v>
      </c>
      <c r="E66">
        <v>116</v>
      </c>
      <c r="F66">
        <v>66</v>
      </c>
      <c r="G66">
        <v>69</v>
      </c>
      <c r="H66">
        <v>63</v>
      </c>
      <c r="I66">
        <v>80</v>
      </c>
    </row>
    <row r="67" spans="1:9" x14ac:dyDescent="0.25">
      <c r="A67" t="s">
        <v>157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x14ac:dyDescent="0.25">
      <c r="A68" t="s">
        <v>158</v>
      </c>
      <c r="B68">
        <v>-581</v>
      </c>
      <c r="C68">
        <v>-838</v>
      </c>
      <c r="D68">
        <v>-217</v>
      </c>
      <c r="E68" s="3">
        <v>-7641</v>
      </c>
      <c r="F68">
        <v>-846</v>
      </c>
      <c r="G68" s="3">
        <v>-4905</v>
      </c>
      <c r="H68" s="3">
        <v>-1742</v>
      </c>
      <c r="I68">
        <v>-581</v>
      </c>
    </row>
    <row r="69" spans="1:9" x14ac:dyDescent="0.25">
      <c r="A69" t="s">
        <v>159</v>
      </c>
      <c r="B69">
        <v>157</v>
      </c>
      <c r="C69">
        <v>-82</v>
      </c>
      <c r="D69">
        <v>221</v>
      </c>
      <c r="E69">
        <v>296</v>
      </c>
      <c r="F69">
        <v>270</v>
      </c>
      <c r="G69">
        <v>109</v>
      </c>
      <c r="H69">
        <v>306</v>
      </c>
      <c r="I69">
        <v>279</v>
      </c>
    </row>
    <row r="70" spans="1:9" x14ac:dyDescent="0.25">
      <c r="A70" t="s">
        <v>160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25">
      <c r="A71" t="s">
        <v>161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25">
      <c r="A72" t="s">
        <v>162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x14ac:dyDescent="0.25">
      <c r="A73" t="s">
        <v>163</v>
      </c>
      <c r="B73" s="3">
        <v>1494</v>
      </c>
      <c r="C73" s="3">
        <v>1809</v>
      </c>
      <c r="D73" s="3">
        <v>2007</v>
      </c>
      <c r="E73" s="3">
        <v>2921</v>
      </c>
      <c r="F73" s="3">
        <v>3038</v>
      </c>
      <c r="G73" s="3">
        <v>3620</v>
      </c>
      <c r="H73" s="3">
        <v>3858</v>
      </c>
      <c r="I73" s="3">
        <v>4821</v>
      </c>
    </row>
    <row r="74" spans="1:9" x14ac:dyDescent="0.25">
      <c r="A74" t="s">
        <v>164</v>
      </c>
      <c r="B74">
        <v>169</v>
      </c>
      <c r="C74">
        <v>191</v>
      </c>
      <c r="D74" s="3">
        <v>2657</v>
      </c>
      <c r="E74">
        <v>529</v>
      </c>
      <c r="F74">
        <v>111</v>
      </c>
      <c r="G74">
        <v>74</v>
      </c>
      <c r="H74" s="3">
        <v>1513</v>
      </c>
      <c r="I74">
        <v>452</v>
      </c>
    </row>
    <row r="75" spans="1:9" x14ac:dyDescent="0.25">
      <c r="A75" t="s">
        <v>165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25">
      <c r="A76" t="s">
        <v>166</v>
      </c>
      <c r="B76" s="3">
        <v>-1200</v>
      </c>
      <c r="C76" s="3">
        <v>-2054</v>
      </c>
      <c r="D76" s="3">
        <v>-2066</v>
      </c>
      <c r="E76">
        <v>0</v>
      </c>
      <c r="F76">
        <v>496</v>
      </c>
      <c r="G76">
        <v>0</v>
      </c>
      <c r="H76">
        <v>0</v>
      </c>
      <c r="I76">
        <v>0</v>
      </c>
    </row>
    <row r="77" spans="1:9" x14ac:dyDescent="0.25">
      <c r="A77" t="s">
        <v>167</v>
      </c>
      <c r="B77" s="3">
        <v>-244251</v>
      </c>
      <c r="C77" s="3">
        <v>-90959</v>
      </c>
      <c r="D77" s="3">
        <v>-96080</v>
      </c>
      <c r="E77" s="3">
        <v>-129750</v>
      </c>
      <c r="F77" s="3">
        <v>-188993</v>
      </c>
      <c r="G77" s="3">
        <v>-171605</v>
      </c>
      <c r="H77" s="3">
        <v>-108290</v>
      </c>
      <c r="I77" s="3">
        <v>-114718</v>
      </c>
    </row>
    <row r="78" spans="1:9" x14ac:dyDescent="0.25">
      <c r="A78" t="s">
        <v>168</v>
      </c>
      <c r="B78" s="3">
        <v>52072</v>
      </c>
      <c r="C78" s="3">
        <v>-67347</v>
      </c>
      <c r="D78" s="3">
        <v>-16804</v>
      </c>
      <c r="E78" s="3">
        <v>32231</v>
      </c>
      <c r="F78" s="3">
        <v>20348</v>
      </c>
      <c r="G78" s="3">
        <v>35676</v>
      </c>
      <c r="H78" s="3">
        <v>7326</v>
      </c>
      <c r="I78" s="3">
        <v>1064</v>
      </c>
    </row>
    <row r="79" spans="1:9" x14ac:dyDescent="0.25">
      <c r="A79" t="s">
        <v>169</v>
      </c>
      <c r="B79">
        <v>0</v>
      </c>
      <c r="C79">
        <v>0</v>
      </c>
      <c r="D79" s="3">
        <v>-6500</v>
      </c>
      <c r="E79" s="3">
        <v>3493</v>
      </c>
      <c r="F79" s="3">
        <v>2992</v>
      </c>
      <c r="G79">
        <v>0</v>
      </c>
      <c r="H79">
        <v>0</v>
      </c>
      <c r="I79">
        <v>0</v>
      </c>
    </row>
    <row r="80" spans="1:9" x14ac:dyDescent="0.25">
      <c r="A80" t="s">
        <v>170</v>
      </c>
      <c r="B80" s="3">
        <v>21100</v>
      </c>
      <c r="C80" s="3">
        <v>30109</v>
      </c>
      <c r="D80" s="3">
        <v>146288</v>
      </c>
      <c r="E80" s="3">
        <v>35938</v>
      </c>
      <c r="F80" s="3">
        <v>24000</v>
      </c>
      <c r="G80">
        <v>0</v>
      </c>
      <c r="H80">
        <v>0</v>
      </c>
      <c r="I80">
        <v>0</v>
      </c>
    </row>
    <row r="81" spans="1:9" x14ac:dyDescent="0.25">
      <c r="A81" t="s">
        <v>171</v>
      </c>
      <c r="B81" s="3">
        <v>-2622</v>
      </c>
      <c r="C81">
        <v>358</v>
      </c>
      <c r="D81" s="3">
        <v>-10558</v>
      </c>
      <c r="E81">
        <v>25</v>
      </c>
      <c r="F81" s="3">
        <v>-21625</v>
      </c>
      <c r="G81">
        <v>0</v>
      </c>
      <c r="H81" s="3">
        <v>-26500</v>
      </c>
      <c r="I81">
        <v>0</v>
      </c>
    </row>
    <row r="82" spans="1:9" x14ac:dyDescent="0.25">
      <c r="A82" t="s">
        <v>172</v>
      </c>
      <c r="B82">
        <v>660</v>
      </c>
      <c r="C82" s="3">
        <v>1000</v>
      </c>
      <c r="D82" s="3">
        <v>1000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 t="s">
        <v>173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 t="s">
        <v>174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 t="s">
        <v>175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 t="s">
        <v>176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 t="s">
        <v>177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 t="s">
        <v>178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 t="s">
        <v>179</v>
      </c>
      <c r="B89" s="3">
        <v>-64826</v>
      </c>
      <c r="C89" s="3">
        <v>-64826</v>
      </c>
      <c r="D89" s="3">
        <v>-64826</v>
      </c>
      <c r="E89" s="3">
        <v>-64826</v>
      </c>
      <c r="F89" s="3">
        <v>-64826</v>
      </c>
      <c r="G89" s="3">
        <v>-51861</v>
      </c>
      <c r="H89" s="3">
        <v>-207443</v>
      </c>
      <c r="I89">
        <v>0</v>
      </c>
    </row>
    <row r="90" spans="1:9" x14ac:dyDescent="0.25">
      <c r="A90" t="s">
        <v>180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 t="s">
        <v>181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 t="s">
        <v>182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 t="s">
        <v>183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-76</v>
      </c>
      <c r="I93">
        <v>0</v>
      </c>
    </row>
    <row r="94" spans="1:9" x14ac:dyDescent="0.25">
      <c r="A94" t="s">
        <v>184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 t="s">
        <v>185</v>
      </c>
      <c r="B95" s="3">
        <v>9452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 t="s">
        <v>186</v>
      </c>
      <c r="B96">
        <v>-773</v>
      </c>
      <c r="C96">
        <v>-156</v>
      </c>
      <c r="D96">
        <v>-429</v>
      </c>
      <c r="E96">
        <v>-219</v>
      </c>
      <c r="F96">
        <v>-977</v>
      </c>
      <c r="G96">
        <v>-539</v>
      </c>
      <c r="H96" s="3">
        <v>-1433</v>
      </c>
      <c r="I96">
        <v>-437</v>
      </c>
    </row>
    <row r="97" spans="1:9" x14ac:dyDescent="0.25">
      <c r="A97" t="s">
        <v>187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 t="s">
        <v>188</v>
      </c>
      <c r="B98">
        <v>-445</v>
      </c>
      <c r="C98">
        <v>-343</v>
      </c>
      <c r="D98">
        <v>-737</v>
      </c>
      <c r="E98">
        <v>-730</v>
      </c>
      <c r="F98">
        <v>-670</v>
      </c>
      <c r="G98">
        <v>-460</v>
      </c>
      <c r="H98">
        <v>-986</v>
      </c>
      <c r="I98" s="3">
        <v>-1558</v>
      </c>
    </row>
    <row r="99" spans="1:9" x14ac:dyDescent="0.25">
      <c r="A99" t="s">
        <v>189</v>
      </c>
      <c r="B99" s="3">
        <v>14618</v>
      </c>
      <c r="C99" s="3">
        <v>-101204</v>
      </c>
      <c r="D99" s="3">
        <v>47434</v>
      </c>
      <c r="E99" s="3">
        <v>5912</v>
      </c>
      <c r="F99" s="3">
        <v>-40757</v>
      </c>
      <c r="G99" s="3">
        <v>-17183</v>
      </c>
      <c r="H99" s="3">
        <v>-229112</v>
      </c>
      <c r="I99">
        <v>-931</v>
      </c>
    </row>
    <row r="100" spans="1:9" x14ac:dyDescent="0.25">
      <c r="A100" t="s">
        <v>190</v>
      </c>
      <c r="B100" s="3">
        <v>6374</v>
      </c>
      <c r="C100" s="3">
        <v>-10993</v>
      </c>
      <c r="D100" s="3">
        <v>-4944</v>
      </c>
      <c r="E100" s="3">
        <v>-9661</v>
      </c>
      <c r="F100" s="3">
        <v>2099</v>
      </c>
      <c r="G100" s="3">
        <v>-11197</v>
      </c>
      <c r="H100" s="3">
        <v>-1618</v>
      </c>
      <c r="I100" s="3">
        <v>1914</v>
      </c>
    </row>
    <row r="101" spans="1:9" x14ac:dyDescent="0.25">
      <c r="A101" t="s">
        <v>191</v>
      </c>
      <c r="B101" s="3">
        <v>4557</v>
      </c>
      <c r="C101" s="3">
        <v>55976</v>
      </c>
      <c r="D101" s="3">
        <v>136582</v>
      </c>
      <c r="E101" s="3">
        <v>36836</v>
      </c>
      <c r="F101" s="3">
        <v>-24622</v>
      </c>
      <c r="G101" s="3">
        <v>2969</v>
      </c>
      <c r="H101" s="3">
        <v>-197267</v>
      </c>
      <c r="I101" s="3">
        <v>4027</v>
      </c>
    </row>
    <row r="102" spans="1:9" x14ac:dyDescent="0.25">
      <c r="A102" t="s">
        <v>192</v>
      </c>
      <c r="B102" s="3">
        <v>660171</v>
      </c>
      <c r="C102" s="3">
        <v>604195</v>
      </c>
      <c r="D102" s="3">
        <v>467613</v>
      </c>
      <c r="E102" s="3">
        <v>430777</v>
      </c>
      <c r="F102" s="3">
        <v>455399</v>
      </c>
      <c r="G102" s="3">
        <v>452430</v>
      </c>
      <c r="H102" s="3">
        <v>649697</v>
      </c>
      <c r="I102" s="3">
        <v>645671</v>
      </c>
    </row>
    <row r="103" spans="1:9" x14ac:dyDescent="0.25">
      <c r="A103" t="s">
        <v>193</v>
      </c>
      <c r="B103" s="3">
        <v>664728</v>
      </c>
      <c r="C103" s="3">
        <v>660171</v>
      </c>
      <c r="D103" s="3">
        <v>604195</v>
      </c>
      <c r="E103" s="3">
        <v>467613</v>
      </c>
      <c r="F103" s="3">
        <v>430777</v>
      </c>
      <c r="G103" s="3">
        <v>455399</v>
      </c>
      <c r="H103" s="3">
        <v>452430</v>
      </c>
      <c r="I103" s="3">
        <v>649697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1B52F-4FA4-4159-B6D0-F63929D028A2}">
  <sheetPr codeName="工作表5"/>
  <dimension ref="A2:G59"/>
  <sheetViews>
    <sheetView workbookViewId="0">
      <selection activeCell="C3" sqref="C3"/>
    </sheetView>
  </sheetViews>
  <sheetFormatPr defaultRowHeight="16.5" x14ac:dyDescent="0.25"/>
  <cols>
    <col min="2" max="2" width="26.875" bestFit="1" customWidth="1"/>
    <col min="3" max="3" width="22.375" bestFit="1" customWidth="1"/>
    <col min="4" max="4" width="48.625" bestFit="1" customWidth="1"/>
  </cols>
  <sheetData>
    <row r="2" spans="1:7" x14ac:dyDescent="0.25">
      <c r="A2" t="s">
        <v>0</v>
      </c>
      <c r="B2" t="s">
        <v>8</v>
      </c>
      <c r="C2" t="s">
        <v>9</v>
      </c>
      <c r="D2" t="s">
        <v>10</v>
      </c>
    </row>
    <row r="3" spans="1:7" x14ac:dyDescent="0.25">
      <c r="A3">
        <f>總表!A2</f>
        <v>2330</v>
      </c>
      <c r="B3" t="str">
        <f>券商名單!B2</f>
        <v>http://newjust.masterlink.com.tw/</v>
      </c>
      <c r="C3" t="str">
        <f>"z/zc/zch/zch_"&amp;總表!A2&amp;".djhtm"</f>
        <v>z/zc/zch/zch_2330.djhtm</v>
      </c>
      <c r="D3" t="str">
        <f>B3&amp;C3</f>
        <v>http://newjust.masterlink.com.tw/z/zc/zch/zch_2330.djhtm</v>
      </c>
    </row>
    <row r="6" spans="1:7" x14ac:dyDescent="0.25">
      <c r="A6" t="s">
        <v>3889</v>
      </c>
    </row>
    <row r="7" spans="1:7" x14ac:dyDescent="0.25">
      <c r="A7" t="s">
        <v>3890</v>
      </c>
    </row>
    <row r="8" spans="1:7" x14ac:dyDescent="0.25">
      <c r="A8" t="s">
        <v>3891</v>
      </c>
    </row>
    <row r="10" spans="1:7" ht="99" x14ac:dyDescent="0.25">
      <c r="A10" s="2" t="s">
        <v>3892</v>
      </c>
    </row>
    <row r="11" spans="1:7" x14ac:dyDescent="0.25">
      <c r="A11" t="s">
        <v>3766</v>
      </c>
      <c r="B11" t="s">
        <v>3767</v>
      </c>
      <c r="C11" t="s">
        <v>3768</v>
      </c>
      <c r="D11" t="s">
        <v>3769</v>
      </c>
      <c r="E11" t="s">
        <v>3770</v>
      </c>
      <c r="F11" t="s">
        <v>3771</v>
      </c>
      <c r="G11" t="s">
        <v>3770</v>
      </c>
    </row>
    <row r="12" spans="1:7" x14ac:dyDescent="0.25">
      <c r="A12" t="s">
        <v>3772</v>
      </c>
      <c r="B12" s="3">
        <v>148470660</v>
      </c>
      <c r="C12" s="6">
        <v>0.32140000000000002</v>
      </c>
      <c r="D12" s="3">
        <v>120877785</v>
      </c>
      <c r="E12" s="6">
        <v>0.2283</v>
      </c>
      <c r="F12" s="3">
        <v>734555352</v>
      </c>
      <c r="G12" s="6">
        <v>0.18229999999999999</v>
      </c>
    </row>
    <row r="13" spans="1:7" x14ac:dyDescent="0.25">
      <c r="A13" t="s">
        <v>3773</v>
      </c>
      <c r="B13" s="3">
        <v>112359668</v>
      </c>
      <c r="C13" s="6">
        <v>9.4000000000000004E-3</v>
      </c>
      <c r="D13" s="3">
        <v>93819010</v>
      </c>
      <c r="E13" s="6">
        <v>0.1976</v>
      </c>
      <c r="F13" s="3">
        <v>586084692</v>
      </c>
      <c r="G13" s="6">
        <v>0.17119999999999999</v>
      </c>
    </row>
    <row r="14" spans="1:7" x14ac:dyDescent="0.25">
      <c r="A14" t="s">
        <v>3774</v>
      </c>
      <c r="B14" s="3">
        <v>111314794</v>
      </c>
      <c r="C14" s="6">
        <v>-0.13789999999999999</v>
      </c>
      <c r="D14" s="3">
        <v>96001572</v>
      </c>
      <c r="E14" s="6">
        <v>0.1595</v>
      </c>
      <c r="F14" s="3">
        <v>473725024</v>
      </c>
      <c r="G14" s="6">
        <v>0.1651</v>
      </c>
    </row>
    <row r="15" spans="1:7" x14ac:dyDescent="0.25">
      <c r="A15" t="s">
        <v>3775</v>
      </c>
      <c r="B15" s="3">
        <v>129127388</v>
      </c>
      <c r="C15" s="6">
        <v>0.21210000000000001</v>
      </c>
      <c r="D15" s="3">
        <v>113519599</v>
      </c>
      <c r="E15" s="6">
        <v>0.13750000000000001</v>
      </c>
      <c r="F15" s="3">
        <v>362410230</v>
      </c>
      <c r="G15" s="6">
        <v>0.1668</v>
      </c>
    </row>
    <row r="16" spans="1:7" x14ac:dyDescent="0.25">
      <c r="A16" t="s">
        <v>3776</v>
      </c>
      <c r="B16" s="3">
        <v>106533690</v>
      </c>
      <c r="C16" s="6">
        <v>-0.1595</v>
      </c>
      <c r="D16" s="3">
        <v>93394449</v>
      </c>
      <c r="E16" s="6">
        <v>0.14069999999999999</v>
      </c>
      <c r="F16" s="3">
        <v>233282842</v>
      </c>
      <c r="G16" s="6">
        <v>0.1837</v>
      </c>
    </row>
    <row r="17" spans="1:7" x14ac:dyDescent="0.25">
      <c r="A17" t="s">
        <v>3777</v>
      </c>
      <c r="B17" s="3">
        <v>126749152</v>
      </c>
      <c r="C17" s="6">
        <v>0.08</v>
      </c>
      <c r="D17" s="3">
        <v>103683135</v>
      </c>
      <c r="E17" s="6">
        <v>0.2225</v>
      </c>
      <c r="F17" s="3">
        <v>126749152</v>
      </c>
      <c r="G17" s="6">
        <v>0.2225</v>
      </c>
    </row>
    <row r="18" spans="1:7" x14ac:dyDescent="0.25">
      <c r="A18" t="s">
        <v>3778</v>
      </c>
      <c r="B18" s="3">
        <v>117364912</v>
      </c>
      <c r="C18" s="6">
        <v>-6.0100000000000001E-2</v>
      </c>
      <c r="D18" s="3">
        <v>103313138</v>
      </c>
      <c r="E18" s="6">
        <v>0.13600000000000001</v>
      </c>
      <c r="F18" s="3">
        <v>1339254811</v>
      </c>
      <c r="G18" s="6">
        <v>0.25169999999999998</v>
      </c>
    </row>
    <row r="19" spans="1:7" x14ac:dyDescent="0.25">
      <c r="A19" t="s">
        <v>3779</v>
      </c>
      <c r="B19" s="3">
        <v>124865438</v>
      </c>
      <c r="C19" s="6">
        <v>4.6600000000000003E-2</v>
      </c>
      <c r="D19" s="3">
        <v>107884396</v>
      </c>
      <c r="E19" s="6">
        <v>0.15740000000000001</v>
      </c>
      <c r="F19" s="3">
        <v>1221889899</v>
      </c>
      <c r="G19" s="6">
        <v>0.26400000000000001</v>
      </c>
    </row>
    <row r="20" spans="1:7" x14ac:dyDescent="0.25">
      <c r="A20" t="s">
        <v>3780</v>
      </c>
      <c r="B20" s="3">
        <v>119302707</v>
      </c>
      <c r="C20" s="6">
        <v>-6.4899999999999999E-2</v>
      </c>
      <c r="D20" s="3">
        <v>106039531</v>
      </c>
      <c r="E20" s="6">
        <v>0.12509999999999999</v>
      </c>
      <c r="F20" s="3">
        <v>1097024461</v>
      </c>
      <c r="G20" s="6">
        <v>0.27739999999999998</v>
      </c>
    </row>
    <row r="21" spans="1:7" x14ac:dyDescent="0.25">
      <c r="A21" t="s">
        <v>3781</v>
      </c>
      <c r="B21" s="3">
        <v>127584492</v>
      </c>
      <c r="C21" s="6">
        <v>3.8300000000000001E-2</v>
      </c>
      <c r="D21" s="3">
        <v>102170096</v>
      </c>
      <c r="E21" s="6">
        <v>0.2487</v>
      </c>
      <c r="F21" s="3">
        <v>977721754</v>
      </c>
      <c r="G21" s="6">
        <v>0.2989</v>
      </c>
    </row>
    <row r="22" spans="1:7" x14ac:dyDescent="0.25">
      <c r="A22" t="s">
        <v>3782</v>
      </c>
      <c r="B22" s="3">
        <v>122878244</v>
      </c>
      <c r="C22" s="6">
        <v>0.15959999999999999</v>
      </c>
      <c r="D22" s="3">
        <v>106117619</v>
      </c>
      <c r="E22" s="6">
        <v>0.15790000000000001</v>
      </c>
      <c r="F22" s="3">
        <v>850137262</v>
      </c>
      <c r="G22" s="6">
        <v>0.30669999999999997</v>
      </c>
    </row>
    <row r="23" spans="1:7" x14ac:dyDescent="0.25">
      <c r="A23" t="s">
        <v>3783</v>
      </c>
      <c r="B23" s="3">
        <v>105963468</v>
      </c>
      <c r="C23" s="6">
        <v>-0.1234</v>
      </c>
      <c r="D23" s="3">
        <v>84757724</v>
      </c>
      <c r="E23" s="6">
        <v>0.25019999999999998</v>
      </c>
      <c r="F23" s="3">
        <v>727259018</v>
      </c>
      <c r="G23" s="6">
        <v>0.3357</v>
      </c>
    </row>
    <row r="24" spans="1:7" x14ac:dyDescent="0.25">
      <c r="A24" t="s">
        <v>3784</v>
      </c>
      <c r="B24" s="3">
        <v>120877785</v>
      </c>
      <c r="C24" s="6">
        <v>0.28839999999999999</v>
      </c>
      <c r="D24" s="3">
        <v>85867929</v>
      </c>
      <c r="E24" s="6">
        <v>0.40770000000000001</v>
      </c>
      <c r="F24" s="3">
        <v>621295550</v>
      </c>
      <c r="G24" s="6">
        <v>0.35149999999999998</v>
      </c>
    </row>
    <row r="25" spans="1:7" x14ac:dyDescent="0.25">
      <c r="A25" t="s">
        <v>3785</v>
      </c>
      <c r="B25" s="3">
        <v>93819010</v>
      </c>
      <c r="C25" s="6">
        <v>-2.2700000000000001E-2</v>
      </c>
      <c r="D25" s="3">
        <v>80436931</v>
      </c>
      <c r="E25" s="6">
        <v>0.16639999999999999</v>
      </c>
      <c r="F25" s="3">
        <v>500417765</v>
      </c>
      <c r="G25" s="6">
        <v>0.33860000000000001</v>
      </c>
    </row>
    <row r="26" spans="1:7" x14ac:dyDescent="0.25">
      <c r="A26" t="s">
        <v>3786</v>
      </c>
      <c r="B26" s="3">
        <v>96001572</v>
      </c>
      <c r="C26" s="6">
        <v>-0.15429999999999999</v>
      </c>
      <c r="D26" s="3">
        <v>74693615</v>
      </c>
      <c r="E26" s="6">
        <v>0.2853</v>
      </c>
      <c r="F26" s="3">
        <v>406598755</v>
      </c>
      <c r="G26" s="6">
        <v>0.38579999999999998</v>
      </c>
    </row>
    <row r="27" spans="1:7" x14ac:dyDescent="0.25">
      <c r="A27" t="s">
        <v>3787</v>
      </c>
      <c r="B27" s="3">
        <v>113519599</v>
      </c>
      <c r="C27" s="6">
        <v>0.2155</v>
      </c>
      <c r="D27" s="3">
        <v>79721587</v>
      </c>
      <c r="E27" s="6">
        <v>0.42399999999999999</v>
      </c>
      <c r="F27" s="3">
        <v>310597183</v>
      </c>
      <c r="G27" s="6">
        <v>0.42020000000000002</v>
      </c>
    </row>
    <row r="28" spans="1:7" x14ac:dyDescent="0.25">
      <c r="A28" t="s">
        <v>3788</v>
      </c>
      <c r="B28" s="3">
        <v>93394449</v>
      </c>
      <c r="C28" s="6">
        <v>-9.9199999999999997E-2</v>
      </c>
      <c r="D28" s="3">
        <v>60889055</v>
      </c>
      <c r="E28" s="6">
        <v>0.53380000000000005</v>
      </c>
      <c r="F28" s="3">
        <v>197077584</v>
      </c>
      <c r="G28" s="6">
        <v>0.41799999999999998</v>
      </c>
    </row>
    <row r="29" spans="1:7" x14ac:dyDescent="0.25">
      <c r="A29" t="s">
        <v>3789</v>
      </c>
      <c r="B29" s="3">
        <v>103683135</v>
      </c>
      <c r="C29" s="6">
        <v>3.5999999999999999E-3</v>
      </c>
      <c r="D29" s="3">
        <v>78093827</v>
      </c>
      <c r="E29" s="6">
        <v>0.32769999999999999</v>
      </c>
      <c r="F29" s="3">
        <v>103683135</v>
      </c>
      <c r="G29" s="6">
        <v>0.32769999999999999</v>
      </c>
    </row>
    <row r="30" spans="1:7" x14ac:dyDescent="0.25">
      <c r="A30" t="s">
        <v>3790</v>
      </c>
      <c r="B30" s="3">
        <v>103313138</v>
      </c>
      <c r="C30" s="6">
        <v>-4.24E-2</v>
      </c>
      <c r="D30" s="3">
        <v>89830598</v>
      </c>
      <c r="E30" s="6">
        <v>0.15010000000000001</v>
      </c>
      <c r="F30" s="3">
        <v>1069985448</v>
      </c>
      <c r="G30" s="6">
        <v>3.73E-2</v>
      </c>
    </row>
    <row r="31" spans="1:7" x14ac:dyDescent="0.25">
      <c r="A31" t="s">
        <v>3791</v>
      </c>
      <c r="B31" s="3">
        <v>107884396</v>
      </c>
      <c r="C31" s="6">
        <v>1.7399999999999999E-2</v>
      </c>
      <c r="D31" s="3">
        <v>98389414</v>
      </c>
      <c r="E31" s="6">
        <v>9.6500000000000002E-2</v>
      </c>
      <c r="F31" s="3">
        <v>966672310</v>
      </c>
      <c r="G31" s="6">
        <v>2.6599999999999999E-2</v>
      </c>
    </row>
    <row r="32" spans="1:7" x14ac:dyDescent="0.25">
      <c r="A32" t="s">
        <v>3792</v>
      </c>
      <c r="B32" s="3">
        <v>106039531</v>
      </c>
      <c r="C32" s="6">
        <v>3.7900000000000003E-2</v>
      </c>
      <c r="D32" s="3">
        <v>101550181</v>
      </c>
      <c r="E32" s="6">
        <v>4.4200000000000003E-2</v>
      </c>
      <c r="F32" s="3">
        <v>858787914</v>
      </c>
      <c r="G32" s="6">
        <v>1.84E-2</v>
      </c>
    </row>
    <row r="33" spans="1:7" x14ac:dyDescent="0.25">
      <c r="A33" t="s">
        <v>3793</v>
      </c>
      <c r="B33" s="3">
        <v>102170096</v>
      </c>
      <c r="C33" s="6">
        <v>-3.7199999999999997E-2</v>
      </c>
      <c r="D33" s="3">
        <v>94921920</v>
      </c>
      <c r="E33" s="6">
        <v>7.6399999999999996E-2</v>
      </c>
      <c r="F33" s="3">
        <v>752748383</v>
      </c>
      <c r="G33" s="6">
        <v>1.49E-2</v>
      </c>
    </row>
    <row r="34" spans="1:7" x14ac:dyDescent="0.25">
      <c r="A34" t="s">
        <v>3794</v>
      </c>
      <c r="B34" s="3">
        <v>106117619</v>
      </c>
      <c r="C34" s="6">
        <v>0.252</v>
      </c>
      <c r="D34" s="3">
        <v>91055038</v>
      </c>
      <c r="E34" s="6">
        <v>0.16539999999999999</v>
      </c>
      <c r="F34" s="3">
        <v>650578287</v>
      </c>
      <c r="G34" s="6">
        <v>5.8999999999999999E-3</v>
      </c>
    </row>
    <row r="35" spans="1:7" x14ac:dyDescent="0.25">
      <c r="A35" t="s">
        <v>3795</v>
      </c>
      <c r="B35" s="3">
        <v>84757724</v>
      </c>
      <c r="C35" s="6">
        <v>-1.29E-2</v>
      </c>
      <c r="D35" s="3">
        <v>74370924</v>
      </c>
      <c r="E35" s="6">
        <v>0.13969999999999999</v>
      </c>
      <c r="F35" s="3">
        <v>544460668</v>
      </c>
      <c r="G35" s="6">
        <v>-2.0299999999999999E-2</v>
      </c>
    </row>
    <row r="36" spans="1:7" x14ac:dyDescent="0.25">
      <c r="A36" t="s">
        <v>3796</v>
      </c>
      <c r="B36" s="3">
        <v>85867929</v>
      </c>
      <c r="C36" s="6">
        <v>6.7500000000000004E-2</v>
      </c>
      <c r="D36" s="3">
        <v>70438298</v>
      </c>
      <c r="E36" s="6">
        <v>0.21909999999999999</v>
      </c>
      <c r="F36" s="3">
        <v>459702944</v>
      </c>
      <c r="G36" s="6">
        <v>-4.4999999999999998E-2</v>
      </c>
    </row>
    <row r="37" spans="1:7" x14ac:dyDescent="0.25">
      <c r="A37" t="s">
        <v>3797</v>
      </c>
      <c r="B37" s="3">
        <v>80436931</v>
      </c>
      <c r="C37" s="6">
        <v>7.6899999999999996E-2</v>
      </c>
      <c r="D37" s="3">
        <v>80968732</v>
      </c>
      <c r="E37" s="6">
        <v>-6.6E-3</v>
      </c>
      <c r="F37" s="3">
        <v>373835015</v>
      </c>
      <c r="G37" s="6">
        <v>-9.0200000000000002E-2</v>
      </c>
    </row>
    <row r="38" spans="1:7" x14ac:dyDescent="0.25">
      <c r="A38" t="s">
        <v>3798</v>
      </c>
      <c r="B38" s="3">
        <v>74693615</v>
      </c>
      <c r="C38" s="6">
        <v>-6.3100000000000003E-2</v>
      </c>
      <c r="D38" s="3">
        <v>81869781</v>
      </c>
      <c r="E38" s="6">
        <v>-8.77E-2</v>
      </c>
      <c r="F38" s="3">
        <v>293398084</v>
      </c>
      <c r="G38" s="6">
        <v>-0.1108</v>
      </c>
    </row>
    <row r="39" spans="1:7" x14ac:dyDescent="0.25">
      <c r="A39" t="s">
        <v>3799</v>
      </c>
      <c r="B39" s="3">
        <v>79721587</v>
      </c>
      <c r="C39" s="6">
        <v>0.30930000000000002</v>
      </c>
      <c r="D39" s="3">
        <v>103697437</v>
      </c>
      <c r="E39" s="6">
        <v>-0.23119999999999999</v>
      </c>
      <c r="F39" s="3">
        <v>218704469</v>
      </c>
      <c r="G39" s="6">
        <v>-0.11840000000000001</v>
      </c>
    </row>
    <row r="40" spans="1:7" x14ac:dyDescent="0.25">
      <c r="A40" t="s">
        <v>3800</v>
      </c>
      <c r="B40" s="3">
        <v>60889055</v>
      </c>
      <c r="C40" s="6">
        <v>-0.2203</v>
      </c>
      <c r="D40" s="3">
        <v>64640562</v>
      </c>
      <c r="E40" s="6">
        <v>-5.8000000000000003E-2</v>
      </c>
      <c r="F40" s="3">
        <v>138982882</v>
      </c>
      <c r="G40" s="6">
        <v>-3.7400000000000003E-2</v>
      </c>
    </row>
    <row r="41" spans="1:7" x14ac:dyDescent="0.25">
      <c r="A41" t="s">
        <v>3801</v>
      </c>
      <c r="B41" s="3">
        <v>78093827</v>
      </c>
      <c r="C41" s="6">
        <v>-0.13070000000000001</v>
      </c>
      <c r="D41" s="3">
        <v>79740672</v>
      </c>
      <c r="E41" s="6">
        <v>-2.07E-2</v>
      </c>
      <c r="F41" s="3">
        <v>78093827</v>
      </c>
      <c r="G41" s="6">
        <v>-2.07E-2</v>
      </c>
    </row>
    <row r="42" spans="1:7" x14ac:dyDescent="0.25">
      <c r="A42" t="s">
        <v>3802</v>
      </c>
      <c r="B42" s="3">
        <v>89830598</v>
      </c>
      <c r="C42" s="6">
        <v>-8.6999999999999994E-2</v>
      </c>
      <c r="D42" s="3">
        <v>89897252</v>
      </c>
      <c r="E42" s="6">
        <v>-6.9999999999999999E-4</v>
      </c>
      <c r="F42" s="3">
        <v>1031473557</v>
      </c>
      <c r="G42" s="6">
        <v>5.5300000000000002E-2</v>
      </c>
    </row>
    <row r="43" spans="1:7" x14ac:dyDescent="0.25">
      <c r="A43" t="s">
        <v>3803</v>
      </c>
      <c r="B43" s="3">
        <v>98389414</v>
      </c>
      <c r="C43" s="6">
        <v>-3.1099999999999999E-2</v>
      </c>
      <c r="D43" s="3">
        <v>93153310</v>
      </c>
      <c r="E43" s="6">
        <v>5.62E-2</v>
      </c>
      <c r="F43" s="3">
        <v>941642959</v>
      </c>
      <c r="G43" s="6">
        <v>6.0900000000000003E-2</v>
      </c>
    </row>
    <row r="44" spans="1:7" x14ac:dyDescent="0.25">
      <c r="A44" t="s">
        <v>3804</v>
      </c>
      <c r="B44" s="3">
        <v>101550181</v>
      </c>
      <c r="C44" s="6">
        <v>6.9800000000000001E-2</v>
      </c>
      <c r="D44" s="3">
        <v>94519722</v>
      </c>
      <c r="E44" s="6">
        <v>7.4399999999999994E-2</v>
      </c>
      <c r="F44" s="3">
        <v>843253545</v>
      </c>
      <c r="G44" s="6">
        <v>6.1499999999999999E-2</v>
      </c>
    </row>
    <row r="45" spans="1:7" x14ac:dyDescent="0.25">
      <c r="A45" t="s">
        <v>3805</v>
      </c>
      <c r="B45" s="3">
        <v>94921920</v>
      </c>
      <c r="C45" s="6">
        <v>4.2500000000000003E-2</v>
      </c>
      <c r="D45" s="3">
        <v>88578988</v>
      </c>
      <c r="E45" s="6">
        <v>7.1599999999999997E-2</v>
      </c>
      <c r="F45" s="3">
        <v>741703364</v>
      </c>
      <c r="G45" s="6">
        <v>5.9799999999999999E-2</v>
      </c>
    </row>
    <row r="46" spans="1:7" x14ac:dyDescent="0.25">
      <c r="A46" t="s">
        <v>3806</v>
      </c>
      <c r="B46" s="3">
        <v>91055038</v>
      </c>
      <c r="C46" s="6">
        <v>0.2243</v>
      </c>
      <c r="D46" s="3">
        <v>91917167</v>
      </c>
      <c r="E46" s="6">
        <v>-9.4000000000000004E-3</v>
      </c>
      <c r="F46" s="3">
        <v>646781444</v>
      </c>
      <c r="G46" s="6">
        <v>5.8000000000000003E-2</v>
      </c>
    </row>
    <row r="47" spans="1:7" x14ac:dyDescent="0.25">
      <c r="A47" t="s">
        <v>3807</v>
      </c>
      <c r="B47" s="3">
        <v>74370924</v>
      </c>
      <c r="C47" s="6">
        <v>5.5800000000000002E-2</v>
      </c>
      <c r="D47" s="3">
        <v>71611190</v>
      </c>
      <c r="E47" s="6">
        <v>3.85E-2</v>
      </c>
      <c r="F47" s="3">
        <v>555726406</v>
      </c>
      <c r="G47" s="6">
        <v>7.0000000000000007E-2</v>
      </c>
    </row>
    <row r="48" spans="1:7" x14ac:dyDescent="0.25">
      <c r="A48" t="s">
        <v>3808</v>
      </c>
      <c r="B48" s="3">
        <v>70438298</v>
      </c>
      <c r="C48" s="6">
        <v>-0.13009999999999999</v>
      </c>
      <c r="D48" s="3">
        <v>84187305</v>
      </c>
      <c r="E48" s="6">
        <v>-0.1633</v>
      </c>
      <c r="F48" s="3">
        <v>481355482</v>
      </c>
      <c r="G48" s="6">
        <v>7.4999999999999997E-2</v>
      </c>
    </row>
    <row r="49" spans="1:6" x14ac:dyDescent="0.25">
      <c r="A49" t="s">
        <v>3809</v>
      </c>
      <c r="B49" s="3">
        <v>80968732</v>
      </c>
      <c r="C49" s="6">
        <v>-1.0999999999999999E-2</v>
      </c>
      <c r="F49" s="3">
        <v>410917184</v>
      </c>
    </row>
    <row r="50" spans="1:6" x14ac:dyDescent="0.25">
      <c r="A50" t="s">
        <v>3810</v>
      </c>
      <c r="B50" s="3">
        <v>81869781</v>
      </c>
      <c r="C50" s="6">
        <v>-0.21049999999999999</v>
      </c>
      <c r="F50" s="3">
        <v>329948452</v>
      </c>
    </row>
    <row r="51" spans="1:6" x14ac:dyDescent="0.25">
      <c r="A51" t="s">
        <v>3811</v>
      </c>
      <c r="B51" s="3">
        <v>103697437</v>
      </c>
      <c r="C51" s="6">
        <v>0.60419999999999996</v>
      </c>
      <c r="F51" s="3">
        <v>248078671</v>
      </c>
    </row>
    <row r="52" spans="1:6" x14ac:dyDescent="0.25">
      <c r="A52" t="s">
        <v>3812</v>
      </c>
      <c r="B52" s="3">
        <v>64640562</v>
      </c>
      <c r="C52" s="6">
        <v>-0.18940000000000001</v>
      </c>
      <c r="F52" s="3">
        <v>144381234</v>
      </c>
    </row>
    <row r="53" spans="1:6" x14ac:dyDescent="0.25">
      <c r="A53" t="s">
        <v>3813</v>
      </c>
      <c r="B53" s="3">
        <v>79740672</v>
      </c>
      <c r="C53" s="6">
        <v>-0.113</v>
      </c>
      <c r="F53" s="3">
        <v>79740672</v>
      </c>
    </row>
    <row r="54" spans="1:6" x14ac:dyDescent="0.25">
      <c r="A54" t="s">
        <v>3814</v>
      </c>
      <c r="B54" s="3">
        <v>89897252</v>
      </c>
      <c r="C54" s="6">
        <v>-3.5000000000000003E-2</v>
      </c>
      <c r="F54" s="3">
        <v>977447241</v>
      </c>
    </row>
    <row r="55" spans="1:6" x14ac:dyDescent="0.25">
      <c r="A55" t="s">
        <v>3815</v>
      </c>
      <c r="B55" s="3">
        <v>93153310</v>
      </c>
      <c r="C55" s="6">
        <v>-1.4500000000000001E-2</v>
      </c>
      <c r="F55" s="3">
        <v>887549989</v>
      </c>
    </row>
    <row r="56" spans="1:6" x14ac:dyDescent="0.25">
      <c r="A56" t="s">
        <v>3816</v>
      </c>
      <c r="B56" s="3">
        <v>94519722</v>
      </c>
      <c r="C56" s="6">
        <v>6.7100000000000007E-2</v>
      </c>
      <c r="F56" s="3">
        <v>794396679</v>
      </c>
    </row>
    <row r="57" spans="1:6" x14ac:dyDescent="0.25">
      <c r="A57" t="s">
        <v>3817</v>
      </c>
      <c r="B57" s="3">
        <v>88578988</v>
      </c>
      <c r="C57" s="6">
        <v>-3.6299999999999999E-2</v>
      </c>
      <c r="F57" s="3">
        <v>699876957</v>
      </c>
    </row>
    <row r="58" spans="1:6" x14ac:dyDescent="0.25">
      <c r="A58" t="s">
        <v>3818</v>
      </c>
      <c r="B58" s="3">
        <v>91917167</v>
      </c>
      <c r="C58" s="6">
        <v>0.28360000000000002</v>
      </c>
      <c r="F58" s="3">
        <v>611297969</v>
      </c>
    </row>
    <row r="59" spans="1:6" x14ac:dyDescent="0.25">
      <c r="A59" t="s">
        <v>3819</v>
      </c>
      <c r="B59" s="3">
        <v>71611190</v>
      </c>
      <c r="C59" s="6">
        <v>-0.14940000000000001</v>
      </c>
      <c r="F59" s="3">
        <v>519380802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67DA-EE86-4E03-ABD3-455E8FE4BEAB}">
  <sheetPr codeName="工作表6"/>
  <dimension ref="A2:F6843"/>
  <sheetViews>
    <sheetView workbookViewId="0">
      <selection activeCell="A6" sqref="A6"/>
    </sheetView>
  </sheetViews>
  <sheetFormatPr defaultRowHeight="16.5" x14ac:dyDescent="0.25"/>
  <cols>
    <col min="1" max="1" width="10.5" bestFit="1" customWidth="1"/>
    <col min="2" max="2" width="30.375" bestFit="1" customWidth="1"/>
    <col min="3" max="3" width="50.375" bestFit="1" customWidth="1"/>
    <col min="4" max="4" width="75" bestFit="1" customWidth="1"/>
    <col min="6" max="6" width="7.5" bestFit="1" customWidth="1"/>
  </cols>
  <sheetData>
    <row r="2" spans="1:6" x14ac:dyDescent="0.25">
      <c r="A2" t="s">
        <v>0</v>
      </c>
      <c r="B2" t="s">
        <v>8</v>
      </c>
      <c r="C2" t="s">
        <v>9</v>
      </c>
      <c r="D2" t="s">
        <v>10</v>
      </c>
      <c r="E2" t="s">
        <v>3885</v>
      </c>
    </row>
    <row r="3" spans="1:6" x14ac:dyDescent="0.25">
      <c r="A3">
        <f>總表!A2</f>
        <v>2330</v>
      </c>
      <c r="B3" t="str">
        <f>券商名單!B2</f>
        <v>http://newjust.masterlink.com.tw/</v>
      </c>
      <c r="C3" t="str">
        <f>"z/BCD/czkc1.djbcd?a="&amp;總表!A2&amp;"&amp;b=A&amp;c=2880&amp;E=1&amp;ver=5"</f>
        <v>z/BCD/czkc1.djbcd?a=2330&amp;b=A&amp;c=2880&amp;E=1&amp;ver=5</v>
      </c>
      <c r="D3" t="str">
        <f>B3&amp;C3</f>
        <v>http://newjust.masterlink.com.tw/z/BCD/czkc1.djbcd?a=2330&amp;b=A&amp;c=2880&amp;E=1&amp;ver=5</v>
      </c>
      <c r="E3">
        <f>COUNTA(A:A)-2</f>
        <v>6838</v>
      </c>
    </row>
    <row r="6" spans="1:6" x14ac:dyDescent="0.25">
      <c r="A6" s="4">
        <v>34582</v>
      </c>
      <c r="B6">
        <v>2.1808000000000001</v>
      </c>
      <c r="C6">
        <v>2.1808000000000001</v>
      </c>
      <c r="D6">
        <v>2.1808000000000001</v>
      </c>
      <c r="E6">
        <v>2.1808000000000001</v>
      </c>
      <c r="F6">
        <v>4</v>
      </c>
    </row>
    <row r="7" spans="1:6" x14ac:dyDescent="0.25">
      <c r="A7" s="4">
        <v>34583</v>
      </c>
      <c r="B7">
        <v>2.3285</v>
      </c>
      <c r="C7">
        <v>2.3285</v>
      </c>
      <c r="D7">
        <v>2.3285</v>
      </c>
      <c r="E7">
        <v>2.3285</v>
      </c>
      <c r="F7">
        <v>1</v>
      </c>
    </row>
    <row r="8" spans="1:6" x14ac:dyDescent="0.25">
      <c r="A8" s="4">
        <v>34584</v>
      </c>
      <c r="B8">
        <v>2.4874999999999998</v>
      </c>
      <c r="C8">
        <v>2.4874999999999998</v>
      </c>
      <c r="D8">
        <v>2.4874999999999998</v>
      </c>
      <c r="E8">
        <v>2.4874999999999998</v>
      </c>
      <c r="F8">
        <v>1</v>
      </c>
    </row>
    <row r="9" spans="1:6" x14ac:dyDescent="0.25">
      <c r="A9" s="4">
        <v>34585</v>
      </c>
      <c r="B9">
        <v>2.6579000000000002</v>
      </c>
      <c r="C9">
        <v>2.6579000000000002</v>
      </c>
      <c r="D9">
        <v>2.6579000000000002</v>
      </c>
      <c r="E9">
        <v>2.6579000000000002</v>
      </c>
      <c r="F9">
        <v>2</v>
      </c>
    </row>
    <row r="10" spans="1:6" x14ac:dyDescent="0.25">
      <c r="A10" s="4">
        <v>34586</v>
      </c>
      <c r="B10">
        <v>2.8395999999999999</v>
      </c>
      <c r="C10">
        <v>2.8395999999999999</v>
      </c>
      <c r="D10">
        <v>2.8395999999999999</v>
      </c>
      <c r="E10">
        <v>2.8395999999999999</v>
      </c>
      <c r="F10">
        <v>1</v>
      </c>
    </row>
    <row r="11" spans="1:6" x14ac:dyDescent="0.25">
      <c r="A11" s="4">
        <v>34587</v>
      </c>
      <c r="B11">
        <v>3.0327000000000002</v>
      </c>
      <c r="C11">
        <v>3.0327000000000002</v>
      </c>
      <c r="D11">
        <v>3.0327000000000002</v>
      </c>
      <c r="E11">
        <v>3.0327000000000002</v>
      </c>
      <c r="F11">
        <v>37</v>
      </c>
    </row>
    <row r="12" spans="1:6" x14ac:dyDescent="0.25">
      <c r="A12" s="4">
        <v>34589</v>
      </c>
      <c r="B12">
        <v>3.2372000000000001</v>
      </c>
      <c r="C12">
        <v>3.2372000000000001</v>
      </c>
      <c r="D12">
        <v>3.2372000000000001</v>
      </c>
      <c r="E12">
        <v>3.2372000000000001</v>
      </c>
      <c r="F12">
        <v>3855</v>
      </c>
    </row>
    <row r="13" spans="1:6" x14ac:dyDescent="0.25">
      <c r="A13" s="4">
        <v>34590</v>
      </c>
      <c r="B13">
        <v>3.4529999999999998</v>
      </c>
      <c r="C13">
        <v>3.4529999999999998</v>
      </c>
      <c r="D13">
        <v>3.4529999999999998</v>
      </c>
      <c r="E13">
        <v>3.4529999999999998</v>
      </c>
      <c r="F13">
        <v>12541</v>
      </c>
    </row>
    <row r="14" spans="1:6" x14ac:dyDescent="0.25">
      <c r="A14" s="4">
        <v>34591</v>
      </c>
      <c r="B14">
        <v>3.6802000000000001</v>
      </c>
      <c r="C14">
        <v>3.6802000000000001</v>
      </c>
      <c r="D14">
        <v>3.6802000000000001</v>
      </c>
      <c r="E14">
        <v>3.6802000000000001</v>
      </c>
      <c r="F14">
        <v>10301</v>
      </c>
    </row>
    <row r="15" spans="1:6" x14ac:dyDescent="0.25">
      <c r="A15" s="4">
        <v>34592</v>
      </c>
      <c r="B15">
        <v>3.9300999999999999</v>
      </c>
      <c r="C15">
        <v>3.9300999999999999</v>
      </c>
      <c r="D15">
        <v>3.7483</v>
      </c>
      <c r="E15">
        <v>3.9300999999999999</v>
      </c>
      <c r="F15">
        <v>17770</v>
      </c>
    </row>
    <row r="16" spans="1:6" x14ac:dyDescent="0.25">
      <c r="A16" s="4">
        <v>34593</v>
      </c>
      <c r="B16">
        <v>3.9300999999999999</v>
      </c>
      <c r="C16">
        <v>4.0209000000000001</v>
      </c>
      <c r="D16">
        <v>3.8165</v>
      </c>
      <c r="E16">
        <v>3.8845999999999998</v>
      </c>
      <c r="F16">
        <v>11219</v>
      </c>
    </row>
    <row r="17" spans="1:6" x14ac:dyDescent="0.25">
      <c r="A17" s="4">
        <v>34594</v>
      </c>
      <c r="B17">
        <v>3.8845999999999998</v>
      </c>
      <c r="C17">
        <v>3.9754999999999998</v>
      </c>
      <c r="D17">
        <v>3.8391999999999999</v>
      </c>
      <c r="E17">
        <v>3.8845999999999998</v>
      </c>
      <c r="F17">
        <v>8139</v>
      </c>
    </row>
    <row r="18" spans="1:6" x14ac:dyDescent="0.25">
      <c r="A18" s="4">
        <v>34598</v>
      </c>
      <c r="B18">
        <v>3.8845999999999998</v>
      </c>
      <c r="C18">
        <v>3.9527999999999999</v>
      </c>
      <c r="D18">
        <v>3.8165</v>
      </c>
      <c r="E18">
        <v>3.9300999999999999</v>
      </c>
      <c r="F18">
        <v>6979</v>
      </c>
    </row>
    <row r="19" spans="1:6" x14ac:dyDescent="0.25">
      <c r="A19" s="4">
        <v>34599</v>
      </c>
      <c r="B19">
        <v>3.9074</v>
      </c>
      <c r="C19">
        <v>3.9074</v>
      </c>
      <c r="D19">
        <v>3.8391999999999999</v>
      </c>
      <c r="E19">
        <v>3.8391999999999999</v>
      </c>
      <c r="F19">
        <v>3401</v>
      </c>
    </row>
    <row r="20" spans="1:6" x14ac:dyDescent="0.25">
      <c r="A20" s="4">
        <v>34600</v>
      </c>
      <c r="B20">
        <v>3.8391999999999999</v>
      </c>
      <c r="C20">
        <v>3.9982000000000002</v>
      </c>
      <c r="D20">
        <v>3.8165</v>
      </c>
      <c r="E20">
        <v>3.9754999999999998</v>
      </c>
      <c r="F20">
        <v>10990</v>
      </c>
    </row>
    <row r="21" spans="1:6" x14ac:dyDescent="0.25">
      <c r="A21" s="4">
        <v>34601</v>
      </c>
      <c r="B21">
        <v>3.9754999999999998</v>
      </c>
      <c r="C21">
        <v>3.9754999999999998</v>
      </c>
      <c r="D21">
        <v>3.8845999999999998</v>
      </c>
      <c r="E21">
        <v>3.8845999999999998</v>
      </c>
      <c r="F21">
        <v>5901</v>
      </c>
    </row>
    <row r="22" spans="1:6" x14ac:dyDescent="0.25">
      <c r="A22" s="4">
        <v>34603</v>
      </c>
      <c r="B22">
        <v>3.8845999999999998</v>
      </c>
      <c r="C22">
        <v>3.9300999999999999</v>
      </c>
      <c r="D22">
        <v>3.8391999999999999</v>
      </c>
      <c r="E22">
        <v>3.8618999999999999</v>
      </c>
      <c r="F22">
        <v>4347</v>
      </c>
    </row>
    <row r="23" spans="1:6" x14ac:dyDescent="0.25">
      <c r="A23" s="4">
        <v>34604</v>
      </c>
      <c r="B23">
        <v>3.8845999999999998</v>
      </c>
      <c r="C23">
        <v>3.9300999999999999</v>
      </c>
      <c r="D23">
        <v>3.8618999999999999</v>
      </c>
      <c r="E23">
        <v>3.8845999999999998</v>
      </c>
      <c r="F23">
        <v>3684</v>
      </c>
    </row>
    <row r="24" spans="1:6" x14ac:dyDescent="0.25">
      <c r="A24" s="4">
        <v>34606</v>
      </c>
      <c r="B24">
        <v>3.9074</v>
      </c>
      <c r="C24">
        <v>3.9074</v>
      </c>
      <c r="D24">
        <v>3.8618999999999999</v>
      </c>
      <c r="E24">
        <v>3.9074</v>
      </c>
      <c r="F24">
        <v>2647</v>
      </c>
    </row>
    <row r="25" spans="1:6" x14ac:dyDescent="0.25">
      <c r="A25" s="4">
        <v>34607</v>
      </c>
      <c r="B25">
        <v>3.9074</v>
      </c>
      <c r="C25">
        <v>3.9527999999999999</v>
      </c>
      <c r="D25">
        <v>3.8845999999999998</v>
      </c>
      <c r="E25">
        <v>3.8845999999999998</v>
      </c>
      <c r="F25">
        <v>2153</v>
      </c>
    </row>
    <row r="26" spans="1:6" x14ac:dyDescent="0.25">
      <c r="A26" s="4">
        <v>34608</v>
      </c>
      <c r="B26">
        <v>3.8845999999999998</v>
      </c>
      <c r="C26">
        <v>3.9074</v>
      </c>
      <c r="D26">
        <v>3.8845999999999998</v>
      </c>
      <c r="E26">
        <v>3.9074</v>
      </c>
      <c r="F26">
        <v>1660</v>
      </c>
    </row>
    <row r="27" spans="1:6" x14ac:dyDescent="0.25">
      <c r="A27" s="4">
        <v>34610</v>
      </c>
      <c r="B27">
        <v>3.9074</v>
      </c>
      <c r="C27">
        <v>3.9300999999999999</v>
      </c>
      <c r="D27">
        <v>3.8845999999999998</v>
      </c>
      <c r="E27">
        <v>3.9074</v>
      </c>
      <c r="F27">
        <v>1560</v>
      </c>
    </row>
    <row r="28" spans="1:6" x14ac:dyDescent="0.25">
      <c r="A28" s="4">
        <v>34611</v>
      </c>
      <c r="B28">
        <v>3.9074</v>
      </c>
      <c r="C28">
        <v>3.9527999999999999</v>
      </c>
      <c r="D28">
        <v>3.8845999999999998</v>
      </c>
      <c r="E28">
        <v>3.9527999999999999</v>
      </c>
      <c r="F28">
        <v>4080</v>
      </c>
    </row>
    <row r="29" spans="1:6" x14ac:dyDescent="0.25">
      <c r="A29" s="4">
        <v>34612</v>
      </c>
      <c r="B29">
        <v>3.9527999999999999</v>
      </c>
      <c r="C29">
        <v>4.0209000000000001</v>
      </c>
      <c r="D29">
        <v>3.9074</v>
      </c>
      <c r="E29">
        <v>4.0209000000000001</v>
      </c>
      <c r="F29">
        <v>9254</v>
      </c>
    </row>
    <row r="30" spans="1:6" x14ac:dyDescent="0.25">
      <c r="A30" s="4">
        <v>34613</v>
      </c>
      <c r="B30">
        <v>3.9754999999999998</v>
      </c>
      <c r="C30">
        <v>3.9982000000000002</v>
      </c>
      <c r="D30">
        <v>3.7938000000000001</v>
      </c>
      <c r="E30">
        <v>3.7938000000000001</v>
      </c>
      <c r="F30">
        <v>9664</v>
      </c>
    </row>
    <row r="31" spans="1:6" x14ac:dyDescent="0.25">
      <c r="A31" s="4">
        <v>34614</v>
      </c>
      <c r="B31">
        <v>3.7938000000000001</v>
      </c>
      <c r="C31">
        <v>3.8618999999999999</v>
      </c>
      <c r="D31">
        <v>3.7938000000000001</v>
      </c>
      <c r="E31">
        <v>3.8391999999999999</v>
      </c>
      <c r="F31">
        <v>7008</v>
      </c>
    </row>
    <row r="32" spans="1:6" x14ac:dyDescent="0.25">
      <c r="A32" s="4">
        <v>34615</v>
      </c>
      <c r="B32">
        <v>3.8618999999999999</v>
      </c>
      <c r="C32">
        <v>3.8845999999999998</v>
      </c>
      <c r="D32">
        <v>3.5893000000000002</v>
      </c>
      <c r="E32">
        <v>3.5893000000000002</v>
      </c>
      <c r="F32">
        <v>8929</v>
      </c>
    </row>
    <row r="33" spans="1:6" x14ac:dyDescent="0.25">
      <c r="A33" s="4">
        <v>34618</v>
      </c>
      <c r="B33">
        <v>3.5893000000000002</v>
      </c>
      <c r="C33">
        <v>3.6347</v>
      </c>
      <c r="D33">
        <v>3.4984000000000002</v>
      </c>
      <c r="E33">
        <v>3.6347</v>
      </c>
      <c r="F33">
        <v>9352</v>
      </c>
    </row>
    <row r="34" spans="1:6" x14ac:dyDescent="0.25">
      <c r="A34" s="4">
        <v>34619</v>
      </c>
      <c r="B34">
        <v>3.7256</v>
      </c>
      <c r="C34">
        <v>3.8618999999999999</v>
      </c>
      <c r="D34">
        <v>3.7029000000000001</v>
      </c>
      <c r="E34">
        <v>3.8165</v>
      </c>
      <c r="F34">
        <v>6870</v>
      </c>
    </row>
    <row r="35" spans="1:6" x14ac:dyDescent="0.25">
      <c r="A35" s="4">
        <v>34620</v>
      </c>
      <c r="B35">
        <v>3.8165</v>
      </c>
      <c r="C35">
        <v>3.8618999999999999</v>
      </c>
      <c r="D35">
        <v>3.7256</v>
      </c>
      <c r="E35">
        <v>3.8165</v>
      </c>
      <c r="F35">
        <v>4800</v>
      </c>
    </row>
    <row r="36" spans="1:6" x14ac:dyDescent="0.25">
      <c r="A36" s="4">
        <v>34621</v>
      </c>
      <c r="B36">
        <v>3.8165</v>
      </c>
      <c r="C36">
        <v>3.8618999999999999</v>
      </c>
      <c r="D36">
        <v>3.7711000000000001</v>
      </c>
      <c r="E36">
        <v>3.8165</v>
      </c>
      <c r="F36">
        <v>3415</v>
      </c>
    </row>
    <row r="37" spans="1:6" x14ac:dyDescent="0.25">
      <c r="A37" s="4">
        <v>34622</v>
      </c>
      <c r="B37">
        <v>3.8391999999999999</v>
      </c>
      <c r="C37">
        <v>3.8845999999999998</v>
      </c>
      <c r="D37">
        <v>3.8391999999999999</v>
      </c>
      <c r="E37">
        <v>3.8391999999999999</v>
      </c>
      <c r="F37">
        <v>4489</v>
      </c>
    </row>
    <row r="38" spans="1:6" x14ac:dyDescent="0.25">
      <c r="A38" s="4">
        <v>34624</v>
      </c>
      <c r="B38">
        <v>3.8618999999999999</v>
      </c>
      <c r="C38">
        <v>3.8845999999999998</v>
      </c>
      <c r="D38">
        <v>3.8391999999999999</v>
      </c>
      <c r="E38">
        <v>3.8391999999999999</v>
      </c>
      <c r="F38">
        <v>2975</v>
      </c>
    </row>
    <row r="39" spans="1:6" x14ac:dyDescent="0.25">
      <c r="A39" s="4">
        <v>34625</v>
      </c>
      <c r="B39">
        <v>3.8618999999999999</v>
      </c>
      <c r="C39">
        <v>3.8845999999999998</v>
      </c>
      <c r="D39">
        <v>3.8165</v>
      </c>
      <c r="E39">
        <v>3.8165</v>
      </c>
      <c r="F39">
        <v>1605</v>
      </c>
    </row>
    <row r="40" spans="1:6" x14ac:dyDescent="0.25">
      <c r="A40" s="4">
        <v>34626</v>
      </c>
      <c r="B40">
        <v>3.8165</v>
      </c>
      <c r="C40">
        <v>3.8391999999999999</v>
      </c>
      <c r="D40">
        <v>3.7256</v>
      </c>
      <c r="E40">
        <v>3.7483</v>
      </c>
      <c r="F40">
        <v>2699</v>
      </c>
    </row>
    <row r="41" spans="1:6" x14ac:dyDescent="0.25">
      <c r="A41" s="4">
        <v>34627</v>
      </c>
      <c r="B41">
        <v>3.7483</v>
      </c>
      <c r="C41">
        <v>3.7938000000000001</v>
      </c>
      <c r="D41">
        <v>3.7483</v>
      </c>
      <c r="E41">
        <v>3.7711000000000001</v>
      </c>
      <c r="F41">
        <v>1287</v>
      </c>
    </row>
    <row r="42" spans="1:6" x14ac:dyDescent="0.25">
      <c r="A42" s="4">
        <v>34628</v>
      </c>
      <c r="B42">
        <v>3.7711000000000001</v>
      </c>
      <c r="C42">
        <v>3.8165</v>
      </c>
      <c r="D42">
        <v>3.7256</v>
      </c>
      <c r="E42">
        <v>3.7256</v>
      </c>
      <c r="F42">
        <v>2350</v>
      </c>
    </row>
    <row r="43" spans="1:6" x14ac:dyDescent="0.25">
      <c r="A43" s="4">
        <v>34629</v>
      </c>
      <c r="B43">
        <v>3.7256</v>
      </c>
      <c r="C43">
        <v>3.7256</v>
      </c>
      <c r="D43">
        <v>3.6575000000000002</v>
      </c>
      <c r="E43">
        <v>3.6802000000000001</v>
      </c>
      <c r="F43">
        <v>1325</v>
      </c>
    </row>
    <row r="44" spans="1:6" x14ac:dyDescent="0.25">
      <c r="A44" s="4">
        <v>34631</v>
      </c>
      <c r="B44">
        <v>3.6575000000000002</v>
      </c>
      <c r="C44">
        <v>3.6802000000000001</v>
      </c>
      <c r="D44">
        <v>3.6347</v>
      </c>
      <c r="E44">
        <v>3.6347</v>
      </c>
      <c r="F44">
        <v>1400</v>
      </c>
    </row>
    <row r="45" spans="1:6" x14ac:dyDescent="0.25">
      <c r="A45" s="4">
        <v>34633</v>
      </c>
      <c r="B45">
        <v>3.6347</v>
      </c>
      <c r="C45">
        <v>3.6347</v>
      </c>
      <c r="D45">
        <v>3.5893000000000002</v>
      </c>
      <c r="E45">
        <v>3.6120000000000001</v>
      </c>
      <c r="F45">
        <v>1658</v>
      </c>
    </row>
    <row r="46" spans="1:6" x14ac:dyDescent="0.25">
      <c r="A46" s="4">
        <v>34634</v>
      </c>
      <c r="B46">
        <v>3.5893000000000002</v>
      </c>
      <c r="C46">
        <v>3.6120000000000001</v>
      </c>
      <c r="D46">
        <v>3.5438999999999998</v>
      </c>
      <c r="E46">
        <v>3.5438999999999998</v>
      </c>
      <c r="F46">
        <v>1458</v>
      </c>
    </row>
    <row r="47" spans="1:6" x14ac:dyDescent="0.25">
      <c r="A47" s="4">
        <v>34635</v>
      </c>
      <c r="B47">
        <v>3.5438999999999998</v>
      </c>
      <c r="C47">
        <v>3.6120000000000001</v>
      </c>
      <c r="D47">
        <v>3.5438999999999998</v>
      </c>
      <c r="E47">
        <v>3.6120000000000001</v>
      </c>
      <c r="F47">
        <v>1975</v>
      </c>
    </row>
    <row r="48" spans="1:6" x14ac:dyDescent="0.25">
      <c r="A48" s="4">
        <v>34636</v>
      </c>
      <c r="B48">
        <v>3.6575000000000002</v>
      </c>
      <c r="C48">
        <v>3.7029000000000001</v>
      </c>
      <c r="D48">
        <v>3.6347</v>
      </c>
      <c r="E48">
        <v>3.6802000000000001</v>
      </c>
      <c r="F48">
        <v>2622</v>
      </c>
    </row>
    <row r="49" spans="1:6" x14ac:dyDescent="0.25">
      <c r="A49" s="4">
        <v>34639</v>
      </c>
      <c r="B49">
        <v>3.7029000000000001</v>
      </c>
      <c r="C49">
        <v>3.7029000000000001</v>
      </c>
      <c r="D49">
        <v>3.5666000000000002</v>
      </c>
      <c r="E49">
        <v>3.5893000000000002</v>
      </c>
      <c r="F49">
        <v>2689</v>
      </c>
    </row>
    <row r="50" spans="1:6" x14ac:dyDescent="0.25">
      <c r="A50" s="4">
        <v>34640</v>
      </c>
      <c r="B50">
        <v>3.5893000000000002</v>
      </c>
      <c r="C50">
        <v>3.6347</v>
      </c>
      <c r="D50">
        <v>3.5438999999999998</v>
      </c>
      <c r="E50">
        <v>3.6120000000000001</v>
      </c>
      <c r="F50">
        <v>2113</v>
      </c>
    </row>
    <row r="51" spans="1:6" x14ac:dyDescent="0.25">
      <c r="A51" s="4">
        <v>34641</v>
      </c>
      <c r="B51">
        <v>3.6120000000000001</v>
      </c>
      <c r="C51">
        <v>3.6347</v>
      </c>
      <c r="D51">
        <v>3.5893000000000002</v>
      </c>
      <c r="E51">
        <v>3.5893000000000002</v>
      </c>
      <c r="F51">
        <v>872</v>
      </c>
    </row>
    <row r="52" spans="1:6" x14ac:dyDescent="0.25">
      <c r="A52" s="4">
        <v>34642</v>
      </c>
      <c r="B52">
        <v>3.5893000000000002</v>
      </c>
      <c r="C52">
        <v>3.6575000000000002</v>
      </c>
      <c r="D52">
        <v>3.5666000000000002</v>
      </c>
      <c r="E52">
        <v>3.6347</v>
      </c>
      <c r="F52">
        <v>1458</v>
      </c>
    </row>
    <row r="53" spans="1:6" x14ac:dyDescent="0.25">
      <c r="A53" s="4">
        <v>34643</v>
      </c>
      <c r="B53">
        <v>3.6347</v>
      </c>
      <c r="C53">
        <v>3.6575000000000002</v>
      </c>
      <c r="D53">
        <v>3.6120000000000001</v>
      </c>
      <c r="E53">
        <v>3.6120000000000001</v>
      </c>
      <c r="F53">
        <v>638</v>
      </c>
    </row>
    <row r="54" spans="1:6" x14ac:dyDescent="0.25">
      <c r="A54" s="4">
        <v>34645</v>
      </c>
      <c r="B54">
        <v>3.6120000000000001</v>
      </c>
      <c r="C54">
        <v>3.6120000000000001</v>
      </c>
      <c r="D54">
        <v>3.5666000000000002</v>
      </c>
      <c r="E54">
        <v>3.5893000000000002</v>
      </c>
      <c r="F54">
        <v>631</v>
      </c>
    </row>
    <row r="55" spans="1:6" x14ac:dyDescent="0.25">
      <c r="A55" s="4">
        <v>34646</v>
      </c>
      <c r="B55">
        <v>3.5893000000000002</v>
      </c>
      <c r="C55">
        <v>3.6120000000000001</v>
      </c>
      <c r="D55">
        <v>3.5666000000000002</v>
      </c>
      <c r="E55">
        <v>3.5893000000000002</v>
      </c>
      <c r="F55">
        <v>398</v>
      </c>
    </row>
    <row r="56" spans="1:6" x14ac:dyDescent="0.25">
      <c r="A56" s="4">
        <v>34647</v>
      </c>
      <c r="B56">
        <v>3.6120000000000001</v>
      </c>
      <c r="C56">
        <v>3.6575000000000002</v>
      </c>
      <c r="D56">
        <v>3.6120000000000001</v>
      </c>
      <c r="E56">
        <v>3.6575000000000002</v>
      </c>
      <c r="F56">
        <v>1370</v>
      </c>
    </row>
    <row r="57" spans="1:6" x14ac:dyDescent="0.25">
      <c r="A57" s="4">
        <v>34648</v>
      </c>
      <c r="B57">
        <v>3.6802000000000001</v>
      </c>
      <c r="C57">
        <v>3.7029000000000001</v>
      </c>
      <c r="D57">
        <v>3.6575000000000002</v>
      </c>
      <c r="E57">
        <v>3.6802000000000001</v>
      </c>
      <c r="F57">
        <v>1236</v>
      </c>
    </row>
    <row r="58" spans="1:6" x14ac:dyDescent="0.25">
      <c r="A58" s="4">
        <v>34649</v>
      </c>
      <c r="B58">
        <v>3.6802000000000001</v>
      </c>
      <c r="C58">
        <v>3.7029000000000001</v>
      </c>
      <c r="D58">
        <v>3.6575000000000002</v>
      </c>
      <c r="E58">
        <v>3.6802000000000001</v>
      </c>
      <c r="F58">
        <v>1255</v>
      </c>
    </row>
    <row r="59" spans="1:6" x14ac:dyDescent="0.25">
      <c r="A59" s="4">
        <v>34652</v>
      </c>
      <c r="B59">
        <v>3.7029000000000001</v>
      </c>
      <c r="C59">
        <v>3.7029000000000001</v>
      </c>
      <c r="D59">
        <v>3.6120000000000001</v>
      </c>
      <c r="E59">
        <v>3.6802000000000001</v>
      </c>
      <c r="F59">
        <v>823</v>
      </c>
    </row>
    <row r="60" spans="1:6" x14ac:dyDescent="0.25">
      <c r="A60" s="4">
        <v>34653</v>
      </c>
      <c r="B60">
        <v>3.6347</v>
      </c>
      <c r="C60">
        <v>3.6802000000000001</v>
      </c>
      <c r="D60">
        <v>3.6120000000000001</v>
      </c>
      <c r="E60">
        <v>3.6802000000000001</v>
      </c>
      <c r="F60">
        <v>920</v>
      </c>
    </row>
    <row r="61" spans="1:6" x14ac:dyDescent="0.25">
      <c r="A61" s="4">
        <v>34654</v>
      </c>
      <c r="B61">
        <v>3.6575000000000002</v>
      </c>
      <c r="C61">
        <v>3.6802000000000001</v>
      </c>
      <c r="D61">
        <v>3.6347</v>
      </c>
      <c r="E61">
        <v>3.6575000000000002</v>
      </c>
      <c r="F61">
        <v>597</v>
      </c>
    </row>
    <row r="62" spans="1:6" x14ac:dyDescent="0.25">
      <c r="A62" s="4">
        <v>34655</v>
      </c>
      <c r="B62">
        <v>3.6802000000000001</v>
      </c>
      <c r="C62">
        <v>3.6802000000000001</v>
      </c>
      <c r="D62">
        <v>3.6347</v>
      </c>
      <c r="E62">
        <v>3.6347</v>
      </c>
      <c r="F62">
        <v>567</v>
      </c>
    </row>
    <row r="63" spans="1:6" x14ac:dyDescent="0.25">
      <c r="A63" s="4">
        <v>34656</v>
      </c>
      <c r="B63">
        <v>3.6347</v>
      </c>
      <c r="C63">
        <v>3.6575000000000002</v>
      </c>
      <c r="D63">
        <v>3.6347</v>
      </c>
      <c r="E63">
        <v>3.6347</v>
      </c>
      <c r="F63">
        <v>437</v>
      </c>
    </row>
    <row r="64" spans="1:6" x14ac:dyDescent="0.25">
      <c r="A64" s="4">
        <v>34657</v>
      </c>
      <c r="B64">
        <v>3.6347</v>
      </c>
      <c r="C64">
        <v>3.6802000000000001</v>
      </c>
      <c r="D64">
        <v>3.6347</v>
      </c>
      <c r="E64">
        <v>3.6802000000000001</v>
      </c>
      <c r="F64">
        <v>416</v>
      </c>
    </row>
    <row r="65" spans="1:6" x14ac:dyDescent="0.25">
      <c r="A65" s="4">
        <v>34659</v>
      </c>
      <c r="B65">
        <v>3.6802000000000001</v>
      </c>
      <c r="C65">
        <v>3.6802000000000001</v>
      </c>
      <c r="D65">
        <v>3.6347</v>
      </c>
      <c r="E65">
        <v>3.6575000000000002</v>
      </c>
      <c r="F65">
        <v>417</v>
      </c>
    </row>
    <row r="66" spans="1:6" x14ac:dyDescent="0.25">
      <c r="A66" s="4">
        <v>34660</v>
      </c>
      <c r="B66">
        <v>3.6575000000000002</v>
      </c>
      <c r="C66">
        <v>3.6575000000000002</v>
      </c>
      <c r="D66">
        <v>3.6347</v>
      </c>
      <c r="E66">
        <v>3.6347</v>
      </c>
      <c r="F66">
        <v>803</v>
      </c>
    </row>
    <row r="67" spans="1:6" x14ac:dyDescent="0.25">
      <c r="A67" s="4">
        <v>34661</v>
      </c>
      <c r="B67">
        <v>3.6120000000000001</v>
      </c>
      <c r="C67">
        <v>3.6347</v>
      </c>
      <c r="D67">
        <v>3.5893000000000002</v>
      </c>
      <c r="E67">
        <v>3.6120000000000001</v>
      </c>
      <c r="F67">
        <v>1111</v>
      </c>
    </row>
    <row r="68" spans="1:6" x14ac:dyDescent="0.25">
      <c r="A68" s="4">
        <v>34662</v>
      </c>
      <c r="B68">
        <v>3.6347</v>
      </c>
      <c r="C68">
        <v>3.6575000000000002</v>
      </c>
      <c r="D68">
        <v>3.6120000000000001</v>
      </c>
      <c r="E68">
        <v>3.6120000000000001</v>
      </c>
      <c r="F68">
        <v>658</v>
      </c>
    </row>
    <row r="69" spans="1:6" x14ac:dyDescent="0.25">
      <c r="A69" s="4">
        <v>34663</v>
      </c>
      <c r="B69">
        <v>3.6347</v>
      </c>
      <c r="C69">
        <v>3.6802000000000001</v>
      </c>
      <c r="D69">
        <v>3.6347</v>
      </c>
      <c r="E69">
        <v>3.6575000000000002</v>
      </c>
      <c r="F69">
        <v>1832</v>
      </c>
    </row>
    <row r="70" spans="1:6" x14ac:dyDescent="0.25">
      <c r="A70" s="4">
        <v>34664</v>
      </c>
      <c r="B70">
        <v>3.6575000000000002</v>
      </c>
      <c r="C70">
        <v>3.6802000000000001</v>
      </c>
      <c r="D70">
        <v>3.6347</v>
      </c>
      <c r="E70">
        <v>3.6347</v>
      </c>
      <c r="F70">
        <v>386</v>
      </c>
    </row>
    <row r="71" spans="1:6" x14ac:dyDescent="0.25">
      <c r="A71" s="4">
        <v>34666</v>
      </c>
      <c r="B71">
        <v>3.6347</v>
      </c>
      <c r="C71">
        <v>3.6347</v>
      </c>
      <c r="D71">
        <v>3.6120000000000001</v>
      </c>
      <c r="E71">
        <v>3.6120000000000001</v>
      </c>
      <c r="F71">
        <v>519</v>
      </c>
    </row>
    <row r="72" spans="1:6" x14ac:dyDescent="0.25">
      <c r="A72" s="4">
        <v>34667</v>
      </c>
      <c r="B72">
        <v>3.6120000000000001</v>
      </c>
      <c r="C72">
        <v>3.6347</v>
      </c>
      <c r="D72">
        <v>3.6120000000000001</v>
      </c>
      <c r="E72">
        <v>3.6347</v>
      </c>
      <c r="F72">
        <v>668</v>
      </c>
    </row>
    <row r="73" spans="1:6" x14ac:dyDescent="0.25">
      <c r="A73" s="4">
        <v>34668</v>
      </c>
      <c r="B73">
        <v>3.6347</v>
      </c>
      <c r="C73">
        <v>3.6347</v>
      </c>
      <c r="D73">
        <v>3.5666000000000002</v>
      </c>
      <c r="E73">
        <v>3.6120000000000001</v>
      </c>
      <c r="F73">
        <v>1872</v>
      </c>
    </row>
    <row r="74" spans="1:6" x14ac:dyDescent="0.25">
      <c r="A74" s="4">
        <v>34669</v>
      </c>
      <c r="B74">
        <v>3.6120000000000001</v>
      </c>
      <c r="C74">
        <v>3.6347</v>
      </c>
      <c r="D74">
        <v>3.5893000000000002</v>
      </c>
      <c r="E74">
        <v>3.6347</v>
      </c>
      <c r="F74">
        <v>1456</v>
      </c>
    </row>
    <row r="75" spans="1:6" x14ac:dyDescent="0.25">
      <c r="A75" s="4">
        <v>34670</v>
      </c>
      <c r="B75">
        <v>3.6347</v>
      </c>
      <c r="C75">
        <v>3.6347</v>
      </c>
      <c r="D75">
        <v>3.5893000000000002</v>
      </c>
      <c r="E75">
        <v>3.6120000000000001</v>
      </c>
      <c r="F75">
        <v>2150</v>
      </c>
    </row>
    <row r="76" spans="1:6" x14ac:dyDescent="0.25">
      <c r="A76" s="4">
        <v>34673</v>
      </c>
      <c r="B76">
        <v>3.7029000000000001</v>
      </c>
      <c r="C76">
        <v>3.8165</v>
      </c>
      <c r="D76">
        <v>3.6802000000000001</v>
      </c>
      <c r="E76">
        <v>3.7711000000000001</v>
      </c>
      <c r="F76">
        <v>4907</v>
      </c>
    </row>
    <row r="77" spans="1:6" x14ac:dyDescent="0.25">
      <c r="A77" s="4">
        <v>34674</v>
      </c>
      <c r="B77">
        <v>3.7711000000000001</v>
      </c>
      <c r="C77">
        <v>3.7711000000000001</v>
      </c>
      <c r="D77">
        <v>3.7029000000000001</v>
      </c>
      <c r="E77">
        <v>3.7256</v>
      </c>
      <c r="F77">
        <v>1890</v>
      </c>
    </row>
    <row r="78" spans="1:6" x14ac:dyDescent="0.25">
      <c r="A78" s="4">
        <v>34675</v>
      </c>
      <c r="B78">
        <v>3.7256</v>
      </c>
      <c r="C78">
        <v>3.7483</v>
      </c>
      <c r="D78">
        <v>3.7029000000000001</v>
      </c>
      <c r="E78">
        <v>3.7256</v>
      </c>
      <c r="F78">
        <v>1299</v>
      </c>
    </row>
    <row r="79" spans="1:6" x14ac:dyDescent="0.25">
      <c r="A79" s="4">
        <v>34676</v>
      </c>
      <c r="B79">
        <v>3.7256</v>
      </c>
      <c r="C79">
        <v>3.7256</v>
      </c>
      <c r="D79">
        <v>3.6802000000000001</v>
      </c>
      <c r="E79">
        <v>3.6802000000000001</v>
      </c>
      <c r="F79">
        <v>993</v>
      </c>
    </row>
    <row r="80" spans="1:6" x14ac:dyDescent="0.25">
      <c r="A80" s="4">
        <v>34677</v>
      </c>
      <c r="B80">
        <v>3.6802000000000001</v>
      </c>
      <c r="C80">
        <v>3.7029000000000001</v>
      </c>
      <c r="D80">
        <v>3.6120000000000001</v>
      </c>
      <c r="E80">
        <v>3.6575000000000002</v>
      </c>
      <c r="F80">
        <v>1233</v>
      </c>
    </row>
    <row r="81" spans="1:6" x14ac:dyDescent="0.25">
      <c r="A81" s="4">
        <v>34678</v>
      </c>
      <c r="B81">
        <v>3.6802000000000001</v>
      </c>
      <c r="C81">
        <v>3.6802000000000001</v>
      </c>
      <c r="D81">
        <v>3.6120000000000001</v>
      </c>
      <c r="E81">
        <v>3.6120000000000001</v>
      </c>
      <c r="F81">
        <v>1202</v>
      </c>
    </row>
    <row r="82" spans="1:6" x14ac:dyDescent="0.25">
      <c r="A82" s="4">
        <v>34680</v>
      </c>
      <c r="B82">
        <v>3.6120000000000001</v>
      </c>
      <c r="C82">
        <v>3.6120000000000001</v>
      </c>
      <c r="D82">
        <v>3.5666000000000002</v>
      </c>
      <c r="E82">
        <v>3.6120000000000001</v>
      </c>
      <c r="F82">
        <v>563</v>
      </c>
    </row>
    <row r="83" spans="1:6" x14ac:dyDescent="0.25">
      <c r="A83" s="4">
        <v>34681</v>
      </c>
      <c r="B83">
        <v>3.5893000000000002</v>
      </c>
      <c r="C83">
        <v>3.6120000000000001</v>
      </c>
      <c r="D83">
        <v>3.5666000000000002</v>
      </c>
      <c r="E83">
        <v>3.5666000000000002</v>
      </c>
      <c r="F83">
        <v>596</v>
      </c>
    </row>
    <row r="84" spans="1:6" x14ac:dyDescent="0.25">
      <c r="A84" s="4">
        <v>34682</v>
      </c>
      <c r="B84">
        <v>3.5666000000000002</v>
      </c>
      <c r="C84">
        <v>3.5893000000000002</v>
      </c>
      <c r="D84">
        <v>3.5438999999999998</v>
      </c>
      <c r="E84">
        <v>3.5438999999999998</v>
      </c>
      <c r="F84">
        <v>1112</v>
      </c>
    </row>
    <row r="85" spans="1:6" x14ac:dyDescent="0.25">
      <c r="A85" s="4">
        <v>34683</v>
      </c>
      <c r="B85">
        <v>3.5438999999999998</v>
      </c>
      <c r="C85">
        <v>3.5666000000000002</v>
      </c>
      <c r="D85">
        <v>3.5211999999999999</v>
      </c>
      <c r="E85">
        <v>3.5438999999999998</v>
      </c>
      <c r="F85">
        <v>1106</v>
      </c>
    </row>
    <row r="86" spans="1:6" x14ac:dyDescent="0.25">
      <c r="A86" s="4">
        <v>34684</v>
      </c>
      <c r="B86">
        <v>3.5893000000000002</v>
      </c>
      <c r="C86">
        <v>3.6120000000000001</v>
      </c>
      <c r="D86">
        <v>3.5211999999999999</v>
      </c>
      <c r="E86">
        <v>3.5211999999999999</v>
      </c>
      <c r="F86">
        <v>2329</v>
      </c>
    </row>
    <row r="87" spans="1:6" x14ac:dyDescent="0.25">
      <c r="A87" s="4">
        <v>34685</v>
      </c>
      <c r="B87">
        <v>3.5211999999999999</v>
      </c>
      <c r="C87">
        <v>3.5438999999999998</v>
      </c>
      <c r="D87">
        <v>3.4984000000000002</v>
      </c>
      <c r="E87">
        <v>3.5438999999999998</v>
      </c>
      <c r="F87">
        <v>1324</v>
      </c>
    </row>
    <row r="88" spans="1:6" x14ac:dyDescent="0.25">
      <c r="A88" s="4">
        <v>34687</v>
      </c>
      <c r="B88">
        <v>3.5438999999999998</v>
      </c>
      <c r="C88">
        <v>3.5893000000000002</v>
      </c>
      <c r="D88">
        <v>3.5211999999999999</v>
      </c>
      <c r="E88">
        <v>3.5893000000000002</v>
      </c>
      <c r="F88">
        <v>1698</v>
      </c>
    </row>
    <row r="89" spans="1:6" x14ac:dyDescent="0.25">
      <c r="A89" s="4">
        <v>34688</v>
      </c>
      <c r="B89">
        <v>3.5893000000000002</v>
      </c>
      <c r="C89">
        <v>3.6120000000000001</v>
      </c>
      <c r="D89">
        <v>3.5666000000000002</v>
      </c>
      <c r="E89">
        <v>3.5666000000000002</v>
      </c>
      <c r="F89">
        <v>1168</v>
      </c>
    </row>
    <row r="90" spans="1:6" x14ac:dyDescent="0.25">
      <c r="A90" s="4">
        <v>34689</v>
      </c>
      <c r="B90">
        <v>3.5666000000000002</v>
      </c>
      <c r="C90">
        <v>3.5893000000000002</v>
      </c>
      <c r="D90">
        <v>3.5211999999999999</v>
      </c>
      <c r="E90">
        <v>3.5438999999999998</v>
      </c>
      <c r="F90">
        <v>1132</v>
      </c>
    </row>
    <row r="91" spans="1:6" x14ac:dyDescent="0.25">
      <c r="A91" s="4">
        <v>34690</v>
      </c>
      <c r="B91">
        <v>3.5438999999999998</v>
      </c>
      <c r="C91">
        <v>3.6120000000000001</v>
      </c>
      <c r="D91">
        <v>3.5211999999999999</v>
      </c>
      <c r="E91">
        <v>3.5666000000000002</v>
      </c>
      <c r="F91">
        <v>2203</v>
      </c>
    </row>
    <row r="92" spans="1:6" x14ac:dyDescent="0.25">
      <c r="A92" s="4">
        <v>34691</v>
      </c>
      <c r="B92">
        <v>3.5666000000000002</v>
      </c>
      <c r="C92">
        <v>3.5893000000000002</v>
      </c>
      <c r="D92">
        <v>3.4984000000000002</v>
      </c>
      <c r="E92">
        <v>3.5211999999999999</v>
      </c>
      <c r="F92">
        <v>1442</v>
      </c>
    </row>
    <row r="93" spans="1:6" x14ac:dyDescent="0.25">
      <c r="A93" s="4">
        <v>34692</v>
      </c>
      <c r="B93">
        <v>3.5211999999999999</v>
      </c>
      <c r="C93">
        <v>3.5438999999999998</v>
      </c>
      <c r="D93">
        <v>3.4984000000000002</v>
      </c>
      <c r="E93">
        <v>3.5211999999999999</v>
      </c>
      <c r="F93">
        <v>1813</v>
      </c>
    </row>
    <row r="94" spans="1:6" x14ac:dyDescent="0.25">
      <c r="A94" s="4">
        <v>34695</v>
      </c>
      <c r="B94">
        <v>3.5211999999999999</v>
      </c>
      <c r="C94">
        <v>3.5438999999999998</v>
      </c>
      <c r="D94">
        <v>3.4984000000000002</v>
      </c>
      <c r="E94">
        <v>3.5211999999999999</v>
      </c>
      <c r="F94">
        <v>1412</v>
      </c>
    </row>
    <row r="95" spans="1:6" x14ac:dyDescent="0.25">
      <c r="A95" s="4">
        <v>34696</v>
      </c>
      <c r="B95">
        <v>3.5211999999999999</v>
      </c>
      <c r="C95">
        <v>3.5893000000000002</v>
      </c>
      <c r="D95">
        <v>3.5211999999999999</v>
      </c>
      <c r="E95">
        <v>3.5438999999999998</v>
      </c>
      <c r="F95">
        <v>1650</v>
      </c>
    </row>
    <row r="96" spans="1:6" x14ac:dyDescent="0.25">
      <c r="A96" s="4">
        <v>34697</v>
      </c>
      <c r="B96">
        <v>3.5438999999999998</v>
      </c>
      <c r="C96">
        <v>3.5666000000000002</v>
      </c>
      <c r="D96">
        <v>3.5438999999999998</v>
      </c>
      <c r="E96">
        <v>3.5438999999999998</v>
      </c>
      <c r="F96">
        <v>1027</v>
      </c>
    </row>
    <row r="97" spans="1:6" x14ac:dyDescent="0.25">
      <c r="A97" s="4">
        <v>34698</v>
      </c>
      <c r="B97">
        <v>3.5666000000000002</v>
      </c>
      <c r="C97">
        <v>3.5893000000000002</v>
      </c>
      <c r="D97">
        <v>3.5438999999999998</v>
      </c>
      <c r="E97">
        <v>3.5438999999999998</v>
      </c>
      <c r="F97">
        <v>2276</v>
      </c>
    </row>
    <row r="98" spans="1:6" x14ac:dyDescent="0.25">
      <c r="A98" s="4">
        <v>34699</v>
      </c>
      <c r="B98">
        <v>3.5666000000000002</v>
      </c>
      <c r="C98">
        <v>3.5893000000000002</v>
      </c>
      <c r="D98">
        <v>3.5438999999999998</v>
      </c>
      <c r="E98">
        <v>3.5666000000000002</v>
      </c>
      <c r="F98">
        <v>1655</v>
      </c>
    </row>
    <row r="99" spans="1:6" x14ac:dyDescent="0.25">
      <c r="A99" s="4">
        <v>34704</v>
      </c>
      <c r="B99">
        <v>3.5666000000000002</v>
      </c>
      <c r="C99">
        <v>3.5893000000000002</v>
      </c>
      <c r="D99">
        <v>3.5211999999999999</v>
      </c>
      <c r="E99">
        <v>3.5211999999999999</v>
      </c>
      <c r="F99">
        <v>1548</v>
      </c>
    </row>
    <row r="100" spans="1:6" x14ac:dyDescent="0.25">
      <c r="A100" s="4">
        <v>34705</v>
      </c>
      <c r="B100">
        <v>3.5438999999999998</v>
      </c>
      <c r="C100">
        <v>3.5438999999999998</v>
      </c>
      <c r="D100">
        <v>3.4984000000000002</v>
      </c>
      <c r="E100">
        <v>3.4984000000000002</v>
      </c>
      <c r="F100">
        <v>862</v>
      </c>
    </row>
    <row r="101" spans="1:6" x14ac:dyDescent="0.25">
      <c r="A101" s="4">
        <v>34706</v>
      </c>
      <c r="B101">
        <v>3.4984000000000002</v>
      </c>
      <c r="C101">
        <v>3.5211999999999999</v>
      </c>
      <c r="D101">
        <v>3.4756999999999998</v>
      </c>
      <c r="E101">
        <v>3.4984000000000002</v>
      </c>
      <c r="F101">
        <v>801</v>
      </c>
    </row>
    <row r="102" spans="1:6" x14ac:dyDescent="0.25">
      <c r="A102" s="4">
        <v>34708</v>
      </c>
      <c r="B102">
        <v>3.4984000000000002</v>
      </c>
      <c r="C102">
        <v>3.4984000000000002</v>
      </c>
      <c r="D102">
        <v>3.4302999999999999</v>
      </c>
      <c r="E102">
        <v>3.4302999999999999</v>
      </c>
      <c r="F102">
        <v>1696</v>
      </c>
    </row>
    <row r="103" spans="1:6" x14ac:dyDescent="0.25">
      <c r="A103" s="4">
        <v>34709</v>
      </c>
      <c r="B103">
        <v>3.4302999999999999</v>
      </c>
      <c r="C103">
        <v>3.4302999999999999</v>
      </c>
      <c r="D103">
        <v>3.3620999999999999</v>
      </c>
      <c r="E103">
        <v>3.4076</v>
      </c>
      <c r="F103">
        <v>2012</v>
      </c>
    </row>
    <row r="104" spans="1:6" x14ac:dyDescent="0.25">
      <c r="A104" s="4">
        <v>34710</v>
      </c>
      <c r="B104">
        <v>3.3849</v>
      </c>
      <c r="C104">
        <v>3.4076</v>
      </c>
      <c r="D104">
        <v>3.3849</v>
      </c>
      <c r="E104">
        <v>3.3961999999999999</v>
      </c>
      <c r="F104">
        <v>532</v>
      </c>
    </row>
    <row r="105" spans="1:6" x14ac:dyDescent="0.25">
      <c r="A105" s="4">
        <v>34711</v>
      </c>
      <c r="B105">
        <v>3.4076</v>
      </c>
      <c r="C105">
        <v>3.4076</v>
      </c>
      <c r="D105">
        <v>3.3620999999999999</v>
      </c>
      <c r="E105">
        <v>3.3620999999999999</v>
      </c>
      <c r="F105">
        <v>1637</v>
      </c>
    </row>
    <row r="106" spans="1:6" x14ac:dyDescent="0.25">
      <c r="A106" s="4">
        <v>34712</v>
      </c>
      <c r="B106">
        <v>3.3620999999999999</v>
      </c>
      <c r="C106">
        <v>3.3849</v>
      </c>
      <c r="D106">
        <v>3.3167</v>
      </c>
      <c r="E106">
        <v>3.3167</v>
      </c>
      <c r="F106">
        <v>1172</v>
      </c>
    </row>
    <row r="107" spans="1:6" x14ac:dyDescent="0.25">
      <c r="A107" s="4">
        <v>34713</v>
      </c>
      <c r="B107">
        <v>3.3167</v>
      </c>
      <c r="C107">
        <v>3.3167</v>
      </c>
      <c r="D107">
        <v>3.1577000000000002</v>
      </c>
      <c r="E107">
        <v>3.1804000000000001</v>
      </c>
      <c r="F107">
        <v>2869</v>
      </c>
    </row>
    <row r="108" spans="1:6" x14ac:dyDescent="0.25">
      <c r="A108" s="4">
        <v>34715</v>
      </c>
      <c r="B108">
        <v>3.1804000000000001</v>
      </c>
      <c r="C108">
        <v>3.2031000000000001</v>
      </c>
      <c r="D108">
        <v>3.0895000000000001</v>
      </c>
      <c r="E108">
        <v>3.1236000000000002</v>
      </c>
      <c r="F108">
        <v>1709</v>
      </c>
    </row>
    <row r="109" spans="1:6" x14ac:dyDescent="0.25">
      <c r="A109" s="4">
        <v>34716</v>
      </c>
      <c r="B109">
        <v>3.1236000000000002</v>
      </c>
      <c r="C109">
        <v>3.1349999999999998</v>
      </c>
      <c r="D109">
        <v>3.1122999999999998</v>
      </c>
      <c r="E109">
        <v>3.1122999999999998</v>
      </c>
      <c r="F109">
        <v>1685</v>
      </c>
    </row>
    <row r="110" spans="1:6" x14ac:dyDescent="0.25">
      <c r="A110" s="4">
        <v>34717</v>
      </c>
      <c r="B110">
        <v>3.1349999999999998</v>
      </c>
      <c r="C110">
        <v>3.1577000000000002</v>
      </c>
      <c r="D110">
        <v>3.1349999999999998</v>
      </c>
      <c r="E110">
        <v>3.1463000000000001</v>
      </c>
      <c r="F110">
        <v>2007</v>
      </c>
    </row>
    <row r="111" spans="1:6" x14ac:dyDescent="0.25">
      <c r="A111" s="4">
        <v>34718</v>
      </c>
      <c r="B111">
        <v>3.1804000000000001</v>
      </c>
      <c r="C111">
        <v>3.3620999999999999</v>
      </c>
      <c r="D111">
        <v>3.1577000000000002</v>
      </c>
      <c r="E111">
        <v>3.294</v>
      </c>
      <c r="F111">
        <v>3731</v>
      </c>
    </row>
    <row r="112" spans="1:6" x14ac:dyDescent="0.25">
      <c r="A112" s="4">
        <v>34719</v>
      </c>
      <c r="B112">
        <v>3.294</v>
      </c>
      <c r="C112">
        <v>3.294</v>
      </c>
      <c r="D112">
        <v>3.1804000000000001</v>
      </c>
      <c r="E112">
        <v>3.2145000000000001</v>
      </c>
      <c r="F112">
        <v>2288</v>
      </c>
    </row>
    <row r="113" spans="1:6" x14ac:dyDescent="0.25">
      <c r="A113" s="4">
        <v>34720</v>
      </c>
      <c r="B113">
        <v>3.2031000000000001</v>
      </c>
      <c r="C113">
        <v>3.3281000000000001</v>
      </c>
      <c r="D113">
        <v>3.1804000000000001</v>
      </c>
      <c r="E113">
        <v>3.3281000000000001</v>
      </c>
      <c r="F113">
        <v>2099</v>
      </c>
    </row>
    <row r="114" spans="1:6" x14ac:dyDescent="0.25">
      <c r="A114" s="4">
        <v>34722</v>
      </c>
      <c r="B114">
        <v>3.3167</v>
      </c>
      <c r="C114">
        <v>3.3281000000000001</v>
      </c>
      <c r="D114">
        <v>3.1804000000000001</v>
      </c>
      <c r="E114">
        <v>3.1804000000000001</v>
      </c>
      <c r="F114">
        <v>1825</v>
      </c>
    </row>
    <row r="115" spans="1:6" x14ac:dyDescent="0.25">
      <c r="A115" s="4">
        <v>34723</v>
      </c>
      <c r="B115">
        <v>3.1463000000000001</v>
      </c>
      <c r="C115">
        <v>3.1804000000000001</v>
      </c>
      <c r="D115">
        <v>3.1349999999999998</v>
      </c>
      <c r="E115">
        <v>3.1577000000000002</v>
      </c>
      <c r="F115">
        <v>2259</v>
      </c>
    </row>
    <row r="116" spans="1:6" x14ac:dyDescent="0.25">
      <c r="A116" s="4">
        <v>34724</v>
      </c>
      <c r="B116">
        <v>3.1577000000000002</v>
      </c>
      <c r="C116">
        <v>3.2486000000000002</v>
      </c>
      <c r="D116">
        <v>3.1577000000000002</v>
      </c>
      <c r="E116">
        <v>3.2486000000000002</v>
      </c>
      <c r="F116">
        <v>1121</v>
      </c>
    </row>
    <row r="117" spans="1:6" x14ac:dyDescent="0.25">
      <c r="A117" s="4">
        <v>34725</v>
      </c>
      <c r="B117">
        <v>3.2486000000000002</v>
      </c>
      <c r="C117">
        <v>3.2486000000000002</v>
      </c>
      <c r="D117">
        <v>3.1804000000000001</v>
      </c>
      <c r="E117">
        <v>3.2031000000000001</v>
      </c>
      <c r="F117">
        <v>945</v>
      </c>
    </row>
    <row r="118" spans="1:6" x14ac:dyDescent="0.25">
      <c r="A118" s="4">
        <v>34734</v>
      </c>
      <c r="B118">
        <v>3.294</v>
      </c>
      <c r="C118">
        <v>3.294</v>
      </c>
      <c r="D118">
        <v>3.2486000000000002</v>
      </c>
      <c r="E118">
        <v>3.2486000000000002</v>
      </c>
      <c r="F118">
        <v>685</v>
      </c>
    </row>
    <row r="119" spans="1:6" x14ac:dyDescent="0.25">
      <c r="A119" s="4">
        <v>34736</v>
      </c>
      <c r="B119">
        <v>3.2486000000000002</v>
      </c>
      <c r="C119">
        <v>3.3620999999999999</v>
      </c>
      <c r="D119">
        <v>3.2258</v>
      </c>
      <c r="E119">
        <v>3.3620999999999999</v>
      </c>
      <c r="F119">
        <v>1342</v>
      </c>
    </row>
    <row r="120" spans="1:6" x14ac:dyDescent="0.25">
      <c r="A120" s="4">
        <v>34737</v>
      </c>
      <c r="B120">
        <v>3.3620999999999999</v>
      </c>
      <c r="C120">
        <v>3.4076</v>
      </c>
      <c r="D120">
        <v>3.3393999999999999</v>
      </c>
      <c r="E120">
        <v>3.3508</v>
      </c>
      <c r="F120">
        <v>1623</v>
      </c>
    </row>
    <row r="121" spans="1:6" x14ac:dyDescent="0.25">
      <c r="A121" s="4">
        <v>34738</v>
      </c>
      <c r="B121">
        <v>3.3620999999999999</v>
      </c>
      <c r="C121">
        <v>3.3734999999999999</v>
      </c>
      <c r="D121">
        <v>3.3167</v>
      </c>
      <c r="E121">
        <v>3.3281000000000001</v>
      </c>
      <c r="F121">
        <v>627</v>
      </c>
    </row>
    <row r="122" spans="1:6" x14ac:dyDescent="0.25">
      <c r="A122" s="4">
        <v>34739</v>
      </c>
      <c r="B122">
        <v>3.3393999999999999</v>
      </c>
      <c r="C122">
        <v>3.3734999999999999</v>
      </c>
      <c r="D122">
        <v>3.3393999999999999</v>
      </c>
      <c r="E122">
        <v>3.3393999999999999</v>
      </c>
      <c r="F122">
        <v>567</v>
      </c>
    </row>
    <row r="123" spans="1:6" x14ac:dyDescent="0.25">
      <c r="A123" s="4">
        <v>34740</v>
      </c>
      <c r="B123">
        <v>3.3393999999999999</v>
      </c>
      <c r="C123">
        <v>3.3849</v>
      </c>
      <c r="D123">
        <v>3.3393999999999999</v>
      </c>
      <c r="E123">
        <v>3.3734999999999999</v>
      </c>
      <c r="F123">
        <v>829</v>
      </c>
    </row>
    <row r="124" spans="1:6" x14ac:dyDescent="0.25">
      <c r="A124" s="4">
        <v>34741</v>
      </c>
      <c r="B124">
        <v>3.3961999999999999</v>
      </c>
      <c r="C124">
        <v>3.4076</v>
      </c>
      <c r="D124">
        <v>3.3849</v>
      </c>
      <c r="E124">
        <v>3.4076</v>
      </c>
      <c r="F124">
        <v>1173</v>
      </c>
    </row>
    <row r="125" spans="1:6" x14ac:dyDescent="0.25">
      <c r="A125" s="4">
        <v>34743</v>
      </c>
      <c r="B125">
        <v>3.4076</v>
      </c>
      <c r="C125">
        <v>3.4529999999999998</v>
      </c>
      <c r="D125">
        <v>3.3849</v>
      </c>
      <c r="E125">
        <v>3.3849</v>
      </c>
      <c r="F125">
        <v>821</v>
      </c>
    </row>
    <row r="126" spans="1:6" x14ac:dyDescent="0.25">
      <c r="A126" s="4">
        <v>34744</v>
      </c>
      <c r="B126">
        <v>3.3849</v>
      </c>
      <c r="C126">
        <v>3.3961999999999999</v>
      </c>
      <c r="D126">
        <v>3.3620999999999999</v>
      </c>
      <c r="E126">
        <v>3.3734999999999999</v>
      </c>
      <c r="F126">
        <v>586</v>
      </c>
    </row>
    <row r="127" spans="1:6" x14ac:dyDescent="0.25">
      <c r="A127" s="4">
        <v>34745</v>
      </c>
      <c r="B127">
        <v>3.3849</v>
      </c>
      <c r="C127">
        <v>3.4984000000000002</v>
      </c>
      <c r="D127">
        <v>3.3849</v>
      </c>
      <c r="E127">
        <v>3.4529999999999998</v>
      </c>
      <c r="F127">
        <v>1996</v>
      </c>
    </row>
    <row r="128" spans="1:6" x14ac:dyDescent="0.25">
      <c r="A128" s="4">
        <v>34746</v>
      </c>
      <c r="B128">
        <v>3.4756999999999998</v>
      </c>
      <c r="C128">
        <v>3.5893000000000002</v>
      </c>
      <c r="D128">
        <v>3.4756999999999998</v>
      </c>
      <c r="E128">
        <v>3.5438999999999998</v>
      </c>
      <c r="F128">
        <v>2674</v>
      </c>
    </row>
    <row r="129" spans="1:6" x14ac:dyDescent="0.25">
      <c r="A129" s="4">
        <v>34747</v>
      </c>
      <c r="B129">
        <v>3.5438999999999998</v>
      </c>
      <c r="C129">
        <v>3.5893000000000002</v>
      </c>
      <c r="D129">
        <v>3.5211999999999999</v>
      </c>
      <c r="E129">
        <v>3.5893000000000002</v>
      </c>
      <c r="F129">
        <v>2161</v>
      </c>
    </row>
    <row r="130" spans="1:6" x14ac:dyDescent="0.25">
      <c r="A130" s="4">
        <v>34748</v>
      </c>
      <c r="B130">
        <v>3.5893000000000002</v>
      </c>
      <c r="C130">
        <v>3.6120000000000001</v>
      </c>
      <c r="D130">
        <v>3.5438999999999998</v>
      </c>
      <c r="E130">
        <v>3.5438999999999998</v>
      </c>
      <c r="F130">
        <v>989</v>
      </c>
    </row>
    <row r="131" spans="1:6" x14ac:dyDescent="0.25">
      <c r="A131" s="4">
        <v>34750</v>
      </c>
      <c r="B131">
        <v>3.5438999999999998</v>
      </c>
      <c r="C131">
        <v>3.5666000000000002</v>
      </c>
      <c r="D131">
        <v>3.4756999999999998</v>
      </c>
      <c r="E131">
        <v>3.4756999999999998</v>
      </c>
      <c r="F131">
        <v>916</v>
      </c>
    </row>
    <row r="132" spans="1:6" x14ac:dyDescent="0.25">
      <c r="A132" s="4">
        <v>34751</v>
      </c>
      <c r="B132">
        <v>3.4756999999999998</v>
      </c>
      <c r="C132">
        <v>3.5438999999999998</v>
      </c>
      <c r="D132">
        <v>3.4756999999999998</v>
      </c>
      <c r="E132">
        <v>3.5438999999999998</v>
      </c>
      <c r="F132">
        <v>567</v>
      </c>
    </row>
    <row r="133" spans="1:6" x14ac:dyDescent="0.25">
      <c r="A133" s="4">
        <v>34752</v>
      </c>
      <c r="B133">
        <v>3.5438999999999998</v>
      </c>
      <c r="C133">
        <v>3.5893000000000002</v>
      </c>
      <c r="D133">
        <v>3.4984000000000002</v>
      </c>
      <c r="E133">
        <v>3.5893000000000002</v>
      </c>
      <c r="F133">
        <v>1643</v>
      </c>
    </row>
    <row r="134" spans="1:6" x14ac:dyDescent="0.25">
      <c r="A134" s="4">
        <v>34753</v>
      </c>
      <c r="B134">
        <v>3.5893000000000002</v>
      </c>
      <c r="C134">
        <v>3.5893000000000002</v>
      </c>
      <c r="D134">
        <v>3.5438999999999998</v>
      </c>
      <c r="E134">
        <v>3.5666000000000002</v>
      </c>
      <c r="F134">
        <v>548</v>
      </c>
    </row>
    <row r="135" spans="1:6" x14ac:dyDescent="0.25">
      <c r="A135" s="4">
        <v>34754</v>
      </c>
      <c r="B135">
        <v>3.5666000000000002</v>
      </c>
      <c r="C135">
        <v>3.6802000000000001</v>
      </c>
      <c r="D135">
        <v>3.5666000000000002</v>
      </c>
      <c r="E135">
        <v>3.6347</v>
      </c>
      <c r="F135">
        <v>3517</v>
      </c>
    </row>
    <row r="136" spans="1:6" x14ac:dyDescent="0.25">
      <c r="A136" s="4">
        <v>34755</v>
      </c>
      <c r="B136">
        <v>3.6347</v>
      </c>
      <c r="C136">
        <v>3.6575000000000002</v>
      </c>
      <c r="D136">
        <v>3.6347</v>
      </c>
      <c r="E136">
        <v>3.6575000000000002</v>
      </c>
      <c r="F136">
        <v>718</v>
      </c>
    </row>
    <row r="137" spans="1:6" x14ac:dyDescent="0.25">
      <c r="A137" s="4">
        <v>34757</v>
      </c>
      <c r="B137">
        <v>3.5438999999999998</v>
      </c>
      <c r="C137">
        <v>3.5666000000000002</v>
      </c>
      <c r="D137">
        <v>3.4076</v>
      </c>
      <c r="E137">
        <v>3.5438999999999998</v>
      </c>
      <c r="F137">
        <v>3798</v>
      </c>
    </row>
    <row r="138" spans="1:6" x14ac:dyDescent="0.25">
      <c r="A138" s="4">
        <v>34758</v>
      </c>
      <c r="B138">
        <v>3.5211999999999999</v>
      </c>
      <c r="C138">
        <v>3.5211999999999999</v>
      </c>
      <c r="D138">
        <v>3.4756999999999998</v>
      </c>
      <c r="E138">
        <v>3.5211999999999999</v>
      </c>
      <c r="F138">
        <v>1489</v>
      </c>
    </row>
    <row r="139" spans="1:6" x14ac:dyDescent="0.25">
      <c r="A139" s="4">
        <v>34759</v>
      </c>
      <c r="B139">
        <v>3.4756999999999998</v>
      </c>
      <c r="C139">
        <v>3.4756999999999998</v>
      </c>
      <c r="D139">
        <v>3.3620999999999999</v>
      </c>
      <c r="E139">
        <v>3.3620999999999999</v>
      </c>
      <c r="F139">
        <v>2455</v>
      </c>
    </row>
    <row r="140" spans="1:6" x14ac:dyDescent="0.25">
      <c r="A140" s="4">
        <v>34760</v>
      </c>
      <c r="B140">
        <v>3.3620999999999999</v>
      </c>
      <c r="C140">
        <v>3.4302999999999999</v>
      </c>
      <c r="D140">
        <v>3.3620999999999999</v>
      </c>
      <c r="E140">
        <v>3.4302999999999999</v>
      </c>
      <c r="F140">
        <v>677</v>
      </c>
    </row>
    <row r="141" spans="1:6" x14ac:dyDescent="0.25">
      <c r="A141" s="4">
        <v>34761</v>
      </c>
      <c r="B141">
        <v>3.4302999999999999</v>
      </c>
      <c r="C141">
        <v>3.4756999999999998</v>
      </c>
      <c r="D141">
        <v>3.4076</v>
      </c>
      <c r="E141">
        <v>3.4756999999999998</v>
      </c>
      <c r="F141">
        <v>495</v>
      </c>
    </row>
    <row r="142" spans="1:6" x14ac:dyDescent="0.25">
      <c r="A142" s="4">
        <v>34762</v>
      </c>
      <c r="B142">
        <v>3.4984000000000002</v>
      </c>
      <c r="C142">
        <v>3.5211999999999999</v>
      </c>
      <c r="D142">
        <v>3.4756999999999998</v>
      </c>
      <c r="E142">
        <v>3.5211999999999999</v>
      </c>
      <c r="F142">
        <v>687</v>
      </c>
    </row>
    <row r="143" spans="1:6" x14ac:dyDescent="0.25">
      <c r="A143" s="4">
        <v>34764</v>
      </c>
      <c r="B143">
        <v>3.5211999999999999</v>
      </c>
      <c r="C143">
        <v>3.5438999999999998</v>
      </c>
      <c r="D143">
        <v>3.4984000000000002</v>
      </c>
      <c r="E143">
        <v>3.5438999999999998</v>
      </c>
      <c r="F143">
        <v>723</v>
      </c>
    </row>
    <row r="144" spans="1:6" x14ac:dyDescent="0.25">
      <c r="A144" s="4">
        <v>34765</v>
      </c>
      <c r="B144">
        <v>3.5438999999999998</v>
      </c>
      <c r="C144">
        <v>3.6120000000000001</v>
      </c>
      <c r="D144">
        <v>3.4984000000000002</v>
      </c>
      <c r="E144">
        <v>3.6120000000000001</v>
      </c>
      <c r="F144">
        <v>2229</v>
      </c>
    </row>
    <row r="145" spans="1:6" x14ac:dyDescent="0.25">
      <c r="A145" s="4">
        <v>34766</v>
      </c>
      <c r="B145">
        <v>3.5893000000000002</v>
      </c>
      <c r="C145">
        <v>3.6347</v>
      </c>
      <c r="D145">
        <v>3.5438999999999998</v>
      </c>
      <c r="E145">
        <v>3.5666000000000002</v>
      </c>
      <c r="F145">
        <v>1816</v>
      </c>
    </row>
    <row r="146" spans="1:6" x14ac:dyDescent="0.25">
      <c r="A146" s="4">
        <v>34767</v>
      </c>
      <c r="B146">
        <v>3.6347</v>
      </c>
      <c r="C146">
        <v>3.6575000000000002</v>
      </c>
      <c r="D146">
        <v>3.6120000000000001</v>
      </c>
      <c r="E146">
        <v>3.6120000000000001</v>
      </c>
      <c r="F146">
        <v>2893</v>
      </c>
    </row>
    <row r="147" spans="1:6" x14ac:dyDescent="0.25">
      <c r="A147" s="4">
        <v>34768</v>
      </c>
      <c r="B147">
        <v>3.6347</v>
      </c>
      <c r="C147">
        <v>3.6575000000000002</v>
      </c>
      <c r="D147">
        <v>3.6120000000000001</v>
      </c>
      <c r="E147">
        <v>3.6347</v>
      </c>
      <c r="F147">
        <v>1379</v>
      </c>
    </row>
    <row r="148" spans="1:6" x14ac:dyDescent="0.25">
      <c r="A148" s="4">
        <v>34769</v>
      </c>
      <c r="B148">
        <v>3.6575000000000002</v>
      </c>
      <c r="C148">
        <v>3.6575000000000002</v>
      </c>
      <c r="D148">
        <v>3.6120000000000001</v>
      </c>
      <c r="E148">
        <v>3.6347</v>
      </c>
      <c r="F148">
        <v>1127</v>
      </c>
    </row>
    <row r="149" spans="1:6" x14ac:dyDescent="0.25">
      <c r="A149" s="4">
        <v>34771</v>
      </c>
      <c r="B149">
        <v>3.6575000000000002</v>
      </c>
      <c r="C149">
        <v>3.7029000000000001</v>
      </c>
      <c r="D149">
        <v>3.6575000000000002</v>
      </c>
      <c r="E149">
        <v>3.7029000000000001</v>
      </c>
      <c r="F149">
        <v>3468</v>
      </c>
    </row>
    <row r="150" spans="1:6" x14ac:dyDescent="0.25">
      <c r="A150" s="4">
        <v>34772</v>
      </c>
      <c r="B150">
        <v>3.7029000000000001</v>
      </c>
      <c r="C150">
        <v>3.7029000000000001</v>
      </c>
      <c r="D150">
        <v>3.6347</v>
      </c>
      <c r="E150">
        <v>3.6575000000000002</v>
      </c>
      <c r="F150">
        <v>1335</v>
      </c>
    </row>
    <row r="151" spans="1:6" x14ac:dyDescent="0.25">
      <c r="A151" s="4">
        <v>34773</v>
      </c>
      <c r="B151">
        <v>3.6802000000000001</v>
      </c>
      <c r="C151">
        <v>3.7483</v>
      </c>
      <c r="D151">
        <v>3.6802000000000001</v>
      </c>
      <c r="E151">
        <v>3.7256</v>
      </c>
      <c r="F151">
        <v>3960</v>
      </c>
    </row>
    <row r="152" spans="1:6" x14ac:dyDescent="0.25">
      <c r="A152" s="4">
        <v>34774</v>
      </c>
      <c r="B152">
        <v>3.7483</v>
      </c>
      <c r="C152">
        <v>3.7483</v>
      </c>
      <c r="D152">
        <v>3.7029000000000001</v>
      </c>
      <c r="E152">
        <v>3.7256</v>
      </c>
      <c r="F152">
        <v>1347</v>
      </c>
    </row>
    <row r="153" spans="1:6" x14ac:dyDescent="0.25">
      <c r="A153" s="4">
        <v>34775</v>
      </c>
      <c r="B153">
        <v>3.7483</v>
      </c>
      <c r="C153">
        <v>3.7938000000000001</v>
      </c>
      <c r="D153">
        <v>3.7483</v>
      </c>
      <c r="E153">
        <v>3.7711000000000001</v>
      </c>
      <c r="F153">
        <v>2519</v>
      </c>
    </row>
    <row r="154" spans="1:6" x14ac:dyDescent="0.25">
      <c r="A154" s="4">
        <v>34776</v>
      </c>
      <c r="B154">
        <v>3.7711000000000001</v>
      </c>
      <c r="C154">
        <v>3.7711000000000001</v>
      </c>
      <c r="D154">
        <v>3.7256</v>
      </c>
      <c r="E154">
        <v>3.7256</v>
      </c>
      <c r="F154">
        <v>994</v>
      </c>
    </row>
    <row r="155" spans="1:6" x14ac:dyDescent="0.25">
      <c r="A155" s="4">
        <v>34778</v>
      </c>
      <c r="B155">
        <v>3.7711000000000001</v>
      </c>
      <c r="C155">
        <v>3.7711000000000001</v>
      </c>
      <c r="D155">
        <v>3.7256</v>
      </c>
      <c r="E155">
        <v>3.7711000000000001</v>
      </c>
      <c r="F155">
        <v>1970</v>
      </c>
    </row>
    <row r="156" spans="1:6" x14ac:dyDescent="0.25">
      <c r="A156" s="4">
        <v>34779</v>
      </c>
      <c r="B156">
        <v>3.7711000000000001</v>
      </c>
      <c r="C156">
        <v>3.7938000000000001</v>
      </c>
      <c r="D156">
        <v>3.7483</v>
      </c>
      <c r="E156">
        <v>3.7483</v>
      </c>
      <c r="F156">
        <v>1653</v>
      </c>
    </row>
    <row r="157" spans="1:6" x14ac:dyDescent="0.25">
      <c r="A157" s="4">
        <v>34780</v>
      </c>
      <c r="B157">
        <v>3.7256</v>
      </c>
      <c r="C157">
        <v>3.7483</v>
      </c>
      <c r="D157">
        <v>3.6347</v>
      </c>
      <c r="E157">
        <v>3.7483</v>
      </c>
      <c r="F157">
        <v>2809</v>
      </c>
    </row>
    <row r="158" spans="1:6" x14ac:dyDescent="0.25">
      <c r="A158" s="4">
        <v>34781</v>
      </c>
      <c r="B158">
        <v>3.7256</v>
      </c>
      <c r="C158">
        <v>3.7711000000000001</v>
      </c>
      <c r="D158">
        <v>3.7256</v>
      </c>
      <c r="E158">
        <v>3.7711000000000001</v>
      </c>
      <c r="F158">
        <v>973</v>
      </c>
    </row>
    <row r="159" spans="1:6" x14ac:dyDescent="0.25">
      <c r="A159" s="4">
        <v>34782</v>
      </c>
      <c r="B159">
        <v>3.7711000000000001</v>
      </c>
      <c r="C159">
        <v>3.7938000000000001</v>
      </c>
      <c r="D159">
        <v>3.7483</v>
      </c>
      <c r="E159">
        <v>3.7711000000000001</v>
      </c>
      <c r="F159">
        <v>1708</v>
      </c>
    </row>
    <row r="160" spans="1:6" x14ac:dyDescent="0.25">
      <c r="A160" s="4">
        <v>34783</v>
      </c>
      <c r="B160">
        <v>3.7938000000000001</v>
      </c>
      <c r="C160">
        <v>3.9074</v>
      </c>
      <c r="D160">
        <v>3.7938000000000001</v>
      </c>
      <c r="E160">
        <v>3.8618999999999999</v>
      </c>
      <c r="F160">
        <v>5532</v>
      </c>
    </row>
    <row r="161" spans="1:6" x14ac:dyDescent="0.25">
      <c r="A161" s="4">
        <v>34785</v>
      </c>
      <c r="B161">
        <v>3.8618999999999999</v>
      </c>
      <c r="C161">
        <v>3.9300999999999999</v>
      </c>
      <c r="D161">
        <v>3.8165</v>
      </c>
      <c r="E161">
        <v>3.9300999999999999</v>
      </c>
      <c r="F161">
        <v>4589</v>
      </c>
    </row>
    <row r="162" spans="1:6" x14ac:dyDescent="0.25">
      <c r="A162" s="4">
        <v>34786</v>
      </c>
      <c r="B162">
        <v>3.9754999999999998</v>
      </c>
      <c r="C162">
        <v>3.9754999999999998</v>
      </c>
      <c r="D162">
        <v>3.9074</v>
      </c>
      <c r="E162">
        <v>3.9754999999999998</v>
      </c>
      <c r="F162">
        <v>3537</v>
      </c>
    </row>
    <row r="163" spans="1:6" x14ac:dyDescent="0.25">
      <c r="A163" s="4">
        <v>34788</v>
      </c>
      <c r="B163">
        <v>3.9982000000000002</v>
      </c>
      <c r="C163">
        <v>4.2027000000000001</v>
      </c>
      <c r="D163">
        <v>3.9754999999999998</v>
      </c>
      <c r="E163">
        <v>4.2027000000000001</v>
      </c>
      <c r="F163">
        <v>9538</v>
      </c>
    </row>
    <row r="164" spans="1:6" x14ac:dyDescent="0.25">
      <c r="A164" s="4">
        <v>34789</v>
      </c>
      <c r="B164">
        <v>4.2027000000000001</v>
      </c>
      <c r="C164">
        <v>4.2934999999999999</v>
      </c>
      <c r="D164">
        <v>4.1117999999999997</v>
      </c>
      <c r="E164">
        <v>4.2708000000000004</v>
      </c>
      <c r="F164">
        <v>6620</v>
      </c>
    </row>
    <row r="165" spans="1:6" x14ac:dyDescent="0.25">
      <c r="A165" s="4">
        <v>34790</v>
      </c>
      <c r="B165">
        <v>4.2934999999999999</v>
      </c>
      <c r="C165">
        <v>4.3163</v>
      </c>
      <c r="D165">
        <v>4.1571999999999996</v>
      </c>
      <c r="E165">
        <v>4.2253999999999996</v>
      </c>
      <c r="F165">
        <v>5956</v>
      </c>
    </row>
    <row r="166" spans="1:6" x14ac:dyDescent="0.25">
      <c r="A166" s="4">
        <v>34795</v>
      </c>
      <c r="B166">
        <v>4.2481</v>
      </c>
      <c r="C166">
        <v>4.3616999999999999</v>
      </c>
      <c r="D166">
        <v>4.2481</v>
      </c>
      <c r="E166">
        <v>4.3163</v>
      </c>
      <c r="F166">
        <v>8601</v>
      </c>
    </row>
    <row r="167" spans="1:6" x14ac:dyDescent="0.25">
      <c r="A167" s="4">
        <v>34796</v>
      </c>
      <c r="B167">
        <v>4.3390000000000004</v>
      </c>
      <c r="C167">
        <v>4.3616999999999999</v>
      </c>
      <c r="D167">
        <v>4.18</v>
      </c>
      <c r="E167">
        <v>4.2253999999999996</v>
      </c>
      <c r="F167">
        <v>4385</v>
      </c>
    </row>
    <row r="168" spans="1:6" x14ac:dyDescent="0.25">
      <c r="A168" s="4">
        <v>34797</v>
      </c>
      <c r="B168">
        <v>4.18</v>
      </c>
      <c r="C168">
        <v>4.2253999999999996</v>
      </c>
      <c r="D168">
        <v>4.1117999999999997</v>
      </c>
      <c r="E168">
        <v>4.2027000000000001</v>
      </c>
      <c r="F168">
        <v>3407</v>
      </c>
    </row>
    <row r="169" spans="1:6" x14ac:dyDescent="0.25">
      <c r="A169" s="4">
        <v>34799</v>
      </c>
      <c r="B169">
        <v>4.2027000000000001</v>
      </c>
      <c r="C169">
        <v>4.2481</v>
      </c>
      <c r="D169">
        <v>4.1571999999999996</v>
      </c>
      <c r="E169">
        <v>4.2253999999999996</v>
      </c>
      <c r="F169">
        <v>2533</v>
      </c>
    </row>
    <row r="170" spans="1:6" x14ac:dyDescent="0.25">
      <c r="A170" s="4">
        <v>34800</v>
      </c>
      <c r="B170">
        <v>4.2253999999999996</v>
      </c>
      <c r="C170">
        <v>4.3163</v>
      </c>
      <c r="D170">
        <v>4.2253999999999996</v>
      </c>
      <c r="E170">
        <v>4.2481</v>
      </c>
      <c r="F170">
        <v>5702</v>
      </c>
    </row>
    <row r="171" spans="1:6" x14ac:dyDescent="0.25">
      <c r="A171" s="4">
        <v>34801</v>
      </c>
      <c r="B171">
        <v>4.2708000000000004</v>
      </c>
      <c r="C171">
        <v>4.3163</v>
      </c>
      <c r="D171">
        <v>4.2481</v>
      </c>
      <c r="E171">
        <v>4.2708000000000004</v>
      </c>
      <c r="F171">
        <v>3567</v>
      </c>
    </row>
    <row r="172" spans="1:6" x14ac:dyDescent="0.25">
      <c r="A172" s="4">
        <v>34802</v>
      </c>
      <c r="B172">
        <v>4.2934999999999999</v>
      </c>
      <c r="C172">
        <v>4.2934999999999999</v>
      </c>
      <c r="D172">
        <v>4.18</v>
      </c>
      <c r="E172">
        <v>4.2027000000000001</v>
      </c>
      <c r="F172">
        <v>3502</v>
      </c>
    </row>
    <row r="173" spans="1:6" x14ac:dyDescent="0.25">
      <c r="A173" s="4">
        <v>34803</v>
      </c>
      <c r="B173">
        <v>4.18</v>
      </c>
      <c r="C173">
        <v>4.18</v>
      </c>
      <c r="D173">
        <v>4.0663999999999998</v>
      </c>
      <c r="E173">
        <v>4.0891000000000002</v>
      </c>
      <c r="F173">
        <v>5273</v>
      </c>
    </row>
    <row r="174" spans="1:6" x14ac:dyDescent="0.25">
      <c r="A174" s="4">
        <v>34804</v>
      </c>
      <c r="B174">
        <v>4.0891000000000002</v>
      </c>
      <c r="C174">
        <v>4.0891000000000002</v>
      </c>
      <c r="D174">
        <v>3.9754999999999998</v>
      </c>
      <c r="E174">
        <v>3.9754999999999998</v>
      </c>
      <c r="F174">
        <v>5578</v>
      </c>
    </row>
    <row r="175" spans="1:6" x14ac:dyDescent="0.25">
      <c r="A175" s="4">
        <v>34806</v>
      </c>
      <c r="B175">
        <v>3.9754999999999998</v>
      </c>
      <c r="C175">
        <v>3.9982000000000002</v>
      </c>
      <c r="D175">
        <v>3.9300999999999999</v>
      </c>
      <c r="E175">
        <v>3.9982000000000002</v>
      </c>
      <c r="F175">
        <v>2989</v>
      </c>
    </row>
    <row r="176" spans="1:6" x14ac:dyDescent="0.25">
      <c r="A176" s="4">
        <v>34807</v>
      </c>
      <c r="B176">
        <v>3.9982000000000002</v>
      </c>
      <c r="C176">
        <v>4.0437000000000003</v>
      </c>
      <c r="D176">
        <v>3.8618999999999999</v>
      </c>
      <c r="E176">
        <v>3.9074</v>
      </c>
      <c r="F176">
        <v>3114</v>
      </c>
    </row>
    <row r="177" spans="1:6" x14ac:dyDescent="0.25">
      <c r="A177" s="4">
        <v>34808</v>
      </c>
      <c r="B177">
        <v>3.9074</v>
      </c>
      <c r="C177">
        <v>3.9527999999999999</v>
      </c>
      <c r="D177">
        <v>3.8391999999999999</v>
      </c>
      <c r="E177">
        <v>3.9300999999999999</v>
      </c>
      <c r="F177">
        <v>2241</v>
      </c>
    </row>
    <row r="178" spans="1:6" x14ac:dyDescent="0.25">
      <c r="A178" s="4">
        <v>34809</v>
      </c>
      <c r="B178">
        <v>3.9074</v>
      </c>
      <c r="C178">
        <v>3.9527999999999999</v>
      </c>
      <c r="D178">
        <v>3.9074</v>
      </c>
      <c r="E178">
        <v>3.9074</v>
      </c>
      <c r="F178">
        <v>1311</v>
      </c>
    </row>
    <row r="179" spans="1:6" x14ac:dyDescent="0.25">
      <c r="A179" s="4">
        <v>34810</v>
      </c>
      <c r="B179">
        <v>3.9300999999999999</v>
      </c>
      <c r="C179">
        <v>3.9527999999999999</v>
      </c>
      <c r="D179">
        <v>3.8165</v>
      </c>
      <c r="E179">
        <v>3.8845999999999998</v>
      </c>
      <c r="F179">
        <v>3777</v>
      </c>
    </row>
    <row r="180" spans="1:6" x14ac:dyDescent="0.25">
      <c r="A180" s="4">
        <v>34811</v>
      </c>
      <c r="B180">
        <v>3.9074</v>
      </c>
      <c r="C180">
        <v>3.9300999999999999</v>
      </c>
      <c r="D180">
        <v>3.8391999999999999</v>
      </c>
      <c r="E180">
        <v>3.9300999999999999</v>
      </c>
      <c r="F180">
        <v>1699</v>
      </c>
    </row>
    <row r="181" spans="1:6" x14ac:dyDescent="0.25">
      <c r="A181" s="4">
        <v>34813</v>
      </c>
      <c r="B181">
        <v>3.9300999999999999</v>
      </c>
      <c r="C181">
        <v>4.0209000000000001</v>
      </c>
      <c r="D181">
        <v>3.9074</v>
      </c>
      <c r="E181">
        <v>3.9982000000000002</v>
      </c>
      <c r="F181">
        <v>3219</v>
      </c>
    </row>
    <row r="182" spans="1:6" x14ac:dyDescent="0.25">
      <c r="A182" s="4">
        <v>34814</v>
      </c>
      <c r="B182">
        <v>3.9982000000000002</v>
      </c>
      <c r="C182">
        <v>4.0209000000000001</v>
      </c>
      <c r="D182">
        <v>3.9300999999999999</v>
      </c>
      <c r="E182">
        <v>3.9527999999999999</v>
      </c>
      <c r="F182">
        <v>2279</v>
      </c>
    </row>
    <row r="183" spans="1:6" x14ac:dyDescent="0.25">
      <c r="A183" s="4">
        <v>34815</v>
      </c>
      <c r="B183">
        <v>3.9754999999999998</v>
      </c>
      <c r="C183">
        <v>3.9754999999999998</v>
      </c>
      <c r="D183">
        <v>3.8165</v>
      </c>
      <c r="E183">
        <v>3.9300999999999999</v>
      </c>
      <c r="F183">
        <v>3695</v>
      </c>
    </row>
    <row r="184" spans="1:6" x14ac:dyDescent="0.25">
      <c r="A184" s="4">
        <v>34816</v>
      </c>
      <c r="B184">
        <v>3.9074</v>
      </c>
      <c r="C184">
        <v>3.9527999999999999</v>
      </c>
      <c r="D184">
        <v>3.8618999999999999</v>
      </c>
      <c r="E184">
        <v>3.9300999999999999</v>
      </c>
      <c r="F184">
        <v>2525</v>
      </c>
    </row>
    <row r="185" spans="1:6" x14ac:dyDescent="0.25">
      <c r="A185" s="4">
        <v>34817</v>
      </c>
      <c r="B185">
        <v>3.9300999999999999</v>
      </c>
      <c r="C185">
        <v>3.9527999999999999</v>
      </c>
      <c r="D185">
        <v>3.8618999999999999</v>
      </c>
      <c r="E185">
        <v>3.9527999999999999</v>
      </c>
      <c r="F185">
        <v>2023</v>
      </c>
    </row>
    <row r="186" spans="1:6" x14ac:dyDescent="0.25">
      <c r="A186" s="4">
        <v>34818</v>
      </c>
      <c r="B186">
        <v>3.9754999999999998</v>
      </c>
      <c r="C186">
        <v>4.0209000000000001</v>
      </c>
      <c r="D186">
        <v>3.9527999999999999</v>
      </c>
      <c r="E186">
        <v>3.9527999999999999</v>
      </c>
      <c r="F186">
        <v>1835</v>
      </c>
    </row>
    <row r="187" spans="1:6" x14ac:dyDescent="0.25">
      <c r="A187" s="4">
        <v>34820</v>
      </c>
      <c r="B187">
        <v>3.9527999999999999</v>
      </c>
      <c r="C187">
        <v>3.9754999999999998</v>
      </c>
      <c r="D187">
        <v>3.9074</v>
      </c>
      <c r="E187">
        <v>3.9527999999999999</v>
      </c>
      <c r="F187">
        <v>974</v>
      </c>
    </row>
    <row r="188" spans="1:6" x14ac:dyDescent="0.25">
      <c r="A188" s="4">
        <v>34821</v>
      </c>
      <c r="B188">
        <v>3.9074</v>
      </c>
      <c r="C188">
        <v>3.9527999999999999</v>
      </c>
      <c r="D188">
        <v>3.8618999999999999</v>
      </c>
      <c r="E188">
        <v>3.9300999999999999</v>
      </c>
      <c r="F188">
        <v>1046</v>
      </c>
    </row>
    <row r="189" spans="1:6" x14ac:dyDescent="0.25">
      <c r="A189" s="4">
        <v>34822</v>
      </c>
      <c r="B189">
        <v>3.9300999999999999</v>
      </c>
      <c r="C189">
        <v>3.9527999999999999</v>
      </c>
      <c r="D189">
        <v>3.9300999999999999</v>
      </c>
      <c r="E189">
        <v>3.9300999999999999</v>
      </c>
      <c r="F189">
        <v>808</v>
      </c>
    </row>
    <row r="190" spans="1:6" x14ac:dyDescent="0.25">
      <c r="A190" s="4">
        <v>34823</v>
      </c>
      <c r="B190">
        <v>3.9527999999999999</v>
      </c>
      <c r="C190">
        <v>3.9527999999999999</v>
      </c>
      <c r="D190">
        <v>3.8845999999999998</v>
      </c>
      <c r="E190">
        <v>3.9074</v>
      </c>
      <c r="F190">
        <v>1092</v>
      </c>
    </row>
    <row r="191" spans="1:6" x14ac:dyDescent="0.25">
      <c r="A191" s="4">
        <v>34824</v>
      </c>
      <c r="B191">
        <v>3.8618999999999999</v>
      </c>
      <c r="C191">
        <v>3.8845999999999998</v>
      </c>
      <c r="D191">
        <v>3.7256</v>
      </c>
      <c r="E191">
        <v>3.7256</v>
      </c>
      <c r="F191">
        <v>4369</v>
      </c>
    </row>
    <row r="192" spans="1:6" x14ac:dyDescent="0.25">
      <c r="A192" s="4">
        <v>34825</v>
      </c>
      <c r="B192">
        <v>3.6575000000000002</v>
      </c>
      <c r="C192">
        <v>3.8391999999999999</v>
      </c>
      <c r="D192">
        <v>3.6575000000000002</v>
      </c>
      <c r="E192">
        <v>3.7938000000000001</v>
      </c>
      <c r="F192">
        <v>2176</v>
      </c>
    </row>
    <row r="193" spans="1:6" x14ac:dyDescent="0.25">
      <c r="A193" s="4">
        <v>34827</v>
      </c>
      <c r="B193">
        <v>3.7938000000000001</v>
      </c>
      <c r="C193">
        <v>3.8618999999999999</v>
      </c>
      <c r="D193">
        <v>3.7483</v>
      </c>
      <c r="E193">
        <v>3.8391999999999999</v>
      </c>
      <c r="F193">
        <v>1683</v>
      </c>
    </row>
    <row r="194" spans="1:6" x14ac:dyDescent="0.25">
      <c r="A194" s="4">
        <v>34828</v>
      </c>
      <c r="B194">
        <v>3.8165</v>
      </c>
      <c r="C194">
        <v>3.9527999999999999</v>
      </c>
      <c r="D194">
        <v>3.7711000000000001</v>
      </c>
      <c r="E194">
        <v>3.9527999999999999</v>
      </c>
      <c r="F194">
        <v>3573</v>
      </c>
    </row>
    <row r="195" spans="1:6" x14ac:dyDescent="0.25">
      <c r="A195" s="4">
        <v>34829</v>
      </c>
      <c r="B195">
        <v>3.9754999999999998</v>
      </c>
      <c r="C195">
        <v>4.0209000000000001</v>
      </c>
      <c r="D195">
        <v>3.9074</v>
      </c>
      <c r="E195">
        <v>3.9527999999999999</v>
      </c>
      <c r="F195">
        <v>2835</v>
      </c>
    </row>
    <row r="196" spans="1:6" x14ac:dyDescent="0.25">
      <c r="A196" s="4">
        <v>34830</v>
      </c>
      <c r="B196">
        <v>3.9754999999999998</v>
      </c>
      <c r="C196">
        <v>4.0209000000000001</v>
      </c>
      <c r="D196">
        <v>3.9527999999999999</v>
      </c>
      <c r="E196">
        <v>3.9982000000000002</v>
      </c>
      <c r="F196">
        <v>1769</v>
      </c>
    </row>
    <row r="197" spans="1:6" x14ac:dyDescent="0.25">
      <c r="A197" s="4">
        <v>34831</v>
      </c>
      <c r="B197">
        <v>3.9754999999999998</v>
      </c>
      <c r="C197">
        <v>4.0209000000000001</v>
      </c>
      <c r="D197">
        <v>3.9527999999999999</v>
      </c>
      <c r="E197">
        <v>3.9982000000000002</v>
      </c>
      <c r="F197">
        <v>1519</v>
      </c>
    </row>
    <row r="198" spans="1:6" x14ac:dyDescent="0.25">
      <c r="A198" s="4">
        <v>34832</v>
      </c>
      <c r="B198">
        <v>4.0209000000000001</v>
      </c>
      <c r="C198">
        <v>4.2027000000000001</v>
      </c>
      <c r="D198">
        <v>4.0209000000000001</v>
      </c>
      <c r="E198">
        <v>4.18</v>
      </c>
      <c r="F198">
        <v>5818</v>
      </c>
    </row>
    <row r="199" spans="1:6" x14ac:dyDescent="0.25">
      <c r="A199" s="4">
        <v>34834</v>
      </c>
      <c r="B199">
        <v>4.1571999999999996</v>
      </c>
      <c r="C199">
        <v>4.2253999999999996</v>
      </c>
      <c r="D199">
        <v>4.1571999999999996</v>
      </c>
      <c r="E199">
        <v>4.1571999999999996</v>
      </c>
      <c r="F199">
        <v>3244</v>
      </c>
    </row>
    <row r="200" spans="1:6" x14ac:dyDescent="0.25">
      <c r="A200" s="4">
        <v>34835</v>
      </c>
      <c r="B200">
        <v>4.18</v>
      </c>
      <c r="C200">
        <v>4.18</v>
      </c>
      <c r="D200">
        <v>4.0891000000000002</v>
      </c>
      <c r="E200">
        <v>4.1571999999999996</v>
      </c>
      <c r="F200">
        <v>2831</v>
      </c>
    </row>
    <row r="201" spans="1:6" x14ac:dyDescent="0.25">
      <c r="A201" s="4">
        <v>34836</v>
      </c>
      <c r="B201">
        <v>4.18</v>
      </c>
      <c r="C201">
        <v>4.2253999999999996</v>
      </c>
      <c r="D201">
        <v>4.1345000000000001</v>
      </c>
      <c r="E201">
        <v>4.1345000000000001</v>
      </c>
      <c r="F201">
        <v>2711</v>
      </c>
    </row>
    <row r="202" spans="1:6" x14ac:dyDescent="0.25">
      <c r="A202" s="4">
        <v>34837</v>
      </c>
      <c r="B202">
        <v>4.1571999999999996</v>
      </c>
      <c r="C202">
        <v>4.1571999999999996</v>
      </c>
      <c r="D202">
        <v>4.0891000000000002</v>
      </c>
      <c r="E202">
        <v>4.1571999999999996</v>
      </c>
      <c r="F202">
        <v>1847</v>
      </c>
    </row>
    <row r="203" spans="1:6" x14ac:dyDescent="0.25">
      <c r="A203" s="4">
        <v>34838</v>
      </c>
      <c r="B203">
        <v>4.1571999999999996</v>
      </c>
      <c r="C203">
        <v>4.2027000000000001</v>
      </c>
      <c r="D203">
        <v>4.1117999999999997</v>
      </c>
      <c r="E203">
        <v>4.1345000000000001</v>
      </c>
      <c r="F203">
        <v>2055</v>
      </c>
    </row>
    <row r="204" spans="1:6" x14ac:dyDescent="0.25">
      <c r="A204" s="4">
        <v>34839</v>
      </c>
      <c r="B204">
        <v>4.2027000000000001</v>
      </c>
      <c r="C204">
        <v>4.2253999999999996</v>
      </c>
      <c r="D204">
        <v>4.1571999999999996</v>
      </c>
      <c r="E204">
        <v>4.1571999999999996</v>
      </c>
      <c r="F204">
        <v>2307</v>
      </c>
    </row>
    <row r="205" spans="1:6" x14ac:dyDescent="0.25">
      <c r="A205" s="4">
        <v>34841</v>
      </c>
      <c r="B205">
        <v>4.1345000000000001</v>
      </c>
      <c r="C205">
        <v>4.1571999999999996</v>
      </c>
      <c r="D205">
        <v>4.1117999999999997</v>
      </c>
      <c r="E205">
        <v>4.1345000000000001</v>
      </c>
      <c r="F205">
        <v>1308</v>
      </c>
    </row>
    <row r="206" spans="1:6" x14ac:dyDescent="0.25">
      <c r="A206" s="4">
        <v>34842</v>
      </c>
      <c r="B206">
        <v>4.1571999999999996</v>
      </c>
      <c r="C206">
        <v>4.2027000000000001</v>
      </c>
      <c r="D206">
        <v>4.1571999999999996</v>
      </c>
      <c r="E206">
        <v>4.18</v>
      </c>
      <c r="F206">
        <v>1915</v>
      </c>
    </row>
    <row r="207" spans="1:6" x14ac:dyDescent="0.25">
      <c r="A207" s="4">
        <v>34843</v>
      </c>
      <c r="B207">
        <v>4.1571999999999996</v>
      </c>
      <c r="C207">
        <v>4.2027000000000001</v>
      </c>
      <c r="D207">
        <v>4.1345000000000001</v>
      </c>
      <c r="E207">
        <v>4.2027000000000001</v>
      </c>
      <c r="F207">
        <v>1644</v>
      </c>
    </row>
    <row r="208" spans="1:6" x14ac:dyDescent="0.25">
      <c r="A208" s="4">
        <v>34844</v>
      </c>
      <c r="B208">
        <v>4.2027000000000001</v>
      </c>
      <c r="C208">
        <v>4.3163</v>
      </c>
      <c r="D208">
        <v>4.2027000000000001</v>
      </c>
      <c r="E208">
        <v>4.2481</v>
      </c>
      <c r="F208">
        <v>8646</v>
      </c>
    </row>
    <row r="209" spans="1:6" x14ac:dyDescent="0.25">
      <c r="A209" s="4">
        <v>34845</v>
      </c>
      <c r="B209">
        <v>4.2253999999999996</v>
      </c>
      <c r="C209">
        <v>4.2934999999999999</v>
      </c>
      <c r="D209">
        <v>4.18</v>
      </c>
      <c r="E209">
        <v>4.2027000000000001</v>
      </c>
      <c r="F209">
        <v>4702</v>
      </c>
    </row>
    <row r="210" spans="1:6" x14ac:dyDescent="0.25">
      <c r="A210" s="4">
        <v>34846</v>
      </c>
      <c r="B210">
        <v>4.2027000000000001</v>
      </c>
      <c r="C210">
        <v>4.2253999999999996</v>
      </c>
      <c r="D210">
        <v>4.1117999999999997</v>
      </c>
      <c r="E210">
        <v>4.1117999999999997</v>
      </c>
      <c r="F210">
        <v>2762</v>
      </c>
    </row>
    <row r="211" spans="1:6" x14ac:dyDescent="0.25">
      <c r="A211" s="4">
        <v>34848</v>
      </c>
      <c r="B211">
        <v>4.0663999999999998</v>
      </c>
      <c r="C211">
        <v>4.0663999999999998</v>
      </c>
      <c r="D211">
        <v>3.9754999999999998</v>
      </c>
      <c r="E211">
        <v>4.0209000000000001</v>
      </c>
      <c r="F211">
        <v>4150</v>
      </c>
    </row>
    <row r="212" spans="1:6" x14ac:dyDescent="0.25">
      <c r="A212" s="4">
        <v>34849</v>
      </c>
      <c r="B212">
        <v>4.0209000000000001</v>
      </c>
      <c r="C212">
        <v>4.1117999999999997</v>
      </c>
      <c r="D212">
        <v>4.0209000000000001</v>
      </c>
      <c r="E212">
        <v>4.0891000000000002</v>
      </c>
      <c r="F212">
        <v>1595</v>
      </c>
    </row>
    <row r="213" spans="1:6" x14ac:dyDescent="0.25">
      <c r="A213" s="4">
        <v>34850</v>
      </c>
      <c r="B213">
        <v>4.1571999999999996</v>
      </c>
      <c r="C213">
        <v>4.2708000000000004</v>
      </c>
      <c r="D213">
        <v>4.1571999999999996</v>
      </c>
      <c r="E213">
        <v>4.2481</v>
      </c>
      <c r="F213">
        <v>6600</v>
      </c>
    </row>
    <row r="214" spans="1:6" x14ac:dyDescent="0.25">
      <c r="A214" s="4">
        <v>34851</v>
      </c>
      <c r="B214">
        <v>4.2708000000000004</v>
      </c>
      <c r="C214">
        <v>4.2934999999999999</v>
      </c>
      <c r="D214">
        <v>4.2253999999999996</v>
      </c>
      <c r="E214">
        <v>4.2708000000000004</v>
      </c>
      <c r="F214">
        <v>3007</v>
      </c>
    </row>
    <row r="215" spans="1:6" x14ac:dyDescent="0.25">
      <c r="A215" s="4">
        <v>34855</v>
      </c>
      <c r="B215">
        <v>4.2934999999999999</v>
      </c>
      <c r="C215">
        <v>4.3163</v>
      </c>
      <c r="D215">
        <v>4.2253999999999996</v>
      </c>
      <c r="E215">
        <v>4.2253999999999996</v>
      </c>
      <c r="F215">
        <v>2734</v>
      </c>
    </row>
    <row r="216" spans="1:6" x14ac:dyDescent="0.25">
      <c r="A216" s="4">
        <v>34856</v>
      </c>
      <c r="B216">
        <v>4.2481</v>
      </c>
      <c r="C216">
        <v>4.2934999999999999</v>
      </c>
      <c r="D216">
        <v>4.2481</v>
      </c>
      <c r="E216">
        <v>4.2934999999999999</v>
      </c>
      <c r="F216">
        <v>3561</v>
      </c>
    </row>
    <row r="217" spans="1:6" x14ac:dyDescent="0.25">
      <c r="A217" s="4">
        <v>34857</v>
      </c>
      <c r="B217">
        <v>4.3163</v>
      </c>
      <c r="C217">
        <v>4.4070999999999998</v>
      </c>
      <c r="D217">
        <v>4.3163</v>
      </c>
      <c r="E217">
        <v>4.3163</v>
      </c>
      <c r="F217">
        <v>6044</v>
      </c>
    </row>
    <row r="218" spans="1:6" x14ac:dyDescent="0.25">
      <c r="A218" s="4">
        <v>34858</v>
      </c>
      <c r="B218">
        <v>4.3163</v>
      </c>
      <c r="C218">
        <v>4.3844000000000003</v>
      </c>
      <c r="D218">
        <v>4.3163</v>
      </c>
      <c r="E218">
        <v>4.3616999999999999</v>
      </c>
      <c r="F218">
        <v>4786</v>
      </c>
    </row>
    <row r="219" spans="1:6" x14ac:dyDescent="0.25">
      <c r="A219" s="4">
        <v>34859</v>
      </c>
      <c r="B219">
        <v>4.4070999999999998</v>
      </c>
      <c r="C219">
        <v>4.4070999999999998</v>
      </c>
      <c r="D219">
        <v>4.3616999999999999</v>
      </c>
      <c r="E219">
        <v>4.4070999999999998</v>
      </c>
      <c r="F219">
        <v>3174</v>
      </c>
    </row>
    <row r="220" spans="1:6" x14ac:dyDescent="0.25">
      <c r="A220" s="4">
        <v>34860</v>
      </c>
      <c r="B220">
        <v>4.4070999999999998</v>
      </c>
      <c r="C220">
        <v>4.4070999999999998</v>
      </c>
      <c r="D220">
        <v>4.3616999999999999</v>
      </c>
      <c r="E220">
        <v>4.3844000000000003</v>
      </c>
      <c r="F220">
        <v>3139</v>
      </c>
    </row>
    <row r="221" spans="1:6" x14ac:dyDescent="0.25">
      <c r="A221" s="4">
        <v>34862</v>
      </c>
      <c r="B221">
        <v>4.4070999999999998</v>
      </c>
      <c r="C221">
        <v>4.4070999999999998</v>
      </c>
      <c r="D221">
        <v>4.3616999999999999</v>
      </c>
      <c r="E221">
        <v>4.4070999999999998</v>
      </c>
      <c r="F221">
        <v>3385</v>
      </c>
    </row>
    <row r="222" spans="1:6" x14ac:dyDescent="0.25">
      <c r="A222" s="4">
        <v>34863</v>
      </c>
      <c r="B222">
        <v>4.4298999999999999</v>
      </c>
      <c r="C222">
        <v>4.4526000000000003</v>
      </c>
      <c r="D222">
        <v>4.4298999999999999</v>
      </c>
      <c r="E222">
        <v>4.4526000000000003</v>
      </c>
      <c r="F222">
        <v>5288</v>
      </c>
    </row>
    <row r="223" spans="1:6" x14ac:dyDescent="0.25">
      <c r="A223" s="4">
        <v>34864</v>
      </c>
      <c r="B223">
        <v>4.4526000000000003</v>
      </c>
      <c r="C223">
        <v>4.4526000000000003</v>
      </c>
      <c r="D223">
        <v>4.2708000000000004</v>
      </c>
      <c r="E223">
        <v>4.3163</v>
      </c>
      <c r="F223">
        <v>11420</v>
      </c>
    </row>
    <row r="224" spans="1:6" x14ac:dyDescent="0.25">
      <c r="A224" s="4">
        <v>34865</v>
      </c>
      <c r="B224">
        <v>4.4980000000000002</v>
      </c>
      <c r="C224">
        <v>4.4980000000000002</v>
      </c>
      <c r="D224">
        <v>4.0891000000000002</v>
      </c>
      <c r="E224">
        <v>4.1094999999999997</v>
      </c>
      <c r="F224">
        <v>28911</v>
      </c>
    </row>
    <row r="225" spans="1:6" x14ac:dyDescent="0.25">
      <c r="A225" s="4">
        <v>34866</v>
      </c>
      <c r="B225">
        <v>4.0891000000000002</v>
      </c>
      <c r="C225">
        <v>4.2731000000000003</v>
      </c>
      <c r="D225">
        <v>3.9868999999999999</v>
      </c>
      <c r="E225">
        <v>4.2731000000000003</v>
      </c>
      <c r="F225">
        <v>14095</v>
      </c>
    </row>
    <row r="226" spans="1:6" x14ac:dyDescent="0.25">
      <c r="A226" s="4">
        <v>34867</v>
      </c>
      <c r="B226">
        <v>4.1708999999999996</v>
      </c>
      <c r="C226">
        <v>4.2118000000000002</v>
      </c>
      <c r="D226">
        <v>4.0481999999999996</v>
      </c>
      <c r="E226">
        <v>4.1708999999999996</v>
      </c>
      <c r="F226">
        <v>8640</v>
      </c>
    </row>
    <row r="227" spans="1:6" x14ac:dyDescent="0.25">
      <c r="A227" s="4">
        <v>34869</v>
      </c>
      <c r="B227">
        <v>4.1708999999999996</v>
      </c>
      <c r="C227">
        <v>4.1913</v>
      </c>
      <c r="D227">
        <v>4.0891000000000002</v>
      </c>
      <c r="E227">
        <v>4.1094999999999997</v>
      </c>
      <c r="F227">
        <v>4207</v>
      </c>
    </row>
    <row r="228" spans="1:6" x14ac:dyDescent="0.25">
      <c r="A228" s="4">
        <v>34870</v>
      </c>
      <c r="B228">
        <v>4.1504000000000003</v>
      </c>
      <c r="C228">
        <v>4.1708999999999996</v>
      </c>
      <c r="D228">
        <v>4.0891000000000002</v>
      </c>
      <c r="E228">
        <v>4.13</v>
      </c>
      <c r="F228">
        <v>3876</v>
      </c>
    </row>
    <row r="229" spans="1:6" x14ac:dyDescent="0.25">
      <c r="A229" s="4">
        <v>34871</v>
      </c>
      <c r="B229">
        <v>4.1708999999999996</v>
      </c>
      <c r="C229">
        <v>4.2526999999999999</v>
      </c>
      <c r="D229">
        <v>4.13</v>
      </c>
      <c r="E229">
        <v>4.1504000000000003</v>
      </c>
      <c r="F229">
        <v>4706</v>
      </c>
    </row>
    <row r="230" spans="1:6" x14ac:dyDescent="0.25">
      <c r="A230" s="4">
        <v>34872</v>
      </c>
      <c r="B230">
        <v>4.1708999999999996</v>
      </c>
      <c r="C230">
        <v>4.2934999999999999</v>
      </c>
      <c r="D230">
        <v>4.13</v>
      </c>
      <c r="E230">
        <v>4.2731000000000003</v>
      </c>
      <c r="F230">
        <v>5764</v>
      </c>
    </row>
    <row r="231" spans="1:6" x14ac:dyDescent="0.25">
      <c r="A231" s="4">
        <v>34873</v>
      </c>
      <c r="B231">
        <v>4.3343999999999996</v>
      </c>
      <c r="C231">
        <v>4.4161999999999999</v>
      </c>
      <c r="D231">
        <v>4.3140000000000001</v>
      </c>
      <c r="E231">
        <v>4.3548999999999998</v>
      </c>
      <c r="F231">
        <v>8868</v>
      </c>
    </row>
    <row r="232" spans="1:6" x14ac:dyDescent="0.25">
      <c r="A232" s="4">
        <v>34874</v>
      </c>
      <c r="B232">
        <v>4.4161999999999999</v>
      </c>
      <c r="C232">
        <v>4.4775999999999998</v>
      </c>
      <c r="D232">
        <v>4.3753000000000002</v>
      </c>
      <c r="E232">
        <v>4.4775999999999998</v>
      </c>
      <c r="F232">
        <v>7704</v>
      </c>
    </row>
    <row r="233" spans="1:6" x14ac:dyDescent="0.25">
      <c r="A233" s="4">
        <v>34876</v>
      </c>
      <c r="B233">
        <v>4.4980000000000002</v>
      </c>
      <c r="C233">
        <v>4.7842000000000002</v>
      </c>
      <c r="D233">
        <v>4.4980000000000002</v>
      </c>
      <c r="E233">
        <v>4.7842000000000002</v>
      </c>
      <c r="F233">
        <v>13617</v>
      </c>
    </row>
    <row r="234" spans="1:6" x14ac:dyDescent="0.25">
      <c r="A234" s="4">
        <v>34877</v>
      </c>
      <c r="B234">
        <v>4.8250999999999999</v>
      </c>
      <c r="C234">
        <v>4.8864999999999998</v>
      </c>
      <c r="D234">
        <v>4.7024999999999997</v>
      </c>
      <c r="E234">
        <v>4.7024999999999997</v>
      </c>
      <c r="F234">
        <v>16686</v>
      </c>
    </row>
    <row r="235" spans="1:6" x14ac:dyDescent="0.25">
      <c r="A235" s="4">
        <v>34878</v>
      </c>
      <c r="B235">
        <v>4.7432999999999996</v>
      </c>
      <c r="C235">
        <v>4.8864999999999998</v>
      </c>
      <c r="D235">
        <v>4.7229000000000001</v>
      </c>
      <c r="E235">
        <v>4.8250999999999999</v>
      </c>
      <c r="F235">
        <v>15227</v>
      </c>
    </row>
    <row r="236" spans="1:6" x14ac:dyDescent="0.25">
      <c r="A236" s="4">
        <v>34879</v>
      </c>
      <c r="B236">
        <v>4.9069000000000003</v>
      </c>
      <c r="C236">
        <v>5.0705</v>
      </c>
      <c r="D236">
        <v>4.9069000000000003</v>
      </c>
      <c r="E236">
        <v>4.9886999999999997</v>
      </c>
      <c r="F236">
        <v>21155</v>
      </c>
    </row>
    <row r="237" spans="1:6" x14ac:dyDescent="0.25">
      <c r="A237" s="4">
        <v>34880</v>
      </c>
      <c r="B237">
        <v>5.0909000000000004</v>
      </c>
      <c r="C237">
        <v>5.1523000000000003</v>
      </c>
      <c r="D237">
        <v>5.0296000000000003</v>
      </c>
      <c r="E237">
        <v>5.1318000000000001</v>
      </c>
      <c r="F237">
        <v>14070</v>
      </c>
    </row>
    <row r="238" spans="1:6" x14ac:dyDescent="0.25">
      <c r="A238" s="4">
        <v>34883</v>
      </c>
      <c r="B238">
        <v>5.0296000000000003</v>
      </c>
      <c r="C238">
        <v>5.05</v>
      </c>
      <c r="D238">
        <v>4.8047000000000004</v>
      </c>
      <c r="E238">
        <v>4.8047000000000004</v>
      </c>
      <c r="F238">
        <v>16216</v>
      </c>
    </row>
    <row r="239" spans="1:6" x14ac:dyDescent="0.25">
      <c r="A239" s="4">
        <v>34884</v>
      </c>
      <c r="B239">
        <v>4.8250999999999999</v>
      </c>
      <c r="C239">
        <v>4.9069000000000003</v>
      </c>
      <c r="D239">
        <v>4.8047000000000004</v>
      </c>
      <c r="E239">
        <v>4.9069000000000003</v>
      </c>
      <c r="F239">
        <v>12140</v>
      </c>
    </row>
    <row r="240" spans="1:6" x14ac:dyDescent="0.25">
      <c r="A240" s="4">
        <v>34885</v>
      </c>
      <c r="B240">
        <v>4.9682000000000004</v>
      </c>
      <c r="C240">
        <v>4.9886999999999997</v>
      </c>
      <c r="D240">
        <v>4.8659999999999997</v>
      </c>
      <c r="E240">
        <v>4.9273999999999996</v>
      </c>
      <c r="F240">
        <v>8619</v>
      </c>
    </row>
    <row r="241" spans="1:6" x14ac:dyDescent="0.25">
      <c r="A241" s="4">
        <v>34886</v>
      </c>
      <c r="B241">
        <v>4.9069000000000003</v>
      </c>
      <c r="C241">
        <v>5.0296000000000003</v>
      </c>
      <c r="D241">
        <v>4.8659999999999997</v>
      </c>
      <c r="E241">
        <v>4.9478</v>
      </c>
      <c r="F241">
        <v>10279</v>
      </c>
    </row>
    <row r="242" spans="1:6" x14ac:dyDescent="0.25">
      <c r="A242" s="4">
        <v>34887</v>
      </c>
      <c r="B242">
        <v>4.9886999999999997</v>
      </c>
      <c r="C242">
        <v>5.0296000000000003</v>
      </c>
      <c r="D242">
        <v>4.9478</v>
      </c>
      <c r="E242">
        <v>4.9886999999999997</v>
      </c>
      <c r="F242">
        <v>7196</v>
      </c>
    </row>
    <row r="243" spans="1:6" x14ac:dyDescent="0.25">
      <c r="A243" s="4">
        <v>34888</v>
      </c>
      <c r="B243">
        <v>5.0296000000000003</v>
      </c>
      <c r="C243">
        <v>5.0296000000000003</v>
      </c>
      <c r="D243">
        <v>4.8659999999999997</v>
      </c>
      <c r="E243">
        <v>4.8659999999999997</v>
      </c>
      <c r="F243">
        <v>6928</v>
      </c>
    </row>
    <row r="244" spans="1:6" x14ac:dyDescent="0.25">
      <c r="A244" s="4">
        <v>34890</v>
      </c>
      <c r="B244">
        <v>4.8659999999999997</v>
      </c>
      <c r="C244">
        <v>4.8659999999999997</v>
      </c>
      <c r="D244">
        <v>4.7842000000000002</v>
      </c>
      <c r="E244">
        <v>4.8456000000000001</v>
      </c>
      <c r="F244">
        <v>4684</v>
      </c>
    </row>
    <row r="245" spans="1:6" x14ac:dyDescent="0.25">
      <c r="A245" s="4">
        <v>34891</v>
      </c>
      <c r="B245">
        <v>4.8456000000000001</v>
      </c>
      <c r="C245">
        <v>4.9069000000000003</v>
      </c>
      <c r="D245">
        <v>4.8250999999999999</v>
      </c>
      <c r="E245">
        <v>4.9069000000000003</v>
      </c>
      <c r="F245">
        <v>3952</v>
      </c>
    </row>
    <row r="246" spans="1:6" x14ac:dyDescent="0.25">
      <c r="A246" s="4">
        <v>34892</v>
      </c>
      <c r="B246">
        <v>4.9478</v>
      </c>
      <c r="C246">
        <v>4.9478</v>
      </c>
      <c r="D246">
        <v>4.8250999999999999</v>
      </c>
      <c r="E246">
        <v>4.8250999999999999</v>
      </c>
      <c r="F246">
        <v>6017</v>
      </c>
    </row>
    <row r="247" spans="1:6" x14ac:dyDescent="0.25">
      <c r="A247" s="4">
        <v>34893</v>
      </c>
      <c r="B247">
        <v>4.8659999999999997</v>
      </c>
      <c r="C247">
        <v>4.9682000000000004</v>
      </c>
      <c r="D247">
        <v>4.8250999999999999</v>
      </c>
      <c r="E247">
        <v>4.9478</v>
      </c>
      <c r="F247">
        <v>6932</v>
      </c>
    </row>
    <row r="248" spans="1:6" x14ac:dyDescent="0.25">
      <c r="A248" s="4">
        <v>34894</v>
      </c>
      <c r="B248">
        <v>4.9682000000000004</v>
      </c>
      <c r="C248">
        <v>4.9886999999999997</v>
      </c>
      <c r="D248">
        <v>4.8659999999999997</v>
      </c>
      <c r="E248">
        <v>4.8659999999999997</v>
      </c>
      <c r="F248">
        <v>5526</v>
      </c>
    </row>
    <row r="249" spans="1:6" x14ac:dyDescent="0.25">
      <c r="A249" s="4">
        <v>34895</v>
      </c>
      <c r="B249">
        <v>4.8250999999999999</v>
      </c>
      <c r="C249">
        <v>4.8456000000000001</v>
      </c>
      <c r="D249">
        <v>4.7842000000000002</v>
      </c>
      <c r="E249">
        <v>4.8250999999999999</v>
      </c>
      <c r="F249">
        <v>5443</v>
      </c>
    </row>
    <row r="250" spans="1:6" x14ac:dyDescent="0.25">
      <c r="A250" s="4">
        <v>34897</v>
      </c>
      <c r="B250">
        <v>4.8250999999999999</v>
      </c>
      <c r="C250">
        <v>4.8250999999999999</v>
      </c>
      <c r="D250">
        <v>4.5797999999999996</v>
      </c>
      <c r="E250">
        <v>4.6410999999999998</v>
      </c>
      <c r="F250">
        <v>8648</v>
      </c>
    </row>
    <row r="251" spans="1:6" x14ac:dyDescent="0.25">
      <c r="A251" s="4">
        <v>34898</v>
      </c>
      <c r="B251">
        <v>4.5797999999999996</v>
      </c>
      <c r="C251">
        <v>4.6616</v>
      </c>
      <c r="D251">
        <v>4.4980000000000002</v>
      </c>
      <c r="E251">
        <v>4.6616</v>
      </c>
      <c r="F251">
        <v>8300</v>
      </c>
    </row>
    <row r="252" spans="1:6" x14ac:dyDescent="0.25">
      <c r="A252" s="4">
        <v>34899</v>
      </c>
      <c r="B252">
        <v>4.4980000000000002</v>
      </c>
      <c r="C252">
        <v>4.5797999999999996</v>
      </c>
      <c r="D252">
        <v>4.4161999999999999</v>
      </c>
      <c r="E252">
        <v>4.5183999999999997</v>
      </c>
      <c r="F252">
        <v>13371</v>
      </c>
    </row>
    <row r="253" spans="1:6" x14ac:dyDescent="0.25">
      <c r="A253" s="4">
        <v>34900</v>
      </c>
      <c r="B253">
        <v>4.4980000000000002</v>
      </c>
      <c r="C253">
        <v>4.5593000000000004</v>
      </c>
      <c r="D253">
        <v>4.3548999999999998</v>
      </c>
      <c r="E253">
        <v>4.3753000000000002</v>
      </c>
      <c r="F253">
        <v>12629</v>
      </c>
    </row>
    <row r="254" spans="1:6" x14ac:dyDescent="0.25">
      <c r="A254" s="4">
        <v>34901</v>
      </c>
      <c r="B254">
        <v>4.3753000000000002</v>
      </c>
      <c r="C254">
        <v>4.4980000000000002</v>
      </c>
      <c r="D254">
        <v>4.3753000000000002</v>
      </c>
      <c r="E254">
        <v>4.3958000000000004</v>
      </c>
      <c r="F254">
        <v>8078</v>
      </c>
    </row>
    <row r="255" spans="1:6" x14ac:dyDescent="0.25">
      <c r="A255" s="4">
        <v>34902</v>
      </c>
      <c r="B255">
        <v>4.4570999999999996</v>
      </c>
      <c r="C255">
        <v>4.4980000000000002</v>
      </c>
      <c r="D255">
        <v>4.2934999999999999</v>
      </c>
      <c r="E255">
        <v>4.4367000000000001</v>
      </c>
      <c r="F255">
        <v>8408</v>
      </c>
    </row>
    <row r="256" spans="1:6" x14ac:dyDescent="0.25">
      <c r="A256" s="4">
        <v>34904</v>
      </c>
      <c r="B256">
        <v>4.3958000000000004</v>
      </c>
      <c r="C256">
        <v>4.4161999999999999</v>
      </c>
      <c r="D256">
        <v>4.3343999999999996</v>
      </c>
      <c r="E256">
        <v>4.3753000000000002</v>
      </c>
      <c r="F256">
        <v>4522</v>
      </c>
    </row>
    <row r="257" spans="1:6" x14ac:dyDescent="0.25">
      <c r="A257" s="4">
        <v>34905</v>
      </c>
      <c r="B257">
        <v>4.3753000000000002</v>
      </c>
      <c r="C257">
        <v>4.3753000000000002</v>
      </c>
      <c r="D257">
        <v>4.0891000000000002</v>
      </c>
      <c r="E257">
        <v>4.0891000000000002</v>
      </c>
      <c r="F257">
        <v>10141</v>
      </c>
    </row>
    <row r="258" spans="1:6" x14ac:dyDescent="0.25">
      <c r="A258" s="4">
        <v>34906</v>
      </c>
      <c r="B258">
        <v>3.9664000000000001</v>
      </c>
      <c r="C258">
        <v>4.13</v>
      </c>
      <c r="D258">
        <v>3.9664000000000001</v>
      </c>
      <c r="E258">
        <v>4.1094999999999997</v>
      </c>
      <c r="F258">
        <v>12258</v>
      </c>
    </row>
    <row r="259" spans="1:6" x14ac:dyDescent="0.25">
      <c r="A259" s="4">
        <v>34907</v>
      </c>
      <c r="B259">
        <v>4.3958000000000004</v>
      </c>
      <c r="C259">
        <v>4.3958000000000004</v>
      </c>
      <c r="D259">
        <v>4.2731000000000003</v>
      </c>
      <c r="E259">
        <v>4.3958000000000004</v>
      </c>
      <c r="F259">
        <v>9640</v>
      </c>
    </row>
    <row r="260" spans="1:6" x14ac:dyDescent="0.25">
      <c r="A260" s="4">
        <v>34908</v>
      </c>
      <c r="B260">
        <v>4.4161999999999999</v>
      </c>
      <c r="C260">
        <v>4.4570999999999996</v>
      </c>
      <c r="D260">
        <v>4.3548999999999998</v>
      </c>
      <c r="E260">
        <v>4.3753000000000002</v>
      </c>
      <c r="F260">
        <v>8318</v>
      </c>
    </row>
    <row r="261" spans="1:6" x14ac:dyDescent="0.25">
      <c r="A261" s="4">
        <v>34909</v>
      </c>
      <c r="B261">
        <v>4.3548999999999998</v>
      </c>
      <c r="C261">
        <v>4.3548999999999998</v>
      </c>
      <c r="D261">
        <v>4.2934999999999999</v>
      </c>
      <c r="E261">
        <v>4.2934999999999999</v>
      </c>
      <c r="F261">
        <v>3871</v>
      </c>
    </row>
    <row r="262" spans="1:6" x14ac:dyDescent="0.25">
      <c r="A262" s="4">
        <v>34911</v>
      </c>
      <c r="B262">
        <v>4.2118000000000002</v>
      </c>
      <c r="C262">
        <v>4.2526999999999999</v>
      </c>
      <c r="D262">
        <v>4.1504000000000003</v>
      </c>
      <c r="E262">
        <v>4.2118000000000002</v>
      </c>
      <c r="F262">
        <v>5090</v>
      </c>
    </row>
    <row r="263" spans="1:6" x14ac:dyDescent="0.25">
      <c r="A263" s="4">
        <v>34912</v>
      </c>
      <c r="B263">
        <v>4.2118000000000002</v>
      </c>
      <c r="C263">
        <v>4.2118000000000002</v>
      </c>
      <c r="D263">
        <v>4.0481999999999996</v>
      </c>
      <c r="E263">
        <v>4.0891000000000002</v>
      </c>
      <c r="F263">
        <v>9698</v>
      </c>
    </row>
    <row r="264" spans="1:6" x14ac:dyDescent="0.25">
      <c r="A264" s="4">
        <v>34913</v>
      </c>
      <c r="B264">
        <v>4.0891000000000002</v>
      </c>
      <c r="C264">
        <v>4.1094999999999997</v>
      </c>
      <c r="D264">
        <v>3.8845999999999998</v>
      </c>
      <c r="E264">
        <v>3.9051</v>
      </c>
      <c r="F264">
        <v>13466</v>
      </c>
    </row>
    <row r="265" spans="1:6" x14ac:dyDescent="0.25">
      <c r="A265" s="4">
        <v>34914</v>
      </c>
      <c r="B265">
        <v>3.8641999999999999</v>
      </c>
      <c r="C265">
        <v>4.0481999999999996</v>
      </c>
      <c r="D265">
        <v>3.8437000000000001</v>
      </c>
      <c r="E265">
        <v>4.0481999999999996</v>
      </c>
      <c r="F265">
        <v>11843</v>
      </c>
    </row>
    <row r="266" spans="1:6" x14ac:dyDescent="0.25">
      <c r="A266" s="4">
        <v>34915</v>
      </c>
      <c r="B266">
        <v>4.1094999999999997</v>
      </c>
      <c r="C266">
        <v>4.13</v>
      </c>
      <c r="D266">
        <v>3.9664000000000001</v>
      </c>
      <c r="E266">
        <v>4.0891000000000002</v>
      </c>
      <c r="F266">
        <v>8017</v>
      </c>
    </row>
    <row r="267" spans="1:6" x14ac:dyDescent="0.25">
      <c r="A267" s="4">
        <v>34916</v>
      </c>
      <c r="B267">
        <v>3.8437000000000001</v>
      </c>
      <c r="C267">
        <v>4.0072999999999999</v>
      </c>
      <c r="D267">
        <v>3.8437000000000001</v>
      </c>
      <c r="E267">
        <v>3.9460000000000002</v>
      </c>
      <c r="F267">
        <v>8027</v>
      </c>
    </row>
    <row r="268" spans="1:6" x14ac:dyDescent="0.25">
      <c r="A268" s="4">
        <v>34918</v>
      </c>
      <c r="B268">
        <v>3.9051</v>
      </c>
      <c r="C268">
        <v>4.0481999999999996</v>
      </c>
      <c r="D268">
        <v>3.9051</v>
      </c>
      <c r="E268">
        <v>4.0072999999999999</v>
      </c>
      <c r="F268">
        <v>7072</v>
      </c>
    </row>
    <row r="269" spans="1:6" x14ac:dyDescent="0.25">
      <c r="A269" s="4">
        <v>34919</v>
      </c>
      <c r="B269">
        <v>4.0278</v>
      </c>
      <c r="C269">
        <v>4.1094999999999997</v>
      </c>
      <c r="D269">
        <v>3.9664000000000001</v>
      </c>
      <c r="E269">
        <v>4.0481999999999996</v>
      </c>
      <c r="F269">
        <v>6552</v>
      </c>
    </row>
    <row r="270" spans="1:6" x14ac:dyDescent="0.25">
      <c r="A270" s="4">
        <v>34920</v>
      </c>
      <c r="B270">
        <v>4.0481999999999996</v>
      </c>
      <c r="C270">
        <v>4.0481999999999996</v>
      </c>
      <c r="D270">
        <v>3.9460000000000002</v>
      </c>
      <c r="E270">
        <v>3.9460000000000002</v>
      </c>
      <c r="F270">
        <v>7240</v>
      </c>
    </row>
    <row r="271" spans="1:6" x14ac:dyDescent="0.25">
      <c r="A271" s="4">
        <v>34921</v>
      </c>
      <c r="B271">
        <v>3.9664000000000001</v>
      </c>
      <c r="C271">
        <v>4.0278</v>
      </c>
      <c r="D271">
        <v>3.9664000000000001</v>
      </c>
      <c r="E271">
        <v>4.0278</v>
      </c>
      <c r="F271">
        <v>3377</v>
      </c>
    </row>
    <row r="272" spans="1:6" x14ac:dyDescent="0.25">
      <c r="A272" s="4">
        <v>34922</v>
      </c>
      <c r="B272">
        <v>3.9255</v>
      </c>
      <c r="C272">
        <v>3.9664000000000001</v>
      </c>
      <c r="D272">
        <v>3.9051</v>
      </c>
      <c r="E272">
        <v>3.9664000000000001</v>
      </c>
      <c r="F272">
        <v>7725</v>
      </c>
    </row>
    <row r="273" spans="1:6" x14ac:dyDescent="0.25">
      <c r="A273" s="4">
        <v>34923</v>
      </c>
      <c r="B273">
        <v>4.13</v>
      </c>
      <c r="C273">
        <v>4.1708999999999996</v>
      </c>
      <c r="D273">
        <v>4.0686</v>
      </c>
      <c r="E273">
        <v>4.1504000000000003</v>
      </c>
      <c r="F273">
        <v>12317</v>
      </c>
    </row>
    <row r="274" spans="1:6" x14ac:dyDescent="0.25">
      <c r="A274" s="4">
        <v>34925</v>
      </c>
      <c r="B274">
        <v>4.1094999999999997</v>
      </c>
      <c r="C274">
        <v>4.13</v>
      </c>
      <c r="D274">
        <v>4.0481999999999996</v>
      </c>
      <c r="E274">
        <v>4.0481999999999996</v>
      </c>
      <c r="F274">
        <v>6451</v>
      </c>
    </row>
    <row r="275" spans="1:6" x14ac:dyDescent="0.25">
      <c r="A275" s="4">
        <v>34926</v>
      </c>
      <c r="B275">
        <v>4.0686</v>
      </c>
      <c r="C275">
        <v>4.13</v>
      </c>
      <c r="D275">
        <v>4.0481999999999996</v>
      </c>
      <c r="E275">
        <v>4.1094999999999997</v>
      </c>
      <c r="F275">
        <v>5398</v>
      </c>
    </row>
    <row r="276" spans="1:6" x14ac:dyDescent="0.25">
      <c r="A276" s="4">
        <v>34927</v>
      </c>
      <c r="B276">
        <v>4.1708999999999996</v>
      </c>
      <c r="C276">
        <v>4.3548999999999998</v>
      </c>
      <c r="D276">
        <v>4.1094999999999997</v>
      </c>
      <c r="E276">
        <v>4.3343999999999996</v>
      </c>
      <c r="F276">
        <v>10394</v>
      </c>
    </row>
    <row r="277" spans="1:6" x14ac:dyDescent="0.25">
      <c r="A277" s="4">
        <v>34928</v>
      </c>
      <c r="B277">
        <v>4.3753000000000002</v>
      </c>
      <c r="C277">
        <v>4.4775999999999998</v>
      </c>
      <c r="D277">
        <v>4.3548999999999998</v>
      </c>
      <c r="E277">
        <v>4.3958000000000004</v>
      </c>
      <c r="F277">
        <v>12238</v>
      </c>
    </row>
    <row r="278" spans="1:6" x14ac:dyDescent="0.25">
      <c r="A278" s="4">
        <v>34929</v>
      </c>
      <c r="B278">
        <v>4.3753000000000002</v>
      </c>
      <c r="C278">
        <v>4.4570999999999996</v>
      </c>
      <c r="D278">
        <v>4.3343999999999996</v>
      </c>
      <c r="E278">
        <v>4.4367000000000001</v>
      </c>
      <c r="F278">
        <v>5872</v>
      </c>
    </row>
    <row r="279" spans="1:6" x14ac:dyDescent="0.25">
      <c r="A279" s="4">
        <v>34930</v>
      </c>
      <c r="B279">
        <v>4.4161999999999999</v>
      </c>
      <c r="C279">
        <v>4.4367000000000001</v>
      </c>
      <c r="D279">
        <v>4.3753000000000002</v>
      </c>
      <c r="E279">
        <v>4.3958000000000004</v>
      </c>
      <c r="F279">
        <v>4318</v>
      </c>
    </row>
    <row r="280" spans="1:6" x14ac:dyDescent="0.25">
      <c r="A280" s="4">
        <v>34932</v>
      </c>
      <c r="B280">
        <v>4.3753000000000002</v>
      </c>
      <c r="C280">
        <v>4.4161999999999999</v>
      </c>
      <c r="D280">
        <v>4.3753000000000002</v>
      </c>
      <c r="E280">
        <v>4.3958000000000004</v>
      </c>
      <c r="F280">
        <v>3036</v>
      </c>
    </row>
    <row r="281" spans="1:6" x14ac:dyDescent="0.25">
      <c r="A281" s="4">
        <v>34933</v>
      </c>
      <c r="B281">
        <v>4.3958000000000004</v>
      </c>
      <c r="C281">
        <v>4.4570999999999996</v>
      </c>
      <c r="D281">
        <v>4.3753000000000002</v>
      </c>
      <c r="E281">
        <v>4.4570999999999996</v>
      </c>
      <c r="F281">
        <v>5804</v>
      </c>
    </row>
    <row r="282" spans="1:6" x14ac:dyDescent="0.25">
      <c r="A282" s="4">
        <v>34934</v>
      </c>
      <c r="B282">
        <v>4.4570999999999996</v>
      </c>
      <c r="C282">
        <v>4.4980000000000002</v>
      </c>
      <c r="D282">
        <v>4.3548999999999998</v>
      </c>
      <c r="E282">
        <v>4.3548999999999998</v>
      </c>
      <c r="F282">
        <v>5299</v>
      </c>
    </row>
    <row r="283" spans="1:6" x14ac:dyDescent="0.25">
      <c r="A283" s="4">
        <v>34935</v>
      </c>
      <c r="B283">
        <v>4.3343999999999996</v>
      </c>
      <c r="C283">
        <v>4.3753000000000002</v>
      </c>
      <c r="D283">
        <v>4.2118000000000002</v>
      </c>
      <c r="E283">
        <v>4.2118000000000002</v>
      </c>
      <c r="F283">
        <v>6505</v>
      </c>
    </row>
    <row r="284" spans="1:6" x14ac:dyDescent="0.25">
      <c r="A284" s="4">
        <v>34936</v>
      </c>
      <c r="B284">
        <v>4.1708999999999996</v>
      </c>
      <c r="C284">
        <v>4.2321999999999997</v>
      </c>
      <c r="D284">
        <v>4.1094999999999997</v>
      </c>
      <c r="E284">
        <v>4.2118000000000002</v>
      </c>
      <c r="F284">
        <v>6775</v>
      </c>
    </row>
    <row r="285" spans="1:6" x14ac:dyDescent="0.25">
      <c r="A285" s="4">
        <v>34937</v>
      </c>
      <c r="B285">
        <v>4.2321999999999997</v>
      </c>
      <c r="C285">
        <v>4.2934999999999999</v>
      </c>
      <c r="D285">
        <v>4.1913</v>
      </c>
      <c r="E285">
        <v>4.2321999999999997</v>
      </c>
      <c r="F285">
        <v>3396</v>
      </c>
    </row>
    <row r="286" spans="1:6" x14ac:dyDescent="0.25">
      <c r="A286" s="4">
        <v>34939</v>
      </c>
      <c r="B286">
        <v>4.2321999999999997</v>
      </c>
      <c r="C286">
        <v>4.2934999999999999</v>
      </c>
      <c r="D286">
        <v>4.2118000000000002</v>
      </c>
      <c r="E286">
        <v>4.2934999999999999</v>
      </c>
      <c r="F286">
        <v>3063</v>
      </c>
    </row>
    <row r="287" spans="1:6" x14ac:dyDescent="0.25">
      <c r="A287" s="4">
        <v>34940</v>
      </c>
      <c r="B287">
        <v>4.3140000000000001</v>
      </c>
      <c r="C287">
        <v>4.3548999999999998</v>
      </c>
      <c r="D287">
        <v>4.2731000000000003</v>
      </c>
      <c r="E287">
        <v>4.3343999999999996</v>
      </c>
      <c r="F287">
        <v>3365</v>
      </c>
    </row>
    <row r="288" spans="1:6" x14ac:dyDescent="0.25">
      <c r="A288" s="4">
        <v>34941</v>
      </c>
      <c r="B288">
        <v>4.2934999999999999</v>
      </c>
      <c r="C288">
        <v>4.3548999999999998</v>
      </c>
      <c r="D288">
        <v>4.2934999999999999</v>
      </c>
      <c r="E288">
        <v>4.3548999999999998</v>
      </c>
      <c r="F288">
        <v>3251</v>
      </c>
    </row>
    <row r="289" spans="1:6" x14ac:dyDescent="0.25">
      <c r="A289" s="4">
        <v>34942</v>
      </c>
      <c r="B289">
        <v>4.3548999999999998</v>
      </c>
      <c r="C289">
        <v>4.3753000000000002</v>
      </c>
      <c r="D289">
        <v>4.2934999999999999</v>
      </c>
      <c r="E289">
        <v>4.3140000000000001</v>
      </c>
      <c r="F289">
        <v>2991</v>
      </c>
    </row>
    <row r="290" spans="1:6" x14ac:dyDescent="0.25">
      <c r="A290" s="4">
        <v>34943</v>
      </c>
      <c r="B290">
        <v>4.3343999999999996</v>
      </c>
      <c r="C290">
        <v>4.3548999999999998</v>
      </c>
      <c r="D290">
        <v>4.2934999999999999</v>
      </c>
      <c r="E290">
        <v>4.3140000000000001</v>
      </c>
      <c r="F290">
        <v>2643</v>
      </c>
    </row>
    <row r="291" spans="1:6" x14ac:dyDescent="0.25">
      <c r="A291" s="4">
        <v>34944</v>
      </c>
      <c r="B291">
        <v>4.3140000000000001</v>
      </c>
      <c r="C291">
        <v>4.3140000000000001</v>
      </c>
      <c r="D291">
        <v>4.2731000000000003</v>
      </c>
      <c r="E291">
        <v>4.3140000000000001</v>
      </c>
      <c r="F291">
        <v>1672</v>
      </c>
    </row>
    <row r="292" spans="1:6" x14ac:dyDescent="0.25">
      <c r="A292" s="4">
        <v>34946</v>
      </c>
      <c r="B292">
        <v>4.3343999999999996</v>
      </c>
      <c r="C292">
        <v>4.4161999999999999</v>
      </c>
      <c r="D292">
        <v>4.3140000000000001</v>
      </c>
      <c r="E292">
        <v>4.3958000000000004</v>
      </c>
      <c r="F292">
        <v>3655</v>
      </c>
    </row>
    <row r="293" spans="1:6" x14ac:dyDescent="0.25">
      <c r="A293" s="4">
        <v>34947</v>
      </c>
      <c r="B293">
        <v>4.4161999999999999</v>
      </c>
      <c r="C293">
        <v>4.4775999999999998</v>
      </c>
      <c r="D293">
        <v>4.3958000000000004</v>
      </c>
      <c r="E293">
        <v>4.3958000000000004</v>
      </c>
      <c r="F293">
        <v>4613</v>
      </c>
    </row>
    <row r="294" spans="1:6" x14ac:dyDescent="0.25">
      <c r="A294" s="4">
        <v>34948</v>
      </c>
      <c r="B294">
        <v>4.4161999999999999</v>
      </c>
      <c r="C294">
        <v>4.4980000000000002</v>
      </c>
      <c r="D294">
        <v>4.4161999999999999</v>
      </c>
      <c r="E294">
        <v>4.4775999999999998</v>
      </c>
      <c r="F294">
        <v>7750</v>
      </c>
    </row>
    <row r="295" spans="1:6" x14ac:dyDescent="0.25">
      <c r="A295" s="4">
        <v>34949</v>
      </c>
      <c r="B295">
        <v>4.5183999999999997</v>
      </c>
      <c r="C295">
        <v>4.5593000000000004</v>
      </c>
      <c r="D295">
        <v>4.5183999999999997</v>
      </c>
      <c r="E295">
        <v>4.5183999999999997</v>
      </c>
      <c r="F295">
        <v>5351</v>
      </c>
    </row>
    <row r="296" spans="1:6" x14ac:dyDescent="0.25">
      <c r="A296" s="4">
        <v>34950</v>
      </c>
      <c r="B296">
        <v>4.5593000000000004</v>
      </c>
      <c r="C296">
        <v>4.6410999999999998</v>
      </c>
      <c r="D296">
        <v>4.5388999999999999</v>
      </c>
      <c r="E296">
        <v>4.6207000000000003</v>
      </c>
      <c r="F296">
        <v>8108</v>
      </c>
    </row>
    <row r="297" spans="1:6" x14ac:dyDescent="0.25">
      <c r="A297" s="4">
        <v>34953</v>
      </c>
      <c r="B297">
        <v>4.7024999999999997</v>
      </c>
      <c r="C297">
        <v>4.7024999999999997</v>
      </c>
      <c r="D297">
        <v>4.5183999999999997</v>
      </c>
      <c r="E297">
        <v>4.5183999999999997</v>
      </c>
      <c r="F297">
        <v>3940</v>
      </c>
    </row>
    <row r="298" spans="1:6" x14ac:dyDescent="0.25">
      <c r="A298" s="4">
        <v>34954</v>
      </c>
      <c r="B298">
        <v>4.4570999999999996</v>
      </c>
      <c r="C298">
        <v>4.5593000000000004</v>
      </c>
      <c r="D298">
        <v>4.4570999999999996</v>
      </c>
      <c r="E298">
        <v>4.4980000000000002</v>
      </c>
      <c r="F298">
        <v>3003</v>
      </c>
    </row>
    <row r="299" spans="1:6" x14ac:dyDescent="0.25">
      <c r="A299" s="4">
        <v>34955</v>
      </c>
      <c r="B299">
        <v>4.5183999999999997</v>
      </c>
      <c r="C299">
        <v>4.5183999999999997</v>
      </c>
      <c r="D299">
        <v>4.4570999999999996</v>
      </c>
      <c r="E299">
        <v>4.4570999999999996</v>
      </c>
      <c r="F299">
        <v>2894</v>
      </c>
    </row>
    <row r="300" spans="1:6" x14ac:dyDescent="0.25">
      <c r="A300" s="4">
        <v>34956</v>
      </c>
      <c r="B300">
        <v>4.4980000000000002</v>
      </c>
      <c r="C300">
        <v>4.6002000000000001</v>
      </c>
      <c r="D300">
        <v>4.4980000000000002</v>
      </c>
      <c r="E300">
        <v>4.4980000000000002</v>
      </c>
      <c r="F300">
        <v>6530</v>
      </c>
    </row>
    <row r="301" spans="1:6" x14ac:dyDescent="0.25">
      <c r="A301" s="4">
        <v>34957</v>
      </c>
      <c r="B301">
        <v>4.5388999999999999</v>
      </c>
      <c r="C301">
        <v>4.5797999999999996</v>
      </c>
      <c r="D301">
        <v>4.4775999999999998</v>
      </c>
      <c r="E301">
        <v>4.5388999999999999</v>
      </c>
      <c r="F301">
        <v>1934</v>
      </c>
    </row>
    <row r="302" spans="1:6" x14ac:dyDescent="0.25">
      <c r="A302" s="4">
        <v>34958</v>
      </c>
      <c r="B302">
        <v>4.5593000000000004</v>
      </c>
      <c r="C302">
        <v>4.5593000000000004</v>
      </c>
      <c r="D302">
        <v>4.4367000000000001</v>
      </c>
      <c r="E302">
        <v>4.4367000000000001</v>
      </c>
      <c r="F302">
        <v>2324</v>
      </c>
    </row>
    <row r="303" spans="1:6" x14ac:dyDescent="0.25">
      <c r="A303" s="4">
        <v>34960</v>
      </c>
      <c r="B303">
        <v>4.4367000000000001</v>
      </c>
      <c r="C303">
        <v>4.6207000000000003</v>
      </c>
      <c r="D303">
        <v>4.4367000000000001</v>
      </c>
      <c r="E303">
        <v>4.6002000000000001</v>
      </c>
      <c r="F303">
        <v>3276</v>
      </c>
    </row>
    <row r="304" spans="1:6" x14ac:dyDescent="0.25">
      <c r="A304" s="4">
        <v>34961</v>
      </c>
      <c r="B304">
        <v>4.6207000000000003</v>
      </c>
      <c r="C304">
        <v>4.6207000000000003</v>
      </c>
      <c r="D304">
        <v>4.4980000000000002</v>
      </c>
      <c r="E304">
        <v>4.5388999999999999</v>
      </c>
      <c r="F304">
        <v>2905</v>
      </c>
    </row>
    <row r="305" spans="1:6" x14ac:dyDescent="0.25">
      <c r="A305" s="4">
        <v>34962</v>
      </c>
      <c r="B305">
        <v>4.4980000000000002</v>
      </c>
      <c r="C305">
        <v>4.5388999999999999</v>
      </c>
      <c r="D305">
        <v>4.4570999999999996</v>
      </c>
      <c r="E305">
        <v>4.5183999999999997</v>
      </c>
      <c r="F305">
        <v>1931</v>
      </c>
    </row>
    <row r="306" spans="1:6" x14ac:dyDescent="0.25">
      <c r="A306" s="4">
        <v>34963</v>
      </c>
      <c r="B306">
        <v>4.4980000000000002</v>
      </c>
      <c r="C306">
        <v>4.5388999999999999</v>
      </c>
      <c r="D306">
        <v>4.4570999999999996</v>
      </c>
      <c r="E306">
        <v>4.4980000000000002</v>
      </c>
      <c r="F306">
        <v>2196</v>
      </c>
    </row>
    <row r="307" spans="1:6" x14ac:dyDescent="0.25">
      <c r="A307" s="4">
        <v>34965</v>
      </c>
      <c r="B307">
        <v>4.4980000000000002</v>
      </c>
      <c r="C307">
        <v>4.4980000000000002</v>
      </c>
      <c r="D307">
        <v>4.4161999999999999</v>
      </c>
      <c r="E307">
        <v>4.4367000000000001</v>
      </c>
      <c r="F307">
        <v>2806</v>
      </c>
    </row>
    <row r="308" spans="1:6" x14ac:dyDescent="0.25">
      <c r="A308" s="4">
        <v>34967</v>
      </c>
      <c r="B308">
        <v>4.4980000000000002</v>
      </c>
      <c r="C308">
        <v>4.5183999999999997</v>
      </c>
      <c r="D308">
        <v>4.4570999999999996</v>
      </c>
      <c r="E308">
        <v>4.4570999999999996</v>
      </c>
      <c r="F308">
        <v>2803</v>
      </c>
    </row>
    <row r="309" spans="1:6" x14ac:dyDescent="0.25">
      <c r="A309" s="4">
        <v>34968</v>
      </c>
      <c r="B309">
        <v>4.4570999999999996</v>
      </c>
      <c r="C309">
        <v>4.4570999999999996</v>
      </c>
      <c r="D309">
        <v>4.3958000000000004</v>
      </c>
      <c r="E309">
        <v>4.3958000000000004</v>
      </c>
      <c r="F309">
        <v>2727</v>
      </c>
    </row>
    <row r="310" spans="1:6" x14ac:dyDescent="0.25">
      <c r="A310" s="4">
        <v>34969</v>
      </c>
      <c r="B310">
        <v>4.3753000000000002</v>
      </c>
      <c r="C310">
        <v>4.3753000000000002</v>
      </c>
      <c r="D310">
        <v>4.2321999999999997</v>
      </c>
      <c r="E310">
        <v>4.2321999999999997</v>
      </c>
      <c r="F310">
        <v>8895</v>
      </c>
    </row>
    <row r="311" spans="1:6" x14ac:dyDescent="0.25">
      <c r="A311" s="4">
        <v>34971</v>
      </c>
      <c r="B311">
        <v>4.2118000000000002</v>
      </c>
      <c r="C311">
        <v>4.2118000000000002</v>
      </c>
      <c r="D311">
        <v>4.0278</v>
      </c>
      <c r="E311">
        <v>4.0278</v>
      </c>
      <c r="F311">
        <v>13292</v>
      </c>
    </row>
    <row r="312" spans="1:6" x14ac:dyDescent="0.25">
      <c r="A312" s="4">
        <v>34972</v>
      </c>
      <c r="B312">
        <v>3.9664000000000001</v>
      </c>
      <c r="C312">
        <v>4.0072999999999999</v>
      </c>
      <c r="D312">
        <v>3.8845999999999998</v>
      </c>
      <c r="E312">
        <v>4.0072999999999999</v>
      </c>
      <c r="F312">
        <v>8946</v>
      </c>
    </row>
    <row r="313" spans="1:6" x14ac:dyDescent="0.25">
      <c r="A313" s="4">
        <v>34974</v>
      </c>
      <c r="B313">
        <v>3.9868999999999999</v>
      </c>
      <c r="C313">
        <v>3.9868999999999999</v>
      </c>
      <c r="D313">
        <v>3.9255</v>
      </c>
      <c r="E313">
        <v>3.9460000000000002</v>
      </c>
      <c r="F313">
        <v>5109</v>
      </c>
    </row>
    <row r="314" spans="1:6" x14ac:dyDescent="0.25">
      <c r="A314" s="4">
        <v>34975</v>
      </c>
      <c r="B314">
        <v>3.9255</v>
      </c>
      <c r="C314">
        <v>3.9460000000000002</v>
      </c>
      <c r="D314">
        <v>3.9051</v>
      </c>
      <c r="E314">
        <v>3.9255</v>
      </c>
      <c r="F314">
        <v>4373</v>
      </c>
    </row>
    <row r="315" spans="1:6" x14ac:dyDescent="0.25">
      <c r="A315" s="4">
        <v>34976</v>
      </c>
      <c r="B315">
        <v>3.9255</v>
      </c>
      <c r="C315">
        <v>4.0072999999999999</v>
      </c>
      <c r="D315">
        <v>3.9255</v>
      </c>
      <c r="E315">
        <v>3.9868999999999999</v>
      </c>
      <c r="F315">
        <v>4025</v>
      </c>
    </row>
    <row r="316" spans="1:6" x14ac:dyDescent="0.25">
      <c r="A316" s="4">
        <v>34977</v>
      </c>
      <c r="B316">
        <v>4.0072999999999999</v>
      </c>
      <c r="C316">
        <v>4.0072999999999999</v>
      </c>
      <c r="D316">
        <v>3.9664000000000001</v>
      </c>
      <c r="E316">
        <v>3.9664000000000001</v>
      </c>
      <c r="F316">
        <v>2877</v>
      </c>
    </row>
    <row r="317" spans="1:6" x14ac:dyDescent="0.25">
      <c r="A317" s="4">
        <v>34978</v>
      </c>
      <c r="B317">
        <v>3.9664000000000001</v>
      </c>
      <c r="C317">
        <v>4.0481999999999996</v>
      </c>
      <c r="D317">
        <v>3.9664000000000001</v>
      </c>
      <c r="E317">
        <v>4.0278</v>
      </c>
      <c r="F317">
        <v>2776</v>
      </c>
    </row>
    <row r="318" spans="1:6" x14ac:dyDescent="0.25">
      <c r="A318" s="4">
        <v>34979</v>
      </c>
      <c r="B318">
        <v>4.0686</v>
      </c>
      <c r="C318">
        <v>4.0686</v>
      </c>
      <c r="D318">
        <v>4.0072999999999999</v>
      </c>
      <c r="E318">
        <v>4.0278</v>
      </c>
      <c r="F318">
        <v>1815</v>
      </c>
    </row>
    <row r="319" spans="1:6" x14ac:dyDescent="0.25">
      <c r="A319" s="4">
        <v>34981</v>
      </c>
      <c r="B319">
        <v>4.0278</v>
      </c>
      <c r="C319">
        <v>4.0481999999999996</v>
      </c>
      <c r="D319">
        <v>4.0072999999999999</v>
      </c>
      <c r="E319">
        <v>4.0072999999999999</v>
      </c>
      <c r="F319">
        <v>2625</v>
      </c>
    </row>
    <row r="320" spans="1:6" x14ac:dyDescent="0.25">
      <c r="A320" s="4">
        <v>34983</v>
      </c>
      <c r="B320">
        <v>3.9255</v>
      </c>
      <c r="C320">
        <v>3.9255</v>
      </c>
      <c r="D320">
        <v>3.8029000000000002</v>
      </c>
      <c r="E320">
        <v>3.8029000000000002</v>
      </c>
      <c r="F320">
        <v>10446</v>
      </c>
    </row>
    <row r="321" spans="1:6" x14ac:dyDescent="0.25">
      <c r="A321" s="4">
        <v>34984</v>
      </c>
      <c r="B321">
        <v>3.762</v>
      </c>
      <c r="C321">
        <v>3.8029000000000002</v>
      </c>
      <c r="D321">
        <v>3.7210999999999999</v>
      </c>
      <c r="E321">
        <v>3.762</v>
      </c>
      <c r="F321">
        <v>6025</v>
      </c>
    </row>
    <row r="322" spans="1:6" x14ac:dyDescent="0.25">
      <c r="A322" s="4">
        <v>34985</v>
      </c>
      <c r="B322">
        <v>3.8029000000000002</v>
      </c>
      <c r="C322">
        <v>3.8437000000000001</v>
      </c>
      <c r="D322">
        <v>3.7210999999999999</v>
      </c>
      <c r="E322">
        <v>3.8437000000000001</v>
      </c>
      <c r="F322">
        <v>7770</v>
      </c>
    </row>
    <row r="323" spans="1:6" x14ac:dyDescent="0.25">
      <c r="A323" s="4">
        <v>34986</v>
      </c>
      <c r="B323">
        <v>3.8233000000000001</v>
      </c>
      <c r="C323">
        <v>3.8233000000000001</v>
      </c>
      <c r="D323">
        <v>3.7210999999999999</v>
      </c>
      <c r="E323">
        <v>3.7210999999999999</v>
      </c>
      <c r="F323">
        <v>4654</v>
      </c>
    </row>
    <row r="324" spans="1:6" x14ac:dyDescent="0.25">
      <c r="A324" s="4">
        <v>34988</v>
      </c>
      <c r="B324">
        <v>3.8029000000000002</v>
      </c>
      <c r="C324">
        <v>3.8029000000000002</v>
      </c>
      <c r="D324">
        <v>3.762</v>
      </c>
      <c r="E324">
        <v>3.762</v>
      </c>
      <c r="F324">
        <v>1810</v>
      </c>
    </row>
    <row r="325" spans="1:6" x14ac:dyDescent="0.25">
      <c r="A325" s="4">
        <v>34989</v>
      </c>
      <c r="B325">
        <v>3.8029000000000002</v>
      </c>
      <c r="C325">
        <v>3.8437000000000001</v>
      </c>
      <c r="D325">
        <v>3.762</v>
      </c>
      <c r="E325">
        <v>3.8233000000000001</v>
      </c>
      <c r="F325">
        <v>2111</v>
      </c>
    </row>
    <row r="326" spans="1:6" x14ac:dyDescent="0.25">
      <c r="A326" s="4">
        <v>34990</v>
      </c>
      <c r="B326">
        <v>3.8437000000000001</v>
      </c>
      <c r="C326">
        <v>3.8437000000000001</v>
      </c>
      <c r="D326">
        <v>3.7824</v>
      </c>
      <c r="E326">
        <v>3.8029000000000002</v>
      </c>
      <c r="F326">
        <v>1662</v>
      </c>
    </row>
    <row r="327" spans="1:6" x14ac:dyDescent="0.25">
      <c r="A327" s="4">
        <v>34991</v>
      </c>
      <c r="B327">
        <v>3.8029000000000002</v>
      </c>
      <c r="C327">
        <v>3.8233000000000001</v>
      </c>
      <c r="D327">
        <v>3.762</v>
      </c>
      <c r="E327">
        <v>3.8233000000000001</v>
      </c>
      <c r="F327">
        <v>2162</v>
      </c>
    </row>
    <row r="328" spans="1:6" x14ac:dyDescent="0.25">
      <c r="A328" s="4">
        <v>34992</v>
      </c>
      <c r="B328">
        <v>3.8233000000000001</v>
      </c>
      <c r="C328">
        <v>3.8437000000000001</v>
      </c>
      <c r="D328">
        <v>3.7824</v>
      </c>
      <c r="E328">
        <v>3.7824</v>
      </c>
      <c r="F328">
        <v>1384</v>
      </c>
    </row>
    <row r="329" spans="1:6" x14ac:dyDescent="0.25">
      <c r="A329" s="4">
        <v>34993</v>
      </c>
      <c r="B329">
        <v>3.7824</v>
      </c>
      <c r="C329">
        <v>3.8029000000000002</v>
      </c>
      <c r="D329">
        <v>3.7414999999999998</v>
      </c>
      <c r="E329">
        <v>3.7824</v>
      </c>
      <c r="F329">
        <v>1208</v>
      </c>
    </row>
    <row r="330" spans="1:6" x14ac:dyDescent="0.25">
      <c r="A330" s="4">
        <v>34995</v>
      </c>
      <c r="B330">
        <v>3.762</v>
      </c>
      <c r="C330">
        <v>3.8029000000000002</v>
      </c>
      <c r="D330">
        <v>3.762</v>
      </c>
      <c r="E330">
        <v>3.8029000000000002</v>
      </c>
      <c r="F330">
        <v>1510</v>
      </c>
    </row>
    <row r="331" spans="1:6" x14ac:dyDescent="0.25">
      <c r="A331" s="4">
        <v>34996</v>
      </c>
      <c r="B331">
        <v>3.8029000000000002</v>
      </c>
      <c r="C331">
        <v>3.8233000000000001</v>
      </c>
      <c r="D331">
        <v>3.7824</v>
      </c>
      <c r="E331">
        <v>3.8233000000000001</v>
      </c>
      <c r="F331">
        <v>672</v>
      </c>
    </row>
    <row r="332" spans="1:6" x14ac:dyDescent="0.25">
      <c r="A332" s="4">
        <v>34998</v>
      </c>
      <c r="B332">
        <v>3.7824</v>
      </c>
      <c r="C332">
        <v>3.8233000000000001</v>
      </c>
      <c r="D332">
        <v>3.7824</v>
      </c>
      <c r="E332">
        <v>3.8029000000000002</v>
      </c>
      <c r="F332">
        <v>858</v>
      </c>
    </row>
    <row r="333" spans="1:6" x14ac:dyDescent="0.25">
      <c r="A333" s="4">
        <v>34999</v>
      </c>
      <c r="B333">
        <v>3.762</v>
      </c>
      <c r="C333">
        <v>3.762</v>
      </c>
      <c r="D333">
        <v>3.6802000000000001</v>
      </c>
      <c r="E333">
        <v>3.7414999999999998</v>
      </c>
      <c r="F333">
        <v>2510</v>
      </c>
    </row>
    <row r="334" spans="1:6" x14ac:dyDescent="0.25">
      <c r="A334" s="4">
        <v>35000</v>
      </c>
      <c r="B334">
        <v>3.7210999999999999</v>
      </c>
      <c r="C334">
        <v>3.7414999999999998</v>
      </c>
      <c r="D334">
        <v>3.5983999999999998</v>
      </c>
      <c r="E334">
        <v>3.5983999999999998</v>
      </c>
      <c r="F334">
        <v>3087</v>
      </c>
    </row>
    <row r="335" spans="1:6" x14ac:dyDescent="0.25">
      <c r="A335" s="4">
        <v>35002</v>
      </c>
      <c r="B335">
        <v>3.5779999999999998</v>
      </c>
      <c r="C335">
        <v>3.5779999999999998</v>
      </c>
      <c r="D335">
        <v>3.4348000000000001</v>
      </c>
      <c r="E335">
        <v>3.4348000000000001</v>
      </c>
      <c r="F335">
        <v>5862</v>
      </c>
    </row>
    <row r="336" spans="1:6" x14ac:dyDescent="0.25">
      <c r="A336" s="4">
        <v>35004</v>
      </c>
      <c r="B336">
        <v>3.4348000000000001</v>
      </c>
      <c r="C336">
        <v>3.4962</v>
      </c>
      <c r="D336">
        <v>3.4144000000000001</v>
      </c>
      <c r="E336">
        <v>3.4348000000000001</v>
      </c>
      <c r="F336">
        <v>3653</v>
      </c>
    </row>
    <row r="337" spans="1:6" x14ac:dyDescent="0.25">
      <c r="A337" s="4">
        <v>35005</v>
      </c>
      <c r="B337">
        <v>3.4552999999999998</v>
      </c>
      <c r="C337">
        <v>3.5371000000000001</v>
      </c>
      <c r="D337">
        <v>3.4552999999999998</v>
      </c>
      <c r="E337">
        <v>3.5371000000000001</v>
      </c>
      <c r="F337">
        <v>2318</v>
      </c>
    </row>
    <row r="338" spans="1:6" x14ac:dyDescent="0.25">
      <c r="A338" s="4">
        <v>35006</v>
      </c>
      <c r="B338">
        <v>3.5575000000000001</v>
      </c>
      <c r="C338">
        <v>3.5779999999999998</v>
      </c>
      <c r="D338">
        <v>3.4756999999999998</v>
      </c>
      <c r="E338">
        <v>3.5575000000000001</v>
      </c>
      <c r="F338">
        <v>3853</v>
      </c>
    </row>
    <row r="339" spans="1:6" x14ac:dyDescent="0.25">
      <c r="A339" s="4">
        <v>35007</v>
      </c>
      <c r="B339">
        <v>3.5575000000000001</v>
      </c>
      <c r="C339">
        <v>3.5983999999999998</v>
      </c>
      <c r="D339">
        <v>3.5165999999999999</v>
      </c>
      <c r="E339">
        <v>3.5575000000000001</v>
      </c>
      <c r="F339">
        <v>1702</v>
      </c>
    </row>
    <row r="340" spans="1:6" x14ac:dyDescent="0.25">
      <c r="A340" s="4">
        <v>35009</v>
      </c>
      <c r="B340">
        <v>3.5575000000000001</v>
      </c>
      <c r="C340">
        <v>3.5983999999999998</v>
      </c>
      <c r="D340">
        <v>3.5371000000000001</v>
      </c>
      <c r="E340">
        <v>3.5983999999999998</v>
      </c>
      <c r="F340">
        <v>1465</v>
      </c>
    </row>
    <row r="341" spans="1:6" x14ac:dyDescent="0.25">
      <c r="A341" s="4">
        <v>35010</v>
      </c>
      <c r="B341">
        <v>3.6393</v>
      </c>
      <c r="C341">
        <v>3.6393</v>
      </c>
      <c r="D341">
        <v>3.5371000000000001</v>
      </c>
      <c r="E341">
        <v>3.5371000000000001</v>
      </c>
      <c r="F341">
        <v>2272</v>
      </c>
    </row>
    <row r="342" spans="1:6" x14ac:dyDescent="0.25">
      <c r="A342" s="4">
        <v>35011</v>
      </c>
      <c r="B342">
        <v>3.4962</v>
      </c>
      <c r="C342">
        <v>3.5371000000000001</v>
      </c>
      <c r="D342">
        <v>3.4552999999999998</v>
      </c>
      <c r="E342">
        <v>3.4552999999999998</v>
      </c>
      <c r="F342">
        <v>3361</v>
      </c>
    </row>
    <row r="343" spans="1:6" x14ac:dyDescent="0.25">
      <c r="A343" s="4">
        <v>35012</v>
      </c>
      <c r="B343">
        <v>3.4348000000000001</v>
      </c>
      <c r="C343">
        <v>3.4756999999999998</v>
      </c>
      <c r="D343">
        <v>3.4348000000000001</v>
      </c>
      <c r="E343">
        <v>3.4756999999999998</v>
      </c>
      <c r="F343">
        <v>2884</v>
      </c>
    </row>
    <row r="344" spans="1:6" x14ac:dyDescent="0.25">
      <c r="A344" s="4">
        <v>35013</v>
      </c>
      <c r="B344">
        <v>3.5165999999999999</v>
      </c>
      <c r="C344">
        <v>3.5165999999999999</v>
      </c>
      <c r="D344">
        <v>3.4552999999999998</v>
      </c>
      <c r="E344">
        <v>3.4552999999999998</v>
      </c>
      <c r="F344">
        <v>2537</v>
      </c>
    </row>
    <row r="345" spans="1:6" x14ac:dyDescent="0.25">
      <c r="A345" s="4">
        <v>35014</v>
      </c>
      <c r="B345">
        <v>3.4552999999999998</v>
      </c>
      <c r="C345">
        <v>3.4962</v>
      </c>
      <c r="D345">
        <v>3.4348000000000001</v>
      </c>
      <c r="E345">
        <v>3.4962</v>
      </c>
      <c r="F345">
        <v>1007</v>
      </c>
    </row>
    <row r="346" spans="1:6" x14ac:dyDescent="0.25">
      <c r="A346" s="4">
        <v>35017</v>
      </c>
      <c r="B346">
        <v>3.4756999999999998</v>
      </c>
      <c r="C346">
        <v>3.4756999999999998</v>
      </c>
      <c r="D346">
        <v>3.4348000000000001</v>
      </c>
      <c r="E346">
        <v>3.4756999999999998</v>
      </c>
      <c r="F346">
        <v>1377</v>
      </c>
    </row>
    <row r="347" spans="1:6" x14ac:dyDescent="0.25">
      <c r="A347" s="4">
        <v>35018</v>
      </c>
      <c r="B347">
        <v>3.4756999999999998</v>
      </c>
      <c r="C347">
        <v>3.4756999999999998</v>
      </c>
      <c r="D347">
        <v>3.3531</v>
      </c>
      <c r="E347">
        <v>3.3938999999999999</v>
      </c>
      <c r="F347">
        <v>2044</v>
      </c>
    </row>
    <row r="348" spans="1:6" x14ac:dyDescent="0.25">
      <c r="A348" s="4">
        <v>35019</v>
      </c>
      <c r="B348">
        <v>3.3531</v>
      </c>
      <c r="C348">
        <v>3.3531</v>
      </c>
      <c r="D348">
        <v>3.2713000000000001</v>
      </c>
      <c r="E348">
        <v>3.3325999999999998</v>
      </c>
      <c r="F348">
        <v>4741</v>
      </c>
    </row>
    <row r="349" spans="1:6" x14ac:dyDescent="0.25">
      <c r="A349" s="4">
        <v>35020</v>
      </c>
      <c r="B349">
        <v>3.2917000000000001</v>
      </c>
      <c r="C349">
        <v>3.3325999999999998</v>
      </c>
      <c r="D349">
        <v>3.1486000000000001</v>
      </c>
      <c r="E349">
        <v>3.1486000000000001</v>
      </c>
      <c r="F349">
        <v>4277</v>
      </c>
    </row>
    <row r="350" spans="1:6" x14ac:dyDescent="0.25">
      <c r="A350" s="4">
        <v>35021</v>
      </c>
      <c r="B350">
        <v>3.1486000000000001</v>
      </c>
      <c r="C350">
        <v>3.2917000000000001</v>
      </c>
      <c r="D350">
        <v>3.1486000000000001</v>
      </c>
      <c r="E350">
        <v>3.2303999999999999</v>
      </c>
      <c r="F350">
        <v>3443</v>
      </c>
    </row>
    <row r="351" spans="1:6" x14ac:dyDescent="0.25">
      <c r="A351" s="4">
        <v>35023</v>
      </c>
      <c r="B351">
        <v>3.2303999999999999</v>
      </c>
      <c r="C351">
        <v>3.2713000000000001</v>
      </c>
      <c r="D351">
        <v>3.1894999999999998</v>
      </c>
      <c r="E351">
        <v>3.2099000000000002</v>
      </c>
      <c r="F351">
        <v>1142</v>
      </c>
    </row>
    <row r="352" spans="1:6" x14ac:dyDescent="0.25">
      <c r="A352" s="4">
        <v>35024</v>
      </c>
      <c r="B352">
        <v>3.2099000000000002</v>
      </c>
      <c r="C352">
        <v>3.3121999999999998</v>
      </c>
      <c r="D352">
        <v>3.1894999999999998</v>
      </c>
      <c r="E352">
        <v>3.3121999999999998</v>
      </c>
      <c r="F352">
        <v>2570</v>
      </c>
    </row>
    <row r="353" spans="1:6" x14ac:dyDescent="0.25">
      <c r="A353" s="4">
        <v>35025</v>
      </c>
      <c r="B353">
        <v>3.3121999999999998</v>
      </c>
      <c r="C353">
        <v>3.3121999999999998</v>
      </c>
      <c r="D353">
        <v>3.2713000000000001</v>
      </c>
      <c r="E353">
        <v>3.2917000000000001</v>
      </c>
      <c r="F353">
        <v>2224</v>
      </c>
    </row>
    <row r="354" spans="1:6" x14ac:dyDescent="0.25">
      <c r="A354" s="4">
        <v>35026</v>
      </c>
      <c r="B354">
        <v>3.2713000000000001</v>
      </c>
      <c r="C354">
        <v>3.2917000000000001</v>
      </c>
      <c r="D354">
        <v>3.1894999999999998</v>
      </c>
      <c r="E354">
        <v>3.2303999999999999</v>
      </c>
      <c r="F354">
        <v>3451</v>
      </c>
    </row>
    <row r="355" spans="1:6" x14ac:dyDescent="0.25">
      <c r="A355" s="4">
        <v>35027</v>
      </c>
      <c r="B355">
        <v>3.2099000000000002</v>
      </c>
      <c r="C355">
        <v>3.2507999999999999</v>
      </c>
      <c r="D355">
        <v>3.1894999999999998</v>
      </c>
      <c r="E355">
        <v>3.2303999999999999</v>
      </c>
      <c r="F355">
        <v>994</v>
      </c>
    </row>
    <row r="356" spans="1:6" x14ac:dyDescent="0.25">
      <c r="A356" s="4">
        <v>35028</v>
      </c>
      <c r="B356">
        <v>3.2303999999999999</v>
      </c>
      <c r="C356">
        <v>3.3121999999999998</v>
      </c>
      <c r="D356">
        <v>3.2303999999999999</v>
      </c>
      <c r="E356">
        <v>3.3121999999999998</v>
      </c>
      <c r="F356">
        <v>1753</v>
      </c>
    </row>
    <row r="357" spans="1:6" x14ac:dyDescent="0.25">
      <c r="A357" s="4">
        <v>35030</v>
      </c>
      <c r="B357">
        <v>3.3325999999999998</v>
      </c>
      <c r="C357">
        <v>3.3938999999999999</v>
      </c>
      <c r="D357">
        <v>3.3325999999999998</v>
      </c>
      <c r="E357">
        <v>3.3938999999999999</v>
      </c>
      <c r="F357">
        <v>2223</v>
      </c>
    </row>
    <row r="358" spans="1:6" x14ac:dyDescent="0.25">
      <c r="A358" s="4">
        <v>35031</v>
      </c>
      <c r="B358">
        <v>3.3734999999999999</v>
      </c>
      <c r="C358">
        <v>3.4144000000000001</v>
      </c>
      <c r="D358">
        <v>3.3325999999999998</v>
      </c>
      <c r="E358">
        <v>3.3938999999999999</v>
      </c>
      <c r="F358">
        <v>2433</v>
      </c>
    </row>
    <row r="359" spans="1:6" x14ac:dyDescent="0.25">
      <c r="A359" s="4">
        <v>35032</v>
      </c>
      <c r="B359">
        <v>3.3938999999999999</v>
      </c>
      <c r="C359">
        <v>3.4144000000000001</v>
      </c>
      <c r="D359">
        <v>3.3325999999999998</v>
      </c>
      <c r="E359">
        <v>3.3938999999999999</v>
      </c>
      <c r="F359">
        <v>4017</v>
      </c>
    </row>
    <row r="360" spans="1:6" x14ac:dyDescent="0.25">
      <c r="A360" s="4">
        <v>35033</v>
      </c>
      <c r="B360">
        <v>3.3938999999999999</v>
      </c>
      <c r="C360">
        <v>3.4144000000000001</v>
      </c>
      <c r="D360">
        <v>3.3531</v>
      </c>
      <c r="E360">
        <v>3.3938999999999999</v>
      </c>
      <c r="F360">
        <v>2812</v>
      </c>
    </row>
    <row r="361" spans="1:6" x14ac:dyDescent="0.25">
      <c r="A361" s="4">
        <v>35034</v>
      </c>
      <c r="B361">
        <v>3.4144000000000001</v>
      </c>
      <c r="C361">
        <v>3.4756999999999998</v>
      </c>
      <c r="D361">
        <v>3.3938999999999999</v>
      </c>
      <c r="E361">
        <v>3.4552999999999998</v>
      </c>
      <c r="F361">
        <v>3594</v>
      </c>
    </row>
    <row r="362" spans="1:6" x14ac:dyDescent="0.25">
      <c r="A362" s="4">
        <v>35037</v>
      </c>
      <c r="B362">
        <v>3.5165999999999999</v>
      </c>
      <c r="C362">
        <v>3.5165999999999999</v>
      </c>
      <c r="D362">
        <v>3.3938999999999999</v>
      </c>
      <c r="E362">
        <v>3.3938999999999999</v>
      </c>
      <c r="F362">
        <v>2513</v>
      </c>
    </row>
    <row r="363" spans="1:6" x14ac:dyDescent="0.25">
      <c r="A363" s="4">
        <v>35038</v>
      </c>
      <c r="B363">
        <v>3.4348000000000001</v>
      </c>
      <c r="C363">
        <v>3.4348000000000001</v>
      </c>
      <c r="D363">
        <v>3.3734999999999999</v>
      </c>
      <c r="E363">
        <v>3.4144000000000001</v>
      </c>
      <c r="F363">
        <v>1748</v>
      </c>
    </row>
    <row r="364" spans="1:6" x14ac:dyDescent="0.25">
      <c r="A364" s="4">
        <v>35039</v>
      </c>
      <c r="B364">
        <v>3.3734999999999999</v>
      </c>
      <c r="C364">
        <v>3.3734999999999999</v>
      </c>
      <c r="D364">
        <v>3.3325999999999998</v>
      </c>
      <c r="E364">
        <v>3.3325999999999998</v>
      </c>
      <c r="F364">
        <v>2572</v>
      </c>
    </row>
    <row r="365" spans="1:6" x14ac:dyDescent="0.25">
      <c r="A365" s="4">
        <v>35040</v>
      </c>
      <c r="B365">
        <v>3.3325999999999998</v>
      </c>
      <c r="C365">
        <v>3.3938999999999999</v>
      </c>
      <c r="D365">
        <v>3.3325999999999998</v>
      </c>
      <c r="E365">
        <v>3.3938999999999999</v>
      </c>
      <c r="F365">
        <v>1258</v>
      </c>
    </row>
    <row r="366" spans="1:6" x14ac:dyDescent="0.25">
      <c r="A366" s="4">
        <v>35041</v>
      </c>
      <c r="B366">
        <v>3.3938999999999999</v>
      </c>
      <c r="C366">
        <v>3.4962</v>
      </c>
      <c r="D366">
        <v>3.3938999999999999</v>
      </c>
      <c r="E366">
        <v>3.4962</v>
      </c>
      <c r="F366">
        <v>4170</v>
      </c>
    </row>
    <row r="367" spans="1:6" x14ac:dyDescent="0.25">
      <c r="A367" s="4">
        <v>35042</v>
      </c>
      <c r="B367">
        <v>3.5165999999999999</v>
      </c>
      <c r="C367">
        <v>3.5575000000000001</v>
      </c>
      <c r="D367">
        <v>3.4962</v>
      </c>
      <c r="E367">
        <v>3.4962</v>
      </c>
      <c r="F367">
        <v>1943</v>
      </c>
    </row>
    <row r="368" spans="1:6" x14ac:dyDescent="0.25">
      <c r="A368" s="4">
        <v>35044</v>
      </c>
      <c r="B368">
        <v>3.4962</v>
      </c>
      <c r="C368">
        <v>3.5165999999999999</v>
      </c>
      <c r="D368">
        <v>3.4552999999999998</v>
      </c>
      <c r="E368">
        <v>3.4756999999999998</v>
      </c>
      <c r="F368">
        <v>1780</v>
      </c>
    </row>
    <row r="369" spans="1:6" x14ac:dyDescent="0.25">
      <c r="A369" s="4">
        <v>35045</v>
      </c>
      <c r="B369">
        <v>3.4962</v>
      </c>
      <c r="C369">
        <v>3.5165999999999999</v>
      </c>
      <c r="D369">
        <v>3.4756999999999998</v>
      </c>
      <c r="E369">
        <v>3.4962</v>
      </c>
      <c r="F369">
        <v>2127</v>
      </c>
    </row>
    <row r="370" spans="1:6" x14ac:dyDescent="0.25">
      <c r="A370" s="4">
        <v>35046</v>
      </c>
      <c r="B370">
        <v>3.4962</v>
      </c>
      <c r="C370">
        <v>3.5165999999999999</v>
      </c>
      <c r="D370">
        <v>3.4756999999999998</v>
      </c>
      <c r="E370">
        <v>3.4962</v>
      </c>
      <c r="F370">
        <v>1548</v>
      </c>
    </row>
    <row r="371" spans="1:6" x14ac:dyDescent="0.25">
      <c r="A371" s="4">
        <v>35047</v>
      </c>
      <c r="B371">
        <v>3.5165999999999999</v>
      </c>
      <c r="C371">
        <v>3.5371000000000001</v>
      </c>
      <c r="D371">
        <v>3.4552999999999998</v>
      </c>
      <c r="E371">
        <v>3.4962</v>
      </c>
      <c r="F371">
        <v>2346</v>
      </c>
    </row>
    <row r="372" spans="1:6" x14ac:dyDescent="0.25">
      <c r="A372" s="4">
        <v>35048</v>
      </c>
      <c r="B372">
        <v>3.4756999999999998</v>
      </c>
      <c r="C372">
        <v>3.4962</v>
      </c>
      <c r="D372">
        <v>3.4144000000000001</v>
      </c>
      <c r="E372">
        <v>3.4348000000000001</v>
      </c>
      <c r="F372">
        <v>3828</v>
      </c>
    </row>
    <row r="373" spans="1:6" x14ac:dyDescent="0.25">
      <c r="A373" s="4">
        <v>35049</v>
      </c>
      <c r="B373">
        <v>3.4348000000000001</v>
      </c>
      <c r="C373">
        <v>3.4756999999999998</v>
      </c>
      <c r="D373">
        <v>3.3938999999999999</v>
      </c>
      <c r="E373">
        <v>3.4144000000000001</v>
      </c>
      <c r="F373">
        <v>2874</v>
      </c>
    </row>
    <row r="374" spans="1:6" x14ac:dyDescent="0.25">
      <c r="A374" s="4">
        <v>35051</v>
      </c>
      <c r="B374">
        <v>3.4348000000000001</v>
      </c>
      <c r="C374">
        <v>3.4552999999999998</v>
      </c>
      <c r="D374">
        <v>3.3531</v>
      </c>
      <c r="E374">
        <v>3.4144000000000001</v>
      </c>
      <c r="F374">
        <v>6024</v>
      </c>
    </row>
    <row r="375" spans="1:6" x14ac:dyDescent="0.25">
      <c r="A375" s="4">
        <v>35052</v>
      </c>
      <c r="B375">
        <v>3.3325999999999998</v>
      </c>
      <c r="C375">
        <v>3.3734999999999999</v>
      </c>
      <c r="D375">
        <v>3.3121999999999998</v>
      </c>
      <c r="E375">
        <v>3.3734999999999999</v>
      </c>
      <c r="F375">
        <v>3776</v>
      </c>
    </row>
    <row r="376" spans="1:6" x14ac:dyDescent="0.25">
      <c r="A376" s="4">
        <v>35053</v>
      </c>
      <c r="B376">
        <v>3.3938999999999999</v>
      </c>
      <c r="C376">
        <v>3.4144000000000001</v>
      </c>
      <c r="D376">
        <v>3.3121999999999998</v>
      </c>
      <c r="E376">
        <v>3.3531</v>
      </c>
      <c r="F376">
        <v>2383</v>
      </c>
    </row>
    <row r="377" spans="1:6" x14ac:dyDescent="0.25">
      <c r="A377" s="4">
        <v>35054</v>
      </c>
      <c r="B377">
        <v>3.3531</v>
      </c>
      <c r="C377">
        <v>3.3734999999999999</v>
      </c>
      <c r="D377">
        <v>3.3325999999999998</v>
      </c>
      <c r="E377">
        <v>3.3531</v>
      </c>
      <c r="F377">
        <v>1458</v>
      </c>
    </row>
    <row r="378" spans="1:6" x14ac:dyDescent="0.25">
      <c r="A378" s="4">
        <v>35055</v>
      </c>
      <c r="B378">
        <v>3.4144000000000001</v>
      </c>
      <c r="C378">
        <v>3.4552999999999998</v>
      </c>
      <c r="D378">
        <v>3.3938999999999999</v>
      </c>
      <c r="E378">
        <v>3.4348000000000001</v>
      </c>
      <c r="F378">
        <v>3370</v>
      </c>
    </row>
    <row r="379" spans="1:6" x14ac:dyDescent="0.25">
      <c r="A379" s="4">
        <v>35056</v>
      </c>
      <c r="B379">
        <v>3.4552999999999998</v>
      </c>
      <c r="C379">
        <v>3.4756999999999998</v>
      </c>
      <c r="D379">
        <v>3.4144000000000001</v>
      </c>
      <c r="E379">
        <v>3.4552999999999998</v>
      </c>
      <c r="F379">
        <v>2786</v>
      </c>
    </row>
    <row r="380" spans="1:6" x14ac:dyDescent="0.25">
      <c r="A380" s="4">
        <v>35059</v>
      </c>
      <c r="B380">
        <v>3.4756999999999998</v>
      </c>
      <c r="C380">
        <v>3.4756999999999998</v>
      </c>
      <c r="D380">
        <v>3.3938999999999999</v>
      </c>
      <c r="E380">
        <v>3.3938999999999999</v>
      </c>
      <c r="F380">
        <v>1090</v>
      </c>
    </row>
    <row r="381" spans="1:6" x14ac:dyDescent="0.25">
      <c r="A381" s="4">
        <v>35060</v>
      </c>
      <c r="B381">
        <v>3.3938999999999999</v>
      </c>
      <c r="C381">
        <v>3.4348000000000001</v>
      </c>
      <c r="D381">
        <v>3.3734999999999999</v>
      </c>
      <c r="E381">
        <v>3.3938999999999999</v>
      </c>
      <c r="F381">
        <v>980</v>
      </c>
    </row>
    <row r="382" spans="1:6" x14ac:dyDescent="0.25">
      <c r="A382" s="4">
        <v>35061</v>
      </c>
      <c r="B382">
        <v>3.3938999999999999</v>
      </c>
      <c r="C382">
        <v>3.4348000000000001</v>
      </c>
      <c r="D382">
        <v>3.3938999999999999</v>
      </c>
      <c r="E382">
        <v>3.4144000000000001</v>
      </c>
      <c r="F382">
        <v>1233</v>
      </c>
    </row>
    <row r="383" spans="1:6" x14ac:dyDescent="0.25">
      <c r="A383" s="4">
        <v>35062</v>
      </c>
      <c r="B383">
        <v>3.4552999999999998</v>
      </c>
      <c r="C383">
        <v>3.4962</v>
      </c>
      <c r="D383">
        <v>3.4348000000000001</v>
      </c>
      <c r="E383">
        <v>3.4962</v>
      </c>
      <c r="F383">
        <v>3545</v>
      </c>
    </row>
    <row r="384" spans="1:6" x14ac:dyDescent="0.25">
      <c r="A384" s="4">
        <v>35063</v>
      </c>
      <c r="B384">
        <v>3.5165999999999999</v>
      </c>
      <c r="C384">
        <v>3.5165999999999999</v>
      </c>
      <c r="D384">
        <v>3.4756999999999998</v>
      </c>
      <c r="E384">
        <v>3.4756999999999998</v>
      </c>
      <c r="F384">
        <v>2763</v>
      </c>
    </row>
    <row r="385" spans="1:6" x14ac:dyDescent="0.25">
      <c r="A385" s="4">
        <v>35068</v>
      </c>
      <c r="B385">
        <v>3.5165999999999999</v>
      </c>
      <c r="C385">
        <v>3.5165999999999999</v>
      </c>
      <c r="D385">
        <v>3.3938999999999999</v>
      </c>
      <c r="E385">
        <v>3.4144000000000001</v>
      </c>
      <c r="F385">
        <v>3265</v>
      </c>
    </row>
    <row r="386" spans="1:6" x14ac:dyDescent="0.25">
      <c r="A386" s="4">
        <v>35069</v>
      </c>
      <c r="B386">
        <v>3.1894999999999998</v>
      </c>
      <c r="C386">
        <v>3.1894999999999998</v>
      </c>
      <c r="D386">
        <v>3.1894999999999998</v>
      </c>
      <c r="E386">
        <v>3.1894999999999998</v>
      </c>
      <c r="F386">
        <v>3478</v>
      </c>
    </row>
    <row r="387" spans="1:6" x14ac:dyDescent="0.25">
      <c r="A387" s="4">
        <v>35070</v>
      </c>
      <c r="B387">
        <v>3.1894999999999998</v>
      </c>
      <c r="C387">
        <v>3.2303999999999999</v>
      </c>
      <c r="D387">
        <v>3.0668000000000002</v>
      </c>
      <c r="E387">
        <v>3.169</v>
      </c>
      <c r="F387">
        <v>5604</v>
      </c>
    </row>
    <row r="388" spans="1:6" x14ac:dyDescent="0.25">
      <c r="A388" s="4">
        <v>35072</v>
      </c>
      <c r="B388">
        <v>3.1894999999999998</v>
      </c>
      <c r="C388">
        <v>3.2507999999999999</v>
      </c>
      <c r="D388">
        <v>3.1894999999999998</v>
      </c>
      <c r="E388">
        <v>3.2303999999999999</v>
      </c>
      <c r="F388">
        <v>2497</v>
      </c>
    </row>
    <row r="389" spans="1:6" x14ac:dyDescent="0.25">
      <c r="A389" s="4">
        <v>35073</v>
      </c>
      <c r="B389">
        <v>3.2507999999999999</v>
      </c>
      <c r="C389">
        <v>3.2507999999999999</v>
      </c>
      <c r="D389">
        <v>3.1894999999999998</v>
      </c>
      <c r="E389">
        <v>3.1894999999999998</v>
      </c>
      <c r="F389">
        <v>2391</v>
      </c>
    </row>
    <row r="390" spans="1:6" x14ac:dyDescent="0.25">
      <c r="A390" s="4">
        <v>35074</v>
      </c>
      <c r="B390">
        <v>3.1486000000000001</v>
      </c>
      <c r="C390">
        <v>3.169</v>
      </c>
      <c r="D390">
        <v>3.0872999999999999</v>
      </c>
      <c r="E390">
        <v>3.1076999999999999</v>
      </c>
      <c r="F390">
        <v>5859</v>
      </c>
    </row>
    <row r="391" spans="1:6" x14ac:dyDescent="0.25">
      <c r="A391" s="4">
        <v>35075</v>
      </c>
      <c r="B391">
        <v>3.0668000000000002</v>
      </c>
      <c r="C391">
        <v>3.1486000000000001</v>
      </c>
      <c r="D391">
        <v>3.0259</v>
      </c>
      <c r="E391">
        <v>3.1076999999999999</v>
      </c>
      <c r="F391">
        <v>4028</v>
      </c>
    </row>
    <row r="392" spans="1:6" x14ac:dyDescent="0.25">
      <c r="A392" s="4">
        <v>35076</v>
      </c>
      <c r="B392">
        <v>3.1076999999999999</v>
      </c>
      <c r="C392">
        <v>3.1282000000000001</v>
      </c>
      <c r="D392">
        <v>3.0464000000000002</v>
      </c>
      <c r="E392">
        <v>3.0464000000000002</v>
      </c>
      <c r="F392">
        <v>3937</v>
      </c>
    </row>
    <row r="393" spans="1:6" x14ac:dyDescent="0.25">
      <c r="A393" s="4">
        <v>35077</v>
      </c>
      <c r="B393">
        <v>3.1076999999999999</v>
      </c>
      <c r="C393">
        <v>3.1282000000000001</v>
      </c>
      <c r="D393">
        <v>3.0668000000000002</v>
      </c>
      <c r="E393">
        <v>3.1076999999999999</v>
      </c>
      <c r="F393">
        <v>4328</v>
      </c>
    </row>
    <row r="394" spans="1:6" x14ac:dyDescent="0.25">
      <c r="A394" s="4">
        <v>35079</v>
      </c>
      <c r="B394">
        <v>3.1076999999999999</v>
      </c>
      <c r="C394">
        <v>3.1486000000000001</v>
      </c>
      <c r="D394">
        <v>3.0872999999999999</v>
      </c>
      <c r="E394">
        <v>3.1486000000000001</v>
      </c>
      <c r="F394">
        <v>2407</v>
      </c>
    </row>
    <row r="395" spans="1:6" x14ac:dyDescent="0.25">
      <c r="A395" s="4">
        <v>35080</v>
      </c>
      <c r="B395">
        <v>3.1486000000000001</v>
      </c>
      <c r="C395">
        <v>3.169</v>
      </c>
      <c r="D395">
        <v>3.1076999999999999</v>
      </c>
      <c r="E395">
        <v>3.1076999999999999</v>
      </c>
      <c r="F395">
        <v>2431</v>
      </c>
    </row>
    <row r="396" spans="1:6" x14ac:dyDescent="0.25">
      <c r="A396" s="4">
        <v>35081</v>
      </c>
      <c r="B396">
        <v>3.1282000000000001</v>
      </c>
      <c r="C396">
        <v>3.1486000000000001</v>
      </c>
      <c r="D396">
        <v>3.0872999999999999</v>
      </c>
      <c r="E396">
        <v>3.0872999999999999</v>
      </c>
      <c r="F396">
        <v>2541</v>
      </c>
    </row>
    <row r="397" spans="1:6" x14ac:dyDescent="0.25">
      <c r="A397" s="4">
        <v>35082</v>
      </c>
      <c r="B397">
        <v>3.0668000000000002</v>
      </c>
      <c r="C397">
        <v>3.0872999999999999</v>
      </c>
      <c r="D397">
        <v>3.0464000000000002</v>
      </c>
      <c r="E397">
        <v>3.0668000000000002</v>
      </c>
      <c r="F397">
        <v>2176</v>
      </c>
    </row>
    <row r="398" spans="1:6" x14ac:dyDescent="0.25">
      <c r="A398" s="4">
        <v>35083</v>
      </c>
      <c r="B398">
        <v>3.1076999999999999</v>
      </c>
      <c r="C398">
        <v>3.1282000000000001</v>
      </c>
      <c r="D398">
        <v>3.0872999999999999</v>
      </c>
      <c r="E398">
        <v>3.0872999999999999</v>
      </c>
      <c r="F398">
        <v>1613</v>
      </c>
    </row>
    <row r="399" spans="1:6" x14ac:dyDescent="0.25">
      <c r="A399" s="4">
        <v>35084</v>
      </c>
      <c r="B399">
        <v>3.1076999999999999</v>
      </c>
      <c r="C399">
        <v>3.1894999999999998</v>
      </c>
      <c r="D399">
        <v>3.1076999999999999</v>
      </c>
      <c r="E399">
        <v>3.1894999999999998</v>
      </c>
      <c r="F399">
        <v>5014</v>
      </c>
    </row>
    <row r="400" spans="1:6" x14ac:dyDescent="0.25">
      <c r="A400" s="4">
        <v>35086</v>
      </c>
      <c r="B400">
        <v>3.2099000000000002</v>
      </c>
      <c r="C400">
        <v>3.2303999999999999</v>
      </c>
      <c r="D400">
        <v>3.169</v>
      </c>
      <c r="E400">
        <v>3.1894999999999998</v>
      </c>
      <c r="F400">
        <v>2549</v>
      </c>
    </row>
    <row r="401" spans="1:6" x14ac:dyDescent="0.25">
      <c r="A401" s="4">
        <v>35087</v>
      </c>
      <c r="B401">
        <v>3.2099000000000002</v>
      </c>
      <c r="C401">
        <v>3.2099000000000002</v>
      </c>
      <c r="D401">
        <v>3.1486000000000001</v>
      </c>
      <c r="E401">
        <v>3.1894999999999998</v>
      </c>
      <c r="F401">
        <v>1800</v>
      </c>
    </row>
    <row r="402" spans="1:6" x14ac:dyDescent="0.25">
      <c r="A402" s="4">
        <v>35088</v>
      </c>
      <c r="B402">
        <v>3.169</v>
      </c>
      <c r="C402">
        <v>3.169</v>
      </c>
      <c r="D402">
        <v>3.1282000000000001</v>
      </c>
      <c r="E402">
        <v>3.169</v>
      </c>
      <c r="F402">
        <v>1072</v>
      </c>
    </row>
    <row r="403" spans="1:6" x14ac:dyDescent="0.25">
      <c r="A403" s="4">
        <v>35089</v>
      </c>
      <c r="B403">
        <v>3.1486000000000001</v>
      </c>
      <c r="C403">
        <v>3.1486000000000001</v>
      </c>
      <c r="D403">
        <v>3.1076999999999999</v>
      </c>
      <c r="E403">
        <v>3.1076999999999999</v>
      </c>
      <c r="F403">
        <v>1745</v>
      </c>
    </row>
    <row r="404" spans="1:6" x14ac:dyDescent="0.25">
      <c r="A404" s="4">
        <v>35090</v>
      </c>
      <c r="B404">
        <v>3.1076999999999999</v>
      </c>
      <c r="C404">
        <v>3.169</v>
      </c>
      <c r="D404">
        <v>3.1076999999999999</v>
      </c>
      <c r="E404">
        <v>3.1282000000000001</v>
      </c>
      <c r="F404">
        <v>1429</v>
      </c>
    </row>
    <row r="405" spans="1:6" x14ac:dyDescent="0.25">
      <c r="A405" s="4">
        <v>35091</v>
      </c>
      <c r="B405">
        <v>3.1486000000000001</v>
      </c>
      <c r="C405">
        <v>3.1486000000000001</v>
      </c>
      <c r="D405">
        <v>3.1282000000000001</v>
      </c>
      <c r="E405">
        <v>3.1486000000000001</v>
      </c>
      <c r="F405">
        <v>1026</v>
      </c>
    </row>
    <row r="406" spans="1:6" x14ac:dyDescent="0.25">
      <c r="A406" s="4">
        <v>35093</v>
      </c>
      <c r="B406">
        <v>3.1486000000000001</v>
      </c>
      <c r="C406">
        <v>3.1486000000000001</v>
      </c>
      <c r="D406">
        <v>3.0668000000000002</v>
      </c>
      <c r="E406">
        <v>3.0668000000000002</v>
      </c>
      <c r="F406">
        <v>2674</v>
      </c>
    </row>
    <row r="407" spans="1:6" x14ac:dyDescent="0.25">
      <c r="A407" s="4">
        <v>35094</v>
      </c>
      <c r="B407">
        <v>3.0668000000000002</v>
      </c>
      <c r="C407">
        <v>3.1282000000000001</v>
      </c>
      <c r="D407">
        <v>3.0668000000000002</v>
      </c>
      <c r="E407">
        <v>3.1282000000000001</v>
      </c>
      <c r="F407">
        <v>1615</v>
      </c>
    </row>
    <row r="408" spans="1:6" x14ac:dyDescent="0.25">
      <c r="A408" s="4">
        <v>35095</v>
      </c>
      <c r="B408">
        <v>3.1282000000000001</v>
      </c>
      <c r="C408">
        <v>3.1486000000000001</v>
      </c>
      <c r="D408">
        <v>3.1076999999999999</v>
      </c>
      <c r="E408">
        <v>3.1282000000000001</v>
      </c>
      <c r="F408">
        <v>1533</v>
      </c>
    </row>
    <row r="409" spans="1:6" x14ac:dyDescent="0.25">
      <c r="A409" s="4">
        <v>35096</v>
      </c>
      <c r="B409">
        <v>3.1486000000000001</v>
      </c>
      <c r="C409">
        <v>3.1486000000000001</v>
      </c>
      <c r="D409">
        <v>3.1076999999999999</v>
      </c>
      <c r="E409">
        <v>3.1282000000000001</v>
      </c>
      <c r="F409">
        <v>2268</v>
      </c>
    </row>
    <row r="410" spans="1:6" x14ac:dyDescent="0.25">
      <c r="A410" s="4">
        <v>35097</v>
      </c>
      <c r="B410">
        <v>3.1486000000000001</v>
      </c>
      <c r="C410">
        <v>3.1486000000000001</v>
      </c>
      <c r="D410">
        <v>3.1076999999999999</v>
      </c>
      <c r="E410">
        <v>3.1486000000000001</v>
      </c>
      <c r="F410">
        <v>1068</v>
      </c>
    </row>
    <row r="411" spans="1:6" x14ac:dyDescent="0.25">
      <c r="A411" s="4">
        <v>35098</v>
      </c>
      <c r="B411">
        <v>3.1486000000000001</v>
      </c>
      <c r="C411">
        <v>3.169</v>
      </c>
      <c r="D411">
        <v>3.1282000000000001</v>
      </c>
      <c r="E411">
        <v>3.1486000000000001</v>
      </c>
      <c r="F411">
        <v>813</v>
      </c>
    </row>
    <row r="412" spans="1:6" x14ac:dyDescent="0.25">
      <c r="A412" s="4">
        <v>35100</v>
      </c>
      <c r="B412">
        <v>3.1486000000000001</v>
      </c>
      <c r="C412">
        <v>3.1486000000000001</v>
      </c>
      <c r="D412">
        <v>3.0872999999999999</v>
      </c>
      <c r="E412">
        <v>3.1486000000000001</v>
      </c>
      <c r="F412">
        <v>1810</v>
      </c>
    </row>
    <row r="413" spans="1:6" x14ac:dyDescent="0.25">
      <c r="A413" s="4">
        <v>35101</v>
      </c>
      <c r="B413">
        <v>3.1282000000000001</v>
      </c>
      <c r="C413">
        <v>3.1282000000000001</v>
      </c>
      <c r="D413">
        <v>3.0872999999999999</v>
      </c>
      <c r="E413">
        <v>3.0872999999999999</v>
      </c>
      <c r="F413">
        <v>1170</v>
      </c>
    </row>
    <row r="414" spans="1:6" x14ac:dyDescent="0.25">
      <c r="A414" s="4">
        <v>35102</v>
      </c>
      <c r="B414">
        <v>3.0872999999999999</v>
      </c>
      <c r="C414">
        <v>3.1076999999999999</v>
      </c>
      <c r="D414">
        <v>3.0464000000000002</v>
      </c>
      <c r="E414">
        <v>3.1076999999999999</v>
      </c>
      <c r="F414">
        <v>2501</v>
      </c>
    </row>
    <row r="415" spans="1:6" x14ac:dyDescent="0.25">
      <c r="A415" s="4">
        <v>35103</v>
      </c>
      <c r="B415">
        <v>3.1282000000000001</v>
      </c>
      <c r="C415">
        <v>3.1282000000000001</v>
      </c>
      <c r="D415">
        <v>3.0668000000000002</v>
      </c>
      <c r="E415">
        <v>3.0668000000000002</v>
      </c>
      <c r="F415">
        <v>1319</v>
      </c>
    </row>
    <row r="416" spans="1:6" x14ac:dyDescent="0.25">
      <c r="A416" s="4">
        <v>35104</v>
      </c>
      <c r="B416">
        <v>3.1076999999999999</v>
      </c>
      <c r="C416">
        <v>3.2713000000000001</v>
      </c>
      <c r="D416">
        <v>3.1076999999999999</v>
      </c>
      <c r="E416">
        <v>3.2507999999999999</v>
      </c>
      <c r="F416">
        <v>10855</v>
      </c>
    </row>
    <row r="417" spans="1:6" x14ac:dyDescent="0.25">
      <c r="A417" s="4">
        <v>35105</v>
      </c>
      <c r="B417">
        <v>3.2303999999999999</v>
      </c>
      <c r="C417">
        <v>3.2507999999999999</v>
      </c>
      <c r="D417">
        <v>3.2099000000000002</v>
      </c>
      <c r="E417">
        <v>3.2303999999999999</v>
      </c>
      <c r="F417">
        <v>2710</v>
      </c>
    </row>
    <row r="418" spans="1:6" x14ac:dyDescent="0.25">
      <c r="A418" s="4">
        <v>35107</v>
      </c>
      <c r="B418">
        <v>3.2507999999999999</v>
      </c>
      <c r="C418">
        <v>3.3531</v>
      </c>
      <c r="D418">
        <v>3.2507999999999999</v>
      </c>
      <c r="E418">
        <v>3.3325999999999998</v>
      </c>
      <c r="F418">
        <v>5955</v>
      </c>
    </row>
    <row r="419" spans="1:6" x14ac:dyDescent="0.25">
      <c r="A419" s="4">
        <v>35108</v>
      </c>
      <c r="B419">
        <v>3.3325999999999998</v>
      </c>
      <c r="C419">
        <v>3.3734999999999999</v>
      </c>
      <c r="D419">
        <v>3.3121999999999998</v>
      </c>
      <c r="E419">
        <v>3.3734999999999999</v>
      </c>
      <c r="F419">
        <v>6148</v>
      </c>
    </row>
    <row r="420" spans="1:6" x14ac:dyDescent="0.25">
      <c r="A420" s="4">
        <v>35109</v>
      </c>
      <c r="B420">
        <v>3.3734999999999999</v>
      </c>
      <c r="C420">
        <v>3.3734999999999999</v>
      </c>
      <c r="D420">
        <v>3.3121999999999998</v>
      </c>
      <c r="E420">
        <v>3.3325999999999998</v>
      </c>
      <c r="F420">
        <v>4328</v>
      </c>
    </row>
    <row r="421" spans="1:6" x14ac:dyDescent="0.25">
      <c r="A421" s="4">
        <v>35110</v>
      </c>
      <c r="B421">
        <v>3.3325999999999998</v>
      </c>
      <c r="C421">
        <v>3.3531</v>
      </c>
      <c r="D421">
        <v>3.3121999999999998</v>
      </c>
      <c r="E421">
        <v>3.3325999999999998</v>
      </c>
      <c r="F421">
        <v>5116</v>
      </c>
    </row>
    <row r="422" spans="1:6" x14ac:dyDescent="0.25">
      <c r="A422" s="4">
        <v>35118</v>
      </c>
      <c r="B422">
        <v>3.3531</v>
      </c>
      <c r="C422">
        <v>3.3734999999999999</v>
      </c>
      <c r="D422">
        <v>3.2917000000000001</v>
      </c>
      <c r="E422">
        <v>3.2917000000000001</v>
      </c>
      <c r="F422">
        <v>2737</v>
      </c>
    </row>
    <row r="423" spans="1:6" x14ac:dyDescent="0.25">
      <c r="A423" s="4">
        <v>35119</v>
      </c>
      <c r="B423">
        <v>3.3121999999999998</v>
      </c>
      <c r="C423">
        <v>3.3325999999999998</v>
      </c>
      <c r="D423">
        <v>3.2917000000000001</v>
      </c>
      <c r="E423">
        <v>3.2917000000000001</v>
      </c>
      <c r="F423">
        <v>805</v>
      </c>
    </row>
    <row r="424" spans="1:6" x14ac:dyDescent="0.25">
      <c r="A424" s="4">
        <v>35121</v>
      </c>
      <c r="B424">
        <v>3.2917000000000001</v>
      </c>
      <c r="C424">
        <v>3.3121999999999998</v>
      </c>
      <c r="D424">
        <v>3.2713000000000001</v>
      </c>
      <c r="E424">
        <v>3.2713000000000001</v>
      </c>
      <c r="F424">
        <v>1743</v>
      </c>
    </row>
    <row r="425" spans="1:6" x14ac:dyDescent="0.25">
      <c r="A425" s="4">
        <v>35122</v>
      </c>
      <c r="B425">
        <v>3.2713000000000001</v>
      </c>
      <c r="C425">
        <v>3.2917000000000001</v>
      </c>
      <c r="D425">
        <v>3.1282000000000001</v>
      </c>
      <c r="E425">
        <v>3.1894999999999998</v>
      </c>
      <c r="F425">
        <v>4670</v>
      </c>
    </row>
    <row r="426" spans="1:6" x14ac:dyDescent="0.25">
      <c r="A426" s="4">
        <v>35123</v>
      </c>
      <c r="B426">
        <v>3.169</v>
      </c>
      <c r="C426">
        <v>3.1894999999999998</v>
      </c>
      <c r="D426">
        <v>3.1076999999999999</v>
      </c>
      <c r="E426">
        <v>3.1076999999999999</v>
      </c>
      <c r="F426">
        <v>2312</v>
      </c>
    </row>
    <row r="427" spans="1:6" x14ac:dyDescent="0.25">
      <c r="A427" s="4">
        <v>35124</v>
      </c>
      <c r="B427">
        <v>3.1076999999999999</v>
      </c>
      <c r="C427">
        <v>3.1894999999999998</v>
      </c>
      <c r="D427">
        <v>3.1076999999999999</v>
      </c>
      <c r="E427">
        <v>3.169</v>
      </c>
      <c r="F427">
        <v>1153</v>
      </c>
    </row>
    <row r="428" spans="1:6" x14ac:dyDescent="0.25">
      <c r="A428" s="4">
        <v>35125</v>
      </c>
      <c r="B428">
        <v>3.1894999999999998</v>
      </c>
      <c r="C428">
        <v>3.2507999999999999</v>
      </c>
      <c r="D428">
        <v>3.169</v>
      </c>
      <c r="E428">
        <v>3.2507999999999999</v>
      </c>
      <c r="F428">
        <v>1753</v>
      </c>
    </row>
    <row r="429" spans="1:6" x14ac:dyDescent="0.25">
      <c r="A429" s="4">
        <v>35126</v>
      </c>
      <c r="B429">
        <v>3.2507999999999999</v>
      </c>
      <c r="C429">
        <v>3.2507999999999999</v>
      </c>
      <c r="D429">
        <v>3.169</v>
      </c>
      <c r="E429">
        <v>3.2099000000000002</v>
      </c>
      <c r="F429">
        <v>1964</v>
      </c>
    </row>
    <row r="430" spans="1:6" x14ac:dyDescent="0.25">
      <c r="A430" s="4">
        <v>35128</v>
      </c>
      <c r="B430">
        <v>3.1894999999999998</v>
      </c>
      <c r="C430">
        <v>3.1894999999999998</v>
      </c>
      <c r="D430">
        <v>3.1282000000000001</v>
      </c>
      <c r="E430">
        <v>3.169</v>
      </c>
      <c r="F430">
        <v>1380</v>
      </c>
    </row>
    <row r="431" spans="1:6" x14ac:dyDescent="0.25">
      <c r="A431" s="4">
        <v>35129</v>
      </c>
      <c r="B431">
        <v>3.1486000000000001</v>
      </c>
      <c r="C431">
        <v>3.1486000000000001</v>
      </c>
      <c r="D431">
        <v>3.0055000000000001</v>
      </c>
      <c r="E431">
        <v>3.0259</v>
      </c>
      <c r="F431">
        <v>3827</v>
      </c>
    </row>
    <row r="432" spans="1:6" x14ac:dyDescent="0.25">
      <c r="A432" s="4">
        <v>35130</v>
      </c>
      <c r="B432">
        <v>2.9441000000000002</v>
      </c>
      <c r="C432">
        <v>2.9441000000000002</v>
      </c>
      <c r="D432">
        <v>2.8624000000000001</v>
      </c>
      <c r="E432">
        <v>2.9237000000000002</v>
      </c>
      <c r="F432">
        <v>1982</v>
      </c>
    </row>
    <row r="433" spans="1:6" x14ac:dyDescent="0.25">
      <c r="A433" s="4">
        <v>35131</v>
      </c>
      <c r="B433">
        <v>2.9033000000000002</v>
      </c>
      <c r="C433">
        <v>2.9849999999999999</v>
      </c>
      <c r="D433">
        <v>2.8624000000000001</v>
      </c>
      <c r="E433">
        <v>2.8624000000000001</v>
      </c>
      <c r="F433">
        <v>3812</v>
      </c>
    </row>
    <row r="434" spans="1:6" x14ac:dyDescent="0.25">
      <c r="A434" s="4">
        <v>35132</v>
      </c>
      <c r="B434">
        <v>2.9033000000000002</v>
      </c>
      <c r="C434">
        <v>2.9033000000000002</v>
      </c>
      <c r="D434">
        <v>2.8214999999999999</v>
      </c>
      <c r="E434">
        <v>2.9033000000000002</v>
      </c>
      <c r="F434">
        <v>4478</v>
      </c>
    </row>
    <row r="435" spans="1:6" x14ac:dyDescent="0.25">
      <c r="A435" s="4">
        <v>35133</v>
      </c>
      <c r="B435">
        <v>2.8624000000000001</v>
      </c>
      <c r="C435">
        <v>2.9033000000000002</v>
      </c>
      <c r="D435">
        <v>2.8418999999999999</v>
      </c>
      <c r="E435">
        <v>2.9033000000000002</v>
      </c>
      <c r="F435">
        <v>1474</v>
      </c>
    </row>
    <row r="436" spans="1:6" x14ac:dyDescent="0.25">
      <c r="A436" s="4">
        <v>35135</v>
      </c>
      <c r="B436">
        <v>2.8418999999999999</v>
      </c>
      <c r="C436">
        <v>2.8624000000000001</v>
      </c>
      <c r="D436">
        <v>2.7806000000000002</v>
      </c>
      <c r="E436">
        <v>2.7806000000000002</v>
      </c>
      <c r="F436">
        <v>4969</v>
      </c>
    </row>
    <row r="437" spans="1:6" x14ac:dyDescent="0.25">
      <c r="A437" s="4">
        <v>35136</v>
      </c>
      <c r="B437">
        <v>2.7806000000000002</v>
      </c>
      <c r="C437">
        <v>2.8010000000000002</v>
      </c>
      <c r="D437">
        <v>2.617</v>
      </c>
      <c r="E437">
        <v>2.6375000000000002</v>
      </c>
      <c r="F437">
        <v>6345</v>
      </c>
    </row>
    <row r="438" spans="1:6" x14ac:dyDescent="0.25">
      <c r="A438" s="4">
        <v>35137</v>
      </c>
      <c r="B438">
        <v>2.6375000000000002</v>
      </c>
      <c r="C438">
        <v>2.7397</v>
      </c>
      <c r="D438">
        <v>2.6375000000000002</v>
      </c>
      <c r="E438">
        <v>2.7397</v>
      </c>
      <c r="F438">
        <v>5200</v>
      </c>
    </row>
    <row r="439" spans="1:6" x14ac:dyDescent="0.25">
      <c r="A439" s="4">
        <v>35138</v>
      </c>
      <c r="B439">
        <v>2.7397</v>
      </c>
      <c r="C439">
        <v>2.9033000000000002</v>
      </c>
      <c r="D439">
        <v>2.7397</v>
      </c>
      <c r="E439">
        <v>2.9033000000000002</v>
      </c>
      <c r="F439">
        <v>6290</v>
      </c>
    </row>
    <row r="440" spans="1:6" x14ac:dyDescent="0.25">
      <c r="A440" s="4">
        <v>35139</v>
      </c>
      <c r="B440">
        <v>2.9645999999999999</v>
      </c>
      <c r="C440">
        <v>2.9645999999999999</v>
      </c>
      <c r="D440">
        <v>2.8828</v>
      </c>
      <c r="E440">
        <v>2.9441000000000002</v>
      </c>
      <c r="F440">
        <v>5434</v>
      </c>
    </row>
    <row r="441" spans="1:6" x14ac:dyDescent="0.25">
      <c r="A441" s="4">
        <v>35140</v>
      </c>
      <c r="B441">
        <v>2.9033000000000002</v>
      </c>
      <c r="C441">
        <v>2.9645999999999999</v>
      </c>
      <c r="D441">
        <v>2.8828</v>
      </c>
      <c r="E441">
        <v>2.9645999999999999</v>
      </c>
      <c r="F441">
        <v>3470</v>
      </c>
    </row>
    <row r="442" spans="1:6" x14ac:dyDescent="0.25">
      <c r="A442" s="4">
        <v>35142</v>
      </c>
      <c r="B442">
        <v>2.9849999999999999</v>
      </c>
      <c r="C442">
        <v>3.0259</v>
      </c>
      <c r="D442">
        <v>2.9645999999999999</v>
      </c>
      <c r="E442">
        <v>2.9849999999999999</v>
      </c>
      <c r="F442">
        <v>4518</v>
      </c>
    </row>
    <row r="443" spans="1:6" x14ac:dyDescent="0.25">
      <c r="A443" s="4">
        <v>35143</v>
      </c>
      <c r="B443">
        <v>3.0464000000000002</v>
      </c>
      <c r="C443">
        <v>3.0872999999999999</v>
      </c>
      <c r="D443">
        <v>3.0464000000000002</v>
      </c>
      <c r="E443">
        <v>3.0668000000000002</v>
      </c>
      <c r="F443">
        <v>7244</v>
      </c>
    </row>
    <row r="444" spans="1:6" x14ac:dyDescent="0.25">
      <c r="A444" s="4">
        <v>35144</v>
      </c>
      <c r="B444">
        <v>3.0668000000000002</v>
      </c>
      <c r="C444">
        <v>3.1486000000000001</v>
      </c>
      <c r="D444">
        <v>3.0668000000000002</v>
      </c>
      <c r="E444">
        <v>3.1486000000000001</v>
      </c>
      <c r="F444">
        <v>5259</v>
      </c>
    </row>
    <row r="445" spans="1:6" x14ac:dyDescent="0.25">
      <c r="A445" s="4">
        <v>35145</v>
      </c>
      <c r="B445">
        <v>3.1894999999999998</v>
      </c>
      <c r="C445">
        <v>3.2099000000000002</v>
      </c>
      <c r="D445">
        <v>3.1486000000000001</v>
      </c>
      <c r="E445">
        <v>3.2099000000000002</v>
      </c>
      <c r="F445">
        <v>5960</v>
      </c>
    </row>
    <row r="446" spans="1:6" x14ac:dyDescent="0.25">
      <c r="A446" s="4">
        <v>35146</v>
      </c>
      <c r="B446">
        <v>3.2099000000000002</v>
      </c>
      <c r="C446">
        <v>3.2303999999999999</v>
      </c>
      <c r="D446">
        <v>3.1282000000000001</v>
      </c>
      <c r="E446">
        <v>3.169</v>
      </c>
      <c r="F446">
        <v>6287</v>
      </c>
    </row>
    <row r="447" spans="1:6" x14ac:dyDescent="0.25">
      <c r="A447" s="4">
        <v>35149</v>
      </c>
      <c r="B447">
        <v>3.2099000000000002</v>
      </c>
      <c r="C447">
        <v>3.2099000000000002</v>
      </c>
      <c r="D447">
        <v>3.1076999999999999</v>
      </c>
      <c r="E447">
        <v>3.1282000000000001</v>
      </c>
      <c r="F447">
        <v>6885</v>
      </c>
    </row>
    <row r="448" spans="1:6" x14ac:dyDescent="0.25">
      <c r="A448" s="4">
        <v>35150</v>
      </c>
      <c r="B448">
        <v>3.0872999999999999</v>
      </c>
      <c r="C448">
        <v>3.1282000000000001</v>
      </c>
      <c r="D448">
        <v>3.0464000000000002</v>
      </c>
      <c r="E448">
        <v>3.1282000000000001</v>
      </c>
      <c r="F448">
        <v>3756</v>
      </c>
    </row>
    <row r="449" spans="1:6" x14ac:dyDescent="0.25">
      <c r="A449" s="4">
        <v>35151</v>
      </c>
      <c r="B449">
        <v>3.1282000000000001</v>
      </c>
      <c r="C449">
        <v>3.1486000000000001</v>
      </c>
      <c r="D449">
        <v>3.0668000000000002</v>
      </c>
      <c r="E449">
        <v>3.0872999999999999</v>
      </c>
      <c r="F449">
        <v>4156</v>
      </c>
    </row>
    <row r="450" spans="1:6" x14ac:dyDescent="0.25">
      <c r="A450" s="4">
        <v>35152</v>
      </c>
      <c r="B450">
        <v>3.0464000000000002</v>
      </c>
      <c r="C450">
        <v>3.0872999999999999</v>
      </c>
      <c r="D450">
        <v>3.0464000000000002</v>
      </c>
      <c r="E450">
        <v>3.0668000000000002</v>
      </c>
      <c r="F450">
        <v>2474</v>
      </c>
    </row>
    <row r="451" spans="1:6" x14ac:dyDescent="0.25">
      <c r="A451" s="4">
        <v>35156</v>
      </c>
      <c r="B451">
        <v>3.0668000000000002</v>
      </c>
      <c r="C451">
        <v>3.0872999999999999</v>
      </c>
      <c r="D451">
        <v>3.0464000000000002</v>
      </c>
      <c r="E451">
        <v>3.0872999999999999</v>
      </c>
      <c r="F451">
        <v>3916</v>
      </c>
    </row>
    <row r="452" spans="1:6" x14ac:dyDescent="0.25">
      <c r="A452" s="4">
        <v>35157</v>
      </c>
      <c r="B452">
        <v>3.0872999999999999</v>
      </c>
      <c r="C452">
        <v>3.1282000000000001</v>
      </c>
      <c r="D452">
        <v>3.0872999999999999</v>
      </c>
      <c r="E452">
        <v>3.1282000000000001</v>
      </c>
      <c r="F452">
        <v>2714</v>
      </c>
    </row>
    <row r="453" spans="1:6" x14ac:dyDescent="0.25">
      <c r="A453" s="4">
        <v>35160</v>
      </c>
      <c r="B453">
        <v>3.1894999999999998</v>
      </c>
      <c r="C453">
        <v>3.3121999999999998</v>
      </c>
      <c r="D453">
        <v>3.1894999999999998</v>
      </c>
      <c r="E453">
        <v>3.3121999999999998</v>
      </c>
      <c r="F453">
        <v>8510</v>
      </c>
    </row>
    <row r="454" spans="1:6" x14ac:dyDescent="0.25">
      <c r="A454" s="4">
        <v>35161</v>
      </c>
      <c r="B454">
        <v>3.3531</v>
      </c>
      <c r="C454">
        <v>3.3938999999999999</v>
      </c>
      <c r="D454">
        <v>3.3121999999999998</v>
      </c>
      <c r="E454">
        <v>3.3938999999999999</v>
      </c>
      <c r="F454">
        <v>7802</v>
      </c>
    </row>
    <row r="455" spans="1:6" x14ac:dyDescent="0.25">
      <c r="A455" s="4">
        <v>35163</v>
      </c>
      <c r="B455">
        <v>3.3938999999999999</v>
      </c>
      <c r="C455">
        <v>3.3938999999999999</v>
      </c>
      <c r="D455">
        <v>3.3121999999999998</v>
      </c>
      <c r="E455">
        <v>3.3325999999999998</v>
      </c>
      <c r="F455">
        <v>5986</v>
      </c>
    </row>
    <row r="456" spans="1:6" x14ac:dyDescent="0.25">
      <c r="A456" s="4">
        <v>35164</v>
      </c>
      <c r="B456">
        <v>3.3325999999999998</v>
      </c>
      <c r="C456">
        <v>3.5165999999999999</v>
      </c>
      <c r="D456">
        <v>3.3325999999999998</v>
      </c>
      <c r="E456">
        <v>3.4144000000000001</v>
      </c>
      <c r="F456">
        <v>13769</v>
      </c>
    </row>
    <row r="457" spans="1:6" x14ac:dyDescent="0.25">
      <c r="A457" s="4">
        <v>35165</v>
      </c>
      <c r="B457">
        <v>3.3734999999999999</v>
      </c>
      <c r="C457">
        <v>3.4756999999999998</v>
      </c>
      <c r="D457">
        <v>3.3734999999999999</v>
      </c>
      <c r="E457">
        <v>3.4756999999999998</v>
      </c>
      <c r="F457">
        <v>8890</v>
      </c>
    </row>
    <row r="458" spans="1:6" x14ac:dyDescent="0.25">
      <c r="A458" s="4">
        <v>35166</v>
      </c>
      <c r="B458">
        <v>3.4962</v>
      </c>
      <c r="C458">
        <v>3.5165999999999999</v>
      </c>
      <c r="D458">
        <v>3.3531</v>
      </c>
      <c r="E458">
        <v>3.3734999999999999</v>
      </c>
      <c r="F458">
        <v>9184</v>
      </c>
    </row>
    <row r="459" spans="1:6" x14ac:dyDescent="0.25">
      <c r="A459" s="4">
        <v>35167</v>
      </c>
      <c r="B459">
        <v>3.3531</v>
      </c>
      <c r="C459">
        <v>3.4144000000000001</v>
      </c>
      <c r="D459">
        <v>3.3325999999999998</v>
      </c>
      <c r="E459">
        <v>3.3938999999999999</v>
      </c>
      <c r="F459">
        <v>6300</v>
      </c>
    </row>
    <row r="460" spans="1:6" x14ac:dyDescent="0.25">
      <c r="A460" s="4">
        <v>35168</v>
      </c>
      <c r="B460">
        <v>3.3938999999999999</v>
      </c>
      <c r="C460">
        <v>3.6187999999999998</v>
      </c>
      <c r="D460">
        <v>3.3938999999999999</v>
      </c>
      <c r="E460">
        <v>3.6187999999999998</v>
      </c>
      <c r="F460">
        <v>15540</v>
      </c>
    </row>
    <row r="461" spans="1:6" x14ac:dyDescent="0.25">
      <c r="A461" s="4">
        <v>35170</v>
      </c>
      <c r="B461">
        <v>3.6187999999999998</v>
      </c>
      <c r="C461">
        <v>3.762</v>
      </c>
      <c r="D461">
        <v>3.5371000000000001</v>
      </c>
      <c r="E461">
        <v>3.5983999999999998</v>
      </c>
      <c r="F461">
        <v>19957</v>
      </c>
    </row>
    <row r="462" spans="1:6" x14ac:dyDescent="0.25">
      <c r="A462" s="4">
        <v>35171</v>
      </c>
      <c r="B462">
        <v>3.6187999999999998</v>
      </c>
      <c r="C462">
        <v>3.7210999999999999</v>
      </c>
      <c r="D462">
        <v>3.5983999999999998</v>
      </c>
      <c r="E462">
        <v>3.5983999999999998</v>
      </c>
      <c r="F462">
        <v>13074</v>
      </c>
    </row>
    <row r="463" spans="1:6" x14ac:dyDescent="0.25">
      <c r="A463" s="4">
        <v>35172</v>
      </c>
      <c r="B463">
        <v>3.6802000000000001</v>
      </c>
      <c r="C463">
        <v>3.8029000000000002</v>
      </c>
      <c r="D463">
        <v>3.6597</v>
      </c>
      <c r="E463">
        <v>3.7824</v>
      </c>
      <c r="F463">
        <v>15865</v>
      </c>
    </row>
    <row r="464" spans="1:6" x14ac:dyDescent="0.25">
      <c r="A464" s="4">
        <v>35173</v>
      </c>
      <c r="B464">
        <v>3.7824</v>
      </c>
      <c r="C464">
        <v>4.0278</v>
      </c>
      <c r="D464">
        <v>3.7414999999999998</v>
      </c>
      <c r="E464">
        <v>3.9460000000000002</v>
      </c>
      <c r="F464">
        <v>25767</v>
      </c>
    </row>
    <row r="465" spans="1:6" x14ac:dyDescent="0.25">
      <c r="A465" s="4">
        <v>35174</v>
      </c>
      <c r="B465">
        <v>3.9255</v>
      </c>
      <c r="C465">
        <v>3.9255</v>
      </c>
      <c r="D465">
        <v>3.8233000000000001</v>
      </c>
      <c r="E465">
        <v>3.8437000000000001</v>
      </c>
      <c r="F465">
        <v>10948</v>
      </c>
    </row>
    <row r="466" spans="1:6" x14ac:dyDescent="0.25">
      <c r="A466" s="4">
        <v>35175</v>
      </c>
      <c r="B466">
        <v>3.8233000000000001</v>
      </c>
      <c r="C466">
        <v>3.8233000000000001</v>
      </c>
      <c r="D466">
        <v>3.5983999999999998</v>
      </c>
      <c r="E466">
        <v>3.762</v>
      </c>
      <c r="F466">
        <v>14186</v>
      </c>
    </row>
    <row r="467" spans="1:6" x14ac:dyDescent="0.25">
      <c r="A467" s="4">
        <v>35177</v>
      </c>
      <c r="B467">
        <v>3.762</v>
      </c>
      <c r="C467">
        <v>3.8437000000000001</v>
      </c>
      <c r="D467">
        <v>3.762</v>
      </c>
      <c r="E467">
        <v>3.8233000000000001</v>
      </c>
      <c r="F467">
        <v>8184</v>
      </c>
    </row>
    <row r="468" spans="1:6" x14ac:dyDescent="0.25">
      <c r="A468" s="4">
        <v>35178</v>
      </c>
      <c r="B468">
        <v>3.9255</v>
      </c>
      <c r="C468">
        <v>4.0891000000000002</v>
      </c>
      <c r="D468">
        <v>3.9255</v>
      </c>
      <c r="E468">
        <v>4.0278</v>
      </c>
      <c r="F468">
        <v>27706</v>
      </c>
    </row>
    <row r="469" spans="1:6" x14ac:dyDescent="0.25">
      <c r="A469" s="4">
        <v>35179</v>
      </c>
      <c r="B469">
        <v>4.0891000000000002</v>
      </c>
      <c r="C469">
        <v>4.1708999999999996</v>
      </c>
      <c r="D469">
        <v>3.9460000000000002</v>
      </c>
      <c r="E469">
        <v>3.9868999999999999</v>
      </c>
      <c r="F469">
        <v>19932</v>
      </c>
    </row>
    <row r="470" spans="1:6" x14ac:dyDescent="0.25">
      <c r="A470" s="4">
        <v>35180</v>
      </c>
      <c r="B470">
        <v>3.9868999999999999</v>
      </c>
      <c r="C470">
        <v>4.0481999999999996</v>
      </c>
      <c r="D470">
        <v>3.9051</v>
      </c>
      <c r="E470">
        <v>3.9255</v>
      </c>
      <c r="F470">
        <v>9412</v>
      </c>
    </row>
    <row r="471" spans="1:6" x14ac:dyDescent="0.25">
      <c r="A471" s="4">
        <v>35181</v>
      </c>
      <c r="B471">
        <v>3.9051</v>
      </c>
      <c r="C471">
        <v>3.9664000000000001</v>
      </c>
      <c r="D471">
        <v>3.9051</v>
      </c>
      <c r="E471">
        <v>3.9664000000000001</v>
      </c>
      <c r="F471">
        <v>7329</v>
      </c>
    </row>
    <row r="472" spans="1:6" x14ac:dyDescent="0.25">
      <c r="A472" s="4">
        <v>35182</v>
      </c>
      <c r="B472">
        <v>3.9664000000000001</v>
      </c>
      <c r="C472">
        <v>4.0891000000000002</v>
      </c>
      <c r="D472">
        <v>3.9664000000000001</v>
      </c>
      <c r="E472">
        <v>4.0686</v>
      </c>
      <c r="F472">
        <v>9289</v>
      </c>
    </row>
    <row r="473" spans="1:6" x14ac:dyDescent="0.25">
      <c r="A473" s="4">
        <v>35184</v>
      </c>
      <c r="B473">
        <v>4.1094999999999997</v>
      </c>
      <c r="C473">
        <v>4.2731000000000003</v>
      </c>
      <c r="D473">
        <v>4.1094999999999997</v>
      </c>
      <c r="E473">
        <v>4.2731000000000003</v>
      </c>
      <c r="F473">
        <v>15446</v>
      </c>
    </row>
    <row r="474" spans="1:6" x14ac:dyDescent="0.25">
      <c r="A474" s="4">
        <v>35185</v>
      </c>
      <c r="B474">
        <v>4.3140000000000001</v>
      </c>
      <c r="C474">
        <v>4.3343999999999996</v>
      </c>
      <c r="D474">
        <v>4.13</v>
      </c>
      <c r="E474">
        <v>4.2118000000000002</v>
      </c>
      <c r="F474">
        <v>14369</v>
      </c>
    </row>
    <row r="475" spans="1:6" x14ac:dyDescent="0.25">
      <c r="A475" s="4">
        <v>35186</v>
      </c>
      <c r="B475">
        <v>4.2934999999999999</v>
      </c>
      <c r="C475">
        <v>4.2934999999999999</v>
      </c>
      <c r="D475">
        <v>4.1708999999999996</v>
      </c>
      <c r="E475">
        <v>4.1708999999999996</v>
      </c>
      <c r="F475">
        <v>7470</v>
      </c>
    </row>
    <row r="476" spans="1:6" x14ac:dyDescent="0.25">
      <c r="A476" s="4">
        <v>35187</v>
      </c>
      <c r="B476">
        <v>4.1913</v>
      </c>
      <c r="C476">
        <v>4.2118000000000002</v>
      </c>
      <c r="D476">
        <v>4.1094999999999997</v>
      </c>
      <c r="E476">
        <v>4.2118000000000002</v>
      </c>
      <c r="F476">
        <v>14862</v>
      </c>
    </row>
    <row r="477" spans="1:6" x14ac:dyDescent="0.25">
      <c r="A477" s="4">
        <v>35188</v>
      </c>
      <c r="B477">
        <v>4.2526999999999999</v>
      </c>
      <c r="C477">
        <v>4.3140000000000001</v>
      </c>
      <c r="D477">
        <v>4.2526999999999999</v>
      </c>
      <c r="E477">
        <v>4.2731000000000003</v>
      </c>
      <c r="F477">
        <v>30404</v>
      </c>
    </row>
    <row r="478" spans="1:6" x14ac:dyDescent="0.25">
      <c r="A478" s="4">
        <v>35189</v>
      </c>
      <c r="B478">
        <v>4.4530000000000003</v>
      </c>
      <c r="C478">
        <v>4.4530000000000003</v>
      </c>
      <c r="D478">
        <v>4.4530000000000003</v>
      </c>
      <c r="E478">
        <v>4.4530000000000003</v>
      </c>
      <c r="F478">
        <v>4072</v>
      </c>
    </row>
    <row r="479" spans="1:6" x14ac:dyDescent="0.25">
      <c r="A479" s="4">
        <v>35191</v>
      </c>
      <c r="B479">
        <v>4.7473999999999998</v>
      </c>
      <c r="C479">
        <v>4.7473999999999998</v>
      </c>
      <c r="D479">
        <v>4.7473999999999998</v>
      </c>
      <c r="E479">
        <v>4.7473999999999998</v>
      </c>
      <c r="F479">
        <v>20094</v>
      </c>
    </row>
    <row r="480" spans="1:6" x14ac:dyDescent="0.25">
      <c r="A480" s="4">
        <v>35192</v>
      </c>
      <c r="B480">
        <v>4.8945999999999996</v>
      </c>
      <c r="C480">
        <v>4.9314</v>
      </c>
      <c r="D480">
        <v>4.7842000000000002</v>
      </c>
      <c r="E480">
        <v>4.8209999999999997</v>
      </c>
      <c r="F480">
        <v>58996</v>
      </c>
    </row>
    <row r="481" spans="1:6" x14ac:dyDescent="0.25">
      <c r="A481" s="4">
        <v>35193</v>
      </c>
      <c r="B481">
        <v>4.8209999999999997</v>
      </c>
      <c r="C481">
        <v>4.8945999999999996</v>
      </c>
      <c r="D481">
        <v>4.7842000000000002</v>
      </c>
      <c r="E481">
        <v>4.7842000000000002</v>
      </c>
      <c r="F481">
        <v>23507</v>
      </c>
    </row>
    <row r="482" spans="1:6" x14ac:dyDescent="0.25">
      <c r="A482" s="4">
        <v>35194</v>
      </c>
      <c r="B482">
        <v>4.7106000000000003</v>
      </c>
      <c r="C482">
        <v>4.7106000000000003</v>
      </c>
      <c r="D482">
        <v>4.5266000000000002</v>
      </c>
      <c r="E482">
        <v>4.6369999999999996</v>
      </c>
      <c r="F482">
        <v>24564</v>
      </c>
    </row>
    <row r="483" spans="1:6" x14ac:dyDescent="0.25">
      <c r="A483" s="4">
        <v>35195</v>
      </c>
      <c r="B483">
        <v>4.6369999999999996</v>
      </c>
      <c r="C483">
        <v>4.6369999999999996</v>
      </c>
      <c r="D483">
        <v>4.5266000000000002</v>
      </c>
      <c r="E483">
        <v>4.6002000000000001</v>
      </c>
      <c r="F483">
        <v>11443</v>
      </c>
    </row>
    <row r="484" spans="1:6" x14ac:dyDescent="0.25">
      <c r="A484" s="4">
        <v>35196</v>
      </c>
      <c r="B484">
        <v>4.6002000000000001</v>
      </c>
      <c r="C484">
        <v>4.6369999999999996</v>
      </c>
      <c r="D484">
        <v>4.5633999999999997</v>
      </c>
      <c r="E484">
        <v>4.6002000000000001</v>
      </c>
      <c r="F484">
        <v>9488</v>
      </c>
    </row>
    <row r="485" spans="1:6" x14ac:dyDescent="0.25">
      <c r="A485" s="4">
        <v>35198</v>
      </c>
      <c r="B485">
        <v>4.6369999999999996</v>
      </c>
      <c r="C485">
        <v>4.7842000000000002</v>
      </c>
      <c r="D485">
        <v>4.6369999999999996</v>
      </c>
      <c r="E485">
        <v>4.7106000000000003</v>
      </c>
      <c r="F485">
        <v>13079</v>
      </c>
    </row>
    <row r="486" spans="1:6" x14ac:dyDescent="0.25">
      <c r="A486" s="4">
        <v>35199</v>
      </c>
      <c r="B486">
        <v>4.7473999999999998</v>
      </c>
      <c r="C486">
        <v>4.7842000000000002</v>
      </c>
      <c r="D486">
        <v>4.7106000000000003</v>
      </c>
      <c r="E486">
        <v>4.7106000000000003</v>
      </c>
      <c r="F486">
        <v>7172</v>
      </c>
    </row>
    <row r="487" spans="1:6" x14ac:dyDescent="0.25">
      <c r="A487" s="4">
        <v>35200</v>
      </c>
      <c r="B487">
        <v>4.7473999999999998</v>
      </c>
      <c r="C487">
        <v>4.7842000000000002</v>
      </c>
      <c r="D487">
        <v>4.6369999999999996</v>
      </c>
      <c r="E487">
        <v>4.6369999999999996</v>
      </c>
      <c r="F487">
        <v>6201</v>
      </c>
    </row>
    <row r="488" spans="1:6" x14ac:dyDescent="0.25">
      <c r="A488" s="4">
        <v>35201</v>
      </c>
      <c r="B488">
        <v>4.6369999999999996</v>
      </c>
      <c r="C488">
        <v>4.6369999999999996</v>
      </c>
      <c r="D488">
        <v>4.6002000000000001</v>
      </c>
      <c r="E488">
        <v>4.6369999999999996</v>
      </c>
      <c r="F488">
        <v>4495</v>
      </c>
    </row>
    <row r="489" spans="1:6" x14ac:dyDescent="0.25">
      <c r="A489" s="4">
        <v>35202</v>
      </c>
      <c r="B489">
        <v>4.6369999999999996</v>
      </c>
      <c r="C489">
        <v>4.6738</v>
      </c>
      <c r="D489">
        <v>4.4897999999999998</v>
      </c>
      <c r="E489">
        <v>4.5266000000000002</v>
      </c>
      <c r="F489">
        <v>9529</v>
      </c>
    </row>
    <row r="490" spans="1:6" x14ac:dyDescent="0.25">
      <c r="A490" s="4">
        <v>35203</v>
      </c>
      <c r="B490">
        <v>4.5266000000000002</v>
      </c>
      <c r="C490">
        <v>4.5633999999999997</v>
      </c>
      <c r="D490">
        <v>4.4530000000000003</v>
      </c>
      <c r="E490">
        <v>4.4897999999999998</v>
      </c>
      <c r="F490">
        <v>7172</v>
      </c>
    </row>
    <row r="491" spans="1:6" x14ac:dyDescent="0.25">
      <c r="A491" s="4">
        <v>35205</v>
      </c>
      <c r="B491">
        <v>4.5266000000000002</v>
      </c>
      <c r="C491">
        <v>4.5266000000000002</v>
      </c>
      <c r="D491">
        <v>4.2690000000000001</v>
      </c>
      <c r="E491">
        <v>4.3057999999999996</v>
      </c>
      <c r="F491">
        <v>14677</v>
      </c>
    </row>
    <row r="492" spans="1:6" x14ac:dyDescent="0.25">
      <c r="A492" s="4">
        <v>35206</v>
      </c>
      <c r="B492">
        <v>4.3426</v>
      </c>
      <c r="C492">
        <v>4.3794000000000004</v>
      </c>
      <c r="D492">
        <v>4.3057999999999996</v>
      </c>
      <c r="E492">
        <v>4.3057999999999996</v>
      </c>
      <c r="F492">
        <v>7564</v>
      </c>
    </row>
    <row r="493" spans="1:6" x14ac:dyDescent="0.25">
      <c r="A493" s="4">
        <v>35207</v>
      </c>
      <c r="B493">
        <v>4.3426</v>
      </c>
      <c r="C493">
        <v>4.3426</v>
      </c>
      <c r="D493">
        <v>4.2690000000000001</v>
      </c>
      <c r="E493">
        <v>4.3057999999999996</v>
      </c>
      <c r="F493">
        <v>4547</v>
      </c>
    </row>
    <row r="494" spans="1:6" x14ac:dyDescent="0.25">
      <c r="A494" s="4">
        <v>35208</v>
      </c>
      <c r="B494">
        <v>4.3426</v>
      </c>
      <c r="C494">
        <v>4.4161999999999999</v>
      </c>
      <c r="D494">
        <v>4.3057999999999996</v>
      </c>
      <c r="E494">
        <v>4.3426</v>
      </c>
      <c r="F494">
        <v>6343</v>
      </c>
    </row>
    <row r="495" spans="1:6" x14ac:dyDescent="0.25">
      <c r="A495" s="4">
        <v>35209</v>
      </c>
      <c r="B495">
        <v>4.3426</v>
      </c>
      <c r="C495">
        <v>4.3794000000000004</v>
      </c>
      <c r="D495">
        <v>4.3057999999999996</v>
      </c>
      <c r="E495">
        <v>4.3794000000000004</v>
      </c>
      <c r="F495">
        <v>3995</v>
      </c>
    </row>
    <row r="496" spans="1:6" x14ac:dyDescent="0.25">
      <c r="A496" s="4">
        <v>35210</v>
      </c>
      <c r="B496">
        <v>4.3794000000000004</v>
      </c>
      <c r="C496">
        <v>4.4530000000000003</v>
      </c>
      <c r="D496">
        <v>4.3426</v>
      </c>
      <c r="E496">
        <v>4.4161999999999999</v>
      </c>
      <c r="F496">
        <v>7812</v>
      </c>
    </row>
    <row r="497" spans="1:6" x14ac:dyDescent="0.25">
      <c r="A497" s="4">
        <v>35212</v>
      </c>
      <c r="B497">
        <v>4.4161999999999999</v>
      </c>
      <c r="C497">
        <v>4.4530000000000003</v>
      </c>
      <c r="D497">
        <v>4.3794000000000004</v>
      </c>
      <c r="E497">
        <v>4.3794000000000004</v>
      </c>
      <c r="F497">
        <v>3061</v>
      </c>
    </row>
    <row r="498" spans="1:6" x14ac:dyDescent="0.25">
      <c r="A498" s="4">
        <v>35213</v>
      </c>
      <c r="B498">
        <v>4.3794000000000004</v>
      </c>
      <c r="C498">
        <v>4.4530000000000003</v>
      </c>
      <c r="D498">
        <v>4.2690000000000001</v>
      </c>
      <c r="E498">
        <v>4.2690000000000001</v>
      </c>
      <c r="F498">
        <v>8544</v>
      </c>
    </row>
    <row r="499" spans="1:6" x14ac:dyDescent="0.25">
      <c r="A499" s="4">
        <v>35214</v>
      </c>
      <c r="B499">
        <v>4.2321999999999997</v>
      </c>
      <c r="C499">
        <v>4.2321999999999997</v>
      </c>
      <c r="D499">
        <v>4.1585999999999999</v>
      </c>
      <c r="E499">
        <v>4.1954000000000002</v>
      </c>
      <c r="F499">
        <v>9984</v>
      </c>
    </row>
    <row r="500" spans="1:6" x14ac:dyDescent="0.25">
      <c r="A500" s="4">
        <v>35215</v>
      </c>
      <c r="B500">
        <v>4.1954000000000002</v>
      </c>
      <c r="C500">
        <v>4.2321999999999997</v>
      </c>
      <c r="D500">
        <v>4.1218000000000004</v>
      </c>
      <c r="E500">
        <v>4.1585999999999999</v>
      </c>
      <c r="F500">
        <v>8428</v>
      </c>
    </row>
    <row r="501" spans="1:6" x14ac:dyDescent="0.25">
      <c r="A501" s="4">
        <v>35216</v>
      </c>
      <c r="B501">
        <v>4.1585999999999999</v>
      </c>
      <c r="C501">
        <v>4.1954000000000002</v>
      </c>
      <c r="D501">
        <v>4.1218000000000004</v>
      </c>
      <c r="E501">
        <v>4.1585999999999999</v>
      </c>
      <c r="F501">
        <v>10451</v>
      </c>
    </row>
    <row r="502" spans="1:6" x14ac:dyDescent="0.25">
      <c r="A502" s="4">
        <v>35217</v>
      </c>
      <c r="B502">
        <v>4.1585999999999999</v>
      </c>
      <c r="C502">
        <v>4.1954000000000002</v>
      </c>
      <c r="D502">
        <v>4.1585999999999999</v>
      </c>
      <c r="E502">
        <v>4.1585999999999999</v>
      </c>
      <c r="F502">
        <v>3749</v>
      </c>
    </row>
    <row r="503" spans="1:6" x14ac:dyDescent="0.25">
      <c r="A503" s="4">
        <v>35219</v>
      </c>
      <c r="B503">
        <v>4.1585999999999999</v>
      </c>
      <c r="C503">
        <v>4.1954000000000002</v>
      </c>
      <c r="D503">
        <v>4.1218000000000004</v>
      </c>
      <c r="E503">
        <v>4.1218000000000004</v>
      </c>
      <c r="F503">
        <v>6260</v>
      </c>
    </row>
    <row r="504" spans="1:6" x14ac:dyDescent="0.25">
      <c r="A504" s="4">
        <v>35220</v>
      </c>
      <c r="B504">
        <v>4.085</v>
      </c>
      <c r="C504">
        <v>4.1218000000000004</v>
      </c>
      <c r="D504">
        <v>4.0481999999999996</v>
      </c>
      <c r="E504">
        <v>4.085</v>
      </c>
      <c r="F504">
        <v>8212</v>
      </c>
    </row>
    <row r="505" spans="1:6" x14ac:dyDescent="0.25">
      <c r="A505" s="4">
        <v>35221</v>
      </c>
      <c r="B505">
        <v>4.085</v>
      </c>
      <c r="C505">
        <v>4.1218000000000004</v>
      </c>
      <c r="D505">
        <v>4.0481999999999996</v>
      </c>
      <c r="E505">
        <v>4.0481999999999996</v>
      </c>
      <c r="F505">
        <v>5182</v>
      </c>
    </row>
    <row r="506" spans="1:6" x14ac:dyDescent="0.25">
      <c r="A506" s="4">
        <v>35222</v>
      </c>
      <c r="B506">
        <v>4.0481999999999996</v>
      </c>
      <c r="C506">
        <v>4.085</v>
      </c>
      <c r="D506">
        <v>4.0481999999999996</v>
      </c>
      <c r="E506">
        <v>4.085</v>
      </c>
      <c r="F506">
        <v>5177</v>
      </c>
    </row>
    <row r="507" spans="1:6" x14ac:dyDescent="0.25">
      <c r="A507" s="4">
        <v>35223</v>
      </c>
      <c r="B507">
        <v>4.085</v>
      </c>
      <c r="C507">
        <v>4.1218000000000004</v>
      </c>
      <c r="D507">
        <v>4.085</v>
      </c>
      <c r="E507">
        <v>4.085</v>
      </c>
      <c r="F507">
        <v>6243</v>
      </c>
    </row>
    <row r="508" spans="1:6" x14ac:dyDescent="0.25">
      <c r="A508" s="4">
        <v>35224</v>
      </c>
      <c r="B508">
        <v>4.1585999999999999</v>
      </c>
      <c r="C508">
        <v>4.2321999999999997</v>
      </c>
      <c r="D508">
        <v>4.1585999999999999</v>
      </c>
      <c r="E508">
        <v>4.2321999999999997</v>
      </c>
      <c r="F508">
        <v>8305</v>
      </c>
    </row>
    <row r="509" spans="1:6" x14ac:dyDescent="0.25">
      <c r="A509" s="4">
        <v>35226</v>
      </c>
      <c r="B509">
        <v>4.2690000000000001</v>
      </c>
      <c r="C509">
        <v>4.3057999999999996</v>
      </c>
      <c r="D509">
        <v>4.1954000000000002</v>
      </c>
      <c r="E509">
        <v>4.1954000000000002</v>
      </c>
      <c r="F509">
        <v>11213</v>
      </c>
    </row>
    <row r="510" spans="1:6" x14ac:dyDescent="0.25">
      <c r="A510" s="4">
        <v>35227</v>
      </c>
      <c r="B510">
        <v>4.2321999999999997</v>
      </c>
      <c r="C510">
        <v>4.2690000000000001</v>
      </c>
      <c r="D510">
        <v>4.1585999999999999</v>
      </c>
      <c r="E510">
        <v>4.1585999999999999</v>
      </c>
      <c r="F510">
        <v>6801</v>
      </c>
    </row>
    <row r="511" spans="1:6" x14ac:dyDescent="0.25">
      <c r="A511" s="4">
        <v>35228</v>
      </c>
      <c r="B511">
        <v>4.1954000000000002</v>
      </c>
      <c r="C511">
        <v>4.2690000000000001</v>
      </c>
      <c r="D511">
        <v>4.1218000000000004</v>
      </c>
      <c r="E511">
        <v>4.2690000000000001</v>
      </c>
      <c r="F511">
        <v>10915</v>
      </c>
    </row>
    <row r="512" spans="1:6" x14ac:dyDescent="0.25">
      <c r="A512" s="4">
        <v>35229</v>
      </c>
      <c r="B512">
        <v>4.4161999999999999</v>
      </c>
      <c r="C512">
        <v>4.5266000000000002</v>
      </c>
      <c r="D512">
        <v>4.4161999999999999</v>
      </c>
      <c r="E512">
        <v>4.5266000000000002</v>
      </c>
      <c r="F512">
        <v>25537</v>
      </c>
    </row>
    <row r="513" spans="1:6" x14ac:dyDescent="0.25">
      <c r="A513" s="4">
        <v>35230</v>
      </c>
      <c r="B513">
        <v>4.6738</v>
      </c>
      <c r="C513">
        <v>4.8209999999999997</v>
      </c>
      <c r="D513">
        <v>4.6002000000000001</v>
      </c>
      <c r="E513">
        <v>4.6369999999999996</v>
      </c>
      <c r="F513">
        <v>43696</v>
      </c>
    </row>
    <row r="514" spans="1:6" x14ac:dyDescent="0.25">
      <c r="A514" s="4">
        <v>35231</v>
      </c>
      <c r="B514">
        <v>4.7473999999999998</v>
      </c>
      <c r="C514">
        <v>4.7842000000000002</v>
      </c>
      <c r="D514">
        <v>4.5633999999999997</v>
      </c>
      <c r="E514">
        <v>4.6738</v>
      </c>
      <c r="F514">
        <v>13853</v>
      </c>
    </row>
    <row r="515" spans="1:6" x14ac:dyDescent="0.25">
      <c r="A515" s="4">
        <v>35233</v>
      </c>
      <c r="B515">
        <v>4.7106000000000003</v>
      </c>
      <c r="C515">
        <v>4.7473999999999998</v>
      </c>
      <c r="D515">
        <v>4.6002000000000001</v>
      </c>
      <c r="E515">
        <v>4.6369999999999996</v>
      </c>
      <c r="F515">
        <v>9691</v>
      </c>
    </row>
    <row r="516" spans="1:6" x14ac:dyDescent="0.25">
      <c r="A516" s="4">
        <v>35234</v>
      </c>
      <c r="B516">
        <v>4.6369999999999996</v>
      </c>
      <c r="C516">
        <v>4.6369999999999996</v>
      </c>
      <c r="D516">
        <v>4.4530000000000003</v>
      </c>
      <c r="E516">
        <v>4.4530000000000003</v>
      </c>
      <c r="F516">
        <v>11539</v>
      </c>
    </row>
    <row r="517" spans="1:6" x14ac:dyDescent="0.25">
      <c r="A517" s="4">
        <v>35235</v>
      </c>
      <c r="B517">
        <v>4.4161999999999999</v>
      </c>
      <c r="C517">
        <v>4.4161999999999999</v>
      </c>
      <c r="D517">
        <v>4.3426</v>
      </c>
      <c r="E517">
        <v>4.3794000000000004</v>
      </c>
      <c r="F517">
        <v>10560</v>
      </c>
    </row>
    <row r="518" spans="1:6" x14ac:dyDescent="0.25">
      <c r="A518" s="4">
        <v>35237</v>
      </c>
      <c r="B518">
        <v>4.3426</v>
      </c>
      <c r="C518">
        <v>4.3426</v>
      </c>
      <c r="D518">
        <v>4.2321999999999997</v>
      </c>
      <c r="E518">
        <v>4.2321999999999997</v>
      </c>
      <c r="F518">
        <v>12569</v>
      </c>
    </row>
    <row r="519" spans="1:6" x14ac:dyDescent="0.25">
      <c r="A519" s="4">
        <v>35238</v>
      </c>
      <c r="B519">
        <v>4.1954000000000002</v>
      </c>
      <c r="C519">
        <v>4.3426</v>
      </c>
      <c r="D519">
        <v>4.1954000000000002</v>
      </c>
      <c r="E519">
        <v>4.3426</v>
      </c>
      <c r="F519">
        <v>7112</v>
      </c>
    </row>
    <row r="520" spans="1:6" x14ac:dyDescent="0.25">
      <c r="A520" s="4">
        <v>35240</v>
      </c>
      <c r="B520">
        <v>4.3426</v>
      </c>
      <c r="C520">
        <v>4.3426</v>
      </c>
      <c r="D520">
        <v>4.2690000000000001</v>
      </c>
      <c r="E520">
        <v>4.2690000000000001</v>
      </c>
      <c r="F520">
        <v>5486</v>
      </c>
    </row>
    <row r="521" spans="1:6" x14ac:dyDescent="0.25">
      <c r="A521" s="4">
        <v>35241</v>
      </c>
      <c r="B521">
        <v>4.2690000000000001</v>
      </c>
      <c r="C521">
        <v>4.2690000000000001</v>
      </c>
      <c r="D521">
        <v>4.1954000000000002</v>
      </c>
      <c r="E521">
        <v>4.2321999999999997</v>
      </c>
      <c r="F521">
        <v>5001</v>
      </c>
    </row>
    <row r="522" spans="1:6" x14ac:dyDescent="0.25">
      <c r="A522" s="4">
        <v>35242</v>
      </c>
      <c r="B522">
        <v>4.2321999999999997</v>
      </c>
      <c r="C522">
        <v>4.3057999999999996</v>
      </c>
      <c r="D522">
        <v>4.1954000000000002</v>
      </c>
      <c r="E522">
        <v>4.3057999999999996</v>
      </c>
      <c r="F522">
        <v>4942</v>
      </c>
    </row>
    <row r="523" spans="1:6" x14ac:dyDescent="0.25">
      <c r="A523" s="4">
        <v>35243</v>
      </c>
      <c r="B523">
        <v>4.3057999999999996</v>
      </c>
      <c r="C523">
        <v>4.4161999999999999</v>
      </c>
      <c r="D523">
        <v>4.2690000000000001</v>
      </c>
      <c r="E523">
        <v>4.4161999999999999</v>
      </c>
      <c r="F523">
        <v>17988</v>
      </c>
    </row>
    <row r="524" spans="1:6" x14ac:dyDescent="0.25">
      <c r="A524" s="4">
        <v>35244</v>
      </c>
      <c r="B524">
        <v>4.4161999999999999</v>
      </c>
      <c r="C524">
        <v>4.4161999999999999</v>
      </c>
      <c r="D524">
        <v>4.2321999999999997</v>
      </c>
      <c r="E524">
        <v>4.2321999999999997</v>
      </c>
      <c r="F524">
        <v>12851</v>
      </c>
    </row>
    <row r="525" spans="1:6" x14ac:dyDescent="0.25">
      <c r="A525" s="4">
        <v>35245</v>
      </c>
      <c r="B525">
        <v>4.1954000000000002</v>
      </c>
      <c r="C525">
        <v>4.2690000000000001</v>
      </c>
      <c r="D525">
        <v>4.1954000000000002</v>
      </c>
      <c r="E525">
        <v>4.2690000000000001</v>
      </c>
      <c r="F525">
        <v>10043</v>
      </c>
    </row>
    <row r="526" spans="1:6" x14ac:dyDescent="0.25">
      <c r="A526" s="4">
        <v>35248</v>
      </c>
      <c r="B526">
        <v>4.2690000000000001</v>
      </c>
      <c r="C526">
        <v>4.3057999999999996</v>
      </c>
      <c r="D526">
        <v>4.1954000000000002</v>
      </c>
      <c r="E526">
        <v>4.1954000000000002</v>
      </c>
      <c r="F526">
        <v>13562</v>
      </c>
    </row>
    <row r="527" spans="1:6" x14ac:dyDescent="0.25">
      <c r="A527" s="4">
        <v>35249</v>
      </c>
      <c r="B527">
        <v>4.1954000000000002</v>
      </c>
      <c r="C527">
        <v>4.2321999999999997</v>
      </c>
      <c r="D527">
        <v>4.1954000000000002</v>
      </c>
      <c r="E527">
        <v>4.1954000000000002</v>
      </c>
      <c r="F527">
        <v>12103</v>
      </c>
    </row>
    <row r="528" spans="1:6" x14ac:dyDescent="0.25">
      <c r="A528" s="4">
        <v>35250</v>
      </c>
      <c r="B528">
        <v>4.1954000000000002</v>
      </c>
      <c r="C528">
        <v>4.1954000000000002</v>
      </c>
      <c r="D528">
        <v>4.1218000000000004</v>
      </c>
      <c r="E528">
        <v>4.1218000000000004</v>
      </c>
      <c r="F528">
        <v>13049</v>
      </c>
    </row>
    <row r="529" spans="1:6" x14ac:dyDescent="0.25">
      <c r="A529" s="4">
        <v>35251</v>
      </c>
      <c r="B529">
        <v>4.1218000000000004</v>
      </c>
      <c r="C529">
        <v>4.1585999999999999</v>
      </c>
      <c r="D529">
        <v>4.085</v>
      </c>
      <c r="E529">
        <v>4.1218000000000004</v>
      </c>
      <c r="F529">
        <v>10273</v>
      </c>
    </row>
    <row r="530" spans="1:6" x14ac:dyDescent="0.25">
      <c r="A530" s="4">
        <v>35252</v>
      </c>
      <c r="B530">
        <v>4.085</v>
      </c>
      <c r="C530">
        <v>4.1218000000000004</v>
      </c>
      <c r="D530">
        <v>4.0481999999999996</v>
      </c>
      <c r="E530">
        <v>4.085</v>
      </c>
      <c r="F530">
        <v>7686</v>
      </c>
    </row>
    <row r="531" spans="1:6" x14ac:dyDescent="0.25">
      <c r="A531" s="4">
        <v>35254</v>
      </c>
      <c r="B531">
        <v>4.085</v>
      </c>
      <c r="C531">
        <v>4.085</v>
      </c>
      <c r="D531">
        <v>3.8641999999999999</v>
      </c>
      <c r="E531">
        <v>3.9009999999999998</v>
      </c>
      <c r="F531">
        <v>17710</v>
      </c>
    </row>
    <row r="532" spans="1:6" x14ac:dyDescent="0.25">
      <c r="A532" s="4">
        <v>35255</v>
      </c>
      <c r="B532">
        <v>3.9009999999999998</v>
      </c>
      <c r="C532">
        <v>3.9378000000000002</v>
      </c>
      <c r="D532">
        <v>3.8273999999999999</v>
      </c>
      <c r="E532">
        <v>3.8273999999999999</v>
      </c>
      <c r="F532">
        <v>14686</v>
      </c>
    </row>
    <row r="533" spans="1:6" x14ac:dyDescent="0.25">
      <c r="A533" s="4">
        <v>35256</v>
      </c>
      <c r="B533">
        <v>3.8641999999999999</v>
      </c>
      <c r="C533">
        <v>3.9378000000000002</v>
      </c>
      <c r="D533">
        <v>3.8641999999999999</v>
      </c>
      <c r="E533">
        <v>3.8641999999999999</v>
      </c>
      <c r="F533">
        <v>23567</v>
      </c>
    </row>
    <row r="534" spans="1:6" x14ac:dyDescent="0.25">
      <c r="A534" s="4">
        <v>35257</v>
      </c>
      <c r="B534">
        <v>3.9009999999999998</v>
      </c>
      <c r="C534">
        <v>4.0481999999999996</v>
      </c>
      <c r="D534">
        <v>3.9009999999999998</v>
      </c>
      <c r="E534">
        <v>3.9746000000000001</v>
      </c>
      <c r="F534">
        <v>18768</v>
      </c>
    </row>
    <row r="535" spans="1:6" x14ac:dyDescent="0.25">
      <c r="A535" s="4">
        <v>35258</v>
      </c>
      <c r="B535">
        <v>3.9378000000000002</v>
      </c>
      <c r="C535">
        <v>3.9378000000000002</v>
      </c>
      <c r="D535">
        <v>3.8641999999999999</v>
      </c>
      <c r="E535">
        <v>3.9009999999999998</v>
      </c>
      <c r="F535">
        <v>12651</v>
      </c>
    </row>
    <row r="536" spans="1:6" x14ac:dyDescent="0.25">
      <c r="A536" s="4">
        <v>35259</v>
      </c>
      <c r="B536">
        <v>3.8641999999999999</v>
      </c>
      <c r="C536">
        <v>3.9009999999999998</v>
      </c>
      <c r="D536">
        <v>3.8273999999999999</v>
      </c>
      <c r="E536">
        <v>3.9009999999999998</v>
      </c>
      <c r="F536">
        <v>5909</v>
      </c>
    </row>
    <row r="537" spans="1:6" x14ac:dyDescent="0.25">
      <c r="A537" s="4">
        <v>35261</v>
      </c>
      <c r="B537">
        <v>3.9009999999999998</v>
      </c>
      <c r="C537">
        <v>3.9378000000000002</v>
      </c>
      <c r="D537">
        <v>3.8641999999999999</v>
      </c>
      <c r="E537">
        <v>3.9009999999999998</v>
      </c>
      <c r="F537">
        <v>6168</v>
      </c>
    </row>
    <row r="538" spans="1:6" x14ac:dyDescent="0.25">
      <c r="A538" s="4">
        <v>35262</v>
      </c>
      <c r="B538">
        <v>3.8273999999999999</v>
      </c>
      <c r="C538">
        <v>3.8273999999999999</v>
      </c>
      <c r="D538">
        <v>3.6802000000000001</v>
      </c>
      <c r="E538">
        <v>3.6802000000000001</v>
      </c>
      <c r="F538">
        <v>19271</v>
      </c>
    </row>
    <row r="539" spans="1:6" x14ac:dyDescent="0.25">
      <c r="A539" s="4">
        <v>35263</v>
      </c>
      <c r="B539">
        <v>3.6802000000000001</v>
      </c>
      <c r="C539">
        <v>3.7538</v>
      </c>
      <c r="D539">
        <v>3.6139000000000001</v>
      </c>
      <c r="E539">
        <v>3.6802000000000001</v>
      </c>
      <c r="F539">
        <v>27701</v>
      </c>
    </row>
    <row r="540" spans="1:6" x14ac:dyDescent="0.25">
      <c r="A540" s="4">
        <v>35264</v>
      </c>
      <c r="B540">
        <v>3.7170000000000001</v>
      </c>
      <c r="C540">
        <v>3.7906</v>
      </c>
      <c r="D540">
        <v>3.6802000000000001</v>
      </c>
      <c r="E540">
        <v>3.6802000000000001</v>
      </c>
      <c r="F540">
        <v>12497</v>
      </c>
    </row>
    <row r="541" spans="1:6" x14ac:dyDescent="0.25">
      <c r="A541" s="4">
        <v>35265</v>
      </c>
      <c r="B541">
        <v>3.7538</v>
      </c>
      <c r="C541">
        <v>3.7906</v>
      </c>
      <c r="D541">
        <v>3.7170000000000001</v>
      </c>
      <c r="E541">
        <v>3.7906</v>
      </c>
      <c r="F541">
        <v>10171</v>
      </c>
    </row>
    <row r="542" spans="1:6" x14ac:dyDescent="0.25">
      <c r="A542" s="4">
        <v>35266</v>
      </c>
      <c r="B542">
        <v>3.7906</v>
      </c>
      <c r="C542">
        <v>3.7906</v>
      </c>
      <c r="D542">
        <v>3.7170000000000001</v>
      </c>
      <c r="E542">
        <v>3.7538</v>
      </c>
      <c r="F542">
        <v>4918</v>
      </c>
    </row>
    <row r="543" spans="1:6" x14ac:dyDescent="0.25">
      <c r="A543" s="4">
        <v>35268</v>
      </c>
      <c r="B543">
        <v>3.7538</v>
      </c>
      <c r="C543">
        <v>3.7906</v>
      </c>
      <c r="D543">
        <v>3.7170000000000001</v>
      </c>
      <c r="E543">
        <v>3.7170000000000001</v>
      </c>
      <c r="F543">
        <v>4869</v>
      </c>
    </row>
    <row r="544" spans="1:6" x14ac:dyDescent="0.25">
      <c r="A544" s="4">
        <v>35269</v>
      </c>
      <c r="B544">
        <v>3.6802000000000001</v>
      </c>
      <c r="C544">
        <v>3.7538</v>
      </c>
      <c r="D544">
        <v>3.6802000000000001</v>
      </c>
      <c r="E544">
        <v>3.7170000000000001</v>
      </c>
      <c r="F544">
        <v>4008</v>
      </c>
    </row>
    <row r="545" spans="1:6" x14ac:dyDescent="0.25">
      <c r="A545" s="4">
        <v>35270</v>
      </c>
      <c r="B545">
        <v>3.7170000000000001</v>
      </c>
      <c r="C545">
        <v>3.7538</v>
      </c>
      <c r="D545">
        <v>3.6802000000000001</v>
      </c>
      <c r="E545">
        <v>3.7538</v>
      </c>
      <c r="F545">
        <v>3537</v>
      </c>
    </row>
    <row r="546" spans="1:6" x14ac:dyDescent="0.25">
      <c r="A546" s="4">
        <v>35271</v>
      </c>
      <c r="B546">
        <v>3.7538</v>
      </c>
      <c r="C546">
        <v>3.7538</v>
      </c>
      <c r="D546">
        <v>3.6802000000000001</v>
      </c>
      <c r="E546">
        <v>3.6802000000000001</v>
      </c>
      <c r="F546">
        <v>4285</v>
      </c>
    </row>
    <row r="547" spans="1:6" x14ac:dyDescent="0.25">
      <c r="A547" s="4">
        <v>35272</v>
      </c>
      <c r="B547">
        <v>3.7170000000000001</v>
      </c>
      <c r="C547">
        <v>3.7538</v>
      </c>
      <c r="D547">
        <v>3.7170000000000001</v>
      </c>
      <c r="E547">
        <v>3.7170000000000001</v>
      </c>
      <c r="F547">
        <v>3109</v>
      </c>
    </row>
    <row r="548" spans="1:6" x14ac:dyDescent="0.25">
      <c r="A548" s="4">
        <v>35273</v>
      </c>
      <c r="B548">
        <v>3.7538</v>
      </c>
      <c r="C548">
        <v>3.8641999999999999</v>
      </c>
      <c r="D548">
        <v>3.7538</v>
      </c>
      <c r="E548">
        <v>3.8273999999999999</v>
      </c>
      <c r="F548">
        <v>8377</v>
      </c>
    </row>
    <row r="549" spans="1:6" x14ac:dyDescent="0.25">
      <c r="A549" s="4">
        <v>35275</v>
      </c>
      <c r="B549">
        <v>3.8273999999999999</v>
      </c>
      <c r="C549">
        <v>3.8641999999999999</v>
      </c>
      <c r="D549">
        <v>3.7538</v>
      </c>
      <c r="E549">
        <v>3.7538</v>
      </c>
      <c r="F549">
        <v>6220</v>
      </c>
    </row>
    <row r="550" spans="1:6" x14ac:dyDescent="0.25">
      <c r="A550" s="4">
        <v>35276</v>
      </c>
      <c r="B550">
        <v>3.7538</v>
      </c>
      <c r="C550">
        <v>3.7538</v>
      </c>
      <c r="D550">
        <v>3.7170000000000001</v>
      </c>
      <c r="E550">
        <v>3.7170000000000001</v>
      </c>
      <c r="F550">
        <v>2928</v>
      </c>
    </row>
    <row r="551" spans="1:6" x14ac:dyDescent="0.25">
      <c r="A551" s="4">
        <v>35279</v>
      </c>
      <c r="B551">
        <v>3.7538</v>
      </c>
      <c r="C551">
        <v>3.7906</v>
      </c>
      <c r="D551">
        <v>3.7538</v>
      </c>
      <c r="E551">
        <v>3.7906</v>
      </c>
      <c r="F551">
        <v>5770</v>
      </c>
    </row>
    <row r="552" spans="1:6" x14ac:dyDescent="0.25">
      <c r="A552" s="4">
        <v>35280</v>
      </c>
      <c r="B552">
        <v>3.7906</v>
      </c>
      <c r="C552">
        <v>3.8273999999999999</v>
      </c>
      <c r="D552">
        <v>3.7538</v>
      </c>
      <c r="E552">
        <v>3.7538</v>
      </c>
      <c r="F552">
        <v>4241</v>
      </c>
    </row>
    <row r="553" spans="1:6" x14ac:dyDescent="0.25">
      <c r="A553" s="4">
        <v>35282</v>
      </c>
      <c r="B553">
        <v>3.7538</v>
      </c>
      <c r="C553">
        <v>3.7906</v>
      </c>
      <c r="D553">
        <v>3.7170000000000001</v>
      </c>
      <c r="E553">
        <v>3.7538</v>
      </c>
      <c r="F553">
        <v>3491</v>
      </c>
    </row>
    <row r="554" spans="1:6" x14ac:dyDescent="0.25">
      <c r="A554" s="4">
        <v>35283</v>
      </c>
      <c r="B554">
        <v>3.7538</v>
      </c>
      <c r="C554">
        <v>3.8273999999999999</v>
      </c>
      <c r="D554">
        <v>3.7538</v>
      </c>
      <c r="E554">
        <v>3.7906</v>
      </c>
      <c r="F554">
        <v>4567</v>
      </c>
    </row>
    <row r="555" spans="1:6" x14ac:dyDescent="0.25">
      <c r="A555" s="4">
        <v>35284</v>
      </c>
      <c r="B555">
        <v>3.8273999999999999</v>
      </c>
      <c r="C555">
        <v>3.9746000000000001</v>
      </c>
      <c r="D555">
        <v>3.7906</v>
      </c>
      <c r="E555">
        <v>3.8641999999999999</v>
      </c>
      <c r="F555">
        <v>19124</v>
      </c>
    </row>
    <row r="556" spans="1:6" x14ac:dyDescent="0.25">
      <c r="A556" s="4">
        <v>35285</v>
      </c>
      <c r="B556">
        <v>3.9746000000000001</v>
      </c>
      <c r="C556">
        <v>4.0481999999999996</v>
      </c>
      <c r="D556">
        <v>3.9746000000000001</v>
      </c>
      <c r="E556">
        <v>4.0114000000000001</v>
      </c>
      <c r="F556">
        <v>20518</v>
      </c>
    </row>
    <row r="557" spans="1:6" x14ac:dyDescent="0.25">
      <c r="A557" s="4">
        <v>35286</v>
      </c>
      <c r="B557">
        <v>3.9746000000000001</v>
      </c>
      <c r="C557">
        <v>3.9746000000000001</v>
      </c>
      <c r="D557">
        <v>3.9009999999999998</v>
      </c>
      <c r="E557">
        <v>3.9746000000000001</v>
      </c>
      <c r="F557">
        <v>9248</v>
      </c>
    </row>
    <row r="558" spans="1:6" x14ac:dyDescent="0.25">
      <c r="A558" s="4">
        <v>35287</v>
      </c>
      <c r="B558">
        <v>3.9746000000000001</v>
      </c>
      <c r="C558">
        <v>3.9746000000000001</v>
      </c>
      <c r="D558">
        <v>3.9009999999999998</v>
      </c>
      <c r="E558">
        <v>3.9009999999999998</v>
      </c>
      <c r="F558">
        <v>4278</v>
      </c>
    </row>
    <row r="559" spans="1:6" x14ac:dyDescent="0.25">
      <c r="A559" s="4">
        <v>35289</v>
      </c>
      <c r="B559">
        <v>3.9009999999999998</v>
      </c>
      <c r="C559">
        <v>3.9378000000000002</v>
      </c>
      <c r="D559">
        <v>3.9009999999999998</v>
      </c>
      <c r="E559">
        <v>3.9378000000000002</v>
      </c>
      <c r="F559">
        <v>2788</v>
      </c>
    </row>
    <row r="560" spans="1:6" x14ac:dyDescent="0.25">
      <c r="A560" s="4">
        <v>35290</v>
      </c>
      <c r="B560">
        <v>3.9378000000000002</v>
      </c>
      <c r="C560">
        <v>3.9746000000000001</v>
      </c>
      <c r="D560">
        <v>3.9009999999999998</v>
      </c>
      <c r="E560">
        <v>3.9009999999999998</v>
      </c>
      <c r="F560">
        <v>3553</v>
      </c>
    </row>
    <row r="561" spans="1:6" x14ac:dyDescent="0.25">
      <c r="A561" s="4">
        <v>35291</v>
      </c>
      <c r="B561">
        <v>3.9009999999999998</v>
      </c>
      <c r="C561">
        <v>3.9009999999999998</v>
      </c>
      <c r="D561">
        <v>3.8641999999999999</v>
      </c>
      <c r="E561">
        <v>3.8641999999999999</v>
      </c>
      <c r="F561">
        <v>4931</v>
      </c>
    </row>
    <row r="562" spans="1:6" x14ac:dyDescent="0.25">
      <c r="A562" s="4">
        <v>35292</v>
      </c>
      <c r="B562">
        <v>3.9009999999999998</v>
      </c>
      <c r="C562">
        <v>3.9378000000000002</v>
      </c>
      <c r="D562">
        <v>3.8641999999999999</v>
      </c>
      <c r="E562">
        <v>3.9009999999999998</v>
      </c>
      <c r="F562">
        <v>8161</v>
      </c>
    </row>
    <row r="563" spans="1:6" x14ac:dyDescent="0.25">
      <c r="A563" s="4">
        <v>35293</v>
      </c>
      <c r="B563">
        <v>3.9378000000000002</v>
      </c>
      <c r="C563">
        <v>3.9746000000000001</v>
      </c>
      <c r="D563">
        <v>3.9009999999999998</v>
      </c>
      <c r="E563">
        <v>3.9746000000000001</v>
      </c>
      <c r="F563">
        <v>5389</v>
      </c>
    </row>
    <row r="564" spans="1:6" x14ac:dyDescent="0.25">
      <c r="A564" s="4">
        <v>35294</v>
      </c>
      <c r="B564">
        <v>3.9746000000000001</v>
      </c>
      <c r="C564">
        <v>3.9746000000000001</v>
      </c>
      <c r="D564">
        <v>3.9378000000000002</v>
      </c>
      <c r="E564">
        <v>3.9378000000000002</v>
      </c>
      <c r="F564">
        <v>3997</v>
      </c>
    </row>
    <row r="565" spans="1:6" x14ac:dyDescent="0.25">
      <c r="A565" s="4">
        <v>35296</v>
      </c>
      <c r="B565">
        <v>3.9009999999999998</v>
      </c>
      <c r="C565">
        <v>3.9378000000000002</v>
      </c>
      <c r="D565">
        <v>3.8273999999999999</v>
      </c>
      <c r="E565">
        <v>3.8273999999999999</v>
      </c>
      <c r="F565">
        <v>7111</v>
      </c>
    </row>
    <row r="566" spans="1:6" x14ac:dyDescent="0.25">
      <c r="A566" s="4">
        <v>35297</v>
      </c>
      <c r="B566">
        <v>3.8273999999999999</v>
      </c>
      <c r="C566">
        <v>3.9009999999999998</v>
      </c>
      <c r="D566">
        <v>3.7906</v>
      </c>
      <c r="E566">
        <v>3.8641999999999999</v>
      </c>
      <c r="F566">
        <v>3856</v>
      </c>
    </row>
    <row r="567" spans="1:6" x14ac:dyDescent="0.25">
      <c r="A567" s="4">
        <v>35298</v>
      </c>
      <c r="B567">
        <v>3.9009999999999998</v>
      </c>
      <c r="C567">
        <v>3.9746000000000001</v>
      </c>
      <c r="D567">
        <v>3.9009999999999998</v>
      </c>
      <c r="E567">
        <v>3.9378000000000002</v>
      </c>
      <c r="F567">
        <v>6754</v>
      </c>
    </row>
    <row r="568" spans="1:6" x14ac:dyDescent="0.25">
      <c r="A568" s="4">
        <v>35299</v>
      </c>
      <c r="B568">
        <v>3.9378000000000002</v>
      </c>
      <c r="C568">
        <v>3.9746000000000001</v>
      </c>
      <c r="D568">
        <v>3.9009999999999998</v>
      </c>
      <c r="E568">
        <v>3.9009999999999998</v>
      </c>
      <c r="F568">
        <v>3240</v>
      </c>
    </row>
    <row r="569" spans="1:6" x14ac:dyDescent="0.25">
      <c r="A569" s="4">
        <v>35300</v>
      </c>
      <c r="B569">
        <v>3.9378000000000002</v>
      </c>
      <c r="C569">
        <v>3.9378000000000002</v>
      </c>
      <c r="D569">
        <v>3.9009999999999998</v>
      </c>
      <c r="E569">
        <v>3.9009999999999998</v>
      </c>
      <c r="F569">
        <v>3877</v>
      </c>
    </row>
    <row r="570" spans="1:6" x14ac:dyDescent="0.25">
      <c r="A570" s="4">
        <v>35301</v>
      </c>
      <c r="B570">
        <v>3.9378000000000002</v>
      </c>
      <c r="C570">
        <v>3.9746000000000001</v>
      </c>
      <c r="D570">
        <v>3.8641999999999999</v>
      </c>
      <c r="E570">
        <v>3.8641999999999999</v>
      </c>
      <c r="F570">
        <v>4786</v>
      </c>
    </row>
    <row r="571" spans="1:6" x14ac:dyDescent="0.25">
      <c r="A571" s="4">
        <v>35303</v>
      </c>
      <c r="B571">
        <v>3.8641999999999999</v>
      </c>
      <c r="C571">
        <v>3.9009999999999998</v>
      </c>
      <c r="D571">
        <v>3.8273999999999999</v>
      </c>
      <c r="E571">
        <v>3.8273999999999999</v>
      </c>
      <c r="F571">
        <v>2285</v>
      </c>
    </row>
    <row r="572" spans="1:6" x14ac:dyDescent="0.25">
      <c r="A572" s="4">
        <v>35304</v>
      </c>
      <c r="B572">
        <v>3.8273999999999999</v>
      </c>
      <c r="C572">
        <v>3.9009999999999998</v>
      </c>
      <c r="D572">
        <v>3.8273999999999999</v>
      </c>
      <c r="E572">
        <v>3.8641999999999999</v>
      </c>
      <c r="F572">
        <v>2315</v>
      </c>
    </row>
    <row r="573" spans="1:6" x14ac:dyDescent="0.25">
      <c r="A573" s="4">
        <v>35305</v>
      </c>
      <c r="B573">
        <v>3.9009999999999998</v>
      </c>
      <c r="C573">
        <v>3.9378000000000002</v>
      </c>
      <c r="D573">
        <v>3.8641999999999999</v>
      </c>
      <c r="E573">
        <v>3.9009999999999998</v>
      </c>
      <c r="F573">
        <v>4096</v>
      </c>
    </row>
    <row r="574" spans="1:6" x14ac:dyDescent="0.25">
      <c r="A574" s="4">
        <v>35306</v>
      </c>
      <c r="B574">
        <v>3.9009999999999998</v>
      </c>
      <c r="C574">
        <v>3.9746000000000001</v>
      </c>
      <c r="D574">
        <v>3.8641999999999999</v>
      </c>
      <c r="E574">
        <v>3.9746000000000001</v>
      </c>
      <c r="F574">
        <v>7626</v>
      </c>
    </row>
    <row r="575" spans="1:6" x14ac:dyDescent="0.25">
      <c r="A575" s="4">
        <v>35307</v>
      </c>
      <c r="B575">
        <v>4.0114000000000001</v>
      </c>
      <c r="C575">
        <v>4.1585999999999999</v>
      </c>
      <c r="D575">
        <v>4.0114000000000001</v>
      </c>
      <c r="E575">
        <v>4.085</v>
      </c>
      <c r="F575">
        <v>31172</v>
      </c>
    </row>
    <row r="576" spans="1:6" x14ac:dyDescent="0.25">
      <c r="A576" s="4">
        <v>35308</v>
      </c>
      <c r="B576">
        <v>4.085</v>
      </c>
      <c r="C576">
        <v>4.085</v>
      </c>
      <c r="D576">
        <v>4.0114000000000001</v>
      </c>
      <c r="E576">
        <v>4.0481999999999996</v>
      </c>
      <c r="F576">
        <v>6881</v>
      </c>
    </row>
    <row r="577" spans="1:6" x14ac:dyDescent="0.25">
      <c r="A577" s="4">
        <v>35310</v>
      </c>
      <c r="B577">
        <v>4.0481999999999996</v>
      </c>
      <c r="C577">
        <v>4.1585999999999999</v>
      </c>
      <c r="D577">
        <v>4.0114000000000001</v>
      </c>
      <c r="E577">
        <v>4.085</v>
      </c>
      <c r="F577">
        <v>15831</v>
      </c>
    </row>
    <row r="578" spans="1:6" x14ac:dyDescent="0.25">
      <c r="A578" s="4">
        <v>35311</v>
      </c>
      <c r="B578">
        <v>4.1218000000000004</v>
      </c>
      <c r="C578">
        <v>4.1954000000000002</v>
      </c>
      <c r="D578">
        <v>4.085</v>
      </c>
      <c r="E578">
        <v>4.1218000000000004</v>
      </c>
      <c r="F578">
        <v>17169</v>
      </c>
    </row>
    <row r="579" spans="1:6" x14ac:dyDescent="0.25">
      <c r="A579" s="4">
        <v>35312</v>
      </c>
      <c r="B579">
        <v>4.085</v>
      </c>
      <c r="C579">
        <v>4.1954000000000002</v>
      </c>
      <c r="D579">
        <v>4.0481999999999996</v>
      </c>
      <c r="E579">
        <v>4.1218000000000004</v>
      </c>
      <c r="F579">
        <v>18200</v>
      </c>
    </row>
    <row r="580" spans="1:6" x14ac:dyDescent="0.25">
      <c r="A580" s="4">
        <v>35313</v>
      </c>
      <c r="B580">
        <v>4.1585999999999999</v>
      </c>
      <c r="C580">
        <v>4.1954000000000002</v>
      </c>
      <c r="D580">
        <v>4.1218000000000004</v>
      </c>
      <c r="E580">
        <v>4.1585999999999999</v>
      </c>
      <c r="F580">
        <v>10738</v>
      </c>
    </row>
    <row r="581" spans="1:6" x14ac:dyDescent="0.25">
      <c r="A581" s="4">
        <v>35314</v>
      </c>
      <c r="B581">
        <v>4.1585999999999999</v>
      </c>
      <c r="C581">
        <v>4.1585999999999999</v>
      </c>
      <c r="D581">
        <v>4.085</v>
      </c>
      <c r="E581">
        <v>4.085</v>
      </c>
      <c r="F581">
        <v>5517</v>
      </c>
    </row>
    <row r="582" spans="1:6" x14ac:dyDescent="0.25">
      <c r="A582" s="4">
        <v>35315</v>
      </c>
      <c r="B582">
        <v>4.085</v>
      </c>
      <c r="C582">
        <v>4.1218000000000004</v>
      </c>
      <c r="D582">
        <v>4.0481999999999996</v>
      </c>
      <c r="E582">
        <v>4.085</v>
      </c>
      <c r="F582">
        <v>16012</v>
      </c>
    </row>
    <row r="583" spans="1:6" x14ac:dyDescent="0.25">
      <c r="A583" s="4">
        <v>35317</v>
      </c>
      <c r="B583">
        <v>4.1218000000000004</v>
      </c>
      <c r="C583">
        <v>4.1218000000000004</v>
      </c>
      <c r="D583">
        <v>4.0481999999999996</v>
      </c>
      <c r="E583">
        <v>4.085</v>
      </c>
      <c r="F583">
        <v>18136</v>
      </c>
    </row>
    <row r="584" spans="1:6" x14ac:dyDescent="0.25">
      <c r="A584" s="4">
        <v>35318</v>
      </c>
      <c r="B584">
        <v>4.0481999999999996</v>
      </c>
      <c r="C584">
        <v>4.085</v>
      </c>
      <c r="D584">
        <v>4.0114000000000001</v>
      </c>
      <c r="E584">
        <v>4.0114000000000001</v>
      </c>
      <c r="F584">
        <v>9603</v>
      </c>
    </row>
    <row r="585" spans="1:6" x14ac:dyDescent="0.25">
      <c r="A585" s="4">
        <v>35319</v>
      </c>
      <c r="B585">
        <v>3.9746000000000001</v>
      </c>
      <c r="C585">
        <v>4.0114000000000001</v>
      </c>
      <c r="D585">
        <v>3.9378000000000002</v>
      </c>
      <c r="E585">
        <v>3.9378000000000002</v>
      </c>
      <c r="F585">
        <v>18189</v>
      </c>
    </row>
    <row r="586" spans="1:6" x14ac:dyDescent="0.25">
      <c r="A586" s="4">
        <v>35320</v>
      </c>
      <c r="B586">
        <v>3.9009999999999998</v>
      </c>
      <c r="C586">
        <v>3.9009999999999998</v>
      </c>
      <c r="D586">
        <v>3.8641999999999999</v>
      </c>
      <c r="E586">
        <v>3.8641999999999999</v>
      </c>
      <c r="F586">
        <v>18492</v>
      </c>
    </row>
    <row r="587" spans="1:6" x14ac:dyDescent="0.25">
      <c r="A587" s="4">
        <v>35321</v>
      </c>
      <c r="B587">
        <v>3.8641999999999999</v>
      </c>
      <c r="C587">
        <v>3.9009999999999998</v>
      </c>
      <c r="D587">
        <v>3.8273999999999999</v>
      </c>
      <c r="E587">
        <v>3.9009999999999998</v>
      </c>
      <c r="F587">
        <v>11161</v>
      </c>
    </row>
    <row r="588" spans="1:6" x14ac:dyDescent="0.25">
      <c r="A588" s="4">
        <v>35322</v>
      </c>
      <c r="B588">
        <v>3.9009999999999998</v>
      </c>
      <c r="C588">
        <v>3.9009999999999998</v>
      </c>
      <c r="D588">
        <v>3.8641999999999999</v>
      </c>
      <c r="E588">
        <v>3.8641999999999999</v>
      </c>
      <c r="F588">
        <v>4991</v>
      </c>
    </row>
    <row r="589" spans="1:6" x14ac:dyDescent="0.25">
      <c r="A589" s="4">
        <v>35324</v>
      </c>
      <c r="B589">
        <v>3.8641999999999999</v>
      </c>
      <c r="C589">
        <v>3.9378000000000002</v>
      </c>
      <c r="D589">
        <v>3.8641999999999999</v>
      </c>
      <c r="E589">
        <v>3.9378000000000002</v>
      </c>
      <c r="F589">
        <v>7649</v>
      </c>
    </row>
    <row r="590" spans="1:6" x14ac:dyDescent="0.25">
      <c r="A590" s="4">
        <v>35325</v>
      </c>
      <c r="B590">
        <v>3.9746000000000001</v>
      </c>
      <c r="C590">
        <v>4.0114000000000001</v>
      </c>
      <c r="D590">
        <v>3.9378000000000002</v>
      </c>
      <c r="E590">
        <v>3.9378000000000002</v>
      </c>
      <c r="F590">
        <v>8816</v>
      </c>
    </row>
    <row r="591" spans="1:6" x14ac:dyDescent="0.25">
      <c r="A591" s="4">
        <v>35326</v>
      </c>
      <c r="B591">
        <v>3.9378000000000002</v>
      </c>
      <c r="C591">
        <v>4.0481999999999996</v>
      </c>
      <c r="D591">
        <v>3.9378000000000002</v>
      </c>
      <c r="E591">
        <v>3.9746000000000001</v>
      </c>
      <c r="F591">
        <v>9064</v>
      </c>
    </row>
    <row r="592" spans="1:6" x14ac:dyDescent="0.25">
      <c r="A592" s="4">
        <v>35327</v>
      </c>
      <c r="B592">
        <v>4.0114000000000001</v>
      </c>
      <c r="C592">
        <v>4.0114000000000001</v>
      </c>
      <c r="D592">
        <v>3.9746000000000001</v>
      </c>
      <c r="E592">
        <v>3.9746000000000001</v>
      </c>
      <c r="F592">
        <v>6362</v>
      </c>
    </row>
    <row r="593" spans="1:6" x14ac:dyDescent="0.25">
      <c r="A593" s="4">
        <v>35328</v>
      </c>
      <c r="B593">
        <v>3.9746000000000001</v>
      </c>
      <c r="C593">
        <v>4.0114000000000001</v>
      </c>
      <c r="D593">
        <v>3.9378000000000002</v>
      </c>
      <c r="E593">
        <v>3.9378000000000002</v>
      </c>
      <c r="F593">
        <v>4945</v>
      </c>
    </row>
    <row r="594" spans="1:6" x14ac:dyDescent="0.25">
      <c r="A594" s="4">
        <v>35329</v>
      </c>
      <c r="B594">
        <v>3.9378000000000002</v>
      </c>
      <c r="C594">
        <v>3.9746000000000001</v>
      </c>
      <c r="D594">
        <v>3.9009999999999998</v>
      </c>
      <c r="E594">
        <v>3.9009999999999998</v>
      </c>
      <c r="F594">
        <v>4312</v>
      </c>
    </row>
    <row r="595" spans="1:6" x14ac:dyDescent="0.25">
      <c r="A595" s="4">
        <v>35331</v>
      </c>
      <c r="B595">
        <v>3.9009999999999998</v>
      </c>
      <c r="C595">
        <v>3.9378000000000002</v>
      </c>
      <c r="D595">
        <v>3.9009999999999998</v>
      </c>
      <c r="E595">
        <v>3.9009999999999998</v>
      </c>
      <c r="F595">
        <v>4415</v>
      </c>
    </row>
    <row r="596" spans="1:6" x14ac:dyDescent="0.25">
      <c r="A596" s="4">
        <v>35332</v>
      </c>
      <c r="B596">
        <v>3.9009999999999998</v>
      </c>
      <c r="C596">
        <v>3.9378000000000002</v>
      </c>
      <c r="D596">
        <v>3.9009999999999998</v>
      </c>
      <c r="E596">
        <v>3.9009999999999998</v>
      </c>
      <c r="F596">
        <v>3621</v>
      </c>
    </row>
    <row r="597" spans="1:6" x14ac:dyDescent="0.25">
      <c r="A597" s="4">
        <v>35333</v>
      </c>
      <c r="B597">
        <v>3.9009999999999998</v>
      </c>
      <c r="C597">
        <v>3.9746000000000001</v>
      </c>
      <c r="D597">
        <v>3.8641999999999999</v>
      </c>
      <c r="E597">
        <v>3.9378000000000002</v>
      </c>
      <c r="F597">
        <v>11081</v>
      </c>
    </row>
    <row r="598" spans="1:6" x14ac:dyDescent="0.25">
      <c r="A598" s="4">
        <v>35334</v>
      </c>
      <c r="B598">
        <v>3.9746000000000001</v>
      </c>
      <c r="C598">
        <v>4.0481999999999996</v>
      </c>
      <c r="D598">
        <v>3.9746000000000001</v>
      </c>
      <c r="E598">
        <v>4.0114000000000001</v>
      </c>
      <c r="F598">
        <v>14783</v>
      </c>
    </row>
    <row r="599" spans="1:6" x14ac:dyDescent="0.25">
      <c r="A599" s="4">
        <v>35338</v>
      </c>
      <c r="B599">
        <v>4.0481999999999996</v>
      </c>
      <c r="C599">
        <v>4.0481999999999996</v>
      </c>
      <c r="D599">
        <v>3.9378000000000002</v>
      </c>
      <c r="E599">
        <v>3.9378000000000002</v>
      </c>
      <c r="F599">
        <v>6398</v>
      </c>
    </row>
    <row r="600" spans="1:6" x14ac:dyDescent="0.25">
      <c r="A600" s="4">
        <v>35339</v>
      </c>
      <c r="B600">
        <v>3.9378000000000002</v>
      </c>
      <c r="C600">
        <v>3.9746000000000001</v>
      </c>
      <c r="D600">
        <v>3.9009999999999998</v>
      </c>
      <c r="E600">
        <v>3.9378000000000002</v>
      </c>
      <c r="F600">
        <v>6184</v>
      </c>
    </row>
    <row r="601" spans="1:6" x14ac:dyDescent="0.25">
      <c r="A601" s="4">
        <v>35340</v>
      </c>
      <c r="B601">
        <v>3.9378000000000002</v>
      </c>
      <c r="C601">
        <v>3.9746000000000001</v>
      </c>
      <c r="D601">
        <v>3.9378000000000002</v>
      </c>
      <c r="E601">
        <v>3.9378000000000002</v>
      </c>
      <c r="F601">
        <v>8859</v>
      </c>
    </row>
    <row r="602" spans="1:6" x14ac:dyDescent="0.25">
      <c r="A602" s="4">
        <v>35341</v>
      </c>
      <c r="B602">
        <v>3.9378000000000002</v>
      </c>
      <c r="C602">
        <v>3.9378000000000002</v>
      </c>
      <c r="D602">
        <v>3.9009999999999998</v>
      </c>
      <c r="E602">
        <v>3.9378000000000002</v>
      </c>
      <c r="F602">
        <v>5633</v>
      </c>
    </row>
    <row r="603" spans="1:6" x14ac:dyDescent="0.25">
      <c r="A603" s="4">
        <v>35342</v>
      </c>
      <c r="B603">
        <v>3.9378000000000002</v>
      </c>
      <c r="C603">
        <v>3.9746000000000001</v>
      </c>
      <c r="D603">
        <v>3.9378000000000002</v>
      </c>
      <c r="E603">
        <v>3.9378000000000002</v>
      </c>
      <c r="F603">
        <v>7096</v>
      </c>
    </row>
    <row r="604" spans="1:6" x14ac:dyDescent="0.25">
      <c r="A604" s="4">
        <v>35343</v>
      </c>
      <c r="B604">
        <v>3.9746000000000001</v>
      </c>
      <c r="C604">
        <v>4.0114000000000001</v>
      </c>
      <c r="D604">
        <v>3.9746000000000001</v>
      </c>
      <c r="E604">
        <v>3.9746000000000001</v>
      </c>
      <c r="F604">
        <v>8255</v>
      </c>
    </row>
    <row r="605" spans="1:6" x14ac:dyDescent="0.25">
      <c r="A605" s="4">
        <v>35345</v>
      </c>
      <c r="B605">
        <v>3.9746000000000001</v>
      </c>
      <c r="C605">
        <v>4.0114000000000001</v>
      </c>
      <c r="D605">
        <v>3.9378000000000002</v>
      </c>
      <c r="E605">
        <v>3.9746000000000001</v>
      </c>
      <c r="F605">
        <v>6919</v>
      </c>
    </row>
    <row r="606" spans="1:6" x14ac:dyDescent="0.25">
      <c r="A606" s="4">
        <v>35346</v>
      </c>
      <c r="B606">
        <v>3.9746000000000001</v>
      </c>
      <c r="C606">
        <v>3.9746000000000001</v>
      </c>
      <c r="D606">
        <v>3.9378000000000002</v>
      </c>
      <c r="E606">
        <v>3.9378000000000002</v>
      </c>
      <c r="F606">
        <v>3268</v>
      </c>
    </row>
    <row r="607" spans="1:6" x14ac:dyDescent="0.25">
      <c r="A607" s="4">
        <v>35347</v>
      </c>
      <c r="B607">
        <v>3.9746000000000001</v>
      </c>
      <c r="C607">
        <v>3.9746000000000001</v>
      </c>
      <c r="D607">
        <v>3.9378000000000002</v>
      </c>
      <c r="E607">
        <v>3.9378000000000002</v>
      </c>
      <c r="F607">
        <v>3040</v>
      </c>
    </row>
    <row r="608" spans="1:6" x14ac:dyDescent="0.25">
      <c r="A608" s="4">
        <v>35349</v>
      </c>
      <c r="B608">
        <v>3.9746000000000001</v>
      </c>
      <c r="C608">
        <v>4.0114000000000001</v>
      </c>
      <c r="D608">
        <v>3.9378000000000002</v>
      </c>
      <c r="E608">
        <v>3.9746000000000001</v>
      </c>
      <c r="F608">
        <v>9435</v>
      </c>
    </row>
    <row r="609" spans="1:6" x14ac:dyDescent="0.25">
      <c r="A609" s="4">
        <v>35350</v>
      </c>
      <c r="B609">
        <v>3.9746000000000001</v>
      </c>
      <c r="C609">
        <v>4.0114000000000001</v>
      </c>
      <c r="D609">
        <v>3.9378000000000002</v>
      </c>
      <c r="E609">
        <v>3.9746000000000001</v>
      </c>
      <c r="F609">
        <v>4792</v>
      </c>
    </row>
    <row r="610" spans="1:6" x14ac:dyDescent="0.25">
      <c r="A610" s="4">
        <v>35352</v>
      </c>
      <c r="B610">
        <v>3.9746000000000001</v>
      </c>
      <c r="C610">
        <v>4.1218000000000004</v>
      </c>
      <c r="D610">
        <v>3.9746000000000001</v>
      </c>
      <c r="E610">
        <v>4.0114000000000001</v>
      </c>
      <c r="F610">
        <v>23823</v>
      </c>
    </row>
    <row r="611" spans="1:6" x14ac:dyDescent="0.25">
      <c r="A611" s="4">
        <v>35353</v>
      </c>
      <c r="B611">
        <v>4.0114000000000001</v>
      </c>
      <c r="C611">
        <v>4.0481999999999996</v>
      </c>
      <c r="D611">
        <v>3.9746000000000001</v>
      </c>
      <c r="E611">
        <v>3.9746000000000001</v>
      </c>
      <c r="F611">
        <v>4050</v>
      </c>
    </row>
    <row r="612" spans="1:6" x14ac:dyDescent="0.25">
      <c r="A612" s="4">
        <v>35354</v>
      </c>
      <c r="B612">
        <v>3.9746000000000001</v>
      </c>
      <c r="C612">
        <v>4.0114000000000001</v>
      </c>
      <c r="D612">
        <v>3.9378000000000002</v>
      </c>
      <c r="E612">
        <v>3.9378000000000002</v>
      </c>
      <c r="F612">
        <v>6228</v>
      </c>
    </row>
    <row r="613" spans="1:6" x14ac:dyDescent="0.25">
      <c r="A613" s="4">
        <v>35355</v>
      </c>
      <c r="B613">
        <v>3.9378000000000002</v>
      </c>
      <c r="C613">
        <v>3.9746000000000001</v>
      </c>
      <c r="D613">
        <v>3.9378000000000002</v>
      </c>
      <c r="E613">
        <v>3.9378000000000002</v>
      </c>
      <c r="F613">
        <v>3906</v>
      </c>
    </row>
    <row r="614" spans="1:6" x14ac:dyDescent="0.25">
      <c r="A614" s="4">
        <v>35356</v>
      </c>
      <c r="B614">
        <v>3.9378000000000002</v>
      </c>
      <c r="C614">
        <v>3.9746000000000001</v>
      </c>
      <c r="D614">
        <v>3.9378000000000002</v>
      </c>
      <c r="E614">
        <v>3.9378000000000002</v>
      </c>
      <c r="F614">
        <v>3100</v>
      </c>
    </row>
    <row r="615" spans="1:6" x14ac:dyDescent="0.25">
      <c r="A615" s="4">
        <v>35357</v>
      </c>
      <c r="B615">
        <v>3.9746000000000001</v>
      </c>
      <c r="C615">
        <v>3.9746000000000001</v>
      </c>
      <c r="D615">
        <v>3.9009999999999998</v>
      </c>
      <c r="E615">
        <v>3.9009999999999998</v>
      </c>
      <c r="F615">
        <v>3908</v>
      </c>
    </row>
    <row r="616" spans="1:6" x14ac:dyDescent="0.25">
      <c r="A616" s="4">
        <v>35359</v>
      </c>
      <c r="B616">
        <v>3.9378000000000002</v>
      </c>
      <c r="C616">
        <v>3.9378000000000002</v>
      </c>
      <c r="D616">
        <v>3.9009999999999998</v>
      </c>
      <c r="E616">
        <v>3.9009999999999998</v>
      </c>
      <c r="F616">
        <v>4134</v>
      </c>
    </row>
    <row r="617" spans="1:6" x14ac:dyDescent="0.25">
      <c r="A617" s="4">
        <v>35360</v>
      </c>
      <c r="B617">
        <v>3.9009999999999998</v>
      </c>
      <c r="C617">
        <v>3.9378000000000002</v>
      </c>
      <c r="D617">
        <v>3.9009999999999998</v>
      </c>
      <c r="E617">
        <v>3.9009999999999998</v>
      </c>
      <c r="F617">
        <v>3547</v>
      </c>
    </row>
    <row r="618" spans="1:6" x14ac:dyDescent="0.25">
      <c r="A618" s="4">
        <v>35361</v>
      </c>
      <c r="B618">
        <v>3.9009999999999998</v>
      </c>
      <c r="C618">
        <v>3.9378000000000002</v>
      </c>
      <c r="D618">
        <v>3.9009999999999998</v>
      </c>
      <c r="E618">
        <v>3.9378000000000002</v>
      </c>
      <c r="F618">
        <v>2814</v>
      </c>
    </row>
    <row r="619" spans="1:6" x14ac:dyDescent="0.25">
      <c r="A619" s="4">
        <v>35362</v>
      </c>
      <c r="B619">
        <v>3.9378000000000002</v>
      </c>
      <c r="C619">
        <v>3.9378000000000002</v>
      </c>
      <c r="D619">
        <v>3.9009999999999998</v>
      </c>
      <c r="E619">
        <v>3.9009999999999998</v>
      </c>
      <c r="F619">
        <v>5463</v>
      </c>
    </row>
    <row r="620" spans="1:6" x14ac:dyDescent="0.25">
      <c r="A620" s="4">
        <v>35366</v>
      </c>
      <c r="B620">
        <v>3.9009999999999998</v>
      </c>
      <c r="C620">
        <v>3.9378000000000002</v>
      </c>
      <c r="D620">
        <v>3.8641999999999999</v>
      </c>
      <c r="E620">
        <v>3.8641999999999999</v>
      </c>
      <c r="F620">
        <v>5300</v>
      </c>
    </row>
    <row r="621" spans="1:6" x14ac:dyDescent="0.25">
      <c r="A621" s="4">
        <v>35367</v>
      </c>
      <c r="B621">
        <v>3.8641999999999999</v>
      </c>
      <c r="C621">
        <v>3.9009999999999998</v>
      </c>
      <c r="D621">
        <v>3.8273999999999999</v>
      </c>
      <c r="E621">
        <v>3.8273999999999999</v>
      </c>
      <c r="F621">
        <v>5499</v>
      </c>
    </row>
    <row r="622" spans="1:6" x14ac:dyDescent="0.25">
      <c r="A622" s="4">
        <v>35368</v>
      </c>
      <c r="B622">
        <v>3.8641999999999999</v>
      </c>
      <c r="C622">
        <v>3.9746000000000001</v>
      </c>
      <c r="D622">
        <v>3.8641999999999999</v>
      </c>
      <c r="E622">
        <v>3.9009999999999998</v>
      </c>
      <c r="F622">
        <v>8012</v>
      </c>
    </row>
    <row r="623" spans="1:6" x14ac:dyDescent="0.25">
      <c r="A623" s="4">
        <v>35370</v>
      </c>
      <c r="B623">
        <v>3.9746000000000001</v>
      </c>
      <c r="C623">
        <v>4.085</v>
      </c>
      <c r="D623">
        <v>3.9746000000000001</v>
      </c>
      <c r="E623">
        <v>4.0481999999999996</v>
      </c>
      <c r="F623">
        <v>21310</v>
      </c>
    </row>
    <row r="624" spans="1:6" x14ac:dyDescent="0.25">
      <c r="A624" s="4">
        <v>35371</v>
      </c>
      <c r="B624">
        <v>4.1218000000000004</v>
      </c>
      <c r="C624">
        <v>4.1218000000000004</v>
      </c>
      <c r="D624">
        <v>4.0481999999999996</v>
      </c>
      <c r="E624">
        <v>4.0481999999999996</v>
      </c>
      <c r="F624">
        <v>16758</v>
      </c>
    </row>
    <row r="625" spans="1:6" x14ac:dyDescent="0.25">
      <c r="A625" s="4">
        <v>35373</v>
      </c>
      <c r="B625">
        <v>4.085</v>
      </c>
      <c r="C625">
        <v>4.2321999999999997</v>
      </c>
      <c r="D625">
        <v>4.085</v>
      </c>
      <c r="E625">
        <v>4.2321999999999997</v>
      </c>
      <c r="F625">
        <v>34373</v>
      </c>
    </row>
    <row r="626" spans="1:6" x14ac:dyDescent="0.25">
      <c r="A626" s="4">
        <v>35374</v>
      </c>
      <c r="B626">
        <v>4.2690000000000001</v>
      </c>
      <c r="C626">
        <v>4.3426</v>
      </c>
      <c r="D626">
        <v>4.2321999999999997</v>
      </c>
      <c r="E626">
        <v>4.2321999999999997</v>
      </c>
      <c r="F626">
        <v>35954</v>
      </c>
    </row>
    <row r="627" spans="1:6" x14ac:dyDescent="0.25">
      <c r="A627" s="4">
        <v>35375</v>
      </c>
      <c r="B627">
        <v>4.2690000000000001</v>
      </c>
      <c r="C627">
        <v>4.2690000000000001</v>
      </c>
      <c r="D627">
        <v>4.1954000000000002</v>
      </c>
      <c r="E627">
        <v>4.2321999999999997</v>
      </c>
      <c r="F627">
        <v>17959</v>
      </c>
    </row>
    <row r="628" spans="1:6" x14ac:dyDescent="0.25">
      <c r="A628" s="4">
        <v>35376</v>
      </c>
      <c r="B628">
        <v>4.2690000000000001</v>
      </c>
      <c r="C628">
        <v>4.2690000000000001</v>
      </c>
      <c r="D628">
        <v>4.1585999999999999</v>
      </c>
      <c r="E628">
        <v>4.1585999999999999</v>
      </c>
      <c r="F628">
        <v>16421</v>
      </c>
    </row>
    <row r="629" spans="1:6" x14ac:dyDescent="0.25">
      <c r="A629" s="4">
        <v>35377</v>
      </c>
      <c r="B629">
        <v>4.1585999999999999</v>
      </c>
      <c r="C629">
        <v>4.1954000000000002</v>
      </c>
      <c r="D629">
        <v>4.085</v>
      </c>
      <c r="E629">
        <v>4.085</v>
      </c>
      <c r="F629">
        <v>10616</v>
      </c>
    </row>
    <row r="630" spans="1:6" x14ac:dyDescent="0.25">
      <c r="A630" s="4">
        <v>35378</v>
      </c>
      <c r="B630">
        <v>4.0481999999999996</v>
      </c>
      <c r="C630">
        <v>4.085</v>
      </c>
      <c r="D630">
        <v>4.0481999999999996</v>
      </c>
      <c r="E630">
        <v>4.085</v>
      </c>
      <c r="F630">
        <v>8888</v>
      </c>
    </row>
    <row r="631" spans="1:6" x14ac:dyDescent="0.25">
      <c r="A631" s="4">
        <v>35380</v>
      </c>
      <c r="B631">
        <v>4.085</v>
      </c>
      <c r="C631">
        <v>4.085</v>
      </c>
      <c r="D631">
        <v>4.0481999999999996</v>
      </c>
      <c r="E631">
        <v>4.0481999999999996</v>
      </c>
      <c r="F631">
        <v>4775</v>
      </c>
    </row>
    <row r="632" spans="1:6" x14ac:dyDescent="0.25">
      <c r="A632" s="4">
        <v>35382</v>
      </c>
      <c r="B632">
        <v>4.1218000000000004</v>
      </c>
      <c r="C632">
        <v>4.1954000000000002</v>
      </c>
      <c r="D632">
        <v>4.1218000000000004</v>
      </c>
      <c r="E632">
        <v>4.1954000000000002</v>
      </c>
      <c r="F632">
        <v>13011</v>
      </c>
    </row>
    <row r="633" spans="1:6" x14ac:dyDescent="0.25">
      <c r="A633" s="4">
        <v>35383</v>
      </c>
      <c r="B633">
        <v>4.1954000000000002</v>
      </c>
      <c r="C633">
        <v>4.2321999999999997</v>
      </c>
      <c r="D633">
        <v>4.1218000000000004</v>
      </c>
      <c r="E633">
        <v>4.1585999999999999</v>
      </c>
      <c r="F633">
        <v>11512</v>
      </c>
    </row>
    <row r="634" spans="1:6" x14ac:dyDescent="0.25">
      <c r="A634" s="4">
        <v>35384</v>
      </c>
      <c r="B634">
        <v>4.1585999999999999</v>
      </c>
      <c r="C634">
        <v>4.1954000000000002</v>
      </c>
      <c r="D634">
        <v>4.085</v>
      </c>
      <c r="E634">
        <v>4.085</v>
      </c>
      <c r="F634">
        <v>5519</v>
      </c>
    </row>
    <row r="635" spans="1:6" x14ac:dyDescent="0.25">
      <c r="A635" s="4">
        <v>35385</v>
      </c>
      <c r="B635">
        <v>4.1218000000000004</v>
      </c>
      <c r="C635">
        <v>4.1218000000000004</v>
      </c>
      <c r="D635">
        <v>4.085</v>
      </c>
      <c r="E635">
        <v>4.1218000000000004</v>
      </c>
      <c r="F635">
        <v>4031</v>
      </c>
    </row>
    <row r="636" spans="1:6" x14ac:dyDescent="0.25">
      <c r="A636" s="4">
        <v>35387</v>
      </c>
      <c r="B636">
        <v>4.1218000000000004</v>
      </c>
      <c r="C636">
        <v>4.1585999999999999</v>
      </c>
      <c r="D636">
        <v>4.1218000000000004</v>
      </c>
      <c r="E636">
        <v>4.1218000000000004</v>
      </c>
      <c r="F636">
        <v>4877</v>
      </c>
    </row>
    <row r="637" spans="1:6" x14ac:dyDescent="0.25">
      <c r="A637" s="4">
        <v>35388</v>
      </c>
      <c r="B637">
        <v>4.1585999999999999</v>
      </c>
      <c r="C637">
        <v>4.2321999999999997</v>
      </c>
      <c r="D637">
        <v>4.1218000000000004</v>
      </c>
      <c r="E637">
        <v>4.1954000000000002</v>
      </c>
      <c r="F637">
        <v>13111</v>
      </c>
    </row>
    <row r="638" spans="1:6" x14ac:dyDescent="0.25">
      <c r="A638" s="4">
        <v>35389</v>
      </c>
      <c r="B638">
        <v>4.2321999999999997</v>
      </c>
      <c r="C638">
        <v>4.2690000000000001</v>
      </c>
      <c r="D638">
        <v>4.1954000000000002</v>
      </c>
      <c r="E638">
        <v>4.1954000000000002</v>
      </c>
      <c r="F638">
        <v>14475</v>
      </c>
    </row>
    <row r="639" spans="1:6" x14ac:dyDescent="0.25">
      <c r="A639" s="4">
        <v>35390</v>
      </c>
      <c r="B639">
        <v>4.2321999999999997</v>
      </c>
      <c r="C639">
        <v>4.2690000000000001</v>
      </c>
      <c r="D639">
        <v>4.1585999999999999</v>
      </c>
      <c r="E639">
        <v>4.1585999999999999</v>
      </c>
      <c r="F639">
        <v>12686</v>
      </c>
    </row>
    <row r="640" spans="1:6" x14ac:dyDescent="0.25">
      <c r="A640" s="4">
        <v>35391</v>
      </c>
      <c r="B640">
        <v>4.1954000000000002</v>
      </c>
      <c r="C640">
        <v>4.2690000000000001</v>
      </c>
      <c r="D640">
        <v>4.1954000000000002</v>
      </c>
      <c r="E640">
        <v>4.2690000000000001</v>
      </c>
      <c r="F640">
        <v>23225</v>
      </c>
    </row>
    <row r="641" spans="1:6" x14ac:dyDescent="0.25">
      <c r="A641" s="4">
        <v>35392</v>
      </c>
      <c r="B641">
        <v>4.3426</v>
      </c>
      <c r="C641">
        <v>4.4897999999999998</v>
      </c>
      <c r="D641">
        <v>4.3426</v>
      </c>
      <c r="E641">
        <v>4.4161999999999999</v>
      </c>
      <c r="F641">
        <v>44784</v>
      </c>
    </row>
    <row r="642" spans="1:6" x14ac:dyDescent="0.25">
      <c r="A642" s="4">
        <v>35394</v>
      </c>
      <c r="B642">
        <v>4.4897999999999998</v>
      </c>
      <c r="C642">
        <v>4.5266000000000002</v>
      </c>
      <c r="D642">
        <v>4.3794000000000004</v>
      </c>
      <c r="E642">
        <v>4.4161999999999999</v>
      </c>
      <c r="F642">
        <v>27315</v>
      </c>
    </row>
    <row r="643" spans="1:6" x14ac:dyDescent="0.25">
      <c r="A643" s="4">
        <v>35395</v>
      </c>
      <c r="B643">
        <v>4.4161999999999999</v>
      </c>
      <c r="C643">
        <v>4.6002000000000001</v>
      </c>
      <c r="D643">
        <v>4.4161999999999999</v>
      </c>
      <c r="E643">
        <v>4.4530000000000003</v>
      </c>
      <c r="F643">
        <v>44927</v>
      </c>
    </row>
    <row r="644" spans="1:6" x14ac:dyDescent="0.25">
      <c r="A644" s="4">
        <v>35396</v>
      </c>
      <c r="B644">
        <v>4.5266000000000002</v>
      </c>
      <c r="C644">
        <v>4.5633999999999997</v>
      </c>
      <c r="D644">
        <v>4.4530000000000003</v>
      </c>
      <c r="E644">
        <v>4.4897999999999998</v>
      </c>
      <c r="F644">
        <v>18097</v>
      </c>
    </row>
    <row r="645" spans="1:6" x14ac:dyDescent="0.25">
      <c r="A645" s="4">
        <v>35397</v>
      </c>
      <c r="B645">
        <v>4.4161999999999999</v>
      </c>
      <c r="C645">
        <v>4.4530000000000003</v>
      </c>
      <c r="D645">
        <v>4.3426</v>
      </c>
      <c r="E645">
        <v>4.3794000000000004</v>
      </c>
      <c r="F645">
        <v>23041</v>
      </c>
    </row>
    <row r="646" spans="1:6" x14ac:dyDescent="0.25">
      <c r="A646" s="4">
        <v>35398</v>
      </c>
      <c r="B646">
        <v>4.3426</v>
      </c>
      <c r="C646">
        <v>4.3794000000000004</v>
      </c>
      <c r="D646">
        <v>4.2321999999999997</v>
      </c>
      <c r="E646">
        <v>4.2690000000000001</v>
      </c>
      <c r="F646">
        <v>13244</v>
      </c>
    </row>
    <row r="647" spans="1:6" x14ac:dyDescent="0.25">
      <c r="A647" s="4">
        <v>35399</v>
      </c>
      <c r="B647">
        <v>4.2690000000000001</v>
      </c>
      <c r="C647">
        <v>4.3057999999999996</v>
      </c>
      <c r="D647">
        <v>4.2690000000000001</v>
      </c>
      <c r="E647">
        <v>4.3057999999999996</v>
      </c>
      <c r="F647">
        <v>5945</v>
      </c>
    </row>
    <row r="648" spans="1:6" x14ac:dyDescent="0.25">
      <c r="A648" s="4">
        <v>35401</v>
      </c>
      <c r="B648">
        <v>4.3426</v>
      </c>
      <c r="C648">
        <v>4.3794000000000004</v>
      </c>
      <c r="D648">
        <v>4.3057999999999996</v>
      </c>
      <c r="E648">
        <v>4.3794000000000004</v>
      </c>
      <c r="F648">
        <v>9690</v>
      </c>
    </row>
    <row r="649" spans="1:6" x14ac:dyDescent="0.25">
      <c r="A649" s="4">
        <v>35402</v>
      </c>
      <c r="B649">
        <v>4.4161999999999999</v>
      </c>
      <c r="C649">
        <v>4.4897999999999998</v>
      </c>
      <c r="D649">
        <v>4.3426</v>
      </c>
      <c r="E649">
        <v>4.3426</v>
      </c>
      <c r="F649">
        <v>18956</v>
      </c>
    </row>
    <row r="650" spans="1:6" x14ac:dyDescent="0.25">
      <c r="A650" s="4">
        <v>35403</v>
      </c>
      <c r="B650">
        <v>4.3426</v>
      </c>
      <c r="C650">
        <v>4.3426</v>
      </c>
      <c r="D650">
        <v>4.2690000000000001</v>
      </c>
      <c r="E650">
        <v>4.2690000000000001</v>
      </c>
      <c r="F650">
        <v>7653</v>
      </c>
    </row>
    <row r="651" spans="1:6" x14ac:dyDescent="0.25">
      <c r="A651" s="4">
        <v>35404</v>
      </c>
      <c r="B651">
        <v>4.2690000000000001</v>
      </c>
      <c r="C651">
        <v>4.2690000000000001</v>
      </c>
      <c r="D651">
        <v>4.1954000000000002</v>
      </c>
      <c r="E651">
        <v>4.2321999999999997</v>
      </c>
      <c r="F651">
        <v>13944</v>
      </c>
    </row>
    <row r="652" spans="1:6" x14ac:dyDescent="0.25">
      <c r="A652" s="4">
        <v>35405</v>
      </c>
      <c r="B652">
        <v>4.1954000000000002</v>
      </c>
      <c r="C652">
        <v>4.2321999999999997</v>
      </c>
      <c r="D652">
        <v>4.1218000000000004</v>
      </c>
      <c r="E652">
        <v>4.1585999999999999</v>
      </c>
      <c r="F652">
        <v>9460</v>
      </c>
    </row>
    <row r="653" spans="1:6" x14ac:dyDescent="0.25">
      <c r="A653" s="4">
        <v>35406</v>
      </c>
      <c r="B653">
        <v>4.1218000000000004</v>
      </c>
      <c r="C653">
        <v>4.1585999999999999</v>
      </c>
      <c r="D653">
        <v>4.1218000000000004</v>
      </c>
      <c r="E653">
        <v>4.1218000000000004</v>
      </c>
      <c r="F653">
        <v>5198</v>
      </c>
    </row>
    <row r="654" spans="1:6" x14ac:dyDescent="0.25">
      <c r="A654" s="4">
        <v>35408</v>
      </c>
      <c r="B654">
        <v>4.1218000000000004</v>
      </c>
      <c r="C654">
        <v>4.1585999999999999</v>
      </c>
      <c r="D654">
        <v>4.1218000000000004</v>
      </c>
      <c r="E654">
        <v>4.1218000000000004</v>
      </c>
      <c r="F654">
        <v>4156</v>
      </c>
    </row>
    <row r="655" spans="1:6" x14ac:dyDescent="0.25">
      <c r="A655" s="4">
        <v>35409</v>
      </c>
      <c r="B655">
        <v>4.1585999999999999</v>
      </c>
      <c r="C655">
        <v>4.2321999999999997</v>
      </c>
      <c r="D655">
        <v>4.1218000000000004</v>
      </c>
      <c r="E655">
        <v>4.1954000000000002</v>
      </c>
      <c r="F655">
        <v>8039</v>
      </c>
    </row>
    <row r="656" spans="1:6" x14ac:dyDescent="0.25">
      <c r="A656" s="4">
        <v>35410</v>
      </c>
      <c r="B656">
        <v>4.2321999999999997</v>
      </c>
      <c r="C656">
        <v>4.2690000000000001</v>
      </c>
      <c r="D656">
        <v>4.1954000000000002</v>
      </c>
      <c r="E656">
        <v>4.1954000000000002</v>
      </c>
      <c r="F656">
        <v>6389</v>
      </c>
    </row>
    <row r="657" spans="1:6" x14ac:dyDescent="0.25">
      <c r="A657" s="4">
        <v>35411</v>
      </c>
      <c r="B657">
        <v>4.1954000000000002</v>
      </c>
      <c r="C657">
        <v>4.2321999999999997</v>
      </c>
      <c r="D657">
        <v>4.1585999999999999</v>
      </c>
      <c r="E657">
        <v>4.2321999999999997</v>
      </c>
      <c r="F657">
        <v>5140</v>
      </c>
    </row>
    <row r="658" spans="1:6" x14ac:dyDescent="0.25">
      <c r="A658" s="4">
        <v>35412</v>
      </c>
      <c r="B658">
        <v>4.1954000000000002</v>
      </c>
      <c r="C658">
        <v>4.2321999999999997</v>
      </c>
      <c r="D658">
        <v>4.1585999999999999</v>
      </c>
      <c r="E658">
        <v>4.1954000000000002</v>
      </c>
      <c r="F658">
        <v>3711</v>
      </c>
    </row>
    <row r="659" spans="1:6" x14ac:dyDescent="0.25">
      <c r="A659" s="4">
        <v>35413</v>
      </c>
      <c r="B659">
        <v>4.2321999999999997</v>
      </c>
      <c r="C659">
        <v>4.2321999999999997</v>
      </c>
      <c r="D659">
        <v>4.1954000000000002</v>
      </c>
      <c r="E659">
        <v>4.2321999999999997</v>
      </c>
      <c r="F659">
        <v>4217</v>
      </c>
    </row>
    <row r="660" spans="1:6" x14ac:dyDescent="0.25">
      <c r="A660" s="4">
        <v>35415</v>
      </c>
      <c r="B660">
        <v>4.2321999999999997</v>
      </c>
      <c r="C660">
        <v>4.2690000000000001</v>
      </c>
      <c r="D660">
        <v>4.1954000000000002</v>
      </c>
      <c r="E660">
        <v>4.1954000000000002</v>
      </c>
      <c r="F660">
        <v>5414</v>
      </c>
    </row>
    <row r="661" spans="1:6" x14ac:dyDescent="0.25">
      <c r="A661" s="4">
        <v>35416</v>
      </c>
      <c r="B661">
        <v>4.1954000000000002</v>
      </c>
      <c r="C661">
        <v>4.2321999999999997</v>
      </c>
      <c r="D661">
        <v>4.1585999999999999</v>
      </c>
      <c r="E661">
        <v>4.1954000000000002</v>
      </c>
      <c r="F661">
        <v>3085</v>
      </c>
    </row>
    <row r="662" spans="1:6" x14ac:dyDescent="0.25">
      <c r="A662" s="4">
        <v>35417</v>
      </c>
      <c r="B662">
        <v>4.1954000000000002</v>
      </c>
      <c r="C662">
        <v>4.1954000000000002</v>
      </c>
      <c r="D662">
        <v>4.1585999999999999</v>
      </c>
      <c r="E662">
        <v>4.1585999999999999</v>
      </c>
      <c r="F662">
        <v>4041</v>
      </c>
    </row>
    <row r="663" spans="1:6" x14ac:dyDescent="0.25">
      <c r="A663" s="4">
        <v>35418</v>
      </c>
      <c r="B663">
        <v>4.1954000000000002</v>
      </c>
      <c r="C663">
        <v>4.2321999999999997</v>
      </c>
      <c r="D663">
        <v>4.1585999999999999</v>
      </c>
      <c r="E663">
        <v>4.2321999999999997</v>
      </c>
      <c r="F663">
        <v>4982</v>
      </c>
    </row>
    <row r="664" spans="1:6" x14ac:dyDescent="0.25">
      <c r="A664" s="4">
        <v>35419</v>
      </c>
      <c r="B664">
        <v>4.2321999999999997</v>
      </c>
      <c r="C664">
        <v>4.2321999999999997</v>
      </c>
      <c r="D664">
        <v>4.1585999999999999</v>
      </c>
      <c r="E664">
        <v>4.1585999999999999</v>
      </c>
      <c r="F664">
        <v>4568</v>
      </c>
    </row>
    <row r="665" spans="1:6" x14ac:dyDescent="0.25">
      <c r="A665" s="4">
        <v>35420</v>
      </c>
      <c r="B665">
        <v>4.1585999999999999</v>
      </c>
      <c r="C665">
        <v>4.1954000000000002</v>
      </c>
      <c r="D665">
        <v>4.1585999999999999</v>
      </c>
      <c r="E665">
        <v>4.1585999999999999</v>
      </c>
      <c r="F665">
        <v>1874</v>
      </c>
    </row>
    <row r="666" spans="1:6" x14ac:dyDescent="0.25">
      <c r="A666" s="4">
        <v>35422</v>
      </c>
      <c r="B666">
        <v>4.1585999999999999</v>
      </c>
      <c r="C666">
        <v>4.1954000000000002</v>
      </c>
      <c r="D666">
        <v>4.1585999999999999</v>
      </c>
      <c r="E666">
        <v>4.1585999999999999</v>
      </c>
      <c r="F666">
        <v>3624</v>
      </c>
    </row>
    <row r="667" spans="1:6" x14ac:dyDescent="0.25">
      <c r="A667" s="4">
        <v>35423</v>
      </c>
      <c r="B667">
        <v>4.1585999999999999</v>
      </c>
      <c r="C667">
        <v>4.1954000000000002</v>
      </c>
      <c r="D667">
        <v>4.1585999999999999</v>
      </c>
      <c r="E667">
        <v>4.1585999999999999</v>
      </c>
      <c r="F667">
        <v>3122</v>
      </c>
    </row>
    <row r="668" spans="1:6" x14ac:dyDescent="0.25">
      <c r="A668" s="4">
        <v>35425</v>
      </c>
      <c r="B668">
        <v>4.1954000000000002</v>
      </c>
      <c r="C668">
        <v>4.1954000000000002</v>
      </c>
      <c r="D668">
        <v>4.1585999999999999</v>
      </c>
      <c r="E668">
        <v>4.1585999999999999</v>
      </c>
      <c r="F668">
        <v>2380</v>
      </c>
    </row>
    <row r="669" spans="1:6" x14ac:dyDescent="0.25">
      <c r="A669" s="4">
        <v>35426</v>
      </c>
      <c r="B669">
        <v>4.1954000000000002</v>
      </c>
      <c r="C669">
        <v>4.1954000000000002</v>
      </c>
      <c r="D669">
        <v>4.1585999999999999</v>
      </c>
      <c r="E669">
        <v>4.1585999999999999</v>
      </c>
      <c r="F669">
        <v>2403</v>
      </c>
    </row>
    <row r="670" spans="1:6" x14ac:dyDescent="0.25">
      <c r="A670" s="4">
        <v>35427</v>
      </c>
      <c r="B670">
        <v>4.1954000000000002</v>
      </c>
      <c r="C670">
        <v>4.2321999999999997</v>
      </c>
      <c r="D670">
        <v>4.1585999999999999</v>
      </c>
      <c r="E670">
        <v>4.1954000000000002</v>
      </c>
      <c r="F670">
        <v>4845</v>
      </c>
    </row>
    <row r="671" spans="1:6" x14ac:dyDescent="0.25">
      <c r="A671" s="4">
        <v>35429</v>
      </c>
      <c r="B671">
        <v>4.1954000000000002</v>
      </c>
      <c r="C671">
        <v>4.2321999999999997</v>
      </c>
      <c r="D671">
        <v>4.1585999999999999</v>
      </c>
      <c r="E671">
        <v>4.1585999999999999</v>
      </c>
      <c r="F671">
        <v>4064</v>
      </c>
    </row>
    <row r="672" spans="1:6" x14ac:dyDescent="0.25">
      <c r="A672" s="4">
        <v>35430</v>
      </c>
      <c r="B672">
        <v>4.1954000000000002</v>
      </c>
      <c r="C672">
        <v>4.1954000000000002</v>
      </c>
      <c r="D672">
        <v>4.1585999999999999</v>
      </c>
      <c r="E672">
        <v>4.1585999999999999</v>
      </c>
      <c r="F672">
        <v>2563</v>
      </c>
    </row>
    <row r="673" spans="1:6" x14ac:dyDescent="0.25">
      <c r="A673" s="4">
        <v>35434</v>
      </c>
      <c r="B673">
        <v>4.1218000000000004</v>
      </c>
      <c r="C673">
        <v>4.1218000000000004</v>
      </c>
      <c r="D673">
        <v>4.085</v>
      </c>
      <c r="E673">
        <v>4.085</v>
      </c>
      <c r="F673">
        <v>5080</v>
      </c>
    </row>
    <row r="674" spans="1:6" x14ac:dyDescent="0.25">
      <c r="A674" s="4">
        <v>35436</v>
      </c>
      <c r="B674">
        <v>4.085</v>
      </c>
      <c r="C674">
        <v>4.1218000000000004</v>
      </c>
      <c r="D674">
        <v>4.085</v>
      </c>
      <c r="E674">
        <v>4.085</v>
      </c>
      <c r="F674">
        <v>3928</v>
      </c>
    </row>
    <row r="675" spans="1:6" x14ac:dyDescent="0.25">
      <c r="A675" s="4">
        <v>35437</v>
      </c>
      <c r="B675">
        <v>4.1218000000000004</v>
      </c>
      <c r="C675">
        <v>4.1585999999999999</v>
      </c>
      <c r="D675">
        <v>4.085</v>
      </c>
      <c r="E675">
        <v>4.1585999999999999</v>
      </c>
      <c r="F675">
        <v>4364</v>
      </c>
    </row>
    <row r="676" spans="1:6" x14ac:dyDescent="0.25">
      <c r="A676" s="4">
        <v>35438</v>
      </c>
      <c r="B676">
        <v>4.1585999999999999</v>
      </c>
      <c r="C676">
        <v>4.1954000000000002</v>
      </c>
      <c r="D676">
        <v>4.1218000000000004</v>
      </c>
      <c r="E676">
        <v>4.1585999999999999</v>
      </c>
      <c r="F676">
        <v>6311</v>
      </c>
    </row>
    <row r="677" spans="1:6" x14ac:dyDescent="0.25">
      <c r="A677" s="4">
        <v>35439</v>
      </c>
      <c r="B677">
        <v>4.1954000000000002</v>
      </c>
      <c r="C677">
        <v>4.1954000000000002</v>
      </c>
      <c r="D677">
        <v>4.1585999999999999</v>
      </c>
      <c r="E677">
        <v>4.1585999999999999</v>
      </c>
      <c r="F677">
        <v>5227</v>
      </c>
    </row>
    <row r="678" spans="1:6" x14ac:dyDescent="0.25">
      <c r="A678" s="4">
        <v>35440</v>
      </c>
      <c r="B678">
        <v>4.1585999999999999</v>
      </c>
      <c r="C678">
        <v>4.1954000000000002</v>
      </c>
      <c r="D678">
        <v>4.1585999999999999</v>
      </c>
      <c r="E678">
        <v>4.1585999999999999</v>
      </c>
      <c r="F678">
        <v>7636</v>
      </c>
    </row>
    <row r="679" spans="1:6" x14ac:dyDescent="0.25">
      <c r="A679" s="4">
        <v>35441</v>
      </c>
      <c r="B679">
        <v>4.1954000000000002</v>
      </c>
      <c r="C679">
        <v>4.1954000000000002</v>
      </c>
      <c r="D679">
        <v>4.1585999999999999</v>
      </c>
      <c r="E679">
        <v>4.1585999999999999</v>
      </c>
      <c r="F679">
        <v>5626</v>
      </c>
    </row>
    <row r="680" spans="1:6" x14ac:dyDescent="0.25">
      <c r="A680" s="4">
        <v>35443</v>
      </c>
      <c r="B680">
        <v>4.1954000000000002</v>
      </c>
      <c r="C680">
        <v>4.3426</v>
      </c>
      <c r="D680">
        <v>4.1585999999999999</v>
      </c>
      <c r="E680">
        <v>4.2690000000000001</v>
      </c>
      <c r="F680">
        <v>23242</v>
      </c>
    </row>
    <row r="681" spans="1:6" x14ac:dyDescent="0.25">
      <c r="A681" s="4">
        <v>35444</v>
      </c>
      <c r="B681">
        <v>4.3057999999999996</v>
      </c>
      <c r="C681">
        <v>4.3426</v>
      </c>
      <c r="D681">
        <v>4.1954000000000002</v>
      </c>
      <c r="E681">
        <v>4.1954000000000002</v>
      </c>
      <c r="F681">
        <v>9952</v>
      </c>
    </row>
    <row r="682" spans="1:6" x14ac:dyDescent="0.25">
      <c r="A682" s="4">
        <v>35445</v>
      </c>
      <c r="B682">
        <v>4.1954000000000002</v>
      </c>
      <c r="C682">
        <v>4.2321999999999997</v>
      </c>
      <c r="D682">
        <v>4.1954000000000002</v>
      </c>
      <c r="E682">
        <v>4.1954000000000002</v>
      </c>
      <c r="F682">
        <v>3674</v>
      </c>
    </row>
    <row r="683" spans="1:6" x14ac:dyDescent="0.25">
      <c r="A683" s="4">
        <v>35446</v>
      </c>
      <c r="B683">
        <v>4.2321999999999997</v>
      </c>
      <c r="C683">
        <v>4.2321999999999997</v>
      </c>
      <c r="D683">
        <v>4.1954000000000002</v>
      </c>
      <c r="E683">
        <v>4.2321999999999997</v>
      </c>
      <c r="F683">
        <v>4501</v>
      </c>
    </row>
    <row r="684" spans="1:6" x14ac:dyDescent="0.25">
      <c r="A684" s="4">
        <v>35447</v>
      </c>
      <c r="B684">
        <v>4.2321999999999997</v>
      </c>
      <c r="C684">
        <v>4.2321999999999997</v>
      </c>
      <c r="D684">
        <v>4.1954000000000002</v>
      </c>
      <c r="E684">
        <v>4.1954000000000002</v>
      </c>
      <c r="F684">
        <v>4345</v>
      </c>
    </row>
    <row r="685" spans="1:6" x14ac:dyDescent="0.25">
      <c r="A685" s="4">
        <v>35448</v>
      </c>
      <c r="B685">
        <v>4.1954000000000002</v>
      </c>
      <c r="C685">
        <v>4.1954000000000002</v>
      </c>
      <c r="D685">
        <v>4.1585999999999999</v>
      </c>
      <c r="E685">
        <v>4.1585999999999999</v>
      </c>
      <c r="F685">
        <v>3629</v>
      </c>
    </row>
    <row r="686" spans="1:6" x14ac:dyDescent="0.25">
      <c r="A686" s="4">
        <v>35450</v>
      </c>
      <c r="B686">
        <v>4.1585999999999999</v>
      </c>
      <c r="C686">
        <v>4.1954000000000002</v>
      </c>
      <c r="D686">
        <v>4.1218000000000004</v>
      </c>
      <c r="E686">
        <v>4.1585999999999999</v>
      </c>
      <c r="F686">
        <v>10823</v>
      </c>
    </row>
    <row r="687" spans="1:6" x14ac:dyDescent="0.25">
      <c r="A687" s="4">
        <v>35451</v>
      </c>
      <c r="B687">
        <v>4.1585999999999999</v>
      </c>
      <c r="C687">
        <v>4.2321999999999997</v>
      </c>
      <c r="D687">
        <v>4.1585999999999999</v>
      </c>
      <c r="E687">
        <v>4.1585999999999999</v>
      </c>
      <c r="F687">
        <v>10099</v>
      </c>
    </row>
    <row r="688" spans="1:6" x14ac:dyDescent="0.25">
      <c r="A688" s="4">
        <v>35452</v>
      </c>
      <c r="B688">
        <v>4.1585999999999999</v>
      </c>
      <c r="C688">
        <v>4.1954000000000002</v>
      </c>
      <c r="D688">
        <v>4.1585999999999999</v>
      </c>
      <c r="E688">
        <v>4.1585999999999999</v>
      </c>
      <c r="F688">
        <v>6771</v>
      </c>
    </row>
    <row r="689" spans="1:6" x14ac:dyDescent="0.25">
      <c r="A689" s="4">
        <v>35453</v>
      </c>
      <c r="B689">
        <v>4.1954000000000002</v>
      </c>
      <c r="C689">
        <v>4.2321999999999997</v>
      </c>
      <c r="D689">
        <v>4.1585999999999999</v>
      </c>
      <c r="E689">
        <v>4.1585999999999999</v>
      </c>
      <c r="F689">
        <v>9634</v>
      </c>
    </row>
    <row r="690" spans="1:6" x14ac:dyDescent="0.25">
      <c r="A690" s="4">
        <v>35454</v>
      </c>
      <c r="B690">
        <v>4.1954000000000002</v>
      </c>
      <c r="C690">
        <v>4.2321999999999997</v>
      </c>
      <c r="D690">
        <v>4.1585999999999999</v>
      </c>
      <c r="E690">
        <v>4.1954000000000002</v>
      </c>
      <c r="F690">
        <v>7149</v>
      </c>
    </row>
    <row r="691" spans="1:6" x14ac:dyDescent="0.25">
      <c r="A691" s="4">
        <v>35455</v>
      </c>
      <c r="B691">
        <v>4.2321999999999997</v>
      </c>
      <c r="C691">
        <v>4.2321999999999997</v>
      </c>
      <c r="D691">
        <v>4.1585999999999999</v>
      </c>
      <c r="E691">
        <v>4.1585999999999999</v>
      </c>
      <c r="F691">
        <v>3431</v>
      </c>
    </row>
    <row r="692" spans="1:6" x14ac:dyDescent="0.25">
      <c r="A692" s="4">
        <v>35457</v>
      </c>
      <c r="B692">
        <v>4.1585999999999999</v>
      </c>
      <c r="C692">
        <v>4.1954000000000002</v>
      </c>
      <c r="D692">
        <v>4.1585999999999999</v>
      </c>
      <c r="E692">
        <v>4.1585999999999999</v>
      </c>
      <c r="F692">
        <v>3665</v>
      </c>
    </row>
    <row r="693" spans="1:6" x14ac:dyDescent="0.25">
      <c r="A693" s="4">
        <v>35458</v>
      </c>
      <c r="B693">
        <v>4.1585999999999999</v>
      </c>
      <c r="C693">
        <v>4.1954000000000002</v>
      </c>
      <c r="D693">
        <v>4.1218000000000004</v>
      </c>
      <c r="E693">
        <v>4.1218000000000004</v>
      </c>
      <c r="F693">
        <v>6130</v>
      </c>
    </row>
    <row r="694" spans="1:6" x14ac:dyDescent="0.25">
      <c r="A694" s="4">
        <v>35459</v>
      </c>
      <c r="B694">
        <v>4.1218000000000004</v>
      </c>
      <c r="C694">
        <v>4.1585999999999999</v>
      </c>
      <c r="D694">
        <v>4.1218000000000004</v>
      </c>
      <c r="E694">
        <v>4.1218000000000004</v>
      </c>
      <c r="F694">
        <v>5192</v>
      </c>
    </row>
    <row r="695" spans="1:6" x14ac:dyDescent="0.25">
      <c r="A695" s="4">
        <v>35460</v>
      </c>
      <c r="B695">
        <v>4.1585999999999999</v>
      </c>
      <c r="C695">
        <v>4.2321999999999997</v>
      </c>
      <c r="D695">
        <v>4.1585999999999999</v>
      </c>
      <c r="E695">
        <v>4.1585999999999999</v>
      </c>
      <c r="F695">
        <v>16839</v>
      </c>
    </row>
    <row r="696" spans="1:6" x14ac:dyDescent="0.25">
      <c r="A696" s="4">
        <v>35461</v>
      </c>
      <c r="B696">
        <v>4.1954000000000002</v>
      </c>
      <c r="C696">
        <v>4.2321999999999997</v>
      </c>
      <c r="D696">
        <v>4.1585999999999999</v>
      </c>
      <c r="E696">
        <v>4.1585999999999999</v>
      </c>
      <c r="F696">
        <v>11095</v>
      </c>
    </row>
    <row r="697" spans="1:6" x14ac:dyDescent="0.25">
      <c r="A697" s="4">
        <v>35462</v>
      </c>
      <c r="B697">
        <v>4.2321999999999997</v>
      </c>
      <c r="C697">
        <v>4.3057999999999996</v>
      </c>
      <c r="D697">
        <v>4.1954000000000002</v>
      </c>
      <c r="E697">
        <v>4.2321999999999997</v>
      </c>
      <c r="F697">
        <v>22292</v>
      </c>
    </row>
    <row r="698" spans="1:6" x14ac:dyDescent="0.25">
      <c r="A698" s="4">
        <v>35464</v>
      </c>
      <c r="B698">
        <v>4.2690000000000001</v>
      </c>
      <c r="C698">
        <v>4.3057999999999996</v>
      </c>
      <c r="D698">
        <v>4.2321999999999997</v>
      </c>
      <c r="E698">
        <v>4.2321999999999997</v>
      </c>
      <c r="F698">
        <v>8366</v>
      </c>
    </row>
    <row r="699" spans="1:6" x14ac:dyDescent="0.25">
      <c r="A699" s="4">
        <v>35472</v>
      </c>
      <c r="B699">
        <v>4.2690000000000001</v>
      </c>
      <c r="C699">
        <v>4.3057999999999996</v>
      </c>
      <c r="D699">
        <v>4.2321999999999997</v>
      </c>
      <c r="E699">
        <v>4.2690000000000001</v>
      </c>
      <c r="F699">
        <v>9006</v>
      </c>
    </row>
    <row r="700" spans="1:6" x14ac:dyDescent="0.25">
      <c r="A700" s="4">
        <v>35473</v>
      </c>
      <c r="B700">
        <v>4.3426</v>
      </c>
      <c r="C700">
        <v>4.5633999999999997</v>
      </c>
      <c r="D700">
        <v>4.3426</v>
      </c>
      <c r="E700">
        <v>4.5633999999999997</v>
      </c>
      <c r="F700">
        <v>43065</v>
      </c>
    </row>
    <row r="701" spans="1:6" x14ac:dyDescent="0.25">
      <c r="A701" s="4">
        <v>35474</v>
      </c>
      <c r="B701">
        <v>4.6369999999999996</v>
      </c>
      <c r="C701">
        <v>4.7106000000000003</v>
      </c>
      <c r="D701">
        <v>4.5633999999999997</v>
      </c>
      <c r="E701">
        <v>4.6738</v>
      </c>
      <c r="F701">
        <v>48613</v>
      </c>
    </row>
    <row r="702" spans="1:6" x14ac:dyDescent="0.25">
      <c r="A702" s="4">
        <v>35475</v>
      </c>
      <c r="B702">
        <v>4.6369999999999996</v>
      </c>
      <c r="C702">
        <v>4.6369999999999996</v>
      </c>
      <c r="D702">
        <v>4.4530000000000003</v>
      </c>
      <c r="E702">
        <v>4.4897999999999998</v>
      </c>
      <c r="F702">
        <v>35055</v>
      </c>
    </row>
    <row r="703" spans="1:6" x14ac:dyDescent="0.25">
      <c r="A703" s="4">
        <v>35476</v>
      </c>
      <c r="B703">
        <v>4.4897999999999998</v>
      </c>
      <c r="C703">
        <v>4.5266000000000002</v>
      </c>
      <c r="D703">
        <v>4.4897999999999998</v>
      </c>
      <c r="E703">
        <v>4.4897999999999998</v>
      </c>
      <c r="F703">
        <v>15307</v>
      </c>
    </row>
    <row r="704" spans="1:6" x14ac:dyDescent="0.25">
      <c r="A704" s="4">
        <v>35478</v>
      </c>
      <c r="B704">
        <v>4.4897999999999998</v>
      </c>
      <c r="C704">
        <v>4.5266000000000002</v>
      </c>
      <c r="D704">
        <v>4.4897999999999998</v>
      </c>
      <c r="E704">
        <v>4.4897999999999998</v>
      </c>
      <c r="F704">
        <v>14585</v>
      </c>
    </row>
    <row r="705" spans="1:6" x14ac:dyDescent="0.25">
      <c r="A705" s="4">
        <v>35479</v>
      </c>
      <c r="B705">
        <v>4.4530000000000003</v>
      </c>
      <c r="C705">
        <v>4.4530000000000003</v>
      </c>
      <c r="D705">
        <v>4.3426</v>
      </c>
      <c r="E705">
        <v>4.4530000000000003</v>
      </c>
      <c r="F705">
        <v>20089</v>
      </c>
    </row>
    <row r="706" spans="1:6" x14ac:dyDescent="0.25">
      <c r="A706" s="4">
        <v>35480</v>
      </c>
      <c r="B706">
        <v>4.4897999999999998</v>
      </c>
      <c r="C706">
        <v>4.5266000000000002</v>
      </c>
      <c r="D706">
        <v>4.4530000000000003</v>
      </c>
      <c r="E706">
        <v>4.4530000000000003</v>
      </c>
      <c r="F706">
        <v>17867</v>
      </c>
    </row>
    <row r="707" spans="1:6" x14ac:dyDescent="0.25">
      <c r="A707" s="4">
        <v>35481</v>
      </c>
      <c r="B707">
        <v>4.3426</v>
      </c>
      <c r="C707">
        <v>4.4897999999999998</v>
      </c>
      <c r="D707">
        <v>4.3426</v>
      </c>
      <c r="E707">
        <v>4.4161999999999999</v>
      </c>
      <c r="F707">
        <v>23814</v>
      </c>
    </row>
    <row r="708" spans="1:6" x14ac:dyDescent="0.25">
      <c r="A708" s="4">
        <v>35482</v>
      </c>
      <c r="B708">
        <v>4.4530000000000003</v>
      </c>
      <c r="C708">
        <v>4.6369999999999996</v>
      </c>
      <c r="D708">
        <v>4.4530000000000003</v>
      </c>
      <c r="E708">
        <v>4.6369999999999996</v>
      </c>
      <c r="F708">
        <v>34229</v>
      </c>
    </row>
    <row r="709" spans="1:6" x14ac:dyDescent="0.25">
      <c r="A709" s="4">
        <v>35483</v>
      </c>
      <c r="B709">
        <v>4.7106000000000003</v>
      </c>
      <c r="C709">
        <v>4.7106000000000003</v>
      </c>
      <c r="D709">
        <v>4.4897999999999998</v>
      </c>
      <c r="E709">
        <v>4.4897999999999998</v>
      </c>
      <c r="F709">
        <v>27788</v>
      </c>
    </row>
    <row r="710" spans="1:6" x14ac:dyDescent="0.25">
      <c r="A710" s="4">
        <v>35485</v>
      </c>
      <c r="B710">
        <v>4.4897999999999998</v>
      </c>
      <c r="C710">
        <v>4.5633999999999997</v>
      </c>
      <c r="D710">
        <v>4.4897999999999998</v>
      </c>
      <c r="E710">
        <v>4.4897999999999998</v>
      </c>
      <c r="F710">
        <v>11182</v>
      </c>
    </row>
    <row r="711" spans="1:6" x14ac:dyDescent="0.25">
      <c r="A711" s="4">
        <v>35486</v>
      </c>
      <c r="B711">
        <v>4.5266000000000002</v>
      </c>
      <c r="C711">
        <v>4.5633999999999997</v>
      </c>
      <c r="D711">
        <v>4.4897999999999998</v>
      </c>
      <c r="E711">
        <v>4.5633999999999997</v>
      </c>
      <c r="F711">
        <v>12257</v>
      </c>
    </row>
    <row r="712" spans="1:6" x14ac:dyDescent="0.25">
      <c r="A712" s="4">
        <v>35487</v>
      </c>
      <c r="B712">
        <v>4.6002000000000001</v>
      </c>
      <c r="C712">
        <v>4.6369999999999996</v>
      </c>
      <c r="D712">
        <v>4.4161999999999999</v>
      </c>
      <c r="E712">
        <v>4.4530000000000003</v>
      </c>
      <c r="F712">
        <v>16395</v>
      </c>
    </row>
    <row r="713" spans="1:6" x14ac:dyDescent="0.25">
      <c r="A713" s="4">
        <v>35488</v>
      </c>
      <c r="B713">
        <v>4.4530000000000003</v>
      </c>
      <c r="C713">
        <v>4.5633999999999997</v>
      </c>
      <c r="D713">
        <v>4.4530000000000003</v>
      </c>
      <c r="E713">
        <v>4.5633999999999997</v>
      </c>
      <c r="F713">
        <v>9718</v>
      </c>
    </row>
    <row r="714" spans="1:6" x14ac:dyDescent="0.25">
      <c r="A714" s="4">
        <v>35489</v>
      </c>
      <c r="B714">
        <v>4.6002000000000001</v>
      </c>
      <c r="C714">
        <v>4.7106000000000003</v>
      </c>
      <c r="D714">
        <v>4.5633999999999997</v>
      </c>
      <c r="E714">
        <v>4.6002000000000001</v>
      </c>
      <c r="F714">
        <v>34885</v>
      </c>
    </row>
    <row r="715" spans="1:6" x14ac:dyDescent="0.25">
      <c r="A715" s="4">
        <v>35490</v>
      </c>
      <c r="B715">
        <v>4.6369999999999996</v>
      </c>
      <c r="C715">
        <v>4.6738</v>
      </c>
      <c r="D715">
        <v>4.5633999999999997</v>
      </c>
      <c r="E715">
        <v>4.5633999999999997</v>
      </c>
      <c r="F715">
        <v>9915</v>
      </c>
    </row>
    <row r="716" spans="1:6" x14ac:dyDescent="0.25">
      <c r="A716" s="4">
        <v>35492</v>
      </c>
      <c r="B716">
        <v>4.5633999999999997</v>
      </c>
      <c r="C716">
        <v>4.7106000000000003</v>
      </c>
      <c r="D716">
        <v>4.5633999999999997</v>
      </c>
      <c r="E716">
        <v>4.6738</v>
      </c>
      <c r="F716">
        <v>24100</v>
      </c>
    </row>
    <row r="717" spans="1:6" x14ac:dyDescent="0.25">
      <c r="A717" s="4">
        <v>35493</v>
      </c>
      <c r="B717">
        <v>4.7106000000000003</v>
      </c>
      <c r="C717">
        <v>4.9682000000000004</v>
      </c>
      <c r="D717">
        <v>4.7106000000000003</v>
      </c>
      <c r="E717">
        <v>4.9682000000000004</v>
      </c>
      <c r="F717">
        <v>68587</v>
      </c>
    </row>
    <row r="718" spans="1:6" x14ac:dyDescent="0.25">
      <c r="A718" s="4">
        <v>35494</v>
      </c>
      <c r="B718">
        <v>4.9682000000000004</v>
      </c>
      <c r="C718">
        <v>4.9682000000000004</v>
      </c>
      <c r="D718">
        <v>4.8578000000000001</v>
      </c>
      <c r="E718">
        <v>4.8578000000000001</v>
      </c>
      <c r="F718">
        <v>51393</v>
      </c>
    </row>
    <row r="719" spans="1:6" x14ac:dyDescent="0.25">
      <c r="A719" s="4">
        <v>35495</v>
      </c>
      <c r="B719">
        <v>4.8945999999999996</v>
      </c>
      <c r="C719">
        <v>4.9682000000000004</v>
      </c>
      <c r="D719">
        <v>4.8209999999999997</v>
      </c>
      <c r="E719">
        <v>4.8209999999999997</v>
      </c>
      <c r="F719">
        <v>36541</v>
      </c>
    </row>
    <row r="720" spans="1:6" x14ac:dyDescent="0.25">
      <c r="A720" s="4">
        <v>35496</v>
      </c>
      <c r="B720">
        <v>4.8209999999999997</v>
      </c>
      <c r="C720">
        <v>4.8209999999999997</v>
      </c>
      <c r="D720">
        <v>4.7473999999999998</v>
      </c>
      <c r="E720">
        <v>4.7842000000000002</v>
      </c>
      <c r="F720">
        <v>31668</v>
      </c>
    </row>
    <row r="721" spans="1:6" x14ac:dyDescent="0.25">
      <c r="A721" s="4">
        <v>35497</v>
      </c>
      <c r="B721">
        <v>4.8209999999999997</v>
      </c>
      <c r="C721">
        <v>4.8578000000000001</v>
      </c>
      <c r="D721">
        <v>4.7473999999999998</v>
      </c>
      <c r="E721">
        <v>4.7473999999999998</v>
      </c>
      <c r="F721">
        <v>22331</v>
      </c>
    </row>
    <row r="722" spans="1:6" x14ac:dyDescent="0.25">
      <c r="A722" s="4">
        <v>35499</v>
      </c>
      <c r="B722">
        <v>4.7473999999999998</v>
      </c>
      <c r="C722">
        <v>4.7473999999999998</v>
      </c>
      <c r="D722">
        <v>4.6738</v>
      </c>
      <c r="E722">
        <v>4.7106000000000003</v>
      </c>
      <c r="F722">
        <v>18171</v>
      </c>
    </row>
    <row r="723" spans="1:6" x14ac:dyDescent="0.25">
      <c r="A723" s="4">
        <v>35500</v>
      </c>
      <c r="B723">
        <v>4.7473999999999998</v>
      </c>
      <c r="C723">
        <v>4.7842000000000002</v>
      </c>
      <c r="D723">
        <v>4.7106000000000003</v>
      </c>
      <c r="E723">
        <v>4.7106000000000003</v>
      </c>
      <c r="F723">
        <v>10371</v>
      </c>
    </row>
    <row r="724" spans="1:6" x14ac:dyDescent="0.25">
      <c r="A724" s="4">
        <v>35501</v>
      </c>
      <c r="B724">
        <v>4.7473999999999998</v>
      </c>
      <c r="C724">
        <v>4.8209999999999997</v>
      </c>
      <c r="D724">
        <v>4.7106000000000003</v>
      </c>
      <c r="E724">
        <v>4.7473999999999998</v>
      </c>
      <c r="F724">
        <v>20562</v>
      </c>
    </row>
    <row r="725" spans="1:6" x14ac:dyDescent="0.25">
      <c r="A725" s="4">
        <v>35502</v>
      </c>
      <c r="B725">
        <v>4.7842000000000002</v>
      </c>
      <c r="C725">
        <v>4.8209999999999997</v>
      </c>
      <c r="D725">
        <v>4.7106000000000003</v>
      </c>
      <c r="E725">
        <v>4.7473999999999998</v>
      </c>
      <c r="F725">
        <v>13895</v>
      </c>
    </row>
    <row r="726" spans="1:6" x14ac:dyDescent="0.25">
      <c r="A726" s="4">
        <v>35503</v>
      </c>
      <c r="B726">
        <v>4.7473999999999998</v>
      </c>
      <c r="C726">
        <v>4.7842000000000002</v>
      </c>
      <c r="D726">
        <v>4.7106000000000003</v>
      </c>
      <c r="E726">
        <v>4.7106000000000003</v>
      </c>
      <c r="F726">
        <v>14503</v>
      </c>
    </row>
    <row r="727" spans="1:6" x14ac:dyDescent="0.25">
      <c r="A727" s="4">
        <v>35504</v>
      </c>
      <c r="B727">
        <v>4.7106000000000003</v>
      </c>
      <c r="C727">
        <v>4.8209999999999997</v>
      </c>
      <c r="D727">
        <v>4.7106000000000003</v>
      </c>
      <c r="E727">
        <v>4.7473999999999998</v>
      </c>
      <c r="F727">
        <v>21219</v>
      </c>
    </row>
    <row r="728" spans="1:6" x14ac:dyDescent="0.25">
      <c r="A728" s="4">
        <v>35506</v>
      </c>
      <c r="B728">
        <v>4.7473999999999998</v>
      </c>
      <c r="C728">
        <v>4.9314</v>
      </c>
      <c r="D728">
        <v>4.7473999999999998</v>
      </c>
      <c r="E728">
        <v>4.8945999999999996</v>
      </c>
      <c r="F728">
        <v>37949</v>
      </c>
    </row>
    <row r="729" spans="1:6" x14ac:dyDescent="0.25">
      <c r="A729" s="4">
        <v>35507</v>
      </c>
      <c r="B729">
        <v>4.9682000000000004</v>
      </c>
      <c r="C729">
        <v>5.0050999999999997</v>
      </c>
      <c r="D729">
        <v>4.9314</v>
      </c>
      <c r="E729">
        <v>4.9314</v>
      </c>
      <c r="F729">
        <v>30388</v>
      </c>
    </row>
    <row r="730" spans="1:6" x14ac:dyDescent="0.25">
      <c r="A730" s="4">
        <v>35508</v>
      </c>
      <c r="B730">
        <v>4.9682000000000004</v>
      </c>
      <c r="C730">
        <v>4.9682000000000004</v>
      </c>
      <c r="D730">
        <v>4.7842000000000002</v>
      </c>
      <c r="E730">
        <v>4.7842000000000002</v>
      </c>
      <c r="F730">
        <v>24777</v>
      </c>
    </row>
    <row r="731" spans="1:6" x14ac:dyDescent="0.25">
      <c r="A731" s="4">
        <v>35509</v>
      </c>
      <c r="B731">
        <v>4.8209999999999997</v>
      </c>
      <c r="C731">
        <v>4.8578000000000001</v>
      </c>
      <c r="D731">
        <v>4.7842000000000002</v>
      </c>
      <c r="E731">
        <v>4.8209999999999997</v>
      </c>
      <c r="F731">
        <v>11294</v>
      </c>
    </row>
    <row r="732" spans="1:6" x14ac:dyDescent="0.25">
      <c r="A732" s="4">
        <v>35510</v>
      </c>
      <c r="B732">
        <v>4.8209999999999997</v>
      </c>
      <c r="C732">
        <v>4.8209999999999997</v>
      </c>
      <c r="D732">
        <v>4.7106000000000003</v>
      </c>
      <c r="E732">
        <v>4.7106000000000003</v>
      </c>
      <c r="F732">
        <v>17618</v>
      </c>
    </row>
    <row r="733" spans="1:6" x14ac:dyDescent="0.25">
      <c r="A733" s="4">
        <v>35511</v>
      </c>
      <c r="B733">
        <v>4.6738</v>
      </c>
      <c r="C733">
        <v>4.7106000000000003</v>
      </c>
      <c r="D733">
        <v>4.6002000000000001</v>
      </c>
      <c r="E733">
        <v>4.6369999999999996</v>
      </c>
      <c r="F733">
        <v>11159</v>
      </c>
    </row>
    <row r="734" spans="1:6" x14ac:dyDescent="0.25">
      <c r="A734" s="4">
        <v>35513</v>
      </c>
      <c r="B734">
        <v>4.6369999999999996</v>
      </c>
      <c r="C734">
        <v>4.7473999999999998</v>
      </c>
      <c r="D734">
        <v>4.6369999999999996</v>
      </c>
      <c r="E734">
        <v>4.6369999999999996</v>
      </c>
      <c r="F734">
        <v>13899</v>
      </c>
    </row>
    <row r="735" spans="1:6" x14ac:dyDescent="0.25">
      <c r="A735" s="4">
        <v>35514</v>
      </c>
      <c r="B735">
        <v>4.7106000000000003</v>
      </c>
      <c r="C735">
        <v>4.7842000000000002</v>
      </c>
      <c r="D735">
        <v>4.6738</v>
      </c>
      <c r="E735">
        <v>4.6738</v>
      </c>
      <c r="F735">
        <v>24494</v>
      </c>
    </row>
    <row r="736" spans="1:6" x14ac:dyDescent="0.25">
      <c r="A736" s="4">
        <v>35515</v>
      </c>
      <c r="B736">
        <v>4.7842000000000002</v>
      </c>
      <c r="C736">
        <v>4.8209999999999997</v>
      </c>
      <c r="D736">
        <v>4.7106000000000003</v>
      </c>
      <c r="E736">
        <v>4.8209999999999997</v>
      </c>
      <c r="F736">
        <v>16811</v>
      </c>
    </row>
    <row r="737" spans="1:6" x14ac:dyDescent="0.25">
      <c r="A737" s="4">
        <v>35516</v>
      </c>
      <c r="B737">
        <v>4.8578000000000001</v>
      </c>
      <c r="C737">
        <v>4.8945999999999996</v>
      </c>
      <c r="D737">
        <v>4.8209999999999997</v>
      </c>
      <c r="E737">
        <v>4.8578000000000001</v>
      </c>
      <c r="F737">
        <v>21851</v>
      </c>
    </row>
    <row r="738" spans="1:6" x14ac:dyDescent="0.25">
      <c r="A738" s="4">
        <v>35517</v>
      </c>
      <c r="B738">
        <v>4.9314</v>
      </c>
      <c r="C738">
        <v>5.0787000000000004</v>
      </c>
      <c r="D738">
        <v>4.8945999999999996</v>
      </c>
      <c r="E738">
        <v>5.0787000000000004</v>
      </c>
      <c r="F738">
        <v>54757</v>
      </c>
    </row>
    <row r="739" spans="1:6" x14ac:dyDescent="0.25">
      <c r="A739" s="4">
        <v>35520</v>
      </c>
      <c r="B739">
        <v>5.1523000000000003</v>
      </c>
      <c r="C739">
        <v>5.2626999999999997</v>
      </c>
      <c r="D739">
        <v>5.1154999999999999</v>
      </c>
      <c r="E739">
        <v>5.1890999999999998</v>
      </c>
      <c r="F739">
        <v>54120</v>
      </c>
    </row>
    <row r="740" spans="1:6" x14ac:dyDescent="0.25">
      <c r="A740" s="4">
        <v>35521</v>
      </c>
      <c r="B740">
        <v>5.2259000000000002</v>
      </c>
      <c r="C740">
        <v>5.2995000000000001</v>
      </c>
      <c r="D740">
        <v>5.1890999999999998</v>
      </c>
      <c r="E740">
        <v>5.2995000000000001</v>
      </c>
      <c r="F740">
        <v>35882</v>
      </c>
    </row>
    <row r="741" spans="1:6" x14ac:dyDescent="0.25">
      <c r="A741" s="4">
        <v>35522</v>
      </c>
      <c r="B741">
        <v>5.2995000000000001</v>
      </c>
      <c r="C741">
        <v>5.3362999999999996</v>
      </c>
      <c r="D741">
        <v>5.1523000000000003</v>
      </c>
      <c r="E741">
        <v>5.1523000000000003</v>
      </c>
      <c r="F741">
        <v>30870</v>
      </c>
    </row>
    <row r="742" spans="1:6" x14ac:dyDescent="0.25">
      <c r="A742" s="4">
        <v>35523</v>
      </c>
      <c r="B742">
        <v>5.1523000000000003</v>
      </c>
      <c r="C742">
        <v>5.4835000000000003</v>
      </c>
      <c r="D742">
        <v>5.1523000000000003</v>
      </c>
      <c r="E742">
        <v>5.3731</v>
      </c>
      <c r="F742">
        <v>36453</v>
      </c>
    </row>
    <row r="743" spans="1:6" x14ac:dyDescent="0.25">
      <c r="A743" s="4">
        <v>35527</v>
      </c>
      <c r="B743">
        <v>5.4835000000000003</v>
      </c>
      <c r="C743">
        <v>5.7411000000000003</v>
      </c>
      <c r="D743">
        <v>5.4099000000000004</v>
      </c>
      <c r="E743">
        <v>5.7411000000000003</v>
      </c>
      <c r="F743">
        <v>48447</v>
      </c>
    </row>
    <row r="744" spans="1:6" x14ac:dyDescent="0.25">
      <c r="A744" s="4">
        <v>35528</v>
      </c>
      <c r="B744">
        <v>5.8883000000000001</v>
      </c>
      <c r="C744">
        <v>5.9619</v>
      </c>
      <c r="D744">
        <v>5.5938999999999997</v>
      </c>
      <c r="E744">
        <v>5.8147000000000002</v>
      </c>
      <c r="F744">
        <v>45966</v>
      </c>
    </row>
    <row r="745" spans="1:6" x14ac:dyDescent="0.25">
      <c r="A745" s="4">
        <v>35529</v>
      </c>
      <c r="B745">
        <v>5.7778999999999998</v>
      </c>
      <c r="C745">
        <v>5.8883000000000001</v>
      </c>
      <c r="D745">
        <v>5.6675000000000004</v>
      </c>
      <c r="E745">
        <v>5.8514999999999997</v>
      </c>
      <c r="F745">
        <v>30566</v>
      </c>
    </row>
    <row r="746" spans="1:6" x14ac:dyDescent="0.25">
      <c r="A746" s="4">
        <v>35530</v>
      </c>
      <c r="B746">
        <v>5.8514999999999997</v>
      </c>
      <c r="C746">
        <v>5.8883000000000001</v>
      </c>
      <c r="D746">
        <v>5.7411000000000003</v>
      </c>
      <c r="E746">
        <v>5.8514999999999997</v>
      </c>
      <c r="F746">
        <v>26648</v>
      </c>
    </row>
    <row r="747" spans="1:6" x14ac:dyDescent="0.25">
      <c r="A747" s="4">
        <v>35531</v>
      </c>
      <c r="B747">
        <v>6.0354999999999999</v>
      </c>
      <c r="C747">
        <v>6.2563000000000004</v>
      </c>
      <c r="D747">
        <v>6.0354999999999999</v>
      </c>
      <c r="E747">
        <v>6.2563000000000004</v>
      </c>
      <c r="F747">
        <v>67579</v>
      </c>
    </row>
    <row r="748" spans="1:6" x14ac:dyDescent="0.25">
      <c r="A748" s="4">
        <v>35532</v>
      </c>
      <c r="B748">
        <v>6.2930999999999999</v>
      </c>
      <c r="C748">
        <v>6.4035000000000002</v>
      </c>
      <c r="D748">
        <v>6.0354999999999999</v>
      </c>
      <c r="E748">
        <v>6.2930999999999999</v>
      </c>
      <c r="F748">
        <v>96984</v>
      </c>
    </row>
    <row r="749" spans="1:6" x14ac:dyDescent="0.25">
      <c r="A749" s="4">
        <v>35534</v>
      </c>
      <c r="B749">
        <v>6.2563000000000004</v>
      </c>
      <c r="C749">
        <v>6.2930999999999999</v>
      </c>
      <c r="D749">
        <v>5.9619</v>
      </c>
      <c r="E749">
        <v>6.1459000000000001</v>
      </c>
      <c r="F749">
        <v>58593</v>
      </c>
    </row>
    <row r="750" spans="1:6" x14ac:dyDescent="0.25">
      <c r="A750" s="4">
        <v>35535</v>
      </c>
      <c r="B750">
        <v>6.2563000000000004</v>
      </c>
      <c r="C750">
        <v>6.5507</v>
      </c>
      <c r="D750">
        <v>6.2563000000000004</v>
      </c>
      <c r="E750">
        <v>6.5507</v>
      </c>
      <c r="F750">
        <v>71542</v>
      </c>
    </row>
    <row r="751" spans="1:6" x14ac:dyDescent="0.25">
      <c r="A751" s="4">
        <v>35536</v>
      </c>
      <c r="B751">
        <v>6.7714999999999996</v>
      </c>
      <c r="C751">
        <v>6.9554999999999998</v>
      </c>
      <c r="D751">
        <v>6.6978999999999997</v>
      </c>
      <c r="E751">
        <v>6.8083</v>
      </c>
      <c r="F751">
        <v>76035</v>
      </c>
    </row>
    <row r="752" spans="1:6" x14ac:dyDescent="0.25">
      <c r="A752" s="4">
        <v>35537</v>
      </c>
      <c r="B752">
        <v>6.6978999999999997</v>
      </c>
      <c r="C752">
        <v>6.7347000000000001</v>
      </c>
      <c r="D752">
        <v>6.5507</v>
      </c>
      <c r="E752">
        <v>6.6611000000000002</v>
      </c>
      <c r="F752">
        <v>57912</v>
      </c>
    </row>
    <row r="753" spans="1:6" x14ac:dyDescent="0.25">
      <c r="A753" s="4">
        <v>35538</v>
      </c>
      <c r="B753">
        <v>6.6242999999999999</v>
      </c>
      <c r="C753">
        <v>6.6611000000000002</v>
      </c>
      <c r="D753">
        <v>6.2195</v>
      </c>
      <c r="E753">
        <v>6.2195</v>
      </c>
      <c r="F753">
        <v>54500</v>
      </c>
    </row>
    <row r="754" spans="1:6" x14ac:dyDescent="0.25">
      <c r="A754" s="4">
        <v>35539</v>
      </c>
      <c r="B754">
        <v>6.1826999999999996</v>
      </c>
      <c r="C754">
        <v>6.2195</v>
      </c>
      <c r="D754">
        <v>5.9987000000000004</v>
      </c>
      <c r="E754">
        <v>6.0723000000000003</v>
      </c>
      <c r="F754">
        <v>37508</v>
      </c>
    </row>
    <row r="755" spans="1:6" x14ac:dyDescent="0.25">
      <c r="A755" s="4">
        <v>35541</v>
      </c>
      <c r="B755">
        <v>6.0723000000000003</v>
      </c>
      <c r="C755">
        <v>6.2195</v>
      </c>
      <c r="D755">
        <v>6.0723000000000003</v>
      </c>
      <c r="E755">
        <v>6.1826999999999996</v>
      </c>
      <c r="F755">
        <v>22731</v>
      </c>
    </row>
    <row r="756" spans="1:6" x14ac:dyDescent="0.25">
      <c r="A756" s="4">
        <v>35542</v>
      </c>
      <c r="B756">
        <v>6.1826999999999996</v>
      </c>
      <c r="C756">
        <v>6.2563000000000004</v>
      </c>
      <c r="D756">
        <v>6.0723000000000003</v>
      </c>
      <c r="E756">
        <v>6.2563000000000004</v>
      </c>
      <c r="F756">
        <v>26985</v>
      </c>
    </row>
    <row r="757" spans="1:6" x14ac:dyDescent="0.25">
      <c r="A757" s="4">
        <v>35543</v>
      </c>
      <c r="B757">
        <v>6.4771000000000001</v>
      </c>
      <c r="C757">
        <v>6.6611000000000002</v>
      </c>
      <c r="D757">
        <v>6.4771000000000001</v>
      </c>
      <c r="E757">
        <v>6.6611000000000002</v>
      </c>
      <c r="F757">
        <v>58738</v>
      </c>
    </row>
    <row r="758" spans="1:6" x14ac:dyDescent="0.25">
      <c r="A758" s="4">
        <v>35544</v>
      </c>
      <c r="B758">
        <v>6.7347000000000001</v>
      </c>
      <c r="C758">
        <v>6.7714999999999996</v>
      </c>
      <c r="D758">
        <v>6.4402999999999997</v>
      </c>
      <c r="E758">
        <v>6.4771000000000001</v>
      </c>
      <c r="F758">
        <v>42388</v>
      </c>
    </row>
    <row r="759" spans="1:6" x14ac:dyDescent="0.25">
      <c r="A759" s="4">
        <v>35545</v>
      </c>
      <c r="B759">
        <v>6.5507</v>
      </c>
      <c r="C759">
        <v>6.6978999999999997</v>
      </c>
      <c r="D759">
        <v>6.5507</v>
      </c>
      <c r="E759">
        <v>6.5875000000000004</v>
      </c>
      <c r="F759">
        <v>30648</v>
      </c>
    </row>
    <row r="760" spans="1:6" x14ac:dyDescent="0.25">
      <c r="A760" s="4">
        <v>35546</v>
      </c>
      <c r="B760">
        <v>6.6978999999999997</v>
      </c>
      <c r="C760">
        <v>6.7714999999999996</v>
      </c>
      <c r="D760">
        <v>6.6242999999999999</v>
      </c>
      <c r="E760">
        <v>6.7714999999999996</v>
      </c>
      <c r="F760">
        <v>38382</v>
      </c>
    </row>
    <row r="761" spans="1:6" x14ac:dyDescent="0.25">
      <c r="A761" s="4">
        <v>35548</v>
      </c>
      <c r="B761">
        <v>6.8451000000000004</v>
      </c>
      <c r="C761">
        <v>6.8818999999999999</v>
      </c>
      <c r="D761">
        <v>6.6611000000000002</v>
      </c>
      <c r="E761">
        <v>6.6611000000000002</v>
      </c>
      <c r="F761">
        <v>33931</v>
      </c>
    </row>
    <row r="762" spans="1:6" x14ac:dyDescent="0.25">
      <c r="A762" s="4">
        <v>35549</v>
      </c>
      <c r="B762">
        <v>6.7347000000000001</v>
      </c>
      <c r="C762">
        <v>6.8818999999999999</v>
      </c>
      <c r="D762">
        <v>6.6978999999999997</v>
      </c>
      <c r="E762">
        <v>6.8818999999999999</v>
      </c>
      <c r="F762">
        <v>54055</v>
      </c>
    </row>
    <row r="763" spans="1:6" x14ac:dyDescent="0.25">
      <c r="A763" s="4">
        <v>35550</v>
      </c>
      <c r="B763">
        <v>7.0659999999999998</v>
      </c>
      <c r="C763">
        <v>7.2131999999999996</v>
      </c>
      <c r="D763">
        <v>6.8818999999999999</v>
      </c>
      <c r="E763">
        <v>6.9187000000000003</v>
      </c>
      <c r="F763">
        <v>78105</v>
      </c>
    </row>
    <row r="764" spans="1:6" x14ac:dyDescent="0.25">
      <c r="A764" s="4">
        <v>35552</v>
      </c>
      <c r="B764">
        <v>6.9554999999999998</v>
      </c>
      <c r="C764">
        <v>6.9923000000000002</v>
      </c>
      <c r="D764">
        <v>6.4771000000000001</v>
      </c>
      <c r="E764">
        <v>6.6611000000000002</v>
      </c>
      <c r="F764">
        <v>59716</v>
      </c>
    </row>
    <row r="765" spans="1:6" x14ac:dyDescent="0.25">
      <c r="A765" s="4">
        <v>35553</v>
      </c>
      <c r="B765">
        <v>6.7347000000000001</v>
      </c>
      <c r="C765">
        <v>7.1028000000000002</v>
      </c>
      <c r="D765">
        <v>6.6978999999999997</v>
      </c>
      <c r="E765">
        <v>7.1028000000000002</v>
      </c>
      <c r="F765">
        <v>58141</v>
      </c>
    </row>
    <row r="766" spans="1:6" x14ac:dyDescent="0.25">
      <c r="A766" s="4">
        <v>35555</v>
      </c>
      <c r="B766">
        <v>7.1395999999999997</v>
      </c>
      <c r="C766">
        <v>7.25</v>
      </c>
      <c r="D766">
        <v>6.9923000000000002</v>
      </c>
      <c r="E766">
        <v>7.0659999999999998</v>
      </c>
      <c r="F766">
        <v>70507</v>
      </c>
    </row>
    <row r="767" spans="1:6" x14ac:dyDescent="0.25">
      <c r="A767" s="4">
        <v>35556</v>
      </c>
      <c r="B767">
        <v>6.9554999999999998</v>
      </c>
      <c r="C767">
        <v>7.2131999999999996</v>
      </c>
      <c r="D767">
        <v>6.9554999999999998</v>
      </c>
      <c r="E767">
        <v>7.1764000000000001</v>
      </c>
      <c r="F767">
        <v>64610</v>
      </c>
    </row>
    <row r="768" spans="1:6" x14ac:dyDescent="0.25">
      <c r="A768" s="4">
        <v>35557</v>
      </c>
      <c r="B768">
        <v>7.2868000000000004</v>
      </c>
      <c r="C768">
        <v>7.6547999999999998</v>
      </c>
      <c r="D768">
        <v>7.25</v>
      </c>
      <c r="E768">
        <v>7.6180000000000003</v>
      </c>
      <c r="F768">
        <v>78975</v>
      </c>
    </row>
    <row r="769" spans="1:6" x14ac:dyDescent="0.25">
      <c r="A769" s="4">
        <v>35558</v>
      </c>
      <c r="B769">
        <v>7.6180000000000003</v>
      </c>
      <c r="C769">
        <v>7.6916000000000002</v>
      </c>
      <c r="D769">
        <v>7.5076000000000001</v>
      </c>
      <c r="E769">
        <v>7.5444000000000004</v>
      </c>
      <c r="F769">
        <v>54478</v>
      </c>
    </row>
    <row r="770" spans="1:6" x14ac:dyDescent="0.25">
      <c r="A770" s="4">
        <v>35559</v>
      </c>
      <c r="B770">
        <v>7.4340000000000002</v>
      </c>
      <c r="C770">
        <v>8.0595999999999997</v>
      </c>
      <c r="D770">
        <v>7.4340000000000002</v>
      </c>
      <c r="E770">
        <v>8.0595999999999997</v>
      </c>
      <c r="F770">
        <v>87744</v>
      </c>
    </row>
    <row r="771" spans="1:6" x14ac:dyDescent="0.25">
      <c r="A771" s="4">
        <v>35560</v>
      </c>
      <c r="B771">
        <v>8.2436000000000007</v>
      </c>
      <c r="C771">
        <v>8.5747999999999998</v>
      </c>
      <c r="D771">
        <v>8.0963999999999992</v>
      </c>
      <c r="E771">
        <v>8.4276</v>
      </c>
      <c r="F771">
        <v>84094</v>
      </c>
    </row>
    <row r="772" spans="1:6" x14ac:dyDescent="0.25">
      <c r="A772" s="4">
        <v>35562</v>
      </c>
      <c r="B772">
        <v>8.4643999999999995</v>
      </c>
      <c r="C772">
        <v>8.5012000000000008</v>
      </c>
      <c r="D772">
        <v>8.0228000000000002</v>
      </c>
      <c r="E772">
        <v>8.1332000000000004</v>
      </c>
      <c r="F772">
        <v>83114</v>
      </c>
    </row>
    <row r="773" spans="1:6" x14ac:dyDescent="0.25">
      <c r="A773" s="4">
        <v>35563</v>
      </c>
      <c r="B773">
        <v>8.17</v>
      </c>
      <c r="C773">
        <v>8.3908000000000005</v>
      </c>
      <c r="D773">
        <v>8.0963999999999992</v>
      </c>
      <c r="E773">
        <v>8.2804000000000002</v>
      </c>
      <c r="F773">
        <v>82767</v>
      </c>
    </row>
    <row r="774" spans="1:6" x14ac:dyDescent="0.25">
      <c r="A774" s="4">
        <v>35564</v>
      </c>
      <c r="B774">
        <v>8.3171999999999997</v>
      </c>
      <c r="C774">
        <v>8.3171999999999997</v>
      </c>
      <c r="D774">
        <v>7.9492000000000003</v>
      </c>
      <c r="E774">
        <v>7.9492000000000003</v>
      </c>
      <c r="F774">
        <v>66126</v>
      </c>
    </row>
    <row r="775" spans="1:6" x14ac:dyDescent="0.25">
      <c r="A775" s="4">
        <v>35565</v>
      </c>
      <c r="B775">
        <v>7.8388</v>
      </c>
      <c r="C775">
        <v>7.8388</v>
      </c>
      <c r="D775">
        <v>7.3971999999999998</v>
      </c>
      <c r="E775">
        <v>7.3971999999999998</v>
      </c>
      <c r="F775">
        <v>92937</v>
      </c>
    </row>
    <row r="776" spans="1:6" x14ac:dyDescent="0.25">
      <c r="A776" s="4">
        <v>35566</v>
      </c>
      <c r="B776">
        <v>7.25</v>
      </c>
      <c r="C776">
        <v>7.4340000000000002</v>
      </c>
      <c r="D776">
        <v>7.1395999999999997</v>
      </c>
      <c r="E776">
        <v>7.1764000000000001</v>
      </c>
      <c r="F776">
        <v>66597</v>
      </c>
    </row>
    <row r="777" spans="1:6" x14ac:dyDescent="0.25">
      <c r="A777" s="4">
        <v>35567</v>
      </c>
      <c r="B777">
        <v>7.3604000000000003</v>
      </c>
      <c r="C777">
        <v>7.5076000000000001</v>
      </c>
      <c r="D777">
        <v>7.2868000000000004</v>
      </c>
      <c r="E777">
        <v>7.5076000000000001</v>
      </c>
      <c r="F777">
        <v>34427</v>
      </c>
    </row>
    <row r="778" spans="1:6" x14ac:dyDescent="0.25">
      <c r="A778" s="4">
        <v>35569</v>
      </c>
      <c r="B778">
        <v>7.5076000000000001</v>
      </c>
      <c r="C778">
        <v>7.6547999999999998</v>
      </c>
      <c r="D778">
        <v>7.2868000000000004</v>
      </c>
      <c r="E778">
        <v>7.6547999999999998</v>
      </c>
      <c r="F778">
        <v>36881</v>
      </c>
    </row>
    <row r="779" spans="1:6" x14ac:dyDescent="0.25">
      <c r="A779" s="4">
        <v>35570</v>
      </c>
      <c r="B779">
        <v>7.7283999999999997</v>
      </c>
      <c r="C779">
        <v>7.8019999999999996</v>
      </c>
      <c r="D779">
        <v>7.3971999999999998</v>
      </c>
      <c r="E779">
        <v>7.4340000000000002</v>
      </c>
      <c r="F779">
        <v>55236</v>
      </c>
    </row>
    <row r="780" spans="1:6" x14ac:dyDescent="0.25">
      <c r="A780" s="4">
        <v>35571</v>
      </c>
      <c r="B780">
        <v>7.5076000000000001</v>
      </c>
      <c r="C780">
        <v>7.7283999999999997</v>
      </c>
      <c r="D780">
        <v>7.4340000000000002</v>
      </c>
      <c r="E780">
        <v>7.7283999999999997</v>
      </c>
      <c r="F780">
        <v>43079</v>
      </c>
    </row>
    <row r="781" spans="1:6" x14ac:dyDescent="0.25">
      <c r="A781" s="4">
        <v>35572</v>
      </c>
      <c r="B781">
        <v>7.8019999999999996</v>
      </c>
      <c r="C781">
        <v>7.9492000000000003</v>
      </c>
      <c r="D781">
        <v>7.7283999999999997</v>
      </c>
      <c r="E781">
        <v>7.8019999999999996</v>
      </c>
      <c r="F781">
        <v>53134</v>
      </c>
    </row>
    <row r="782" spans="1:6" x14ac:dyDescent="0.25">
      <c r="A782" s="4">
        <v>35573</v>
      </c>
      <c r="B782">
        <v>7.8019999999999996</v>
      </c>
      <c r="C782">
        <v>8.0963999999999992</v>
      </c>
      <c r="D782">
        <v>7.7283999999999997</v>
      </c>
      <c r="E782">
        <v>8.0963999999999992</v>
      </c>
      <c r="F782">
        <v>57805</v>
      </c>
    </row>
    <row r="783" spans="1:6" x14ac:dyDescent="0.25">
      <c r="A783" s="4">
        <v>35574</v>
      </c>
      <c r="B783">
        <v>8.17</v>
      </c>
      <c r="C783">
        <v>8.3171999999999997</v>
      </c>
      <c r="D783">
        <v>8.17</v>
      </c>
      <c r="E783">
        <v>8.17</v>
      </c>
      <c r="F783">
        <v>54186</v>
      </c>
    </row>
    <row r="784" spans="1:6" x14ac:dyDescent="0.25">
      <c r="A784" s="4">
        <v>35576</v>
      </c>
      <c r="B784">
        <v>8.2436000000000007</v>
      </c>
      <c r="C784">
        <v>8.4276</v>
      </c>
      <c r="D784">
        <v>8.2436000000000007</v>
      </c>
      <c r="E784">
        <v>8.3171999999999997</v>
      </c>
      <c r="F784">
        <v>49280</v>
      </c>
    </row>
    <row r="785" spans="1:6" x14ac:dyDescent="0.25">
      <c r="A785" s="4">
        <v>35577</v>
      </c>
      <c r="B785">
        <v>8.3171999999999997</v>
      </c>
      <c r="C785">
        <v>8.3171999999999997</v>
      </c>
      <c r="D785">
        <v>8.0963999999999992</v>
      </c>
      <c r="E785">
        <v>8.17</v>
      </c>
      <c r="F785">
        <v>41268</v>
      </c>
    </row>
    <row r="786" spans="1:6" x14ac:dyDescent="0.25">
      <c r="A786" s="4">
        <v>35578</v>
      </c>
      <c r="B786">
        <v>8.3171999999999997</v>
      </c>
      <c r="C786">
        <v>8.6852</v>
      </c>
      <c r="D786">
        <v>8.2804000000000002</v>
      </c>
      <c r="E786">
        <v>8.5380000000000003</v>
      </c>
      <c r="F786">
        <v>73609</v>
      </c>
    </row>
    <row r="787" spans="1:6" x14ac:dyDescent="0.25">
      <c r="A787" s="4">
        <v>35579</v>
      </c>
      <c r="B787">
        <v>8.6852</v>
      </c>
      <c r="C787">
        <v>8.9795999999999996</v>
      </c>
      <c r="D787">
        <v>8.5380000000000003</v>
      </c>
      <c r="E787">
        <v>8.6115999999999993</v>
      </c>
      <c r="F787">
        <v>75490</v>
      </c>
    </row>
    <row r="788" spans="1:6" x14ac:dyDescent="0.25">
      <c r="A788" s="4">
        <v>35580</v>
      </c>
      <c r="B788">
        <v>8.7588000000000008</v>
      </c>
      <c r="C788">
        <v>8.8323999999999998</v>
      </c>
      <c r="D788">
        <v>8.6115999999999993</v>
      </c>
      <c r="E788">
        <v>8.7956000000000003</v>
      </c>
      <c r="F788">
        <v>49871</v>
      </c>
    </row>
    <row r="789" spans="1:6" x14ac:dyDescent="0.25">
      <c r="A789" s="4">
        <v>35581</v>
      </c>
      <c r="B789">
        <v>8.7588000000000008</v>
      </c>
      <c r="C789">
        <v>8.8691999999999993</v>
      </c>
      <c r="D789">
        <v>8.6484000000000005</v>
      </c>
      <c r="E789">
        <v>8.7588000000000008</v>
      </c>
      <c r="F789">
        <v>44756</v>
      </c>
    </row>
    <row r="790" spans="1:6" x14ac:dyDescent="0.25">
      <c r="A790" s="4">
        <v>35583</v>
      </c>
      <c r="B790">
        <v>8.8323999999999998</v>
      </c>
      <c r="C790">
        <v>9.0165000000000006</v>
      </c>
      <c r="D790">
        <v>8.7588000000000008</v>
      </c>
      <c r="E790">
        <v>8.7588000000000008</v>
      </c>
      <c r="F790">
        <v>53603</v>
      </c>
    </row>
    <row r="791" spans="1:6" x14ac:dyDescent="0.25">
      <c r="A791" s="4">
        <v>35584</v>
      </c>
      <c r="B791">
        <v>8.8323999999999998</v>
      </c>
      <c r="C791">
        <v>9.1637000000000004</v>
      </c>
      <c r="D791">
        <v>8.8323999999999998</v>
      </c>
      <c r="E791">
        <v>9.1637000000000004</v>
      </c>
      <c r="F791">
        <v>60973</v>
      </c>
    </row>
    <row r="792" spans="1:6" x14ac:dyDescent="0.25">
      <c r="A792" s="4">
        <v>35585</v>
      </c>
      <c r="B792">
        <v>9.2004999999999999</v>
      </c>
      <c r="C792">
        <v>9.4948999999999995</v>
      </c>
      <c r="D792">
        <v>9.1268999999999991</v>
      </c>
      <c r="E792">
        <v>9.4581</v>
      </c>
      <c r="F792">
        <v>48941</v>
      </c>
    </row>
    <row r="793" spans="1:6" x14ac:dyDescent="0.25">
      <c r="A793" s="4">
        <v>35586</v>
      </c>
      <c r="B793">
        <v>9.5685000000000002</v>
      </c>
      <c r="C793">
        <v>9.5685000000000002</v>
      </c>
      <c r="D793">
        <v>9.1268999999999991</v>
      </c>
      <c r="E793">
        <v>9.1637000000000004</v>
      </c>
      <c r="F793">
        <v>50645</v>
      </c>
    </row>
    <row r="794" spans="1:6" x14ac:dyDescent="0.25">
      <c r="A794" s="4">
        <v>35587</v>
      </c>
      <c r="B794">
        <v>9.1637000000000004</v>
      </c>
      <c r="C794">
        <v>9.4213000000000005</v>
      </c>
      <c r="D794">
        <v>9.1637000000000004</v>
      </c>
      <c r="E794">
        <v>9.3844999999999992</v>
      </c>
      <c r="F794">
        <v>46718</v>
      </c>
    </row>
    <row r="795" spans="1:6" x14ac:dyDescent="0.25">
      <c r="A795" s="4">
        <v>35588</v>
      </c>
      <c r="B795">
        <v>9.4948999999999995</v>
      </c>
      <c r="C795">
        <v>10.0101</v>
      </c>
      <c r="D795">
        <v>9.4213000000000005</v>
      </c>
      <c r="E795">
        <v>9.9365000000000006</v>
      </c>
      <c r="F795">
        <v>51115</v>
      </c>
    </row>
    <row r="796" spans="1:6" x14ac:dyDescent="0.25">
      <c r="A796" s="4">
        <v>35591</v>
      </c>
      <c r="B796">
        <v>10.0101</v>
      </c>
      <c r="C796">
        <v>10.046900000000001</v>
      </c>
      <c r="D796">
        <v>9.5685000000000002</v>
      </c>
      <c r="E796">
        <v>9.8996999999999993</v>
      </c>
      <c r="F796">
        <v>41301</v>
      </c>
    </row>
    <row r="797" spans="1:6" x14ac:dyDescent="0.25">
      <c r="A797" s="4">
        <v>35592</v>
      </c>
      <c r="B797">
        <v>9.8996999999999993</v>
      </c>
      <c r="C797">
        <v>9.9365000000000006</v>
      </c>
      <c r="D797">
        <v>9.5685000000000002</v>
      </c>
      <c r="E797">
        <v>9.6052999999999997</v>
      </c>
      <c r="F797">
        <v>62446</v>
      </c>
    </row>
    <row r="798" spans="1:6" x14ac:dyDescent="0.25">
      <c r="A798" s="4">
        <v>35593</v>
      </c>
      <c r="B798">
        <v>10.046900000000001</v>
      </c>
      <c r="C798">
        <v>10.046900000000001</v>
      </c>
      <c r="D798">
        <v>10.046900000000001</v>
      </c>
      <c r="E798">
        <v>10.046900000000001</v>
      </c>
      <c r="F798">
        <v>67027</v>
      </c>
    </row>
    <row r="799" spans="1:6" x14ac:dyDescent="0.25">
      <c r="A799" s="4">
        <v>35594</v>
      </c>
      <c r="B799">
        <v>10.322900000000001</v>
      </c>
      <c r="C799">
        <v>10.6541</v>
      </c>
      <c r="D799">
        <v>10.157299999999999</v>
      </c>
      <c r="E799">
        <v>10.5989</v>
      </c>
      <c r="F799">
        <v>104432</v>
      </c>
    </row>
    <row r="800" spans="1:6" x14ac:dyDescent="0.25">
      <c r="A800" s="4">
        <v>35595</v>
      </c>
      <c r="B800">
        <v>10.4885</v>
      </c>
      <c r="C800">
        <v>10.543699999999999</v>
      </c>
      <c r="D800">
        <v>10.322900000000001</v>
      </c>
      <c r="E800">
        <v>10.543699999999999</v>
      </c>
      <c r="F800">
        <v>38367</v>
      </c>
    </row>
    <row r="801" spans="1:6" x14ac:dyDescent="0.25">
      <c r="A801" s="4">
        <v>35597</v>
      </c>
      <c r="B801">
        <v>10.543699999999999</v>
      </c>
      <c r="C801">
        <v>11.2614</v>
      </c>
      <c r="D801">
        <v>10.543699999999999</v>
      </c>
      <c r="E801">
        <v>11.2614</v>
      </c>
      <c r="F801">
        <v>45609</v>
      </c>
    </row>
    <row r="802" spans="1:6" x14ac:dyDescent="0.25">
      <c r="A802" s="4">
        <v>35598</v>
      </c>
      <c r="B802">
        <v>11.702999999999999</v>
      </c>
      <c r="C802">
        <v>12.0342</v>
      </c>
      <c r="D802">
        <v>11.482200000000001</v>
      </c>
      <c r="E802">
        <v>11.978999999999999</v>
      </c>
      <c r="F802">
        <v>63016</v>
      </c>
    </row>
    <row r="803" spans="1:6" x14ac:dyDescent="0.25">
      <c r="A803" s="4">
        <v>35599</v>
      </c>
      <c r="B803">
        <v>12.0342</v>
      </c>
      <c r="C803">
        <v>12.4758</v>
      </c>
      <c r="D803">
        <v>11.978999999999999</v>
      </c>
      <c r="E803">
        <v>12.255000000000001</v>
      </c>
      <c r="F803">
        <v>64262</v>
      </c>
    </row>
    <row r="804" spans="1:6" x14ac:dyDescent="0.25">
      <c r="A804" s="4">
        <v>35600</v>
      </c>
      <c r="B804">
        <v>12.255000000000001</v>
      </c>
      <c r="C804">
        <v>12.365399999999999</v>
      </c>
      <c r="D804">
        <v>11.427</v>
      </c>
      <c r="E804">
        <v>11.5374</v>
      </c>
      <c r="F804">
        <v>76769</v>
      </c>
    </row>
    <row r="805" spans="1:6" x14ac:dyDescent="0.25">
      <c r="A805" s="4">
        <v>35601</v>
      </c>
      <c r="B805">
        <v>11.7582</v>
      </c>
      <c r="C805">
        <v>12.3102</v>
      </c>
      <c r="D805">
        <v>11.7582</v>
      </c>
      <c r="E805">
        <v>12.144600000000001</v>
      </c>
      <c r="F805">
        <v>77180</v>
      </c>
    </row>
    <row r="806" spans="1:6" x14ac:dyDescent="0.25">
      <c r="A806" s="4">
        <v>35602</v>
      </c>
      <c r="B806">
        <v>12.255000000000001</v>
      </c>
      <c r="C806">
        <v>12.4206</v>
      </c>
      <c r="D806">
        <v>11.592599999999999</v>
      </c>
      <c r="E806">
        <v>11.9238</v>
      </c>
      <c r="F806">
        <v>53267</v>
      </c>
    </row>
    <row r="807" spans="1:6" x14ac:dyDescent="0.25">
      <c r="A807" s="4">
        <v>35604</v>
      </c>
      <c r="B807">
        <v>12.4758</v>
      </c>
      <c r="C807">
        <v>12.751799999999999</v>
      </c>
      <c r="D807">
        <v>12.144600000000001</v>
      </c>
      <c r="E807">
        <v>12.751799999999999</v>
      </c>
      <c r="F807">
        <v>68049</v>
      </c>
    </row>
    <row r="808" spans="1:6" x14ac:dyDescent="0.25">
      <c r="A808" s="4">
        <v>35605</v>
      </c>
      <c r="B808">
        <v>12.807</v>
      </c>
      <c r="C808">
        <v>13.4695</v>
      </c>
      <c r="D808">
        <v>12.641400000000001</v>
      </c>
      <c r="E808">
        <v>13.4695</v>
      </c>
      <c r="F808">
        <v>90307</v>
      </c>
    </row>
    <row r="809" spans="1:6" x14ac:dyDescent="0.25">
      <c r="A809" s="4">
        <v>35606</v>
      </c>
      <c r="B809">
        <v>13.248699999999999</v>
      </c>
      <c r="C809">
        <v>13.800700000000001</v>
      </c>
      <c r="D809">
        <v>13.1935</v>
      </c>
      <c r="E809">
        <v>13.7455</v>
      </c>
      <c r="F809">
        <v>66521</v>
      </c>
    </row>
    <row r="810" spans="1:6" x14ac:dyDescent="0.25">
      <c r="A810" s="4">
        <v>35607</v>
      </c>
      <c r="B810">
        <v>13.7455</v>
      </c>
      <c r="C810">
        <v>14.187099999999999</v>
      </c>
      <c r="D810">
        <v>13.248699999999999</v>
      </c>
      <c r="E810">
        <v>13.248699999999999</v>
      </c>
      <c r="F810">
        <v>76091</v>
      </c>
    </row>
    <row r="811" spans="1:6" x14ac:dyDescent="0.25">
      <c r="A811" s="4">
        <v>35608</v>
      </c>
      <c r="B811">
        <v>13.6351</v>
      </c>
      <c r="C811">
        <v>13.690300000000001</v>
      </c>
      <c r="D811">
        <v>13.138299999999999</v>
      </c>
      <c r="E811">
        <v>13.303900000000001</v>
      </c>
      <c r="F811">
        <v>60391</v>
      </c>
    </row>
    <row r="812" spans="1:6" x14ac:dyDescent="0.25">
      <c r="A812" s="4">
        <v>35609</v>
      </c>
      <c r="B812">
        <v>13.5799</v>
      </c>
      <c r="C812">
        <v>14.076700000000001</v>
      </c>
      <c r="D812">
        <v>13.303900000000001</v>
      </c>
      <c r="E812">
        <v>13.9663</v>
      </c>
      <c r="F812">
        <v>57718</v>
      </c>
    </row>
    <row r="813" spans="1:6" x14ac:dyDescent="0.25">
      <c r="A813" s="4">
        <v>35611</v>
      </c>
      <c r="B813">
        <v>14.2423</v>
      </c>
      <c r="C813">
        <v>14.3527</v>
      </c>
      <c r="D813">
        <v>13.5799</v>
      </c>
      <c r="E813">
        <v>13.6351</v>
      </c>
      <c r="F813">
        <v>61221</v>
      </c>
    </row>
    <row r="814" spans="1:6" x14ac:dyDescent="0.25">
      <c r="A814" s="4">
        <v>35613</v>
      </c>
      <c r="B814">
        <v>13.4695</v>
      </c>
      <c r="C814">
        <v>13.4695</v>
      </c>
      <c r="D814">
        <v>12.6966</v>
      </c>
      <c r="E814">
        <v>12.6966</v>
      </c>
      <c r="F814">
        <v>65927</v>
      </c>
    </row>
    <row r="815" spans="1:6" x14ac:dyDescent="0.25">
      <c r="A815" s="4">
        <v>35614</v>
      </c>
      <c r="B815">
        <v>12.4758</v>
      </c>
      <c r="C815">
        <v>13.248699999999999</v>
      </c>
      <c r="D815">
        <v>12.4758</v>
      </c>
      <c r="E815">
        <v>13.027900000000001</v>
      </c>
      <c r="F815">
        <v>50213</v>
      </c>
    </row>
    <row r="816" spans="1:6" x14ac:dyDescent="0.25">
      <c r="A816" s="4">
        <v>35615</v>
      </c>
      <c r="B816">
        <v>13.248699999999999</v>
      </c>
      <c r="C816">
        <v>13.4695</v>
      </c>
      <c r="D816">
        <v>12.9726</v>
      </c>
      <c r="E816">
        <v>13.248699999999999</v>
      </c>
      <c r="F816">
        <v>51772</v>
      </c>
    </row>
    <row r="817" spans="1:6" x14ac:dyDescent="0.25">
      <c r="A817" s="4">
        <v>35616</v>
      </c>
      <c r="B817">
        <v>13.414300000000001</v>
      </c>
      <c r="C817">
        <v>13.7455</v>
      </c>
      <c r="D817">
        <v>13.248699999999999</v>
      </c>
      <c r="E817">
        <v>13.524699999999999</v>
      </c>
      <c r="F817">
        <v>37824</v>
      </c>
    </row>
    <row r="818" spans="1:6" x14ac:dyDescent="0.25">
      <c r="A818" s="4">
        <v>35618</v>
      </c>
      <c r="B818">
        <v>13.7455</v>
      </c>
      <c r="C818">
        <v>13.911099999999999</v>
      </c>
      <c r="D818">
        <v>13.5799</v>
      </c>
      <c r="E818">
        <v>13.6351</v>
      </c>
      <c r="F818">
        <v>43676</v>
      </c>
    </row>
    <row r="819" spans="1:6" x14ac:dyDescent="0.25">
      <c r="A819" s="4">
        <v>35619</v>
      </c>
      <c r="B819">
        <v>13.690300000000001</v>
      </c>
      <c r="C819">
        <v>13.690300000000001</v>
      </c>
      <c r="D819">
        <v>13.303900000000001</v>
      </c>
      <c r="E819">
        <v>13.4695</v>
      </c>
      <c r="F819">
        <v>36400</v>
      </c>
    </row>
    <row r="820" spans="1:6" x14ac:dyDescent="0.25">
      <c r="A820" s="4">
        <v>35620</v>
      </c>
      <c r="B820">
        <v>13.690300000000001</v>
      </c>
      <c r="C820">
        <v>14.0215</v>
      </c>
      <c r="D820">
        <v>13.690300000000001</v>
      </c>
      <c r="E820">
        <v>14.0215</v>
      </c>
      <c r="F820">
        <v>52131</v>
      </c>
    </row>
    <row r="821" spans="1:6" x14ac:dyDescent="0.25">
      <c r="A821" s="4">
        <v>35621</v>
      </c>
      <c r="B821">
        <v>14.0215</v>
      </c>
      <c r="C821">
        <v>14.3527</v>
      </c>
      <c r="D821">
        <v>13.6351</v>
      </c>
      <c r="E821">
        <v>14.0215</v>
      </c>
      <c r="F821">
        <v>70082</v>
      </c>
    </row>
    <row r="822" spans="1:6" x14ac:dyDescent="0.25">
      <c r="A822" s="4">
        <v>35622</v>
      </c>
      <c r="B822">
        <v>14.0215</v>
      </c>
      <c r="C822">
        <v>14.9047</v>
      </c>
      <c r="D822">
        <v>14.0215</v>
      </c>
      <c r="E822">
        <v>14.4079</v>
      </c>
      <c r="F822">
        <v>117539</v>
      </c>
    </row>
    <row r="823" spans="1:6" x14ac:dyDescent="0.25">
      <c r="A823" s="4">
        <v>35623</v>
      </c>
      <c r="B823">
        <v>14.4079</v>
      </c>
      <c r="C823">
        <v>14.6839</v>
      </c>
      <c r="D823">
        <v>14.297499999999999</v>
      </c>
      <c r="E823">
        <v>14.463100000000001</v>
      </c>
      <c r="F823">
        <v>50118</v>
      </c>
    </row>
    <row r="824" spans="1:6" x14ac:dyDescent="0.25">
      <c r="A824" s="4">
        <v>35625</v>
      </c>
      <c r="B824">
        <v>14.6839</v>
      </c>
      <c r="C824">
        <v>15.236000000000001</v>
      </c>
      <c r="D824">
        <v>14.5183</v>
      </c>
      <c r="E824">
        <v>15.1808</v>
      </c>
      <c r="F824">
        <v>59798</v>
      </c>
    </row>
    <row r="825" spans="1:6" x14ac:dyDescent="0.25">
      <c r="A825" s="4">
        <v>35626</v>
      </c>
      <c r="B825">
        <v>15.346399999999999</v>
      </c>
      <c r="C825">
        <v>15.6776</v>
      </c>
      <c r="D825">
        <v>14.9047</v>
      </c>
      <c r="E825">
        <v>15.4016</v>
      </c>
      <c r="F825">
        <v>88973</v>
      </c>
    </row>
    <row r="826" spans="1:6" x14ac:dyDescent="0.25">
      <c r="A826" s="4">
        <v>35627</v>
      </c>
      <c r="B826">
        <v>15.6776</v>
      </c>
      <c r="C826">
        <v>16.450399999999998</v>
      </c>
      <c r="D826">
        <v>15.622400000000001</v>
      </c>
      <c r="E826">
        <v>16.450399999999998</v>
      </c>
      <c r="F826">
        <v>93098</v>
      </c>
    </row>
    <row r="827" spans="1:6" x14ac:dyDescent="0.25">
      <c r="A827" s="4">
        <v>35628</v>
      </c>
      <c r="B827">
        <v>17.554500000000001</v>
      </c>
      <c r="C827">
        <v>17.554500000000001</v>
      </c>
      <c r="D827">
        <v>16.395199999999999</v>
      </c>
      <c r="E827">
        <v>16.395199999999999</v>
      </c>
      <c r="F827">
        <v>59877</v>
      </c>
    </row>
    <row r="828" spans="1:6" x14ac:dyDescent="0.25">
      <c r="A828" s="4">
        <v>35629</v>
      </c>
      <c r="B828">
        <v>16.891999999999999</v>
      </c>
      <c r="C828">
        <v>17.444099999999999</v>
      </c>
      <c r="D828">
        <v>16.5608</v>
      </c>
      <c r="E828">
        <v>17.444099999999999</v>
      </c>
      <c r="F828">
        <v>97240</v>
      </c>
    </row>
    <row r="829" spans="1:6" x14ac:dyDescent="0.25">
      <c r="A829" s="4">
        <v>35630</v>
      </c>
      <c r="B829">
        <v>17.444099999999999</v>
      </c>
      <c r="C829">
        <v>17.664899999999999</v>
      </c>
      <c r="D829">
        <v>16.5608</v>
      </c>
      <c r="E829">
        <v>17.002500000000001</v>
      </c>
      <c r="F829">
        <v>74793</v>
      </c>
    </row>
    <row r="830" spans="1:6" x14ac:dyDescent="0.25">
      <c r="A830" s="4">
        <v>35632</v>
      </c>
      <c r="B830">
        <v>16.781600000000001</v>
      </c>
      <c r="C830">
        <v>17.002500000000001</v>
      </c>
      <c r="D830">
        <v>16.008800000000001</v>
      </c>
      <c r="E830">
        <v>16.395199999999999</v>
      </c>
      <c r="F830">
        <v>88586</v>
      </c>
    </row>
    <row r="831" spans="1:6" x14ac:dyDescent="0.25">
      <c r="A831" s="4">
        <v>35633</v>
      </c>
      <c r="B831">
        <v>16.395199999999999</v>
      </c>
      <c r="C831">
        <v>17.002500000000001</v>
      </c>
      <c r="D831">
        <v>15.2912</v>
      </c>
      <c r="E831">
        <v>15.346399999999999</v>
      </c>
      <c r="F831">
        <v>110778</v>
      </c>
    </row>
    <row r="832" spans="1:6" x14ac:dyDescent="0.25">
      <c r="A832" s="4">
        <v>35634</v>
      </c>
      <c r="B832">
        <v>15.6776</v>
      </c>
      <c r="C832">
        <v>15.6776</v>
      </c>
      <c r="D832">
        <v>14.6839</v>
      </c>
      <c r="E832">
        <v>14.7943</v>
      </c>
      <c r="F832">
        <v>94569</v>
      </c>
    </row>
    <row r="833" spans="1:6" x14ac:dyDescent="0.25">
      <c r="A833" s="4">
        <v>35635</v>
      </c>
      <c r="B833">
        <v>15.1256</v>
      </c>
      <c r="C833">
        <v>15.788</v>
      </c>
      <c r="D833">
        <v>15.070399999999999</v>
      </c>
      <c r="E833">
        <v>15.788</v>
      </c>
      <c r="F833">
        <v>59305</v>
      </c>
    </row>
    <row r="834" spans="1:6" x14ac:dyDescent="0.25">
      <c r="A834" s="4">
        <v>35636</v>
      </c>
      <c r="B834">
        <v>16.229600000000001</v>
      </c>
      <c r="C834">
        <v>16.891999999999999</v>
      </c>
      <c r="D834">
        <v>16.229600000000001</v>
      </c>
      <c r="E834">
        <v>16.891999999999999</v>
      </c>
      <c r="F834">
        <v>93699</v>
      </c>
    </row>
    <row r="835" spans="1:6" x14ac:dyDescent="0.25">
      <c r="A835" s="4">
        <v>35637</v>
      </c>
      <c r="B835">
        <v>17.223299999999998</v>
      </c>
      <c r="C835">
        <v>17.664899999999999</v>
      </c>
      <c r="D835">
        <v>16.781600000000001</v>
      </c>
      <c r="E835">
        <v>17.444099999999999</v>
      </c>
      <c r="F835">
        <v>77008</v>
      </c>
    </row>
    <row r="836" spans="1:6" x14ac:dyDescent="0.25">
      <c r="A836" s="4">
        <v>35639</v>
      </c>
      <c r="B836">
        <v>16.891999999999999</v>
      </c>
      <c r="C836">
        <v>17.223299999999998</v>
      </c>
      <c r="D836">
        <v>16.5608</v>
      </c>
      <c r="E836">
        <v>17.223299999999998</v>
      </c>
      <c r="F836">
        <v>87986</v>
      </c>
    </row>
    <row r="837" spans="1:6" x14ac:dyDescent="0.25">
      <c r="A837" s="4">
        <v>35640</v>
      </c>
      <c r="B837">
        <v>16.34</v>
      </c>
      <c r="C837">
        <v>16.891999999999999</v>
      </c>
      <c r="D837">
        <v>16.119199999999999</v>
      </c>
      <c r="E837">
        <v>16.119199999999999</v>
      </c>
      <c r="F837">
        <v>114692</v>
      </c>
    </row>
    <row r="838" spans="1:6" x14ac:dyDescent="0.25">
      <c r="A838" s="4">
        <v>35641</v>
      </c>
      <c r="B838">
        <v>16.119199999999999</v>
      </c>
      <c r="C838">
        <v>16.671199999999999</v>
      </c>
      <c r="D838">
        <v>16.064</v>
      </c>
      <c r="E838">
        <v>16.5608</v>
      </c>
      <c r="F838">
        <v>65746</v>
      </c>
    </row>
    <row r="839" spans="1:6" x14ac:dyDescent="0.25">
      <c r="A839" s="4">
        <v>35642</v>
      </c>
      <c r="B839">
        <v>17.3337</v>
      </c>
      <c r="C839">
        <v>17.3337</v>
      </c>
      <c r="D839">
        <v>16.891999999999999</v>
      </c>
      <c r="E839">
        <v>17.1129</v>
      </c>
      <c r="F839">
        <v>67962</v>
      </c>
    </row>
    <row r="840" spans="1:6" x14ac:dyDescent="0.25">
      <c r="A840" s="4">
        <v>35643</v>
      </c>
      <c r="B840">
        <v>16.891999999999999</v>
      </c>
      <c r="C840">
        <v>17.223299999999998</v>
      </c>
      <c r="D840">
        <v>16.781600000000001</v>
      </c>
      <c r="E840">
        <v>16.891999999999999</v>
      </c>
      <c r="F840">
        <v>43774</v>
      </c>
    </row>
    <row r="841" spans="1:6" x14ac:dyDescent="0.25">
      <c r="A841" s="4">
        <v>35644</v>
      </c>
      <c r="B841">
        <v>17.1129</v>
      </c>
      <c r="C841">
        <v>17.664899999999999</v>
      </c>
      <c r="D841">
        <v>17.1129</v>
      </c>
      <c r="E841">
        <v>17.3337</v>
      </c>
      <c r="F841">
        <v>68789</v>
      </c>
    </row>
    <row r="842" spans="1:6" x14ac:dyDescent="0.25">
      <c r="A842" s="4">
        <v>35646</v>
      </c>
      <c r="B842">
        <v>18.1065</v>
      </c>
      <c r="C842">
        <v>18.1065</v>
      </c>
      <c r="D842">
        <v>17.664899999999999</v>
      </c>
      <c r="E842">
        <v>17.996099999999998</v>
      </c>
      <c r="F842">
        <v>62297</v>
      </c>
    </row>
    <row r="843" spans="1:6" x14ac:dyDescent="0.25">
      <c r="A843" s="4">
        <v>35647</v>
      </c>
      <c r="B843">
        <v>18.216899999999999</v>
      </c>
      <c r="C843">
        <v>18.216899999999999</v>
      </c>
      <c r="D843">
        <v>17.444099999999999</v>
      </c>
      <c r="E843">
        <v>17.444099999999999</v>
      </c>
      <c r="F843">
        <v>51228</v>
      </c>
    </row>
    <row r="844" spans="1:6" x14ac:dyDescent="0.25">
      <c r="A844" s="4">
        <v>35648</v>
      </c>
      <c r="B844">
        <v>17.554500000000001</v>
      </c>
      <c r="C844">
        <v>17.664899999999999</v>
      </c>
      <c r="D844">
        <v>16.891999999999999</v>
      </c>
      <c r="E844">
        <v>16.891999999999999</v>
      </c>
      <c r="F844">
        <v>55115</v>
      </c>
    </row>
    <row r="845" spans="1:6" x14ac:dyDescent="0.25">
      <c r="A845" s="4">
        <v>35649</v>
      </c>
      <c r="B845">
        <v>16.781600000000001</v>
      </c>
      <c r="C845">
        <v>17.223299999999998</v>
      </c>
      <c r="D845">
        <v>16.5608</v>
      </c>
      <c r="E845">
        <v>16.671199999999999</v>
      </c>
      <c r="F845">
        <v>36518</v>
      </c>
    </row>
    <row r="846" spans="1:6" x14ac:dyDescent="0.25">
      <c r="A846" s="4">
        <v>35650</v>
      </c>
      <c r="B846">
        <v>16.5608</v>
      </c>
      <c r="C846">
        <v>17.775300000000001</v>
      </c>
      <c r="D846">
        <v>16.5608</v>
      </c>
      <c r="E846">
        <v>17.775300000000001</v>
      </c>
      <c r="F846">
        <v>69521</v>
      </c>
    </row>
    <row r="847" spans="1:6" x14ac:dyDescent="0.25">
      <c r="A847" s="4">
        <v>35651</v>
      </c>
      <c r="B847">
        <v>17.8857</v>
      </c>
      <c r="C847">
        <v>17.996099999999998</v>
      </c>
      <c r="D847">
        <v>17.444099999999999</v>
      </c>
      <c r="E847">
        <v>17.554500000000001</v>
      </c>
      <c r="F847">
        <v>50744</v>
      </c>
    </row>
    <row r="848" spans="1:6" x14ac:dyDescent="0.25">
      <c r="A848" s="4">
        <v>35653</v>
      </c>
      <c r="B848">
        <v>17.444099999999999</v>
      </c>
      <c r="C848">
        <v>17.444099999999999</v>
      </c>
      <c r="D848">
        <v>16.5608</v>
      </c>
      <c r="E848">
        <v>16.671199999999999</v>
      </c>
      <c r="F848">
        <v>69482</v>
      </c>
    </row>
    <row r="849" spans="1:6" x14ac:dyDescent="0.25">
      <c r="A849" s="4">
        <v>35654</v>
      </c>
      <c r="B849">
        <v>16.5608</v>
      </c>
      <c r="C849">
        <v>17.002500000000001</v>
      </c>
      <c r="D849">
        <v>16.229600000000001</v>
      </c>
      <c r="E849">
        <v>16.891999999999999</v>
      </c>
      <c r="F849">
        <v>59082</v>
      </c>
    </row>
    <row r="850" spans="1:6" x14ac:dyDescent="0.25">
      <c r="A850" s="4">
        <v>35655</v>
      </c>
      <c r="B850">
        <v>16.671199999999999</v>
      </c>
      <c r="C850">
        <v>17.002500000000001</v>
      </c>
      <c r="D850">
        <v>15.732799999999999</v>
      </c>
      <c r="E850">
        <v>15.732799999999999</v>
      </c>
      <c r="F850">
        <v>60281</v>
      </c>
    </row>
    <row r="851" spans="1:6" x14ac:dyDescent="0.25">
      <c r="A851" s="4">
        <v>35656</v>
      </c>
      <c r="B851">
        <v>15.8432</v>
      </c>
      <c r="C851">
        <v>16.008800000000001</v>
      </c>
      <c r="D851">
        <v>15.236000000000001</v>
      </c>
      <c r="E851">
        <v>15.732799999999999</v>
      </c>
      <c r="F851">
        <v>56314</v>
      </c>
    </row>
    <row r="852" spans="1:6" x14ac:dyDescent="0.25">
      <c r="A852" s="4">
        <v>35657</v>
      </c>
      <c r="B852">
        <v>16.008800000000001</v>
      </c>
      <c r="C852">
        <v>16.781600000000001</v>
      </c>
      <c r="D852">
        <v>15.8432</v>
      </c>
      <c r="E852">
        <v>16.781600000000001</v>
      </c>
      <c r="F852">
        <v>76398</v>
      </c>
    </row>
    <row r="853" spans="1:6" x14ac:dyDescent="0.25">
      <c r="A853" s="4">
        <v>35658</v>
      </c>
      <c r="B853">
        <v>16.34</v>
      </c>
      <c r="C853">
        <v>16.781600000000001</v>
      </c>
      <c r="D853">
        <v>16.34</v>
      </c>
      <c r="E853">
        <v>16.781600000000001</v>
      </c>
      <c r="F853">
        <v>63312</v>
      </c>
    </row>
    <row r="854" spans="1:6" x14ac:dyDescent="0.25">
      <c r="A854" s="4">
        <v>35661</v>
      </c>
      <c r="B854">
        <v>17.002500000000001</v>
      </c>
      <c r="C854">
        <v>17.3337</v>
      </c>
      <c r="D854">
        <v>16.781600000000001</v>
      </c>
      <c r="E854">
        <v>16.781600000000001</v>
      </c>
      <c r="F854">
        <v>60135</v>
      </c>
    </row>
    <row r="855" spans="1:6" x14ac:dyDescent="0.25">
      <c r="A855" s="4">
        <v>35662</v>
      </c>
      <c r="B855">
        <v>17.1129</v>
      </c>
      <c r="C855">
        <v>17.444099999999999</v>
      </c>
      <c r="D855">
        <v>17.002500000000001</v>
      </c>
      <c r="E855">
        <v>17.3337</v>
      </c>
      <c r="F855">
        <v>67679</v>
      </c>
    </row>
    <row r="856" spans="1:6" x14ac:dyDescent="0.25">
      <c r="A856" s="4">
        <v>35663</v>
      </c>
      <c r="B856">
        <v>17.996099999999998</v>
      </c>
      <c r="C856">
        <v>18.216899999999999</v>
      </c>
      <c r="D856">
        <v>17.775300000000001</v>
      </c>
      <c r="E856">
        <v>18.1065</v>
      </c>
      <c r="F856">
        <v>72805</v>
      </c>
    </row>
    <row r="857" spans="1:6" x14ac:dyDescent="0.25">
      <c r="A857" s="4">
        <v>35664</v>
      </c>
      <c r="B857">
        <v>17.775300000000001</v>
      </c>
      <c r="C857">
        <v>17.996099999999998</v>
      </c>
      <c r="D857">
        <v>17.664899999999999</v>
      </c>
      <c r="E857">
        <v>17.996099999999998</v>
      </c>
      <c r="F857">
        <v>51636</v>
      </c>
    </row>
    <row r="858" spans="1:6" x14ac:dyDescent="0.25">
      <c r="A858" s="4">
        <v>35665</v>
      </c>
      <c r="B858">
        <v>18.6585</v>
      </c>
      <c r="C858">
        <v>18.989699999999999</v>
      </c>
      <c r="D858">
        <v>18.327300000000001</v>
      </c>
      <c r="E858">
        <v>18.768899999999999</v>
      </c>
      <c r="F858">
        <v>76741</v>
      </c>
    </row>
    <row r="859" spans="1:6" x14ac:dyDescent="0.25">
      <c r="A859" s="4">
        <v>35667</v>
      </c>
      <c r="B859">
        <v>18.768899999999999</v>
      </c>
      <c r="C859">
        <v>18.879300000000001</v>
      </c>
      <c r="D859">
        <v>18.548100000000002</v>
      </c>
      <c r="E859">
        <v>18.768899999999999</v>
      </c>
      <c r="F859">
        <v>51001</v>
      </c>
    </row>
    <row r="860" spans="1:6" x14ac:dyDescent="0.25">
      <c r="A860" s="4">
        <v>35668</v>
      </c>
      <c r="B860">
        <v>18.879300000000001</v>
      </c>
      <c r="C860">
        <v>19.100200000000001</v>
      </c>
      <c r="D860">
        <v>18.4377</v>
      </c>
      <c r="E860">
        <v>18.548100000000002</v>
      </c>
      <c r="F860">
        <v>63569</v>
      </c>
    </row>
    <row r="861" spans="1:6" x14ac:dyDescent="0.25">
      <c r="A861" s="4">
        <v>35669</v>
      </c>
      <c r="B861">
        <v>18.327300000000001</v>
      </c>
      <c r="C861">
        <v>18.548100000000002</v>
      </c>
      <c r="D861">
        <v>17.775300000000001</v>
      </c>
      <c r="E861">
        <v>17.775300000000001</v>
      </c>
      <c r="F861">
        <v>71536</v>
      </c>
    </row>
    <row r="862" spans="1:6" x14ac:dyDescent="0.25">
      <c r="A862" s="4">
        <v>35670</v>
      </c>
      <c r="B862">
        <v>17.554500000000001</v>
      </c>
      <c r="C862">
        <v>17.664899999999999</v>
      </c>
      <c r="D862">
        <v>17.1129</v>
      </c>
      <c r="E862">
        <v>17.223299999999998</v>
      </c>
      <c r="F862">
        <v>66472</v>
      </c>
    </row>
    <row r="863" spans="1:6" x14ac:dyDescent="0.25">
      <c r="A863" s="4">
        <v>35672</v>
      </c>
      <c r="B863">
        <v>16.891999999999999</v>
      </c>
      <c r="C863">
        <v>17.8857</v>
      </c>
      <c r="D863">
        <v>16.781600000000001</v>
      </c>
      <c r="E863">
        <v>17.775300000000001</v>
      </c>
      <c r="F863">
        <v>52900</v>
      </c>
    </row>
    <row r="864" spans="1:6" x14ac:dyDescent="0.25">
      <c r="A864" s="4">
        <v>35674</v>
      </c>
      <c r="B864">
        <v>17.8857</v>
      </c>
      <c r="C864">
        <v>17.996099999999998</v>
      </c>
      <c r="D864">
        <v>16.5608</v>
      </c>
      <c r="E864">
        <v>16.671199999999999</v>
      </c>
      <c r="F864">
        <v>66453</v>
      </c>
    </row>
    <row r="865" spans="1:6" x14ac:dyDescent="0.25">
      <c r="A865" s="4">
        <v>35675</v>
      </c>
      <c r="B865">
        <v>16.781600000000001</v>
      </c>
      <c r="C865">
        <v>16.891999999999999</v>
      </c>
      <c r="D865">
        <v>16.008800000000001</v>
      </c>
      <c r="E865">
        <v>16.34</v>
      </c>
      <c r="F865">
        <v>83768</v>
      </c>
    </row>
    <row r="866" spans="1:6" x14ac:dyDescent="0.25">
      <c r="A866" s="4">
        <v>35676</v>
      </c>
      <c r="B866">
        <v>17.3337</v>
      </c>
      <c r="C866">
        <v>17.3337</v>
      </c>
      <c r="D866">
        <v>16.891999999999999</v>
      </c>
      <c r="E866">
        <v>17.3337</v>
      </c>
      <c r="F866">
        <v>57396</v>
      </c>
    </row>
    <row r="867" spans="1:6" x14ac:dyDescent="0.25">
      <c r="A867" s="4">
        <v>35677</v>
      </c>
      <c r="B867">
        <v>17.223299999999998</v>
      </c>
      <c r="C867">
        <v>17.223299999999998</v>
      </c>
      <c r="D867">
        <v>16.450399999999998</v>
      </c>
      <c r="E867">
        <v>16.671199999999999</v>
      </c>
      <c r="F867">
        <v>48333</v>
      </c>
    </row>
    <row r="868" spans="1:6" x14ac:dyDescent="0.25">
      <c r="A868" s="4">
        <v>35678</v>
      </c>
      <c r="B868">
        <v>17.002500000000001</v>
      </c>
      <c r="C868">
        <v>17.223299999999998</v>
      </c>
      <c r="D868">
        <v>16.671199999999999</v>
      </c>
      <c r="E868">
        <v>17.223299999999998</v>
      </c>
      <c r="F868">
        <v>45210</v>
      </c>
    </row>
    <row r="869" spans="1:6" x14ac:dyDescent="0.25">
      <c r="A869" s="4">
        <v>35679</v>
      </c>
      <c r="B869">
        <v>17.444099999999999</v>
      </c>
      <c r="C869">
        <v>17.444099999999999</v>
      </c>
      <c r="D869">
        <v>17.002500000000001</v>
      </c>
      <c r="E869">
        <v>17.002500000000001</v>
      </c>
      <c r="F869">
        <v>28443</v>
      </c>
    </row>
    <row r="870" spans="1:6" x14ac:dyDescent="0.25">
      <c r="A870" s="4">
        <v>35681</v>
      </c>
      <c r="B870">
        <v>17.002500000000001</v>
      </c>
      <c r="C870">
        <v>17.002500000000001</v>
      </c>
      <c r="D870">
        <v>16.119199999999999</v>
      </c>
      <c r="E870">
        <v>16.5608</v>
      </c>
      <c r="F870">
        <v>58544</v>
      </c>
    </row>
    <row r="871" spans="1:6" x14ac:dyDescent="0.25">
      <c r="A871" s="4">
        <v>35682</v>
      </c>
      <c r="B871">
        <v>16.450399999999998</v>
      </c>
      <c r="C871">
        <v>16.5608</v>
      </c>
      <c r="D871">
        <v>16.008800000000001</v>
      </c>
      <c r="E871">
        <v>16.284800000000001</v>
      </c>
      <c r="F871">
        <v>58576</v>
      </c>
    </row>
    <row r="872" spans="1:6" x14ac:dyDescent="0.25">
      <c r="A872" s="4">
        <v>35683</v>
      </c>
      <c r="B872">
        <v>16.5608</v>
      </c>
      <c r="C872">
        <v>16.891999999999999</v>
      </c>
      <c r="D872">
        <v>16.284800000000001</v>
      </c>
      <c r="E872">
        <v>16.34</v>
      </c>
      <c r="F872">
        <v>41286</v>
      </c>
    </row>
    <row r="873" spans="1:6" x14ac:dyDescent="0.25">
      <c r="A873" s="4">
        <v>35684</v>
      </c>
      <c r="B873">
        <v>16.119199999999999</v>
      </c>
      <c r="C873">
        <v>16.119199999999999</v>
      </c>
      <c r="D873">
        <v>15.6776</v>
      </c>
      <c r="E873">
        <v>16.064</v>
      </c>
      <c r="F873">
        <v>60594</v>
      </c>
    </row>
    <row r="874" spans="1:6" x14ac:dyDescent="0.25">
      <c r="A874" s="4">
        <v>35685</v>
      </c>
      <c r="B874">
        <v>16.064</v>
      </c>
      <c r="C874">
        <v>16.229600000000001</v>
      </c>
      <c r="D874">
        <v>15.898400000000001</v>
      </c>
      <c r="E874">
        <v>15.9536</v>
      </c>
      <c r="F874">
        <v>28475</v>
      </c>
    </row>
    <row r="875" spans="1:6" x14ac:dyDescent="0.25">
      <c r="A875" s="4">
        <v>35686</v>
      </c>
      <c r="B875">
        <v>16.008800000000001</v>
      </c>
      <c r="C875">
        <v>16.119199999999999</v>
      </c>
      <c r="D875">
        <v>15.236000000000001</v>
      </c>
      <c r="E875">
        <v>15.2912</v>
      </c>
      <c r="F875">
        <v>49236</v>
      </c>
    </row>
    <row r="876" spans="1:6" x14ac:dyDescent="0.25">
      <c r="A876" s="4">
        <v>35688</v>
      </c>
      <c r="B876">
        <v>14.9047</v>
      </c>
      <c r="C876">
        <v>15.0152</v>
      </c>
      <c r="D876">
        <v>14.573499999999999</v>
      </c>
      <c r="E876">
        <v>14.739100000000001</v>
      </c>
      <c r="F876">
        <v>57313</v>
      </c>
    </row>
    <row r="877" spans="1:6" x14ac:dyDescent="0.25">
      <c r="A877" s="4">
        <v>35690</v>
      </c>
      <c r="B877">
        <v>15.0152</v>
      </c>
      <c r="C877">
        <v>15.622400000000001</v>
      </c>
      <c r="D877">
        <v>15.0152</v>
      </c>
      <c r="E877">
        <v>15.456799999999999</v>
      </c>
      <c r="F877">
        <v>38235</v>
      </c>
    </row>
    <row r="878" spans="1:6" x14ac:dyDescent="0.25">
      <c r="A878" s="4">
        <v>35691</v>
      </c>
      <c r="B878">
        <v>15.456799999999999</v>
      </c>
      <c r="C878">
        <v>15.898400000000001</v>
      </c>
      <c r="D878">
        <v>15.236000000000001</v>
      </c>
      <c r="E878">
        <v>15.898400000000001</v>
      </c>
      <c r="F878">
        <v>28564</v>
      </c>
    </row>
    <row r="879" spans="1:6" x14ac:dyDescent="0.25">
      <c r="A879" s="4">
        <v>35692</v>
      </c>
      <c r="B879">
        <v>15.898400000000001</v>
      </c>
      <c r="C879">
        <v>16.5608</v>
      </c>
      <c r="D879">
        <v>15.8432</v>
      </c>
      <c r="E879">
        <v>16.34</v>
      </c>
      <c r="F879">
        <v>57253</v>
      </c>
    </row>
    <row r="880" spans="1:6" x14ac:dyDescent="0.25">
      <c r="A880" s="4">
        <v>35693</v>
      </c>
      <c r="B880">
        <v>16.34</v>
      </c>
      <c r="C880">
        <v>16.450399999999998</v>
      </c>
      <c r="D880">
        <v>16.119199999999999</v>
      </c>
      <c r="E880">
        <v>16.34</v>
      </c>
      <c r="F880">
        <v>22114</v>
      </c>
    </row>
    <row r="881" spans="1:6" x14ac:dyDescent="0.25">
      <c r="A881" s="4">
        <v>35695</v>
      </c>
      <c r="B881">
        <v>16.34</v>
      </c>
      <c r="C881">
        <v>16.450399999999998</v>
      </c>
      <c r="D881">
        <v>16.119199999999999</v>
      </c>
      <c r="E881">
        <v>16.119199999999999</v>
      </c>
      <c r="F881">
        <v>22604</v>
      </c>
    </row>
    <row r="882" spans="1:6" x14ac:dyDescent="0.25">
      <c r="A882" s="4">
        <v>35696</v>
      </c>
      <c r="B882">
        <v>16.119199999999999</v>
      </c>
      <c r="C882">
        <v>16.174399999999999</v>
      </c>
      <c r="D882">
        <v>15.5672</v>
      </c>
      <c r="E882">
        <v>15.5672</v>
      </c>
      <c r="F882">
        <v>36756</v>
      </c>
    </row>
    <row r="883" spans="1:6" x14ac:dyDescent="0.25">
      <c r="A883" s="4">
        <v>35697</v>
      </c>
      <c r="B883">
        <v>15.2912</v>
      </c>
      <c r="C883">
        <v>15.5672</v>
      </c>
      <c r="D883">
        <v>15.236000000000001</v>
      </c>
      <c r="E883">
        <v>15.5672</v>
      </c>
      <c r="F883">
        <v>28531</v>
      </c>
    </row>
    <row r="884" spans="1:6" x14ac:dyDescent="0.25">
      <c r="A884" s="4">
        <v>35698</v>
      </c>
      <c r="B884">
        <v>15.9536</v>
      </c>
      <c r="C884">
        <v>15.9536</v>
      </c>
      <c r="D884">
        <v>14.739100000000001</v>
      </c>
      <c r="E884">
        <v>14.9047</v>
      </c>
      <c r="F884">
        <v>56501</v>
      </c>
    </row>
    <row r="885" spans="1:6" x14ac:dyDescent="0.25">
      <c r="A885" s="4">
        <v>35699</v>
      </c>
      <c r="B885">
        <v>14.6839</v>
      </c>
      <c r="C885">
        <v>14.9047</v>
      </c>
      <c r="D885">
        <v>14.2423</v>
      </c>
      <c r="E885">
        <v>14.6287</v>
      </c>
      <c r="F885">
        <v>61641</v>
      </c>
    </row>
    <row r="886" spans="1:6" x14ac:dyDescent="0.25">
      <c r="A886" s="4">
        <v>35700</v>
      </c>
      <c r="B886">
        <v>14.9047</v>
      </c>
      <c r="C886">
        <v>15.456799999999999</v>
      </c>
      <c r="D886">
        <v>14.739100000000001</v>
      </c>
      <c r="E886">
        <v>15.4016</v>
      </c>
      <c r="F886">
        <v>35378</v>
      </c>
    </row>
    <row r="887" spans="1:6" x14ac:dyDescent="0.25">
      <c r="A887" s="4">
        <v>35703</v>
      </c>
      <c r="B887">
        <v>15.4016</v>
      </c>
      <c r="C887">
        <v>15.4016</v>
      </c>
      <c r="D887">
        <v>14.7943</v>
      </c>
      <c r="E887">
        <v>15.1256</v>
      </c>
      <c r="F887">
        <v>36312</v>
      </c>
    </row>
    <row r="888" spans="1:6" x14ac:dyDescent="0.25">
      <c r="A888" s="4">
        <v>35704</v>
      </c>
      <c r="B888">
        <v>15.236000000000001</v>
      </c>
      <c r="C888">
        <v>15.6776</v>
      </c>
      <c r="D888">
        <v>15.0152</v>
      </c>
      <c r="E888">
        <v>15.5672</v>
      </c>
      <c r="F888">
        <v>47694</v>
      </c>
    </row>
    <row r="889" spans="1:6" x14ac:dyDescent="0.25">
      <c r="A889" s="4">
        <v>35705</v>
      </c>
      <c r="B889">
        <v>15.6776</v>
      </c>
      <c r="C889">
        <v>15.898400000000001</v>
      </c>
      <c r="D889">
        <v>15.456799999999999</v>
      </c>
      <c r="E889">
        <v>15.732799999999999</v>
      </c>
      <c r="F889">
        <v>45860</v>
      </c>
    </row>
    <row r="890" spans="1:6" x14ac:dyDescent="0.25">
      <c r="A890" s="4">
        <v>35706</v>
      </c>
      <c r="B890">
        <v>15.512</v>
      </c>
      <c r="C890">
        <v>16.064</v>
      </c>
      <c r="D890">
        <v>15.346399999999999</v>
      </c>
      <c r="E890">
        <v>16.064</v>
      </c>
      <c r="F890">
        <v>38722</v>
      </c>
    </row>
    <row r="891" spans="1:6" x14ac:dyDescent="0.25">
      <c r="A891" s="4">
        <v>35707</v>
      </c>
      <c r="B891">
        <v>16.119199999999999</v>
      </c>
      <c r="C891">
        <v>16.229600000000001</v>
      </c>
      <c r="D891">
        <v>15.9536</v>
      </c>
      <c r="E891">
        <v>16.174399999999999</v>
      </c>
      <c r="F891">
        <v>57166</v>
      </c>
    </row>
    <row r="892" spans="1:6" x14ac:dyDescent="0.25">
      <c r="A892" s="4">
        <v>35709</v>
      </c>
      <c r="B892">
        <v>16.229600000000001</v>
      </c>
      <c r="C892">
        <v>16.395199999999999</v>
      </c>
      <c r="D892">
        <v>15.6776</v>
      </c>
      <c r="E892">
        <v>15.6776</v>
      </c>
      <c r="F892">
        <v>39353</v>
      </c>
    </row>
    <row r="893" spans="1:6" x14ac:dyDescent="0.25">
      <c r="A893" s="4">
        <v>35710</v>
      </c>
      <c r="B893">
        <v>15.456799999999999</v>
      </c>
      <c r="C893">
        <v>15.5672</v>
      </c>
      <c r="D893">
        <v>15.1256</v>
      </c>
      <c r="E893">
        <v>15.346399999999999</v>
      </c>
      <c r="F893">
        <v>52182</v>
      </c>
    </row>
    <row r="894" spans="1:6" x14ac:dyDescent="0.25">
      <c r="A894" s="4">
        <v>35711</v>
      </c>
      <c r="B894">
        <v>15.456799999999999</v>
      </c>
      <c r="C894">
        <v>15.6776</v>
      </c>
      <c r="D894">
        <v>15.236000000000001</v>
      </c>
      <c r="E894">
        <v>15.622400000000001</v>
      </c>
      <c r="F894">
        <v>33343</v>
      </c>
    </row>
    <row r="895" spans="1:6" x14ac:dyDescent="0.25">
      <c r="A895" s="4">
        <v>35712</v>
      </c>
      <c r="B895">
        <v>15.898400000000001</v>
      </c>
      <c r="C895">
        <v>16.34</v>
      </c>
      <c r="D895">
        <v>15.898400000000001</v>
      </c>
      <c r="E895">
        <v>16.229600000000001</v>
      </c>
      <c r="F895">
        <v>52742</v>
      </c>
    </row>
    <row r="896" spans="1:6" x14ac:dyDescent="0.25">
      <c r="A896" s="4">
        <v>35716</v>
      </c>
      <c r="B896">
        <v>17.1129</v>
      </c>
      <c r="C896">
        <v>17.3337</v>
      </c>
      <c r="D896">
        <v>16.781600000000001</v>
      </c>
      <c r="E896">
        <v>17.3337</v>
      </c>
      <c r="F896">
        <v>88062</v>
      </c>
    </row>
    <row r="897" spans="1:6" x14ac:dyDescent="0.25">
      <c r="A897" s="4">
        <v>35717</v>
      </c>
      <c r="B897">
        <v>17.3337</v>
      </c>
      <c r="C897">
        <v>17.3337</v>
      </c>
      <c r="D897">
        <v>17.002500000000001</v>
      </c>
      <c r="E897">
        <v>17.3337</v>
      </c>
      <c r="F897">
        <v>47121</v>
      </c>
    </row>
    <row r="898" spans="1:6" x14ac:dyDescent="0.25">
      <c r="A898" s="4">
        <v>35718</v>
      </c>
      <c r="B898">
        <v>17.002500000000001</v>
      </c>
      <c r="C898">
        <v>17.1129</v>
      </c>
      <c r="D898">
        <v>16.781600000000001</v>
      </c>
      <c r="E898">
        <v>16.781600000000001</v>
      </c>
      <c r="F898">
        <v>40301</v>
      </c>
    </row>
    <row r="899" spans="1:6" x14ac:dyDescent="0.25">
      <c r="A899" s="4">
        <v>35719</v>
      </c>
      <c r="B899">
        <v>16.450399999999998</v>
      </c>
      <c r="C899">
        <v>16.505600000000001</v>
      </c>
      <c r="D899">
        <v>15.6776</v>
      </c>
      <c r="E899">
        <v>16.008800000000001</v>
      </c>
      <c r="F899">
        <v>78232</v>
      </c>
    </row>
    <row r="900" spans="1:6" x14ac:dyDescent="0.25">
      <c r="A900" s="4">
        <v>35720</v>
      </c>
      <c r="B900">
        <v>15.788</v>
      </c>
      <c r="C900">
        <v>15.898400000000001</v>
      </c>
      <c r="D900">
        <v>14.9047</v>
      </c>
      <c r="E900">
        <v>15.346399999999999</v>
      </c>
      <c r="F900">
        <v>97960</v>
      </c>
    </row>
    <row r="901" spans="1:6" x14ac:dyDescent="0.25">
      <c r="A901" s="4">
        <v>35721</v>
      </c>
      <c r="B901">
        <v>14.297499999999999</v>
      </c>
      <c r="C901">
        <v>14.7943</v>
      </c>
      <c r="D901">
        <v>14.297499999999999</v>
      </c>
      <c r="E901">
        <v>14.297499999999999</v>
      </c>
      <c r="F901">
        <v>67264</v>
      </c>
    </row>
    <row r="902" spans="1:6" x14ac:dyDescent="0.25">
      <c r="A902" s="4">
        <v>35723</v>
      </c>
      <c r="B902">
        <v>13.5799</v>
      </c>
      <c r="C902">
        <v>13.7455</v>
      </c>
      <c r="D902">
        <v>13.303900000000001</v>
      </c>
      <c r="E902">
        <v>13.303900000000001</v>
      </c>
      <c r="F902">
        <v>50651</v>
      </c>
    </row>
    <row r="903" spans="1:6" x14ac:dyDescent="0.25">
      <c r="A903" s="4">
        <v>35724</v>
      </c>
      <c r="B903">
        <v>12.807</v>
      </c>
      <c r="C903">
        <v>14.187099999999999</v>
      </c>
      <c r="D903">
        <v>12.807</v>
      </c>
      <c r="E903">
        <v>14.187099999999999</v>
      </c>
      <c r="F903">
        <v>90573</v>
      </c>
    </row>
    <row r="904" spans="1:6" x14ac:dyDescent="0.25">
      <c r="A904" s="4">
        <v>35725</v>
      </c>
      <c r="B904">
        <v>14.5183</v>
      </c>
      <c r="C904">
        <v>14.5183</v>
      </c>
      <c r="D904">
        <v>13.248699999999999</v>
      </c>
      <c r="E904">
        <v>13.4695</v>
      </c>
      <c r="F904">
        <v>109127</v>
      </c>
    </row>
    <row r="905" spans="1:6" x14ac:dyDescent="0.25">
      <c r="A905" s="4">
        <v>35726</v>
      </c>
      <c r="B905">
        <v>13.690300000000001</v>
      </c>
      <c r="C905">
        <v>14.187099999999999</v>
      </c>
      <c r="D905">
        <v>13.248699999999999</v>
      </c>
      <c r="E905">
        <v>13.800700000000001</v>
      </c>
      <c r="F905">
        <v>72512</v>
      </c>
    </row>
    <row r="906" spans="1:6" x14ac:dyDescent="0.25">
      <c r="A906" s="4">
        <v>35727</v>
      </c>
      <c r="B906">
        <v>12.8622</v>
      </c>
      <c r="C906">
        <v>13.5799</v>
      </c>
      <c r="D906">
        <v>12.8622</v>
      </c>
      <c r="E906">
        <v>13.303900000000001</v>
      </c>
      <c r="F906">
        <v>70985</v>
      </c>
    </row>
    <row r="907" spans="1:6" x14ac:dyDescent="0.25">
      <c r="A907" s="4">
        <v>35730</v>
      </c>
      <c r="B907">
        <v>13.027900000000001</v>
      </c>
      <c r="C907">
        <v>13.3591</v>
      </c>
      <c r="D907">
        <v>12.807</v>
      </c>
      <c r="E907">
        <v>12.807</v>
      </c>
      <c r="F907">
        <v>70841</v>
      </c>
    </row>
    <row r="908" spans="1:6" x14ac:dyDescent="0.25">
      <c r="A908" s="4">
        <v>35731</v>
      </c>
      <c r="B908">
        <v>11.9238</v>
      </c>
      <c r="C908">
        <v>11.9238</v>
      </c>
      <c r="D908">
        <v>11.9238</v>
      </c>
      <c r="E908">
        <v>11.9238</v>
      </c>
      <c r="F908">
        <v>22564</v>
      </c>
    </row>
    <row r="909" spans="1:6" x14ac:dyDescent="0.25">
      <c r="A909" s="4">
        <v>35732</v>
      </c>
      <c r="B909">
        <v>12.255000000000001</v>
      </c>
      <c r="C909">
        <v>12.255000000000001</v>
      </c>
      <c r="D909">
        <v>11.095800000000001</v>
      </c>
      <c r="E909">
        <v>11.095800000000001</v>
      </c>
      <c r="F909">
        <v>106478</v>
      </c>
    </row>
    <row r="910" spans="1:6" x14ac:dyDescent="0.25">
      <c r="A910" s="4">
        <v>35733</v>
      </c>
      <c r="B910">
        <v>10.709300000000001</v>
      </c>
      <c r="C910">
        <v>11.0406</v>
      </c>
      <c r="D910">
        <v>10.3781</v>
      </c>
      <c r="E910">
        <v>10.7645</v>
      </c>
      <c r="F910">
        <v>93148</v>
      </c>
    </row>
    <row r="911" spans="1:6" x14ac:dyDescent="0.25">
      <c r="A911" s="4">
        <v>35737</v>
      </c>
      <c r="B911">
        <v>11.0406</v>
      </c>
      <c r="C911">
        <v>11.482200000000001</v>
      </c>
      <c r="D911">
        <v>11.0406</v>
      </c>
      <c r="E911">
        <v>11.482200000000001</v>
      </c>
      <c r="F911">
        <v>39163</v>
      </c>
    </row>
    <row r="912" spans="1:6" x14ac:dyDescent="0.25">
      <c r="A912" s="4">
        <v>35738</v>
      </c>
      <c r="B912">
        <v>12.255000000000001</v>
      </c>
      <c r="C912">
        <v>12.255000000000001</v>
      </c>
      <c r="D912">
        <v>12.255000000000001</v>
      </c>
      <c r="E912">
        <v>12.255000000000001</v>
      </c>
      <c r="F912">
        <v>26045</v>
      </c>
    </row>
    <row r="913" spans="1:6" x14ac:dyDescent="0.25">
      <c r="A913" s="4">
        <v>35739</v>
      </c>
      <c r="B913">
        <v>12.5862</v>
      </c>
      <c r="C913">
        <v>13.0831</v>
      </c>
      <c r="D913">
        <v>12.365399999999999</v>
      </c>
      <c r="E913">
        <v>13.0831</v>
      </c>
      <c r="F913">
        <v>97338</v>
      </c>
    </row>
    <row r="914" spans="1:6" x14ac:dyDescent="0.25">
      <c r="A914" s="4">
        <v>35740</v>
      </c>
      <c r="B914">
        <v>13.911099999999999</v>
      </c>
      <c r="C914">
        <v>13.9663</v>
      </c>
      <c r="D914">
        <v>13.7455</v>
      </c>
      <c r="E914">
        <v>13.9663</v>
      </c>
      <c r="F914">
        <v>38858</v>
      </c>
    </row>
    <row r="915" spans="1:6" x14ac:dyDescent="0.25">
      <c r="A915" s="4">
        <v>35741</v>
      </c>
      <c r="B915">
        <v>14.2423</v>
      </c>
      <c r="C915">
        <v>14.573499999999999</v>
      </c>
      <c r="D915">
        <v>13.303900000000001</v>
      </c>
      <c r="E915">
        <v>13.911099999999999</v>
      </c>
      <c r="F915">
        <v>121323</v>
      </c>
    </row>
    <row r="916" spans="1:6" x14ac:dyDescent="0.25">
      <c r="A916" s="4">
        <v>35742</v>
      </c>
      <c r="B916">
        <v>13.138299999999999</v>
      </c>
      <c r="C916">
        <v>13.5799</v>
      </c>
      <c r="D916">
        <v>13.027900000000001</v>
      </c>
      <c r="E916">
        <v>13.027900000000001</v>
      </c>
      <c r="F916">
        <v>98704</v>
      </c>
    </row>
    <row r="917" spans="1:6" x14ac:dyDescent="0.25">
      <c r="A917" s="4">
        <v>35744</v>
      </c>
      <c r="B917">
        <v>13.0831</v>
      </c>
      <c r="C917">
        <v>13.911099999999999</v>
      </c>
      <c r="D917">
        <v>13.027900000000001</v>
      </c>
      <c r="E917">
        <v>13.911099999999999</v>
      </c>
      <c r="F917">
        <v>99407</v>
      </c>
    </row>
    <row r="918" spans="1:6" x14ac:dyDescent="0.25">
      <c r="A918" s="4">
        <v>35745</v>
      </c>
      <c r="B918">
        <v>13.8559</v>
      </c>
      <c r="C918">
        <v>13.911099999999999</v>
      </c>
      <c r="D918">
        <v>13.3591</v>
      </c>
      <c r="E918">
        <v>13.800700000000001</v>
      </c>
      <c r="F918">
        <v>70026</v>
      </c>
    </row>
    <row r="919" spans="1:6" x14ac:dyDescent="0.25">
      <c r="A919" s="4">
        <v>35747</v>
      </c>
      <c r="B919">
        <v>13.027900000000001</v>
      </c>
      <c r="C919">
        <v>13.4695</v>
      </c>
      <c r="D919">
        <v>13.027900000000001</v>
      </c>
      <c r="E919">
        <v>13.3591</v>
      </c>
      <c r="F919">
        <v>66932</v>
      </c>
    </row>
    <row r="920" spans="1:6" x14ac:dyDescent="0.25">
      <c r="A920" s="4">
        <v>35748</v>
      </c>
      <c r="B920">
        <v>13.690300000000001</v>
      </c>
      <c r="C920">
        <v>13.800700000000001</v>
      </c>
      <c r="D920">
        <v>13.027900000000001</v>
      </c>
      <c r="E920">
        <v>13.138299999999999</v>
      </c>
      <c r="F920">
        <v>74787</v>
      </c>
    </row>
    <row r="921" spans="1:6" x14ac:dyDescent="0.25">
      <c r="A921" s="4">
        <v>35749</v>
      </c>
      <c r="B921">
        <v>13.248699999999999</v>
      </c>
      <c r="C921">
        <v>13.3591</v>
      </c>
      <c r="D921">
        <v>12.807</v>
      </c>
      <c r="E921">
        <v>13.138299999999999</v>
      </c>
      <c r="F921">
        <v>66575</v>
      </c>
    </row>
    <row r="922" spans="1:6" x14ac:dyDescent="0.25">
      <c r="A922" s="4">
        <v>35751</v>
      </c>
      <c r="B922">
        <v>13.3591</v>
      </c>
      <c r="C922">
        <v>13.9663</v>
      </c>
      <c r="D922">
        <v>13.1935</v>
      </c>
      <c r="E922">
        <v>13.911099999999999</v>
      </c>
      <c r="F922">
        <v>86223</v>
      </c>
    </row>
    <row r="923" spans="1:6" x14ac:dyDescent="0.25">
      <c r="A923" s="4">
        <v>35752</v>
      </c>
      <c r="B923">
        <v>14.2423</v>
      </c>
      <c r="C923">
        <v>14.463100000000001</v>
      </c>
      <c r="D923">
        <v>13.4695</v>
      </c>
      <c r="E923">
        <v>13.4695</v>
      </c>
      <c r="F923">
        <v>113998</v>
      </c>
    </row>
    <row r="924" spans="1:6" x14ac:dyDescent="0.25">
      <c r="A924" s="4">
        <v>35753</v>
      </c>
      <c r="B924">
        <v>13.248699999999999</v>
      </c>
      <c r="C924">
        <v>13.911099999999999</v>
      </c>
      <c r="D924">
        <v>13.1935</v>
      </c>
      <c r="E924">
        <v>13.8559</v>
      </c>
      <c r="F924">
        <v>50268</v>
      </c>
    </row>
    <row r="925" spans="1:6" x14ac:dyDescent="0.25">
      <c r="A925" s="4">
        <v>35754</v>
      </c>
      <c r="B925">
        <v>13.911099999999999</v>
      </c>
      <c r="C925">
        <v>13.9663</v>
      </c>
      <c r="D925">
        <v>13.4695</v>
      </c>
      <c r="E925">
        <v>13.4695</v>
      </c>
      <c r="F925">
        <v>58867</v>
      </c>
    </row>
    <row r="926" spans="1:6" x14ac:dyDescent="0.25">
      <c r="A926" s="4">
        <v>35755</v>
      </c>
      <c r="B926">
        <v>13.5799</v>
      </c>
      <c r="C926">
        <v>13.800700000000001</v>
      </c>
      <c r="D926">
        <v>13.4695</v>
      </c>
      <c r="E926">
        <v>13.5799</v>
      </c>
      <c r="F926">
        <v>42991</v>
      </c>
    </row>
    <row r="927" spans="1:6" x14ac:dyDescent="0.25">
      <c r="A927" s="4">
        <v>35756</v>
      </c>
      <c r="B927">
        <v>13.7455</v>
      </c>
      <c r="C927">
        <v>13.800700000000001</v>
      </c>
      <c r="D927">
        <v>13.5799</v>
      </c>
      <c r="E927">
        <v>13.5799</v>
      </c>
      <c r="F927">
        <v>35939</v>
      </c>
    </row>
    <row r="928" spans="1:6" x14ac:dyDescent="0.25">
      <c r="A928" s="4">
        <v>35758</v>
      </c>
      <c r="B928">
        <v>13.5799</v>
      </c>
      <c r="C928">
        <v>13.5799</v>
      </c>
      <c r="D928">
        <v>13.248699999999999</v>
      </c>
      <c r="E928">
        <v>13.248699999999999</v>
      </c>
      <c r="F928">
        <v>42788</v>
      </c>
    </row>
    <row r="929" spans="1:6" x14ac:dyDescent="0.25">
      <c r="A929" s="4">
        <v>35759</v>
      </c>
      <c r="B929">
        <v>13.138299999999999</v>
      </c>
      <c r="C929">
        <v>13.524699999999999</v>
      </c>
      <c r="D929">
        <v>13.138299999999999</v>
      </c>
      <c r="E929">
        <v>13.4695</v>
      </c>
      <c r="F929">
        <v>41035</v>
      </c>
    </row>
    <row r="930" spans="1:6" x14ac:dyDescent="0.25">
      <c r="A930" s="4">
        <v>35760</v>
      </c>
      <c r="B930">
        <v>13.5799</v>
      </c>
      <c r="C930">
        <v>13.5799</v>
      </c>
      <c r="D930">
        <v>13.138299999999999</v>
      </c>
      <c r="E930">
        <v>13.1935</v>
      </c>
      <c r="F930">
        <v>37319</v>
      </c>
    </row>
    <row r="931" spans="1:6" x14ac:dyDescent="0.25">
      <c r="A931" s="4">
        <v>35761</v>
      </c>
      <c r="B931">
        <v>13.248699999999999</v>
      </c>
      <c r="C931">
        <v>13.3591</v>
      </c>
      <c r="D931">
        <v>13.138299999999999</v>
      </c>
      <c r="E931">
        <v>13.3591</v>
      </c>
      <c r="F931">
        <v>24601</v>
      </c>
    </row>
    <row r="932" spans="1:6" x14ac:dyDescent="0.25">
      <c r="A932" s="4">
        <v>35762</v>
      </c>
      <c r="B932">
        <v>13.414300000000001</v>
      </c>
      <c r="C932">
        <v>13.6351</v>
      </c>
      <c r="D932">
        <v>13.248699999999999</v>
      </c>
      <c r="E932">
        <v>13.248699999999999</v>
      </c>
      <c r="F932">
        <v>36842</v>
      </c>
    </row>
    <row r="933" spans="1:6" x14ac:dyDescent="0.25">
      <c r="A933" s="4">
        <v>35765</v>
      </c>
      <c r="B933">
        <v>12.4758</v>
      </c>
      <c r="C933">
        <v>12.6966</v>
      </c>
      <c r="D933">
        <v>12.365399999999999</v>
      </c>
      <c r="E933">
        <v>12.365399999999999</v>
      </c>
      <c r="F933">
        <v>53741</v>
      </c>
    </row>
    <row r="934" spans="1:6" x14ac:dyDescent="0.25">
      <c r="A934" s="4">
        <v>35766</v>
      </c>
      <c r="B934">
        <v>12.4758</v>
      </c>
      <c r="C934">
        <v>12.917400000000001</v>
      </c>
      <c r="D934">
        <v>12.4206</v>
      </c>
      <c r="E934">
        <v>12.751799999999999</v>
      </c>
      <c r="F934">
        <v>71080</v>
      </c>
    </row>
    <row r="935" spans="1:6" x14ac:dyDescent="0.25">
      <c r="A935" s="4">
        <v>35767</v>
      </c>
      <c r="B935">
        <v>12.807</v>
      </c>
      <c r="C935">
        <v>13.138299999999999</v>
      </c>
      <c r="D935">
        <v>12.6966</v>
      </c>
      <c r="E935">
        <v>13.0831</v>
      </c>
      <c r="F935">
        <v>48604</v>
      </c>
    </row>
    <row r="936" spans="1:6" x14ac:dyDescent="0.25">
      <c r="A936" s="4">
        <v>35768</v>
      </c>
      <c r="B936">
        <v>13.248699999999999</v>
      </c>
      <c r="C936">
        <v>13.5799</v>
      </c>
      <c r="D936">
        <v>13.138299999999999</v>
      </c>
      <c r="E936">
        <v>13.524699999999999</v>
      </c>
      <c r="F936">
        <v>39430</v>
      </c>
    </row>
    <row r="937" spans="1:6" x14ac:dyDescent="0.25">
      <c r="A937" s="4">
        <v>35769</v>
      </c>
      <c r="B937">
        <v>13.690300000000001</v>
      </c>
      <c r="C937">
        <v>13.8559</v>
      </c>
      <c r="D937">
        <v>13.3591</v>
      </c>
      <c r="E937">
        <v>13.3591</v>
      </c>
      <c r="F937">
        <v>41581</v>
      </c>
    </row>
    <row r="938" spans="1:6" x14ac:dyDescent="0.25">
      <c r="A938" s="4">
        <v>35770</v>
      </c>
      <c r="B938">
        <v>13.5799</v>
      </c>
      <c r="C938">
        <v>13.800700000000001</v>
      </c>
      <c r="D938">
        <v>13.414300000000001</v>
      </c>
      <c r="E938">
        <v>13.6351</v>
      </c>
      <c r="F938">
        <v>39491</v>
      </c>
    </row>
    <row r="939" spans="1:6" x14ac:dyDescent="0.25">
      <c r="A939" s="4">
        <v>35772</v>
      </c>
      <c r="B939">
        <v>13.7455</v>
      </c>
      <c r="C939">
        <v>14.3527</v>
      </c>
      <c r="D939">
        <v>13.6351</v>
      </c>
      <c r="E939">
        <v>14.297499999999999</v>
      </c>
      <c r="F939">
        <v>67711</v>
      </c>
    </row>
    <row r="940" spans="1:6" x14ac:dyDescent="0.25">
      <c r="A940" s="4">
        <v>35773</v>
      </c>
      <c r="B940">
        <v>14.463100000000001</v>
      </c>
      <c r="C940">
        <v>14.463100000000001</v>
      </c>
      <c r="D940">
        <v>13.911099999999999</v>
      </c>
      <c r="E940">
        <v>13.911099999999999</v>
      </c>
      <c r="F940">
        <v>56072</v>
      </c>
    </row>
    <row r="941" spans="1:6" x14ac:dyDescent="0.25">
      <c r="A941" s="4">
        <v>35774</v>
      </c>
      <c r="B941">
        <v>13.8559</v>
      </c>
      <c r="C941">
        <v>14.1319</v>
      </c>
      <c r="D941">
        <v>13.800700000000001</v>
      </c>
      <c r="E941">
        <v>14.0215</v>
      </c>
      <c r="F941">
        <v>30710</v>
      </c>
    </row>
    <row r="942" spans="1:6" x14ac:dyDescent="0.25">
      <c r="A942" s="4">
        <v>35775</v>
      </c>
      <c r="B942">
        <v>13.7455</v>
      </c>
      <c r="C942">
        <v>13.800700000000001</v>
      </c>
      <c r="D942">
        <v>13.248699999999999</v>
      </c>
      <c r="E942">
        <v>13.6351</v>
      </c>
      <c r="F942">
        <v>41786</v>
      </c>
    </row>
    <row r="943" spans="1:6" x14ac:dyDescent="0.25">
      <c r="A943" s="4">
        <v>35776</v>
      </c>
      <c r="B943">
        <v>13.248699999999999</v>
      </c>
      <c r="C943">
        <v>13.690300000000001</v>
      </c>
      <c r="D943">
        <v>13.1935</v>
      </c>
      <c r="E943">
        <v>13.690300000000001</v>
      </c>
      <c r="F943">
        <v>34319</v>
      </c>
    </row>
    <row r="944" spans="1:6" x14ac:dyDescent="0.25">
      <c r="A944" s="4">
        <v>35777</v>
      </c>
      <c r="B944">
        <v>13.414300000000001</v>
      </c>
      <c r="C944">
        <v>13.5799</v>
      </c>
      <c r="D944">
        <v>13.3591</v>
      </c>
      <c r="E944">
        <v>13.4695</v>
      </c>
      <c r="F944">
        <v>23493</v>
      </c>
    </row>
    <row r="945" spans="1:6" x14ac:dyDescent="0.25">
      <c r="A945" s="4">
        <v>35779</v>
      </c>
      <c r="B945">
        <v>13.3591</v>
      </c>
      <c r="C945">
        <v>13.5799</v>
      </c>
      <c r="D945">
        <v>13.303900000000001</v>
      </c>
      <c r="E945">
        <v>13.3591</v>
      </c>
      <c r="F945">
        <v>16134</v>
      </c>
    </row>
    <row r="946" spans="1:6" x14ac:dyDescent="0.25">
      <c r="A946" s="4">
        <v>35780</v>
      </c>
      <c r="B946">
        <v>13.248699999999999</v>
      </c>
      <c r="C946">
        <v>13.524699999999999</v>
      </c>
      <c r="D946">
        <v>13.027900000000001</v>
      </c>
      <c r="E946">
        <v>13.027900000000001</v>
      </c>
      <c r="F946">
        <v>32623</v>
      </c>
    </row>
    <row r="947" spans="1:6" x14ac:dyDescent="0.25">
      <c r="A947" s="4">
        <v>35781</v>
      </c>
      <c r="B947">
        <v>13.248699999999999</v>
      </c>
      <c r="C947">
        <v>13.248699999999999</v>
      </c>
      <c r="D947">
        <v>13.027900000000001</v>
      </c>
      <c r="E947">
        <v>13.0831</v>
      </c>
      <c r="F947">
        <v>20016</v>
      </c>
    </row>
    <row r="948" spans="1:6" x14ac:dyDescent="0.25">
      <c r="A948" s="4">
        <v>35782</v>
      </c>
      <c r="B948">
        <v>13.027900000000001</v>
      </c>
      <c r="C948">
        <v>13.0831</v>
      </c>
      <c r="D948">
        <v>12.4758</v>
      </c>
      <c r="E948">
        <v>12.641400000000001</v>
      </c>
      <c r="F948">
        <v>51802</v>
      </c>
    </row>
    <row r="949" spans="1:6" x14ac:dyDescent="0.25">
      <c r="A949" s="4">
        <v>35783</v>
      </c>
      <c r="B949">
        <v>12.365399999999999</v>
      </c>
      <c r="C949">
        <v>12.365399999999999</v>
      </c>
      <c r="D949">
        <v>11.9238</v>
      </c>
      <c r="E949">
        <v>11.978999999999999</v>
      </c>
      <c r="F949">
        <v>53396</v>
      </c>
    </row>
    <row r="950" spans="1:6" x14ac:dyDescent="0.25">
      <c r="A950" s="4">
        <v>35784</v>
      </c>
      <c r="B950">
        <v>12.144600000000001</v>
      </c>
      <c r="C950">
        <v>12.4758</v>
      </c>
      <c r="D950">
        <v>12.144600000000001</v>
      </c>
      <c r="E950">
        <v>12.365399999999999</v>
      </c>
      <c r="F950">
        <v>24927</v>
      </c>
    </row>
    <row r="951" spans="1:6" x14ac:dyDescent="0.25">
      <c r="A951" s="4">
        <v>35786</v>
      </c>
      <c r="B951">
        <v>12.4206</v>
      </c>
      <c r="C951">
        <v>12.4758</v>
      </c>
      <c r="D951">
        <v>12.0342</v>
      </c>
      <c r="E951">
        <v>12.0342</v>
      </c>
      <c r="F951">
        <v>17441</v>
      </c>
    </row>
    <row r="952" spans="1:6" x14ac:dyDescent="0.25">
      <c r="A952" s="4">
        <v>35787</v>
      </c>
      <c r="B952">
        <v>12.255000000000001</v>
      </c>
      <c r="C952">
        <v>12.365399999999999</v>
      </c>
      <c r="D952">
        <v>12.0342</v>
      </c>
      <c r="E952">
        <v>12.0342</v>
      </c>
      <c r="F952">
        <v>14678</v>
      </c>
    </row>
    <row r="953" spans="1:6" x14ac:dyDescent="0.25">
      <c r="A953" s="4">
        <v>35788</v>
      </c>
      <c r="B953">
        <v>11.8134</v>
      </c>
      <c r="C953">
        <v>12.531000000000001</v>
      </c>
      <c r="D953">
        <v>11.702999999999999</v>
      </c>
      <c r="E953">
        <v>12.4758</v>
      </c>
      <c r="F953">
        <v>23766</v>
      </c>
    </row>
    <row r="954" spans="1:6" x14ac:dyDescent="0.25">
      <c r="A954" s="4">
        <v>35790</v>
      </c>
      <c r="B954">
        <v>12.531000000000001</v>
      </c>
      <c r="C954">
        <v>12.5862</v>
      </c>
      <c r="D954">
        <v>12.255000000000001</v>
      </c>
      <c r="E954">
        <v>12.255000000000001</v>
      </c>
      <c r="F954">
        <v>15063</v>
      </c>
    </row>
    <row r="955" spans="1:6" x14ac:dyDescent="0.25">
      <c r="A955" s="4">
        <v>35791</v>
      </c>
      <c r="B955">
        <v>12.365399999999999</v>
      </c>
      <c r="C955">
        <v>12.4758</v>
      </c>
      <c r="D955">
        <v>12.144600000000001</v>
      </c>
      <c r="E955">
        <v>12.144600000000001</v>
      </c>
      <c r="F955">
        <v>7650</v>
      </c>
    </row>
    <row r="956" spans="1:6" x14ac:dyDescent="0.25">
      <c r="A956" s="4">
        <v>35793</v>
      </c>
      <c r="B956">
        <v>12.1998</v>
      </c>
      <c r="C956">
        <v>12.1998</v>
      </c>
      <c r="D956">
        <v>11.978999999999999</v>
      </c>
      <c r="E956">
        <v>12.144600000000001</v>
      </c>
      <c r="F956">
        <v>6450</v>
      </c>
    </row>
    <row r="957" spans="1:6" x14ac:dyDescent="0.25">
      <c r="A957" s="4">
        <v>35794</v>
      </c>
      <c r="B957">
        <v>12.365399999999999</v>
      </c>
      <c r="C957">
        <v>12.4758</v>
      </c>
      <c r="D957">
        <v>12.255000000000001</v>
      </c>
      <c r="E957">
        <v>12.3102</v>
      </c>
      <c r="F957">
        <v>12889</v>
      </c>
    </row>
    <row r="958" spans="1:6" x14ac:dyDescent="0.25">
      <c r="A958" s="4">
        <v>35795</v>
      </c>
      <c r="B958">
        <v>12.5862</v>
      </c>
      <c r="C958">
        <v>12.641400000000001</v>
      </c>
      <c r="D958">
        <v>12.365399999999999</v>
      </c>
      <c r="E958">
        <v>12.365399999999999</v>
      </c>
      <c r="F958">
        <v>15882</v>
      </c>
    </row>
    <row r="959" spans="1:6" x14ac:dyDescent="0.25">
      <c r="A959" s="4">
        <v>35798</v>
      </c>
      <c r="B959">
        <v>12.531000000000001</v>
      </c>
      <c r="C959">
        <v>12.6966</v>
      </c>
      <c r="D959">
        <v>12.365399999999999</v>
      </c>
      <c r="E959">
        <v>12.5862</v>
      </c>
      <c r="F959">
        <v>10838</v>
      </c>
    </row>
    <row r="960" spans="1:6" x14ac:dyDescent="0.25">
      <c r="A960" s="4">
        <v>35800</v>
      </c>
      <c r="B960">
        <v>12.5862</v>
      </c>
      <c r="C960">
        <v>12.5862</v>
      </c>
      <c r="D960">
        <v>12.3102</v>
      </c>
      <c r="E960">
        <v>12.365399999999999</v>
      </c>
      <c r="F960">
        <v>9044</v>
      </c>
    </row>
    <row r="961" spans="1:6" x14ac:dyDescent="0.25">
      <c r="A961" s="4">
        <v>35801</v>
      </c>
      <c r="B961">
        <v>12.255000000000001</v>
      </c>
      <c r="C961">
        <v>12.4758</v>
      </c>
      <c r="D961">
        <v>12.144600000000001</v>
      </c>
      <c r="E961">
        <v>12.4758</v>
      </c>
      <c r="F961">
        <v>8670</v>
      </c>
    </row>
    <row r="962" spans="1:6" x14ac:dyDescent="0.25">
      <c r="A962" s="4">
        <v>35802</v>
      </c>
      <c r="B962">
        <v>12.4206</v>
      </c>
      <c r="C962">
        <v>12.5862</v>
      </c>
      <c r="D962">
        <v>12.255000000000001</v>
      </c>
      <c r="E962">
        <v>12.3102</v>
      </c>
      <c r="F962">
        <v>9058</v>
      </c>
    </row>
    <row r="963" spans="1:6" x14ac:dyDescent="0.25">
      <c r="A963" s="4">
        <v>35803</v>
      </c>
      <c r="B963">
        <v>12.255000000000001</v>
      </c>
      <c r="C963">
        <v>12.4206</v>
      </c>
      <c r="D963">
        <v>12.1998</v>
      </c>
      <c r="E963">
        <v>12.255000000000001</v>
      </c>
      <c r="F963">
        <v>12049</v>
      </c>
    </row>
    <row r="964" spans="1:6" x14ac:dyDescent="0.25">
      <c r="A964" s="4">
        <v>35804</v>
      </c>
      <c r="B964">
        <v>12.089399999999999</v>
      </c>
      <c r="C964">
        <v>12.255000000000001</v>
      </c>
      <c r="D964">
        <v>11.7582</v>
      </c>
      <c r="E964">
        <v>11.978999999999999</v>
      </c>
      <c r="F964">
        <v>31533</v>
      </c>
    </row>
    <row r="965" spans="1:6" x14ac:dyDescent="0.25">
      <c r="A965" s="4">
        <v>35807</v>
      </c>
      <c r="B965">
        <v>11.427</v>
      </c>
      <c r="C965">
        <v>11.5374</v>
      </c>
      <c r="D965">
        <v>11.151</v>
      </c>
      <c r="E965">
        <v>11.151</v>
      </c>
      <c r="F965">
        <v>38343</v>
      </c>
    </row>
    <row r="966" spans="1:6" x14ac:dyDescent="0.25">
      <c r="A966" s="4">
        <v>35808</v>
      </c>
      <c r="B966">
        <v>11.2614</v>
      </c>
      <c r="C966">
        <v>11.3718</v>
      </c>
      <c r="D966">
        <v>11.0406</v>
      </c>
      <c r="E966">
        <v>11.151</v>
      </c>
      <c r="F966">
        <v>26573</v>
      </c>
    </row>
    <row r="967" spans="1:6" x14ac:dyDescent="0.25">
      <c r="A967" s="4">
        <v>35809</v>
      </c>
      <c r="B967">
        <v>11.8134</v>
      </c>
      <c r="C967">
        <v>11.9238</v>
      </c>
      <c r="D967">
        <v>11.5374</v>
      </c>
      <c r="E967">
        <v>11.9238</v>
      </c>
      <c r="F967">
        <v>29099</v>
      </c>
    </row>
    <row r="968" spans="1:6" x14ac:dyDescent="0.25">
      <c r="A968" s="4">
        <v>35810</v>
      </c>
      <c r="B968">
        <v>12.144600000000001</v>
      </c>
      <c r="C968">
        <v>12.365399999999999</v>
      </c>
      <c r="D968">
        <v>11.978999999999999</v>
      </c>
      <c r="E968">
        <v>12.0342</v>
      </c>
      <c r="F968">
        <v>25056</v>
      </c>
    </row>
    <row r="969" spans="1:6" x14ac:dyDescent="0.25">
      <c r="A969" s="4">
        <v>35811</v>
      </c>
      <c r="B969">
        <v>11.978999999999999</v>
      </c>
      <c r="C969">
        <v>12.365399999999999</v>
      </c>
      <c r="D969">
        <v>11.868600000000001</v>
      </c>
      <c r="E969">
        <v>11.9238</v>
      </c>
      <c r="F969">
        <v>26117</v>
      </c>
    </row>
    <row r="970" spans="1:6" x14ac:dyDescent="0.25">
      <c r="A970" s="4">
        <v>35812</v>
      </c>
      <c r="B970">
        <v>12.144600000000001</v>
      </c>
      <c r="C970">
        <v>12.4758</v>
      </c>
      <c r="D970">
        <v>12.089399999999999</v>
      </c>
      <c r="E970">
        <v>12.1998</v>
      </c>
      <c r="F970">
        <v>17420</v>
      </c>
    </row>
    <row r="971" spans="1:6" x14ac:dyDescent="0.25">
      <c r="A971" s="4">
        <v>35814</v>
      </c>
      <c r="B971">
        <v>12.365399999999999</v>
      </c>
      <c r="C971">
        <v>12.365399999999999</v>
      </c>
      <c r="D971">
        <v>11.978999999999999</v>
      </c>
      <c r="E971">
        <v>11.978999999999999</v>
      </c>
      <c r="F971">
        <v>19662</v>
      </c>
    </row>
    <row r="972" spans="1:6" x14ac:dyDescent="0.25">
      <c r="A972" s="4">
        <v>35815</v>
      </c>
      <c r="B972">
        <v>12.089399999999999</v>
      </c>
      <c r="C972">
        <v>12.4758</v>
      </c>
      <c r="D972">
        <v>12.0342</v>
      </c>
      <c r="E972">
        <v>12.365399999999999</v>
      </c>
      <c r="F972">
        <v>23977</v>
      </c>
    </row>
    <row r="973" spans="1:6" x14ac:dyDescent="0.25">
      <c r="A973" s="4">
        <v>35816</v>
      </c>
      <c r="B973">
        <v>12.807</v>
      </c>
      <c r="C973">
        <v>13.1935</v>
      </c>
      <c r="D973">
        <v>12.641400000000001</v>
      </c>
      <c r="E973">
        <v>13.1935</v>
      </c>
      <c r="F973">
        <v>57907</v>
      </c>
    </row>
    <row r="974" spans="1:6" x14ac:dyDescent="0.25">
      <c r="A974" s="4">
        <v>35817</v>
      </c>
      <c r="B974">
        <v>13.1935</v>
      </c>
      <c r="C974">
        <v>13.248699999999999</v>
      </c>
      <c r="D974">
        <v>12.917400000000001</v>
      </c>
      <c r="E974">
        <v>12.9726</v>
      </c>
      <c r="F974">
        <v>39881</v>
      </c>
    </row>
    <row r="975" spans="1:6" x14ac:dyDescent="0.25">
      <c r="A975" s="4">
        <v>35828</v>
      </c>
      <c r="B975">
        <v>13.8559</v>
      </c>
      <c r="C975">
        <v>13.8559</v>
      </c>
      <c r="D975">
        <v>13.8559</v>
      </c>
      <c r="E975">
        <v>13.8559</v>
      </c>
      <c r="F975">
        <v>22611</v>
      </c>
    </row>
    <row r="976" spans="1:6" x14ac:dyDescent="0.25">
      <c r="A976" s="4">
        <v>35829</v>
      </c>
      <c r="B976">
        <v>14.7943</v>
      </c>
      <c r="C976">
        <v>14.7943</v>
      </c>
      <c r="D976">
        <v>14.7943</v>
      </c>
      <c r="E976">
        <v>14.7943</v>
      </c>
      <c r="F976">
        <v>42078</v>
      </c>
    </row>
    <row r="977" spans="1:6" x14ac:dyDescent="0.25">
      <c r="A977" s="4">
        <v>35830</v>
      </c>
      <c r="B977">
        <v>15.622400000000001</v>
      </c>
      <c r="C977">
        <v>15.622400000000001</v>
      </c>
      <c r="D977">
        <v>15.0152</v>
      </c>
      <c r="E977">
        <v>15.456799999999999</v>
      </c>
      <c r="F977">
        <v>97826</v>
      </c>
    </row>
    <row r="978" spans="1:6" x14ac:dyDescent="0.25">
      <c r="A978" s="4">
        <v>35831</v>
      </c>
      <c r="B978">
        <v>15.2912</v>
      </c>
      <c r="C978">
        <v>15.9536</v>
      </c>
      <c r="D978">
        <v>15.236000000000001</v>
      </c>
      <c r="E978">
        <v>15.732799999999999</v>
      </c>
      <c r="F978">
        <v>90184</v>
      </c>
    </row>
    <row r="979" spans="1:6" x14ac:dyDescent="0.25">
      <c r="A979" s="4">
        <v>35832</v>
      </c>
      <c r="B979">
        <v>15.456799999999999</v>
      </c>
      <c r="C979">
        <v>15.898400000000001</v>
      </c>
      <c r="D979">
        <v>14.7943</v>
      </c>
      <c r="E979">
        <v>15.1808</v>
      </c>
      <c r="F979">
        <v>86252</v>
      </c>
    </row>
    <row r="980" spans="1:6" x14ac:dyDescent="0.25">
      <c r="A980" s="4">
        <v>35833</v>
      </c>
      <c r="B980">
        <v>15.6776</v>
      </c>
      <c r="C980">
        <v>15.732799999999999</v>
      </c>
      <c r="D980">
        <v>15.236000000000001</v>
      </c>
      <c r="E980">
        <v>15.6776</v>
      </c>
      <c r="F980">
        <v>72994</v>
      </c>
    </row>
    <row r="981" spans="1:6" x14ac:dyDescent="0.25">
      <c r="A981" s="4">
        <v>35835</v>
      </c>
      <c r="B981">
        <v>15.898400000000001</v>
      </c>
      <c r="C981">
        <v>16.229600000000001</v>
      </c>
      <c r="D981">
        <v>15.456799999999999</v>
      </c>
      <c r="E981">
        <v>15.456799999999999</v>
      </c>
      <c r="F981">
        <v>98962</v>
      </c>
    </row>
    <row r="982" spans="1:6" x14ac:dyDescent="0.25">
      <c r="A982" s="4">
        <v>35836</v>
      </c>
      <c r="B982">
        <v>15.5672</v>
      </c>
      <c r="C982">
        <v>15.788</v>
      </c>
      <c r="D982">
        <v>15.346399999999999</v>
      </c>
      <c r="E982">
        <v>15.6776</v>
      </c>
      <c r="F982">
        <v>60281</v>
      </c>
    </row>
    <row r="983" spans="1:6" x14ac:dyDescent="0.25">
      <c r="A983" s="4">
        <v>35837</v>
      </c>
      <c r="B983">
        <v>16.229600000000001</v>
      </c>
      <c r="C983">
        <v>16.395199999999999</v>
      </c>
      <c r="D983">
        <v>16.008800000000001</v>
      </c>
      <c r="E983">
        <v>16.119199999999999</v>
      </c>
      <c r="F983">
        <v>94245</v>
      </c>
    </row>
    <row r="984" spans="1:6" x14ac:dyDescent="0.25">
      <c r="A984" s="4">
        <v>35838</v>
      </c>
      <c r="B984">
        <v>16.284800000000001</v>
      </c>
      <c r="C984">
        <v>16.781600000000001</v>
      </c>
      <c r="D984">
        <v>16.119199999999999</v>
      </c>
      <c r="E984">
        <v>16.395199999999999</v>
      </c>
      <c r="F984">
        <v>94498</v>
      </c>
    </row>
    <row r="985" spans="1:6" x14ac:dyDescent="0.25">
      <c r="A985" s="4">
        <v>35839</v>
      </c>
      <c r="B985">
        <v>16.5608</v>
      </c>
      <c r="C985">
        <v>16.671199999999999</v>
      </c>
      <c r="D985">
        <v>15.788</v>
      </c>
      <c r="E985">
        <v>15.788</v>
      </c>
      <c r="F985">
        <v>84292</v>
      </c>
    </row>
    <row r="986" spans="1:6" x14ac:dyDescent="0.25">
      <c r="A986" s="4">
        <v>35842</v>
      </c>
      <c r="B986">
        <v>15.346399999999999</v>
      </c>
      <c r="C986">
        <v>16.119199999999999</v>
      </c>
      <c r="D986">
        <v>15.346399999999999</v>
      </c>
      <c r="E986">
        <v>16.119199999999999</v>
      </c>
      <c r="F986">
        <v>58471</v>
      </c>
    </row>
    <row r="987" spans="1:6" x14ac:dyDescent="0.25">
      <c r="A987" s="4">
        <v>35843</v>
      </c>
      <c r="B987">
        <v>16.450399999999998</v>
      </c>
      <c r="C987">
        <v>16.781600000000001</v>
      </c>
      <c r="D987">
        <v>16.34</v>
      </c>
      <c r="E987">
        <v>16.5608</v>
      </c>
      <c r="F987">
        <v>123214</v>
      </c>
    </row>
    <row r="988" spans="1:6" x14ac:dyDescent="0.25">
      <c r="A988" s="4">
        <v>35844</v>
      </c>
      <c r="B988">
        <v>16.891999999999999</v>
      </c>
      <c r="C988">
        <v>17.1129</v>
      </c>
      <c r="D988">
        <v>16.671199999999999</v>
      </c>
      <c r="E988">
        <v>17.002500000000001</v>
      </c>
      <c r="F988">
        <v>76565</v>
      </c>
    </row>
    <row r="989" spans="1:6" x14ac:dyDescent="0.25">
      <c r="A989" s="4">
        <v>35845</v>
      </c>
      <c r="B989">
        <v>17.223299999999998</v>
      </c>
      <c r="C989">
        <v>17.664899999999999</v>
      </c>
      <c r="D989">
        <v>17.223299999999998</v>
      </c>
      <c r="E989">
        <v>17.664899999999999</v>
      </c>
      <c r="F989">
        <v>90378</v>
      </c>
    </row>
    <row r="990" spans="1:6" x14ac:dyDescent="0.25">
      <c r="A990" s="4">
        <v>35846</v>
      </c>
      <c r="B990">
        <v>18.1065</v>
      </c>
      <c r="C990">
        <v>18.1065</v>
      </c>
      <c r="D990">
        <v>17.664899999999999</v>
      </c>
      <c r="E990">
        <v>17.775300000000001</v>
      </c>
      <c r="F990">
        <v>79723</v>
      </c>
    </row>
    <row r="991" spans="1:6" x14ac:dyDescent="0.25">
      <c r="A991" s="4">
        <v>35847</v>
      </c>
      <c r="B991">
        <v>17.775300000000001</v>
      </c>
      <c r="C991">
        <v>17.8857</v>
      </c>
      <c r="D991">
        <v>17.444099999999999</v>
      </c>
      <c r="E991">
        <v>17.664899999999999</v>
      </c>
      <c r="F991">
        <v>45760</v>
      </c>
    </row>
    <row r="992" spans="1:6" x14ac:dyDescent="0.25">
      <c r="A992" s="4">
        <v>35849</v>
      </c>
      <c r="B992">
        <v>17.444099999999999</v>
      </c>
      <c r="C992">
        <v>17.554500000000001</v>
      </c>
      <c r="D992">
        <v>17.1129</v>
      </c>
      <c r="E992">
        <v>17.3337</v>
      </c>
      <c r="F992">
        <v>57236</v>
      </c>
    </row>
    <row r="993" spans="1:6" x14ac:dyDescent="0.25">
      <c r="A993" s="4">
        <v>35850</v>
      </c>
      <c r="B993">
        <v>18.4377</v>
      </c>
      <c r="C993">
        <v>18.4377</v>
      </c>
      <c r="D993">
        <v>17.775300000000001</v>
      </c>
      <c r="E993">
        <v>18.216899999999999</v>
      </c>
      <c r="F993">
        <v>113460</v>
      </c>
    </row>
    <row r="994" spans="1:6" x14ac:dyDescent="0.25">
      <c r="A994" s="4">
        <v>35851</v>
      </c>
      <c r="B994">
        <v>17.996099999999998</v>
      </c>
      <c r="C994">
        <v>18.4377</v>
      </c>
      <c r="D994">
        <v>17.996099999999998</v>
      </c>
      <c r="E994">
        <v>17.996099999999998</v>
      </c>
      <c r="F994">
        <v>57874</v>
      </c>
    </row>
    <row r="995" spans="1:6" x14ac:dyDescent="0.25">
      <c r="A995" s="4">
        <v>35852</v>
      </c>
      <c r="B995">
        <v>18.4377</v>
      </c>
      <c r="C995">
        <v>18.768899999999999</v>
      </c>
      <c r="D995">
        <v>18.216899999999999</v>
      </c>
      <c r="E995">
        <v>18.6585</v>
      </c>
      <c r="F995">
        <v>82770</v>
      </c>
    </row>
    <row r="996" spans="1:6" x14ac:dyDescent="0.25">
      <c r="A996" s="4">
        <v>35853</v>
      </c>
      <c r="B996">
        <v>18.989699999999999</v>
      </c>
      <c r="C996">
        <v>19.100200000000001</v>
      </c>
      <c r="D996">
        <v>18.4377</v>
      </c>
      <c r="E996">
        <v>18.4377</v>
      </c>
      <c r="F996">
        <v>67421</v>
      </c>
    </row>
    <row r="997" spans="1:6" x14ac:dyDescent="0.25">
      <c r="A997" s="4">
        <v>35856</v>
      </c>
      <c r="B997">
        <v>18.548100000000002</v>
      </c>
      <c r="C997">
        <v>18.6585</v>
      </c>
      <c r="D997">
        <v>18.216899999999999</v>
      </c>
      <c r="E997">
        <v>18.327300000000001</v>
      </c>
      <c r="F997">
        <v>31221</v>
      </c>
    </row>
    <row r="998" spans="1:6" x14ac:dyDescent="0.25">
      <c r="A998" s="4">
        <v>35857</v>
      </c>
      <c r="B998">
        <v>18.1065</v>
      </c>
      <c r="C998">
        <v>18.216899999999999</v>
      </c>
      <c r="D998">
        <v>17.664899999999999</v>
      </c>
      <c r="E998">
        <v>18.1065</v>
      </c>
      <c r="F998">
        <v>53700</v>
      </c>
    </row>
    <row r="999" spans="1:6" x14ac:dyDescent="0.25">
      <c r="A999" s="4">
        <v>35858</v>
      </c>
      <c r="B999">
        <v>18.216899999999999</v>
      </c>
      <c r="C999">
        <v>18.216899999999999</v>
      </c>
      <c r="D999">
        <v>17.1129</v>
      </c>
      <c r="E999">
        <v>17.3337</v>
      </c>
      <c r="F999">
        <v>66718</v>
      </c>
    </row>
    <row r="1000" spans="1:6" x14ac:dyDescent="0.25">
      <c r="A1000" s="4">
        <v>35859</v>
      </c>
      <c r="B1000">
        <v>17.002500000000001</v>
      </c>
      <c r="C1000">
        <v>17.223299999999998</v>
      </c>
      <c r="D1000">
        <v>16.5608</v>
      </c>
      <c r="E1000">
        <v>16.5608</v>
      </c>
      <c r="F1000">
        <v>93341</v>
      </c>
    </row>
    <row r="1001" spans="1:6" x14ac:dyDescent="0.25">
      <c r="A1001" s="4">
        <v>35860</v>
      </c>
      <c r="B1001">
        <v>15.788</v>
      </c>
      <c r="C1001">
        <v>17.002500000000001</v>
      </c>
      <c r="D1001">
        <v>15.788</v>
      </c>
      <c r="E1001">
        <v>17.002500000000001</v>
      </c>
      <c r="F1001">
        <v>79728</v>
      </c>
    </row>
    <row r="1002" spans="1:6" x14ac:dyDescent="0.25">
      <c r="A1002" s="4">
        <v>35861</v>
      </c>
      <c r="B1002">
        <v>17.3337</v>
      </c>
      <c r="C1002">
        <v>17.3337</v>
      </c>
      <c r="D1002">
        <v>16.5608</v>
      </c>
      <c r="E1002">
        <v>16.5608</v>
      </c>
      <c r="F1002">
        <v>49916</v>
      </c>
    </row>
    <row r="1003" spans="1:6" x14ac:dyDescent="0.25">
      <c r="A1003" s="4">
        <v>35863</v>
      </c>
      <c r="B1003">
        <v>16.284800000000001</v>
      </c>
      <c r="C1003">
        <v>16.450399999999998</v>
      </c>
      <c r="D1003">
        <v>16.008800000000001</v>
      </c>
      <c r="E1003">
        <v>16.34</v>
      </c>
      <c r="F1003">
        <v>37606</v>
      </c>
    </row>
    <row r="1004" spans="1:6" x14ac:dyDescent="0.25">
      <c r="A1004" s="4">
        <v>35864</v>
      </c>
      <c r="B1004">
        <v>16.671199999999999</v>
      </c>
      <c r="C1004">
        <v>16.891999999999999</v>
      </c>
      <c r="D1004">
        <v>16.5608</v>
      </c>
      <c r="E1004">
        <v>16.781600000000001</v>
      </c>
      <c r="F1004">
        <v>37916</v>
      </c>
    </row>
    <row r="1005" spans="1:6" x14ac:dyDescent="0.25">
      <c r="A1005" s="4">
        <v>35865</v>
      </c>
      <c r="B1005">
        <v>17.1129</v>
      </c>
      <c r="C1005">
        <v>17.223299999999998</v>
      </c>
      <c r="D1005">
        <v>16.891999999999999</v>
      </c>
      <c r="E1005">
        <v>17.223299999999998</v>
      </c>
      <c r="F1005">
        <v>45522</v>
      </c>
    </row>
    <row r="1006" spans="1:6" x14ac:dyDescent="0.25">
      <c r="A1006" s="4">
        <v>35866</v>
      </c>
      <c r="B1006">
        <v>17.554500000000001</v>
      </c>
      <c r="C1006">
        <v>17.554500000000001</v>
      </c>
      <c r="D1006">
        <v>17.002500000000001</v>
      </c>
      <c r="E1006">
        <v>17.002500000000001</v>
      </c>
      <c r="F1006">
        <v>39911</v>
      </c>
    </row>
    <row r="1007" spans="1:6" x14ac:dyDescent="0.25">
      <c r="A1007" s="4">
        <v>35867</v>
      </c>
      <c r="B1007">
        <v>17.002500000000001</v>
      </c>
      <c r="C1007">
        <v>17.223299999999998</v>
      </c>
      <c r="D1007">
        <v>16.891999999999999</v>
      </c>
      <c r="E1007">
        <v>17.223299999999998</v>
      </c>
      <c r="F1007">
        <v>23047</v>
      </c>
    </row>
    <row r="1008" spans="1:6" x14ac:dyDescent="0.25">
      <c r="A1008" s="4">
        <v>35870</v>
      </c>
      <c r="B1008">
        <v>17.3337</v>
      </c>
      <c r="C1008">
        <v>17.775300000000001</v>
      </c>
      <c r="D1008">
        <v>17.1129</v>
      </c>
      <c r="E1008">
        <v>17.775300000000001</v>
      </c>
      <c r="F1008">
        <v>43953</v>
      </c>
    </row>
    <row r="1009" spans="1:6" x14ac:dyDescent="0.25">
      <c r="A1009" s="4">
        <v>35871</v>
      </c>
      <c r="B1009">
        <v>17.996099999999998</v>
      </c>
      <c r="C1009">
        <v>18.216899999999999</v>
      </c>
      <c r="D1009">
        <v>17.775300000000001</v>
      </c>
      <c r="E1009">
        <v>17.775300000000001</v>
      </c>
      <c r="F1009">
        <v>51593</v>
      </c>
    </row>
    <row r="1010" spans="1:6" x14ac:dyDescent="0.25">
      <c r="A1010" s="4">
        <v>35872</v>
      </c>
      <c r="B1010">
        <v>17.444099999999999</v>
      </c>
      <c r="C1010">
        <v>17.664899999999999</v>
      </c>
      <c r="D1010">
        <v>17.3337</v>
      </c>
      <c r="E1010">
        <v>17.3337</v>
      </c>
      <c r="F1010">
        <v>39518</v>
      </c>
    </row>
    <row r="1011" spans="1:6" x14ac:dyDescent="0.25">
      <c r="A1011" s="4">
        <v>35873</v>
      </c>
      <c r="B1011">
        <v>17.223299999999998</v>
      </c>
      <c r="C1011">
        <v>17.554500000000001</v>
      </c>
      <c r="D1011">
        <v>17.223299999999998</v>
      </c>
      <c r="E1011">
        <v>17.554500000000001</v>
      </c>
      <c r="F1011">
        <v>26743</v>
      </c>
    </row>
    <row r="1012" spans="1:6" x14ac:dyDescent="0.25">
      <c r="A1012" s="4">
        <v>35874</v>
      </c>
      <c r="B1012">
        <v>17.554500000000001</v>
      </c>
      <c r="C1012">
        <v>17.775300000000001</v>
      </c>
      <c r="D1012">
        <v>17.554500000000001</v>
      </c>
      <c r="E1012">
        <v>17.664899999999999</v>
      </c>
      <c r="F1012">
        <v>23080</v>
      </c>
    </row>
    <row r="1013" spans="1:6" x14ac:dyDescent="0.25">
      <c r="A1013" s="4">
        <v>35875</v>
      </c>
      <c r="B1013">
        <v>17.664899999999999</v>
      </c>
      <c r="C1013">
        <v>17.664899999999999</v>
      </c>
      <c r="D1013">
        <v>17.3337</v>
      </c>
      <c r="E1013">
        <v>17.3337</v>
      </c>
      <c r="F1013">
        <v>19285</v>
      </c>
    </row>
    <row r="1014" spans="1:6" x14ac:dyDescent="0.25">
      <c r="A1014" s="4">
        <v>35877</v>
      </c>
      <c r="B1014">
        <v>17.1129</v>
      </c>
      <c r="C1014">
        <v>17.223299999999998</v>
      </c>
      <c r="D1014">
        <v>16.891999999999999</v>
      </c>
      <c r="E1014">
        <v>16.891999999999999</v>
      </c>
      <c r="F1014">
        <v>30886</v>
      </c>
    </row>
    <row r="1015" spans="1:6" x14ac:dyDescent="0.25">
      <c r="A1015" s="4">
        <v>35878</v>
      </c>
      <c r="B1015">
        <v>16.891999999999999</v>
      </c>
      <c r="C1015">
        <v>17.223299999999998</v>
      </c>
      <c r="D1015">
        <v>16.891999999999999</v>
      </c>
      <c r="E1015">
        <v>17.223299999999998</v>
      </c>
      <c r="F1015">
        <v>18648</v>
      </c>
    </row>
    <row r="1016" spans="1:6" x14ac:dyDescent="0.25">
      <c r="A1016" s="4">
        <v>35879</v>
      </c>
      <c r="B1016">
        <v>17.444099999999999</v>
      </c>
      <c r="C1016">
        <v>17.996099999999998</v>
      </c>
      <c r="D1016">
        <v>17.3337</v>
      </c>
      <c r="E1016">
        <v>17.8857</v>
      </c>
      <c r="F1016">
        <v>39382</v>
      </c>
    </row>
    <row r="1017" spans="1:6" x14ac:dyDescent="0.25">
      <c r="A1017" s="4">
        <v>35880</v>
      </c>
      <c r="B1017">
        <v>18.216899999999999</v>
      </c>
      <c r="C1017">
        <v>18.216899999999999</v>
      </c>
      <c r="D1017">
        <v>17.664899999999999</v>
      </c>
      <c r="E1017">
        <v>17.664899999999999</v>
      </c>
      <c r="F1017">
        <v>32989</v>
      </c>
    </row>
    <row r="1018" spans="1:6" x14ac:dyDescent="0.25">
      <c r="A1018" s="4">
        <v>35881</v>
      </c>
      <c r="B1018">
        <v>17.8857</v>
      </c>
      <c r="C1018">
        <v>17.996099999999998</v>
      </c>
      <c r="D1018">
        <v>17.664899999999999</v>
      </c>
      <c r="E1018">
        <v>17.996099999999998</v>
      </c>
      <c r="F1018">
        <v>23385</v>
      </c>
    </row>
    <row r="1019" spans="1:6" x14ac:dyDescent="0.25">
      <c r="A1019" s="4">
        <v>35884</v>
      </c>
      <c r="B1019">
        <v>17.996099999999998</v>
      </c>
      <c r="C1019">
        <v>18.1065</v>
      </c>
      <c r="D1019">
        <v>17.775300000000001</v>
      </c>
      <c r="E1019">
        <v>17.775300000000001</v>
      </c>
      <c r="F1019">
        <v>16248</v>
      </c>
    </row>
    <row r="1020" spans="1:6" x14ac:dyDescent="0.25">
      <c r="A1020" s="4">
        <v>35885</v>
      </c>
      <c r="B1020">
        <v>17.664899999999999</v>
      </c>
      <c r="C1020">
        <v>17.996099999999998</v>
      </c>
      <c r="D1020">
        <v>17.664899999999999</v>
      </c>
      <c r="E1020">
        <v>17.8857</v>
      </c>
      <c r="F1020">
        <v>18146</v>
      </c>
    </row>
    <row r="1021" spans="1:6" x14ac:dyDescent="0.25">
      <c r="A1021" s="4">
        <v>35886</v>
      </c>
      <c r="B1021">
        <v>18.1065</v>
      </c>
      <c r="C1021">
        <v>18.1065</v>
      </c>
      <c r="D1021">
        <v>17.775300000000001</v>
      </c>
      <c r="E1021">
        <v>17.775300000000001</v>
      </c>
      <c r="F1021">
        <v>18526</v>
      </c>
    </row>
    <row r="1022" spans="1:6" x14ac:dyDescent="0.25">
      <c r="A1022" s="4">
        <v>35887</v>
      </c>
      <c r="B1022">
        <v>17.664899999999999</v>
      </c>
      <c r="C1022">
        <v>17.775300000000001</v>
      </c>
      <c r="D1022">
        <v>17.554500000000001</v>
      </c>
      <c r="E1022">
        <v>17.775300000000001</v>
      </c>
      <c r="F1022">
        <v>16039</v>
      </c>
    </row>
    <row r="1023" spans="1:6" x14ac:dyDescent="0.25">
      <c r="A1023" s="4">
        <v>35888</v>
      </c>
      <c r="B1023">
        <v>17.775300000000001</v>
      </c>
      <c r="C1023">
        <v>17.996099999999998</v>
      </c>
      <c r="D1023">
        <v>17.664899999999999</v>
      </c>
      <c r="E1023">
        <v>17.996099999999998</v>
      </c>
      <c r="F1023">
        <v>17020</v>
      </c>
    </row>
    <row r="1024" spans="1:6" x14ac:dyDescent="0.25">
      <c r="A1024" s="4">
        <v>35889</v>
      </c>
      <c r="B1024">
        <v>17.8857</v>
      </c>
      <c r="C1024">
        <v>18.1065</v>
      </c>
      <c r="D1024">
        <v>17.775300000000001</v>
      </c>
      <c r="E1024">
        <v>17.996099999999998</v>
      </c>
      <c r="F1024">
        <v>17403</v>
      </c>
    </row>
    <row r="1025" spans="1:6" x14ac:dyDescent="0.25">
      <c r="A1025" s="4">
        <v>35892</v>
      </c>
      <c r="B1025">
        <v>17.775300000000001</v>
      </c>
      <c r="C1025">
        <v>17.8857</v>
      </c>
      <c r="D1025">
        <v>17.664899999999999</v>
      </c>
      <c r="E1025">
        <v>17.775300000000001</v>
      </c>
      <c r="F1025">
        <v>11077</v>
      </c>
    </row>
    <row r="1026" spans="1:6" x14ac:dyDescent="0.25">
      <c r="A1026" s="4">
        <v>35893</v>
      </c>
      <c r="B1026">
        <v>17.664899999999999</v>
      </c>
      <c r="C1026">
        <v>17.775300000000001</v>
      </c>
      <c r="D1026">
        <v>17.444099999999999</v>
      </c>
      <c r="E1026">
        <v>17.775300000000001</v>
      </c>
      <c r="F1026">
        <v>14775</v>
      </c>
    </row>
    <row r="1027" spans="1:6" x14ac:dyDescent="0.25">
      <c r="A1027" s="4">
        <v>35894</v>
      </c>
      <c r="B1027">
        <v>17.996099999999998</v>
      </c>
      <c r="C1027">
        <v>17.996099999999998</v>
      </c>
      <c r="D1027">
        <v>17.223299999999998</v>
      </c>
      <c r="E1027">
        <v>17.3337</v>
      </c>
      <c r="F1027">
        <v>29175</v>
      </c>
    </row>
    <row r="1028" spans="1:6" x14ac:dyDescent="0.25">
      <c r="A1028" s="4">
        <v>35895</v>
      </c>
      <c r="B1028">
        <v>17.3337</v>
      </c>
      <c r="C1028">
        <v>17.554500000000001</v>
      </c>
      <c r="D1028">
        <v>16.671199999999999</v>
      </c>
      <c r="E1028">
        <v>16.891999999999999</v>
      </c>
      <c r="F1028">
        <v>56798</v>
      </c>
    </row>
    <row r="1029" spans="1:6" x14ac:dyDescent="0.25">
      <c r="A1029" s="4">
        <v>35898</v>
      </c>
      <c r="B1029">
        <v>16.5608</v>
      </c>
      <c r="C1029">
        <v>16.671199999999999</v>
      </c>
      <c r="D1029">
        <v>16.119199999999999</v>
      </c>
      <c r="E1029">
        <v>16.229600000000001</v>
      </c>
      <c r="F1029">
        <v>40072</v>
      </c>
    </row>
    <row r="1030" spans="1:6" x14ac:dyDescent="0.25">
      <c r="A1030" s="4">
        <v>35899</v>
      </c>
      <c r="B1030">
        <v>16.229600000000001</v>
      </c>
      <c r="C1030">
        <v>16.395199999999999</v>
      </c>
      <c r="D1030">
        <v>15.898400000000001</v>
      </c>
      <c r="E1030">
        <v>16.008800000000001</v>
      </c>
      <c r="F1030">
        <v>31738</v>
      </c>
    </row>
    <row r="1031" spans="1:6" x14ac:dyDescent="0.25">
      <c r="A1031" s="4">
        <v>35900</v>
      </c>
      <c r="B1031">
        <v>16.34</v>
      </c>
      <c r="C1031">
        <v>16.34</v>
      </c>
      <c r="D1031">
        <v>16.008800000000001</v>
      </c>
      <c r="E1031">
        <v>16.34</v>
      </c>
      <c r="F1031">
        <v>18667</v>
      </c>
    </row>
    <row r="1032" spans="1:6" x14ac:dyDescent="0.25">
      <c r="A1032" s="4">
        <v>35901</v>
      </c>
      <c r="B1032">
        <v>16.5608</v>
      </c>
      <c r="C1032">
        <v>16.5608</v>
      </c>
      <c r="D1032">
        <v>16.174399999999999</v>
      </c>
      <c r="E1032">
        <v>16.174399999999999</v>
      </c>
      <c r="F1032">
        <v>18292</v>
      </c>
    </row>
    <row r="1033" spans="1:6" x14ac:dyDescent="0.25">
      <c r="A1033" s="4">
        <v>35902</v>
      </c>
      <c r="B1033">
        <v>16.008800000000001</v>
      </c>
      <c r="C1033">
        <v>16.119199999999999</v>
      </c>
      <c r="D1033">
        <v>15.456799999999999</v>
      </c>
      <c r="E1033">
        <v>15.512</v>
      </c>
      <c r="F1033">
        <v>28554</v>
      </c>
    </row>
    <row r="1034" spans="1:6" x14ac:dyDescent="0.25">
      <c r="A1034" s="4">
        <v>35903</v>
      </c>
      <c r="B1034">
        <v>15.5672</v>
      </c>
      <c r="C1034">
        <v>16.395199999999999</v>
      </c>
      <c r="D1034">
        <v>15.2912</v>
      </c>
      <c r="E1034">
        <v>16.174399999999999</v>
      </c>
      <c r="F1034">
        <v>30541</v>
      </c>
    </row>
    <row r="1035" spans="1:6" x14ac:dyDescent="0.25">
      <c r="A1035" s="4">
        <v>35905</v>
      </c>
      <c r="B1035">
        <v>16.229600000000001</v>
      </c>
      <c r="C1035">
        <v>16.284800000000001</v>
      </c>
      <c r="D1035">
        <v>15.456799999999999</v>
      </c>
      <c r="E1035">
        <v>15.456799999999999</v>
      </c>
      <c r="F1035">
        <v>32771</v>
      </c>
    </row>
    <row r="1036" spans="1:6" x14ac:dyDescent="0.25">
      <c r="A1036" s="4">
        <v>35906</v>
      </c>
      <c r="B1036">
        <v>15.456799999999999</v>
      </c>
      <c r="C1036">
        <v>15.898400000000001</v>
      </c>
      <c r="D1036">
        <v>15.236000000000001</v>
      </c>
      <c r="E1036">
        <v>15.6776</v>
      </c>
      <c r="F1036">
        <v>35107</v>
      </c>
    </row>
    <row r="1037" spans="1:6" x14ac:dyDescent="0.25">
      <c r="A1037" s="4">
        <v>35907</v>
      </c>
      <c r="B1037">
        <v>16.008800000000001</v>
      </c>
      <c r="C1037">
        <v>16.064</v>
      </c>
      <c r="D1037">
        <v>15.788</v>
      </c>
      <c r="E1037">
        <v>16.008800000000001</v>
      </c>
      <c r="F1037">
        <v>27622</v>
      </c>
    </row>
    <row r="1038" spans="1:6" x14ac:dyDescent="0.25">
      <c r="A1038" s="4">
        <v>35908</v>
      </c>
      <c r="B1038">
        <v>16.229600000000001</v>
      </c>
      <c r="C1038">
        <v>16.450399999999998</v>
      </c>
      <c r="D1038">
        <v>16.119199999999999</v>
      </c>
      <c r="E1038">
        <v>16.284800000000001</v>
      </c>
      <c r="F1038">
        <v>48397</v>
      </c>
    </row>
    <row r="1039" spans="1:6" x14ac:dyDescent="0.25">
      <c r="A1039" s="4">
        <v>35909</v>
      </c>
      <c r="B1039">
        <v>16.008800000000001</v>
      </c>
      <c r="C1039">
        <v>16.284800000000001</v>
      </c>
      <c r="D1039">
        <v>16.008800000000001</v>
      </c>
      <c r="E1039">
        <v>16.229600000000001</v>
      </c>
      <c r="F1039">
        <v>25762</v>
      </c>
    </row>
    <row r="1040" spans="1:6" x14ac:dyDescent="0.25">
      <c r="A1040" s="4">
        <v>35912</v>
      </c>
      <c r="B1040">
        <v>16.229600000000001</v>
      </c>
      <c r="C1040">
        <v>16.284800000000001</v>
      </c>
      <c r="D1040">
        <v>15.6776</v>
      </c>
      <c r="E1040">
        <v>15.732799999999999</v>
      </c>
      <c r="F1040">
        <v>17493</v>
      </c>
    </row>
    <row r="1041" spans="1:6" x14ac:dyDescent="0.25">
      <c r="A1041" s="4">
        <v>35913</v>
      </c>
      <c r="B1041">
        <v>15.346399999999999</v>
      </c>
      <c r="C1041">
        <v>15.8432</v>
      </c>
      <c r="D1041">
        <v>15.2912</v>
      </c>
      <c r="E1041">
        <v>15.732799999999999</v>
      </c>
      <c r="F1041">
        <v>23377</v>
      </c>
    </row>
    <row r="1042" spans="1:6" x14ac:dyDescent="0.25">
      <c r="A1042" s="4">
        <v>35914</v>
      </c>
      <c r="B1042">
        <v>15.788</v>
      </c>
      <c r="C1042">
        <v>15.8432</v>
      </c>
      <c r="D1042">
        <v>15.456799999999999</v>
      </c>
      <c r="E1042">
        <v>15.6776</v>
      </c>
      <c r="F1042">
        <v>18082</v>
      </c>
    </row>
    <row r="1043" spans="1:6" x14ac:dyDescent="0.25">
      <c r="A1043" s="4">
        <v>35915</v>
      </c>
      <c r="B1043">
        <v>15.788</v>
      </c>
      <c r="C1043">
        <v>16.008800000000001</v>
      </c>
      <c r="D1043">
        <v>15.6776</v>
      </c>
      <c r="E1043">
        <v>15.732799999999999</v>
      </c>
      <c r="F1043">
        <v>17174</v>
      </c>
    </row>
    <row r="1044" spans="1:6" x14ac:dyDescent="0.25">
      <c r="A1044" s="4">
        <v>35917</v>
      </c>
      <c r="B1044">
        <v>15.788</v>
      </c>
      <c r="C1044">
        <v>15.898400000000001</v>
      </c>
      <c r="D1044">
        <v>15.622400000000001</v>
      </c>
      <c r="E1044">
        <v>15.6776</v>
      </c>
      <c r="F1044">
        <v>14183</v>
      </c>
    </row>
    <row r="1045" spans="1:6" x14ac:dyDescent="0.25">
      <c r="A1045" s="4">
        <v>35919</v>
      </c>
      <c r="B1045">
        <v>15.732799999999999</v>
      </c>
      <c r="C1045">
        <v>15.8432</v>
      </c>
      <c r="D1045">
        <v>15.6776</v>
      </c>
      <c r="E1045">
        <v>15.8432</v>
      </c>
      <c r="F1045">
        <v>13066</v>
      </c>
    </row>
    <row r="1046" spans="1:6" x14ac:dyDescent="0.25">
      <c r="A1046" s="4">
        <v>35920</v>
      </c>
      <c r="B1046">
        <v>15.8432</v>
      </c>
      <c r="C1046">
        <v>15.898400000000001</v>
      </c>
      <c r="D1046">
        <v>15.346399999999999</v>
      </c>
      <c r="E1046">
        <v>15.4016</v>
      </c>
      <c r="F1046">
        <v>35450</v>
      </c>
    </row>
    <row r="1047" spans="1:6" x14ac:dyDescent="0.25">
      <c r="A1047" s="4">
        <v>35921</v>
      </c>
      <c r="B1047">
        <v>15.2912</v>
      </c>
      <c r="C1047">
        <v>15.6776</v>
      </c>
      <c r="D1047">
        <v>15.1256</v>
      </c>
      <c r="E1047">
        <v>15.5672</v>
      </c>
      <c r="F1047">
        <v>30177</v>
      </c>
    </row>
    <row r="1048" spans="1:6" x14ac:dyDescent="0.25">
      <c r="A1048" s="4">
        <v>35922</v>
      </c>
      <c r="B1048">
        <v>15.5672</v>
      </c>
      <c r="C1048">
        <v>15.622400000000001</v>
      </c>
      <c r="D1048">
        <v>15.346399999999999</v>
      </c>
      <c r="E1048">
        <v>15.346399999999999</v>
      </c>
      <c r="F1048">
        <v>14992</v>
      </c>
    </row>
    <row r="1049" spans="1:6" x14ac:dyDescent="0.25">
      <c r="A1049" s="4">
        <v>35923</v>
      </c>
      <c r="B1049">
        <v>15.1808</v>
      </c>
      <c r="C1049">
        <v>15.4016</v>
      </c>
      <c r="D1049">
        <v>15.1256</v>
      </c>
      <c r="E1049">
        <v>15.346399999999999</v>
      </c>
      <c r="F1049">
        <v>18319</v>
      </c>
    </row>
    <row r="1050" spans="1:6" x14ac:dyDescent="0.25">
      <c r="A1050" s="4">
        <v>35926</v>
      </c>
      <c r="B1050">
        <v>15.456799999999999</v>
      </c>
      <c r="C1050">
        <v>16.008800000000001</v>
      </c>
      <c r="D1050">
        <v>15.456799999999999</v>
      </c>
      <c r="E1050">
        <v>15.788</v>
      </c>
      <c r="F1050">
        <v>22960</v>
      </c>
    </row>
    <row r="1051" spans="1:6" x14ac:dyDescent="0.25">
      <c r="A1051" s="4">
        <v>35927</v>
      </c>
      <c r="B1051">
        <v>15.898400000000001</v>
      </c>
      <c r="C1051">
        <v>15.898400000000001</v>
      </c>
      <c r="D1051">
        <v>15.512</v>
      </c>
      <c r="E1051">
        <v>15.5672</v>
      </c>
      <c r="F1051">
        <v>12588</v>
      </c>
    </row>
    <row r="1052" spans="1:6" x14ac:dyDescent="0.25">
      <c r="A1052" s="4">
        <v>35928</v>
      </c>
      <c r="B1052">
        <v>15.6776</v>
      </c>
      <c r="C1052">
        <v>15.732799999999999</v>
      </c>
      <c r="D1052">
        <v>15.512</v>
      </c>
      <c r="E1052">
        <v>15.622400000000001</v>
      </c>
      <c r="F1052">
        <v>13500</v>
      </c>
    </row>
    <row r="1053" spans="1:6" x14ac:dyDescent="0.25">
      <c r="A1053" s="4">
        <v>35929</v>
      </c>
      <c r="B1053">
        <v>15.788</v>
      </c>
      <c r="C1053">
        <v>16.064</v>
      </c>
      <c r="D1053">
        <v>15.6776</v>
      </c>
      <c r="E1053">
        <v>15.898400000000001</v>
      </c>
      <c r="F1053">
        <v>23917</v>
      </c>
    </row>
    <row r="1054" spans="1:6" x14ac:dyDescent="0.25">
      <c r="A1054" s="4">
        <v>35930</v>
      </c>
      <c r="B1054">
        <v>16.008800000000001</v>
      </c>
      <c r="C1054">
        <v>16.229600000000001</v>
      </c>
      <c r="D1054">
        <v>16.008800000000001</v>
      </c>
      <c r="E1054">
        <v>16.064</v>
      </c>
      <c r="F1054">
        <v>26395</v>
      </c>
    </row>
    <row r="1055" spans="1:6" x14ac:dyDescent="0.25">
      <c r="A1055" s="4">
        <v>35931</v>
      </c>
      <c r="B1055">
        <v>16.008800000000001</v>
      </c>
      <c r="C1055">
        <v>16.008800000000001</v>
      </c>
      <c r="D1055">
        <v>15.788</v>
      </c>
      <c r="E1055">
        <v>15.788</v>
      </c>
      <c r="F1055">
        <v>12629</v>
      </c>
    </row>
    <row r="1056" spans="1:6" x14ac:dyDescent="0.25">
      <c r="A1056" s="4">
        <v>35933</v>
      </c>
      <c r="B1056">
        <v>15.6776</v>
      </c>
      <c r="C1056">
        <v>15.898400000000001</v>
      </c>
      <c r="D1056">
        <v>15.5672</v>
      </c>
      <c r="E1056">
        <v>15.5672</v>
      </c>
      <c r="F1056">
        <v>11804</v>
      </c>
    </row>
    <row r="1057" spans="1:6" x14ac:dyDescent="0.25">
      <c r="A1057" s="4">
        <v>35934</v>
      </c>
      <c r="B1057">
        <v>15.456799999999999</v>
      </c>
      <c r="C1057">
        <v>15.5672</v>
      </c>
      <c r="D1057">
        <v>15.346399999999999</v>
      </c>
      <c r="E1057">
        <v>15.5672</v>
      </c>
      <c r="F1057">
        <v>18676</v>
      </c>
    </row>
    <row r="1058" spans="1:6" x14ac:dyDescent="0.25">
      <c r="A1058" s="4">
        <v>35935</v>
      </c>
      <c r="B1058">
        <v>15.6776</v>
      </c>
      <c r="C1058">
        <v>15.898400000000001</v>
      </c>
      <c r="D1058">
        <v>15.622400000000001</v>
      </c>
      <c r="E1058">
        <v>15.6776</v>
      </c>
      <c r="F1058">
        <v>13315</v>
      </c>
    </row>
    <row r="1059" spans="1:6" x14ac:dyDescent="0.25">
      <c r="A1059" s="4">
        <v>35936</v>
      </c>
      <c r="B1059">
        <v>15.5672</v>
      </c>
      <c r="C1059">
        <v>15.6776</v>
      </c>
      <c r="D1059">
        <v>15.512</v>
      </c>
      <c r="E1059">
        <v>15.5672</v>
      </c>
      <c r="F1059">
        <v>11988</v>
      </c>
    </row>
    <row r="1060" spans="1:6" x14ac:dyDescent="0.25">
      <c r="A1060" s="4">
        <v>35937</v>
      </c>
      <c r="B1060">
        <v>15.456799999999999</v>
      </c>
      <c r="C1060">
        <v>15.5672</v>
      </c>
      <c r="D1060">
        <v>15.346399999999999</v>
      </c>
      <c r="E1060">
        <v>15.5672</v>
      </c>
      <c r="F1060">
        <v>15637</v>
      </c>
    </row>
    <row r="1061" spans="1:6" x14ac:dyDescent="0.25">
      <c r="A1061" s="4">
        <v>35940</v>
      </c>
      <c r="B1061">
        <v>15.456799999999999</v>
      </c>
      <c r="C1061">
        <v>15.512</v>
      </c>
      <c r="D1061">
        <v>15.1256</v>
      </c>
      <c r="E1061">
        <v>15.1808</v>
      </c>
      <c r="F1061">
        <v>29488</v>
      </c>
    </row>
    <row r="1062" spans="1:6" x14ac:dyDescent="0.25">
      <c r="A1062" s="4">
        <v>35941</v>
      </c>
      <c r="B1062">
        <v>14.9047</v>
      </c>
      <c r="C1062">
        <v>14.9047</v>
      </c>
      <c r="D1062">
        <v>14.3527</v>
      </c>
      <c r="E1062">
        <v>14.573499999999999</v>
      </c>
      <c r="F1062">
        <v>48353</v>
      </c>
    </row>
    <row r="1063" spans="1:6" x14ac:dyDescent="0.25">
      <c r="A1063" s="4">
        <v>35942</v>
      </c>
      <c r="B1063">
        <v>14.0215</v>
      </c>
      <c r="C1063">
        <v>14.187099999999999</v>
      </c>
      <c r="D1063">
        <v>13.800700000000001</v>
      </c>
      <c r="E1063">
        <v>13.9663</v>
      </c>
      <c r="F1063">
        <v>39937</v>
      </c>
    </row>
    <row r="1064" spans="1:6" x14ac:dyDescent="0.25">
      <c r="A1064" s="4">
        <v>35943</v>
      </c>
      <c r="B1064">
        <v>13.9663</v>
      </c>
      <c r="C1064">
        <v>14.187099999999999</v>
      </c>
      <c r="D1064">
        <v>13.8559</v>
      </c>
      <c r="E1064">
        <v>14.076700000000001</v>
      </c>
      <c r="F1064">
        <v>22619</v>
      </c>
    </row>
    <row r="1065" spans="1:6" x14ac:dyDescent="0.25">
      <c r="A1065" s="4">
        <v>35944</v>
      </c>
      <c r="B1065">
        <v>14.076700000000001</v>
      </c>
      <c r="C1065">
        <v>14.1319</v>
      </c>
      <c r="D1065">
        <v>13.3591</v>
      </c>
      <c r="E1065">
        <v>13.414300000000001</v>
      </c>
      <c r="F1065">
        <v>27455</v>
      </c>
    </row>
    <row r="1066" spans="1:6" x14ac:dyDescent="0.25">
      <c r="A1066" s="4">
        <v>35947</v>
      </c>
      <c r="B1066">
        <v>13.1935</v>
      </c>
      <c r="C1066">
        <v>13.248699999999999</v>
      </c>
      <c r="D1066">
        <v>12.4758</v>
      </c>
      <c r="E1066">
        <v>12.5862</v>
      </c>
      <c r="F1066">
        <v>30076</v>
      </c>
    </row>
    <row r="1067" spans="1:6" x14ac:dyDescent="0.25">
      <c r="A1067" s="4">
        <v>35948</v>
      </c>
      <c r="B1067">
        <v>12.4206</v>
      </c>
      <c r="C1067">
        <v>12.751799999999999</v>
      </c>
      <c r="D1067">
        <v>12.0342</v>
      </c>
      <c r="E1067">
        <v>12.144600000000001</v>
      </c>
      <c r="F1067">
        <v>55699</v>
      </c>
    </row>
    <row r="1068" spans="1:6" x14ac:dyDescent="0.25">
      <c r="A1068" s="4">
        <v>35949</v>
      </c>
      <c r="B1068">
        <v>12.144600000000001</v>
      </c>
      <c r="C1068">
        <v>12.4206</v>
      </c>
      <c r="D1068">
        <v>11.9238</v>
      </c>
      <c r="E1068">
        <v>12.3102</v>
      </c>
      <c r="F1068">
        <v>38059</v>
      </c>
    </row>
    <row r="1069" spans="1:6" x14ac:dyDescent="0.25">
      <c r="A1069" s="4">
        <v>35950</v>
      </c>
      <c r="B1069">
        <v>12.144600000000001</v>
      </c>
      <c r="C1069">
        <v>12.144600000000001</v>
      </c>
      <c r="D1069">
        <v>11.5374</v>
      </c>
      <c r="E1069">
        <v>11.592599999999999</v>
      </c>
      <c r="F1069">
        <v>35282</v>
      </c>
    </row>
    <row r="1070" spans="1:6" x14ac:dyDescent="0.25">
      <c r="A1070" s="4">
        <v>35951</v>
      </c>
      <c r="B1070">
        <v>12.3102</v>
      </c>
      <c r="C1070">
        <v>12.3102</v>
      </c>
      <c r="D1070">
        <v>11.702999999999999</v>
      </c>
      <c r="E1070">
        <v>12.0342</v>
      </c>
      <c r="F1070">
        <v>33919</v>
      </c>
    </row>
    <row r="1071" spans="1:6" x14ac:dyDescent="0.25">
      <c r="A1071" s="4">
        <v>35952</v>
      </c>
      <c r="B1071">
        <v>12.0342</v>
      </c>
      <c r="C1071">
        <v>12.365399999999999</v>
      </c>
      <c r="D1071">
        <v>11.8134</v>
      </c>
      <c r="E1071">
        <v>12.3102</v>
      </c>
      <c r="F1071">
        <v>21355</v>
      </c>
    </row>
    <row r="1072" spans="1:6" x14ac:dyDescent="0.25">
      <c r="A1072" s="4">
        <v>35954</v>
      </c>
      <c r="B1072">
        <v>12.144600000000001</v>
      </c>
      <c r="C1072">
        <v>12.3102</v>
      </c>
      <c r="D1072">
        <v>11.9238</v>
      </c>
      <c r="E1072">
        <v>12.144600000000001</v>
      </c>
      <c r="F1072">
        <v>16151</v>
      </c>
    </row>
    <row r="1073" spans="1:6" x14ac:dyDescent="0.25">
      <c r="A1073" s="4">
        <v>35955</v>
      </c>
      <c r="B1073">
        <v>12.144600000000001</v>
      </c>
      <c r="C1073">
        <v>12.144600000000001</v>
      </c>
      <c r="D1073">
        <v>11.8134</v>
      </c>
      <c r="E1073">
        <v>11.8134</v>
      </c>
      <c r="F1073">
        <v>16291</v>
      </c>
    </row>
    <row r="1074" spans="1:6" x14ac:dyDescent="0.25">
      <c r="A1074" s="4">
        <v>35956</v>
      </c>
      <c r="B1074">
        <v>11.702999999999999</v>
      </c>
      <c r="C1074">
        <v>11.702999999999999</v>
      </c>
      <c r="D1074">
        <v>11.151</v>
      </c>
      <c r="E1074">
        <v>11.206200000000001</v>
      </c>
      <c r="F1074">
        <v>21352</v>
      </c>
    </row>
    <row r="1075" spans="1:6" x14ac:dyDescent="0.25">
      <c r="A1075" s="4">
        <v>35957</v>
      </c>
      <c r="B1075">
        <v>10.819699999999999</v>
      </c>
      <c r="C1075">
        <v>11.0406</v>
      </c>
      <c r="D1075">
        <v>10.6541</v>
      </c>
      <c r="E1075">
        <v>10.930099999999999</v>
      </c>
      <c r="F1075">
        <v>24635</v>
      </c>
    </row>
    <row r="1076" spans="1:6" x14ac:dyDescent="0.25">
      <c r="A1076" s="4">
        <v>35958</v>
      </c>
      <c r="B1076">
        <v>10.709300000000001</v>
      </c>
      <c r="C1076">
        <v>11.206200000000001</v>
      </c>
      <c r="D1076">
        <v>10.709300000000001</v>
      </c>
      <c r="E1076">
        <v>11.206200000000001</v>
      </c>
      <c r="F1076">
        <v>43364</v>
      </c>
    </row>
    <row r="1077" spans="1:6" x14ac:dyDescent="0.25">
      <c r="A1077" s="4">
        <v>35961</v>
      </c>
      <c r="B1077">
        <v>11.446300000000001</v>
      </c>
      <c r="C1077">
        <v>11.766500000000001</v>
      </c>
      <c r="D1077">
        <v>11.366199999999999</v>
      </c>
      <c r="E1077">
        <v>11.606400000000001</v>
      </c>
      <c r="F1077">
        <v>57603</v>
      </c>
    </row>
    <row r="1078" spans="1:6" x14ac:dyDescent="0.25">
      <c r="A1078" s="4">
        <v>35962</v>
      </c>
      <c r="B1078">
        <v>11.286199999999999</v>
      </c>
      <c r="C1078">
        <v>11.926600000000001</v>
      </c>
      <c r="D1078">
        <v>11.126099999999999</v>
      </c>
      <c r="E1078">
        <v>11.686400000000001</v>
      </c>
      <c r="F1078">
        <v>68076</v>
      </c>
    </row>
    <row r="1079" spans="1:6" x14ac:dyDescent="0.25">
      <c r="A1079" s="4">
        <v>35963</v>
      </c>
      <c r="B1079">
        <v>11.846500000000001</v>
      </c>
      <c r="C1079">
        <v>12.006600000000001</v>
      </c>
      <c r="D1079">
        <v>11.686400000000001</v>
      </c>
      <c r="E1079">
        <v>11.926600000000001</v>
      </c>
      <c r="F1079">
        <v>41791</v>
      </c>
    </row>
    <row r="1080" spans="1:6" x14ac:dyDescent="0.25">
      <c r="A1080" s="4">
        <v>35964</v>
      </c>
      <c r="B1080">
        <v>12.4869</v>
      </c>
      <c r="C1080">
        <v>12.727</v>
      </c>
      <c r="D1080">
        <v>12.246700000000001</v>
      </c>
      <c r="E1080">
        <v>12.727</v>
      </c>
      <c r="F1080">
        <v>43693</v>
      </c>
    </row>
    <row r="1081" spans="1:6" x14ac:dyDescent="0.25">
      <c r="A1081" s="4">
        <v>35965</v>
      </c>
      <c r="B1081">
        <v>12.9671</v>
      </c>
      <c r="C1081">
        <v>13.5274</v>
      </c>
      <c r="D1081">
        <v>12.8871</v>
      </c>
      <c r="E1081">
        <v>13.2873</v>
      </c>
      <c r="F1081">
        <v>77799</v>
      </c>
    </row>
    <row r="1082" spans="1:6" x14ac:dyDescent="0.25">
      <c r="A1082" s="4">
        <v>35966</v>
      </c>
      <c r="B1082">
        <v>13.2873</v>
      </c>
      <c r="C1082">
        <v>13.6075</v>
      </c>
      <c r="D1082">
        <v>13.0472</v>
      </c>
      <c r="E1082">
        <v>13.1272</v>
      </c>
      <c r="F1082">
        <v>50415</v>
      </c>
    </row>
    <row r="1083" spans="1:6" x14ac:dyDescent="0.25">
      <c r="A1083" s="4">
        <v>35968</v>
      </c>
      <c r="B1083">
        <v>12.9671</v>
      </c>
      <c r="C1083">
        <v>13.0472</v>
      </c>
      <c r="D1083">
        <v>12.4068</v>
      </c>
      <c r="E1083">
        <v>12.4869</v>
      </c>
      <c r="F1083">
        <v>41891</v>
      </c>
    </row>
    <row r="1084" spans="1:6" x14ac:dyDescent="0.25">
      <c r="A1084" s="4">
        <v>35969</v>
      </c>
      <c r="B1084">
        <v>12.3268</v>
      </c>
      <c r="C1084">
        <v>12.4068</v>
      </c>
      <c r="D1084">
        <v>12.086600000000001</v>
      </c>
      <c r="E1084">
        <v>12.246700000000001</v>
      </c>
      <c r="F1084">
        <v>36204</v>
      </c>
    </row>
    <row r="1085" spans="1:6" x14ac:dyDescent="0.25">
      <c r="A1085" s="4">
        <v>35970</v>
      </c>
      <c r="B1085">
        <v>12.3268</v>
      </c>
      <c r="C1085">
        <v>12.647</v>
      </c>
      <c r="D1085">
        <v>12.166700000000001</v>
      </c>
      <c r="E1085">
        <v>12.166700000000001</v>
      </c>
      <c r="F1085">
        <v>26862</v>
      </c>
    </row>
    <row r="1086" spans="1:6" x14ac:dyDescent="0.25">
      <c r="A1086" s="4">
        <v>35971</v>
      </c>
      <c r="B1086">
        <v>12.4068</v>
      </c>
      <c r="C1086">
        <v>12.4068</v>
      </c>
      <c r="D1086">
        <v>12.166700000000001</v>
      </c>
      <c r="E1086">
        <v>12.3268</v>
      </c>
      <c r="F1086">
        <v>17486</v>
      </c>
    </row>
    <row r="1087" spans="1:6" x14ac:dyDescent="0.25">
      <c r="A1087" s="4">
        <v>35972</v>
      </c>
      <c r="B1087">
        <v>12.166700000000001</v>
      </c>
      <c r="C1087">
        <v>12.3268</v>
      </c>
      <c r="D1087">
        <v>11.846500000000001</v>
      </c>
      <c r="E1087">
        <v>11.926600000000001</v>
      </c>
      <c r="F1087">
        <v>34805</v>
      </c>
    </row>
    <row r="1088" spans="1:6" x14ac:dyDescent="0.25">
      <c r="A1088" s="4">
        <v>35975</v>
      </c>
      <c r="B1088">
        <v>11.686400000000001</v>
      </c>
      <c r="C1088">
        <v>11.766500000000001</v>
      </c>
      <c r="D1088">
        <v>11.286199999999999</v>
      </c>
      <c r="E1088">
        <v>11.366199999999999</v>
      </c>
      <c r="F1088">
        <v>35159</v>
      </c>
    </row>
    <row r="1089" spans="1:6" x14ac:dyDescent="0.25">
      <c r="A1089" s="4">
        <v>35976</v>
      </c>
      <c r="B1089">
        <v>11.526300000000001</v>
      </c>
      <c r="C1089">
        <v>11.686400000000001</v>
      </c>
      <c r="D1089">
        <v>11.366199999999999</v>
      </c>
      <c r="E1089">
        <v>11.366199999999999</v>
      </c>
      <c r="F1089">
        <v>31450</v>
      </c>
    </row>
    <row r="1090" spans="1:6" x14ac:dyDescent="0.25">
      <c r="A1090" s="4">
        <v>35978</v>
      </c>
      <c r="B1090">
        <v>11.526300000000001</v>
      </c>
      <c r="C1090">
        <v>12.086600000000001</v>
      </c>
      <c r="D1090">
        <v>11.526300000000001</v>
      </c>
      <c r="E1090">
        <v>12.086600000000001</v>
      </c>
      <c r="F1090">
        <v>27101</v>
      </c>
    </row>
    <row r="1091" spans="1:6" x14ac:dyDescent="0.25">
      <c r="A1091" s="4">
        <v>35979</v>
      </c>
      <c r="B1091">
        <v>12.006600000000001</v>
      </c>
      <c r="C1091">
        <v>12.006600000000001</v>
      </c>
      <c r="D1091">
        <v>11.526300000000001</v>
      </c>
      <c r="E1091">
        <v>11.606400000000001</v>
      </c>
      <c r="F1091">
        <v>23543</v>
      </c>
    </row>
    <row r="1092" spans="1:6" x14ac:dyDescent="0.25">
      <c r="A1092" s="4">
        <v>35980</v>
      </c>
      <c r="B1092">
        <v>11.526300000000001</v>
      </c>
      <c r="C1092">
        <v>11.606400000000001</v>
      </c>
      <c r="D1092">
        <v>11.286199999999999</v>
      </c>
      <c r="E1092">
        <v>11.606400000000001</v>
      </c>
      <c r="F1092">
        <v>24679</v>
      </c>
    </row>
    <row r="1093" spans="1:6" x14ac:dyDescent="0.25">
      <c r="A1093" s="4">
        <v>35982</v>
      </c>
      <c r="B1093">
        <v>11.606400000000001</v>
      </c>
      <c r="C1093">
        <v>12.006600000000001</v>
      </c>
      <c r="D1093">
        <v>11.526300000000001</v>
      </c>
      <c r="E1093">
        <v>11.766500000000001</v>
      </c>
      <c r="F1093">
        <v>28688</v>
      </c>
    </row>
    <row r="1094" spans="1:6" x14ac:dyDescent="0.25">
      <c r="A1094" s="4">
        <v>35983</v>
      </c>
      <c r="B1094">
        <v>11.846500000000001</v>
      </c>
      <c r="C1094">
        <v>11.926600000000001</v>
      </c>
      <c r="D1094">
        <v>11.526300000000001</v>
      </c>
      <c r="E1094">
        <v>11.526300000000001</v>
      </c>
      <c r="F1094">
        <v>12466</v>
      </c>
    </row>
    <row r="1095" spans="1:6" x14ac:dyDescent="0.25">
      <c r="A1095" s="4">
        <v>35984</v>
      </c>
      <c r="B1095">
        <v>11.686400000000001</v>
      </c>
      <c r="C1095">
        <v>11.766500000000001</v>
      </c>
      <c r="D1095">
        <v>11.606400000000001</v>
      </c>
      <c r="E1095">
        <v>11.686400000000001</v>
      </c>
      <c r="F1095">
        <v>15720</v>
      </c>
    </row>
    <row r="1096" spans="1:6" x14ac:dyDescent="0.25">
      <c r="A1096" s="4">
        <v>35985</v>
      </c>
      <c r="B1096">
        <v>12.166700000000001</v>
      </c>
      <c r="C1096">
        <v>12.4869</v>
      </c>
      <c r="D1096">
        <v>12.006600000000001</v>
      </c>
      <c r="E1096">
        <v>12.006600000000001</v>
      </c>
      <c r="F1096">
        <v>59882</v>
      </c>
    </row>
    <row r="1097" spans="1:6" x14ac:dyDescent="0.25">
      <c r="A1097" s="4">
        <v>35986</v>
      </c>
      <c r="B1097">
        <v>11.686400000000001</v>
      </c>
      <c r="C1097">
        <v>11.766500000000001</v>
      </c>
      <c r="D1097">
        <v>11.526300000000001</v>
      </c>
      <c r="E1097">
        <v>11.766500000000001</v>
      </c>
      <c r="F1097">
        <v>29211</v>
      </c>
    </row>
    <row r="1098" spans="1:6" x14ac:dyDescent="0.25">
      <c r="A1098" s="4">
        <v>35989</v>
      </c>
      <c r="B1098">
        <v>11.526300000000001</v>
      </c>
      <c r="C1098">
        <v>11.526300000000001</v>
      </c>
      <c r="D1098">
        <v>11.286199999999999</v>
      </c>
      <c r="E1098">
        <v>11.366199999999999</v>
      </c>
      <c r="F1098">
        <v>35983</v>
      </c>
    </row>
    <row r="1099" spans="1:6" x14ac:dyDescent="0.25">
      <c r="A1099" s="4">
        <v>35990</v>
      </c>
      <c r="B1099">
        <v>11.446300000000001</v>
      </c>
      <c r="C1099">
        <v>11.606400000000001</v>
      </c>
      <c r="D1099">
        <v>11.366199999999999</v>
      </c>
      <c r="E1099">
        <v>11.366199999999999</v>
      </c>
      <c r="F1099">
        <v>21465</v>
      </c>
    </row>
    <row r="1100" spans="1:6" x14ac:dyDescent="0.25">
      <c r="A1100" s="4">
        <v>35991</v>
      </c>
      <c r="B1100">
        <v>11.446300000000001</v>
      </c>
      <c r="C1100">
        <v>11.606400000000001</v>
      </c>
      <c r="D1100">
        <v>11.366199999999999</v>
      </c>
      <c r="E1100">
        <v>11.606400000000001</v>
      </c>
      <c r="F1100">
        <v>22967</v>
      </c>
    </row>
    <row r="1101" spans="1:6" x14ac:dyDescent="0.25">
      <c r="A1101" s="4">
        <v>35992</v>
      </c>
      <c r="B1101">
        <v>11.766500000000001</v>
      </c>
      <c r="C1101">
        <v>11.926600000000001</v>
      </c>
      <c r="D1101">
        <v>11.686400000000001</v>
      </c>
      <c r="E1101">
        <v>11.846500000000001</v>
      </c>
      <c r="F1101">
        <v>30053</v>
      </c>
    </row>
    <row r="1102" spans="1:6" x14ac:dyDescent="0.25">
      <c r="A1102" s="4">
        <v>35993</v>
      </c>
      <c r="B1102">
        <v>12.246700000000001</v>
      </c>
      <c r="C1102">
        <v>12.4869</v>
      </c>
      <c r="D1102">
        <v>12.166700000000001</v>
      </c>
      <c r="E1102">
        <v>12.246700000000001</v>
      </c>
      <c r="F1102">
        <v>61095</v>
      </c>
    </row>
    <row r="1103" spans="1:6" x14ac:dyDescent="0.25">
      <c r="A1103" s="4">
        <v>35994</v>
      </c>
      <c r="B1103">
        <v>12.3268</v>
      </c>
      <c r="C1103">
        <v>12.647</v>
      </c>
      <c r="D1103">
        <v>12.246700000000001</v>
      </c>
      <c r="E1103">
        <v>12.4068</v>
      </c>
      <c r="F1103">
        <v>45428</v>
      </c>
    </row>
    <row r="1104" spans="1:6" x14ac:dyDescent="0.25">
      <c r="A1104" s="4">
        <v>35996</v>
      </c>
      <c r="B1104">
        <v>12.4869</v>
      </c>
      <c r="C1104">
        <v>12.647</v>
      </c>
      <c r="D1104">
        <v>12.166700000000001</v>
      </c>
      <c r="E1104">
        <v>12.647</v>
      </c>
      <c r="F1104">
        <v>37931</v>
      </c>
    </row>
    <row r="1105" spans="1:6" x14ac:dyDescent="0.25">
      <c r="A1105" s="4">
        <v>35997</v>
      </c>
      <c r="B1105">
        <v>12.647</v>
      </c>
      <c r="C1105">
        <v>12.727</v>
      </c>
      <c r="D1105">
        <v>12.166700000000001</v>
      </c>
      <c r="E1105">
        <v>12.166700000000001</v>
      </c>
      <c r="F1105">
        <v>42664</v>
      </c>
    </row>
    <row r="1106" spans="1:6" x14ac:dyDescent="0.25">
      <c r="A1106" s="4">
        <v>35998</v>
      </c>
      <c r="B1106">
        <v>11.846500000000001</v>
      </c>
      <c r="C1106">
        <v>12.4869</v>
      </c>
      <c r="D1106">
        <v>11.846500000000001</v>
      </c>
      <c r="E1106">
        <v>12.3268</v>
      </c>
      <c r="F1106">
        <v>36020</v>
      </c>
    </row>
    <row r="1107" spans="1:6" x14ac:dyDescent="0.25">
      <c r="A1107" s="4">
        <v>35999</v>
      </c>
      <c r="B1107">
        <v>12.246700000000001</v>
      </c>
      <c r="C1107">
        <v>12.4068</v>
      </c>
      <c r="D1107">
        <v>12.166700000000001</v>
      </c>
      <c r="E1107">
        <v>12.3268</v>
      </c>
      <c r="F1107">
        <v>19809</v>
      </c>
    </row>
    <row r="1108" spans="1:6" x14ac:dyDescent="0.25">
      <c r="A1108" s="4">
        <v>36000</v>
      </c>
      <c r="B1108">
        <v>12.086600000000001</v>
      </c>
      <c r="C1108">
        <v>12.647</v>
      </c>
      <c r="D1108">
        <v>12.086600000000001</v>
      </c>
      <c r="E1108">
        <v>12.5669</v>
      </c>
      <c r="F1108">
        <v>36489</v>
      </c>
    </row>
    <row r="1109" spans="1:6" x14ac:dyDescent="0.25">
      <c r="A1109" s="4">
        <v>36003</v>
      </c>
      <c r="B1109">
        <v>12.647</v>
      </c>
      <c r="C1109">
        <v>12.727</v>
      </c>
      <c r="D1109">
        <v>12.4869</v>
      </c>
      <c r="E1109">
        <v>12.5669</v>
      </c>
      <c r="F1109">
        <v>17986</v>
      </c>
    </row>
    <row r="1110" spans="1:6" x14ac:dyDescent="0.25">
      <c r="A1110" s="4">
        <v>36004</v>
      </c>
      <c r="B1110">
        <v>12.647</v>
      </c>
      <c r="C1110">
        <v>12.9671</v>
      </c>
      <c r="D1110">
        <v>12.647</v>
      </c>
      <c r="E1110">
        <v>12.647</v>
      </c>
      <c r="F1110">
        <v>46252</v>
      </c>
    </row>
    <row r="1111" spans="1:6" x14ac:dyDescent="0.25">
      <c r="A1111" s="4">
        <v>36005</v>
      </c>
      <c r="B1111">
        <v>12.5669</v>
      </c>
      <c r="C1111">
        <v>12.727</v>
      </c>
      <c r="D1111">
        <v>12.4869</v>
      </c>
      <c r="E1111">
        <v>12.647</v>
      </c>
      <c r="F1111">
        <v>18528</v>
      </c>
    </row>
    <row r="1112" spans="1:6" x14ac:dyDescent="0.25">
      <c r="A1112" s="4">
        <v>36006</v>
      </c>
      <c r="B1112">
        <v>12.647</v>
      </c>
      <c r="C1112">
        <v>12.727</v>
      </c>
      <c r="D1112">
        <v>12.4869</v>
      </c>
      <c r="E1112">
        <v>12.647</v>
      </c>
      <c r="F1112">
        <v>17633</v>
      </c>
    </row>
    <row r="1113" spans="1:6" x14ac:dyDescent="0.25">
      <c r="A1113" s="4">
        <v>36007</v>
      </c>
      <c r="B1113">
        <v>12.727</v>
      </c>
      <c r="C1113">
        <v>12.8871</v>
      </c>
      <c r="D1113">
        <v>12.4869</v>
      </c>
      <c r="E1113">
        <v>12.4869</v>
      </c>
      <c r="F1113">
        <v>16018</v>
      </c>
    </row>
    <row r="1114" spans="1:6" x14ac:dyDescent="0.25">
      <c r="A1114" s="4">
        <v>36008</v>
      </c>
      <c r="B1114">
        <v>12.3268</v>
      </c>
      <c r="C1114">
        <v>12.4869</v>
      </c>
      <c r="D1114">
        <v>12.166700000000001</v>
      </c>
      <c r="E1114">
        <v>12.4869</v>
      </c>
      <c r="F1114">
        <v>14432</v>
      </c>
    </row>
    <row r="1115" spans="1:6" x14ac:dyDescent="0.25">
      <c r="A1115" s="4">
        <v>36010</v>
      </c>
      <c r="B1115">
        <v>12.647</v>
      </c>
      <c r="C1115">
        <v>12.647</v>
      </c>
      <c r="D1115">
        <v>12.246700000000001</v>
      </c>
      <c r="E1115">
        <v>12.3268</v>
      </c>
      <c r="F1115">
        <v>11392</v>
      </c>
    </row>
    <row r="1116" spans="1:6" x14ac:dyDescent="0.25">
      <c r="A1116" s="4">
        <v>36011</v>
      </c>
      <c r="B1116">
        <v>12.166700000000001</v>
      </c>
      <c r="C1116">
        <v>12.647</v>
      </c>
      <c r="D1116">
        <v>12.166700000000001</v>
      </c>
      <c r="E1116">
        <v>12.3268</v>
      </c>
      <c r="F1116">
        <v>12263</v>
      </c>
    </row>
    <row r="1117" spans="1:6" x14ac:dyDescent="0.25">
      <c r="A1117" s="4">
        <v>36012</v>
      </c>
      <c r="B1117">
        <v>12.246700000000001</v>
      </c>
      <c r="C1117">
        <v>12.4869</v>
      </c>
      <c r="D1117">
        <v>12.166700000000001</v>
      </c>
      <c r="E1117">
        <v>12.3268</v>
      </c>
      <c r="F1117">
        <v>14785</v>
      </c>
    </row>
    <row r="1118" spans="1:6" x14ac:dyDescent="0.25">
      <c r="A1118" s="4">
        <v>36013</v>
      </c>
      <c r="B1118">
        <v>12.4869</v>
      </c>
      <c r="C1118">
        <v>12.4869</v>
      </c>
      <c r="D1118">
        <v>12.246700000000001</v>
      </c>
      <c r="E1118">
        <v>12.246700000000001</v>
      </c>
      <c r="F1118">
        <v>9548</v>
      </c>
    </row>
    <row r="1119" spans="1:6" x14ac:dyDescent="0.25">
      <c r="A1119" s="4">
        <v>36014</v>
      </c>
      <c r="B1119">
        <v>12.3268</v>
      </c>
      <c r="C1119">
        <v>12.4869</v>
      </c>
      <c r="D1119">
        <v>12.246700000000001</v>
      </c>
      <c r="E1119">
        <v>12.4068</v>
      </c>
      <c r="F1119">
        <v>12669</v>
      </c>
    </row>
    <row r="1120" spans="1:6" x14ac:dyDescent="0.25">
      <c r="A1120" s="4">
        <v>36017</v>
      </c>
      <c r="B1120">
        <v>12.4068</v>
      </c>
      <c r="C1120">
        <v>12.4068</v>
      </c>
      <c r="D1120">
        <v>12.166700000000001</v>
      </c>
      <c r="E1120">
        <v>12.246700000000001</v>
      </c>
      <c r="F1120">
        <v>13385</v>
      </c>
    </row>
    <row r="1121" spans="1:6" x14ac:dyDescent="0.25">
      <c r="A1121" s="4">
        <v>36018</v>
      </c>
      <c r="B1121">
        <v>12.166700000000001</v>
      </c>
      <c r="C1121">
        <v>12.246700000000001</v>
      </c>
      <c r="D1121">
        <v>11.926600000000001</v>
      </c>
      <c r="E1121">
        <v>12.166700000000001</v>
      </c>
      <c r="F1121">
        <v>20623</v>
      </c>
    </row>
    <row r="1122" spans="1:6" x14ac:dyDescent="0.25">
      <c r="A1122" s="4">
        <v>36019</v>
      </c>
      <c r="B1122">
        <v>12.006600000000001</v>
      </c>
      <c r="C1122">
        <v>12.086600000000001</v>
      </c>
      <c r="D1122">
        <v>11.846500000000001</v>
      </c>
      <c r="E1122">
        <v>12.006600000000001</v>
      </c>
      <c r="F1122">
        <v>16834</v>
      </c>
    </row>
    <row r="1123" spans="1:6" x14ac:dyDescent="0.25">
      <c r="A1123" s="4">
        <v>36020</v>
      </c>
      <c r="B1123">
        <v>12.166700000000001</v>
      </c>
      <c r="C1123">
        <v>12.246700000000001</v>
      </c>
      <c r="D1123">
        <v>12.086600000000001</v>
      </c>
      <c r="E1123">
        <v>12.086600000000001</v>
      </c>
      <c r="F1123">
        <v>16249</v>
      </c>
    </row>
    <row r="1124" spans="1:6" x14ac:dyDescent="0.25">
      <c r="A1124" s="4">
        <v>36021</v>
      </c>
      <c r="B1124">
        <v>12.006600000000001</v>
      </c>
      <c r="C1124">
        <v>12.006600000000001</v>
      </c>
      <c r="D1124">
        <v>11.766500000000001</v>
      </c>
      <c r="E1124">
        <v>12.006600000000001</v>
      </c>
      <c r="F1124">
        <v>21258</v>
      </c>
    </row>
    <row r="1125" spans="1:6" x14ac:dyDescent="0.25">
      <c r="A1125" s="4">
        <v>36022</v>
      </c>
      <c r="B1125">
        <v>12.006600000000001</v>
      </c>
      <c r="C1125">
        <v>12.086600000000001</v>
      </c>
      <c r="D1125">
        <v>11.926600000000001</v>
      </c>
      <c r="E1125">
        <v>11.926600000000001</v>
      </c>
      <c r="F1125">
        <v>8923</v>
      </c>
    </row>
    <row r="1126" spans="1:6" x14ac:dyDescent="0.25">
      <c r="A1126" s="4">
        <v>36024</v>
      </c>
      <c r="B1126">
        <v>11.926600000000001</v>
      </c>
      <c r="C1126">
        <v>11.926600000000001</v>
      </c>
      <c r="D1126">
        <v>11.606400000000001</v>
      </c>
      <c r="E1126">
        <v>11.606400000000001</v>
      </c>
      <c r="F1126">
        <v>17073</v>
      </c>
    </row>
    <row r="1127" spans="1:6" x14ac:dyDescent="0.25">
      <c r="A1127" s="4">
        <v>36025</v>
      </c>
      <c r="B1127">
        <v>11.606400000000001</v>
      </c>
      <c r="C1127">
        <v>11.606400000000001</v>
      </c>
      <c r="D1127">
        <v>10.805899999999999</v>
      </c>
      <c r="E1127">
        <v>10.965999999999999</v>
      </c>
      <c r="F1127">
        <v>96636</v>
      </c>
    </row>
    <row r="1128" spans="1:6" x14ac:dyDescent="0.25">
      <c r="A1128" s="4">
        <v>36026</v>
      </c>
      <c r="B1128">
        <v>11.126099999999999</v>
      </c>
      <c r="C1128">
        <v>11.366199999999999</v>
      </c>
      <c r="D1128">
        <v>11.046099999999999</v>
      </c>
      <c r="E1128">
        <v>11.366199999999999</v>
      </c>
      <c r="F1128">
        <v>33823</v>
      </c>
    </row>
    <row r="1129" spans="1:6" x14ac:dyDescent="0.25">
      <c r="A1129" s="4">
        <v>36027</v>
      </c>
      <c r="B1129">
        <v>11.366199999999999</v>
      </c>
      <c r="C1129">
        <v>11.366199999999999</v>
      </c>
      <c r="D1129">
        <v>11.206200000000001</v>
      </c>
      <c r="E1129">
        <v>11.286199999999999</v>
      </c>
      <c r="F1129">
        <v>15822</v>
      </c>
    </row>
    <row r="1130" spans="1:6" x14ac:dyDescent="0.25">
      <c r="A1130" s="4">
        <v>36028</v>
      </c>
      <c r="B1130">
        <v>11.206200000000001</v>
      </c>
      <c r="C1130">
        <v>11.286199999999999</v>
      </c>
      <c r="D1130">
        <v>10.965999999999999</v>
      </c>
      <c r="E1130">
        <v>11.046099999999999</v>
      </c>
      <c r="F1130">
        <v>18047</v>
      </c>
    </row>
    <row r="1131" spans="1:6" x14ac:dyDescent="0.25">
      <c r="A1131" s="4">
        <v>36031</v>
      </c>
      <c r="B1131">
        <v>10.805899999999999</v>
      </c>
      <c r="C1131">
        <v>10.805899999999999</v>
      </c>
      <c r="D1131">
        <v>10.325699999999999</v>
      </c>
      <c r="E1131">
        <v>10.325699999999999</v>
      </c>
      <c r="F1131">
        <v>46645</v>
      </c>
    </row>
    <row r="1132" spans="1:6" x14ac:dyDescent="0.25">
      <c r="A1132" s="4">
        <v>36032</v>
      </c>
      <c r="B1132">
        <v>10.2456</v>
      </c>
      <c r="C1132">
        <v>10.4057</v>
      </c>
      <c r="D1132">
        <v>10.0855</v>
      </c>
      <c r="E1132">
        <v>10.325699999999999</v>
      </c>
      <c r="F1132">
        <v>30508</v>
      </c>
    </row>
    <row r="1133" spans="1:6" x14ac:dyDescent="0.25">
      <c r="A1133" s="4">
        <v>36033</v>
      </c>
      <c r="B1133">
        <v>10.645899999999999</v>
      </c>
      <c r="C1133">
        <v>10.645899999999999</v>
      </c>
      <c r="D1133">
        <v>10.2456</v>
      </c>
      <c r="E1133">
        <v>10.2456</v>
      </c>
      <c r="F1133">
        <v>30794</v>
      </c>
    </row>
    <row r="1134" spans="1:6" x14ac:dyDescent="0.25">
      <c r="A1134" s="4">
        <v>36034</v>
      </c>
      <c r="B1134">
        <v>9.9254999999999995</v>
      </c>
      <c r="C1134">
        <v>10.4057</v>
      </c>
      <c r="D1134">
        <v>9.9254999999999995</v>
      </c>
      <c r="E1134">
        <v>10.325699999999999</v>
      </c>
      <c r="F1134">
        <v>26937</v>
      </c>
    </row>
    <row r="1135" spans="1:6" x14ac:dyDescent="0.25">
      <c r="A1135" s="4">
        <v>36035</v>
      </c>
      <c r="B1135">
        <v>9.8453999999999997</v>
      </c>
      <c r="C1135">
        <v>10.325699999999999</v>
      </c>
      <c r="D1135">
        <v>9.8453999999999997</v>
      </c>
      <c r="E1135">
        <v>10.0855</v>
      </c>
      <c r="F1135">
        <v>24220</v>
      </c>
    </row>
    <row r="1136" spans="1:6" x14ac:dyDescent="0.25">
      <c r="A1136" s="4">
        <v>36036</v>
      </c>
      <c r="B1136">
        <v>10.1656</v>
      </c>
      <c r="C1136">
        <v>10.325699999999999</v>
      </c>
      <c r="D1136">
        <v>10.0855</v>
      </c>
      <c r="E1136">
        <v>10.0855</v>
      </c>
      <c r="F1136">
        <v>14627</v>
      </c>
    </row>
    <row r="1137" spans="1:6" x14ac:dyDescent="0.25">
      <c r="A1137" s="4">
        <v>36038</v>
      </c>
      <c r="B1137">
        <v>10.0855</v>
      </c>
      <c r="C1137">
        <v>10.2456</v>
      </c>
      <c r="D1137">
        <v>9.8453999999999997</v>
      </c>
      <c r="E1137">
        <v>9.8453999999999997</v>
      </c>
      <c r="F1137">
        <v>18705</v>
      </c>
    </row>
    <row r="1138" spans="1:6" x14ac:dyDescent="0.25">
      <c r="A1138" s="4">
        <v>36039</v>
      </c>
      <c r="B1138">
        <v>9.4451999999999998</v>
      </c>
      <c r="C1138">
        <v>9.6052999999999997</v>
      </c>
      <c r="D1138">
        <v>9.2850999999999999</v>
      </c>
      <c r="E1138">
        <v>9.4451999999999998</v>
      </c>
      <c r="F1138">
        <v>27662</v>
      </c>
    </row>
    <row r="1139" spans="1:6" x14ac:dyDescent="0.25">
      <c r="A1139" s="4">
        <v>36040</v>
      </c>
      <c r="B1139">
        <v>9.6852999999999998</v>
      </c>
      <c r="C1139">
        <v>9.9254999999999995</v>
      </c>
      <c r="D1139">
        <v>9.6052999999999997</v>
      </c>
      <c r="E1139">
        <v>9.8453999999999997</v>
      </c>
      <c r="F1139">
        <v>19047</v>
      </c>
    </row>
    <row r="1140" spans="1:6" x14ac:dyDescent="0.25">
      <c r="A1140" s="4">
        <v>36041</v>
      </c>
      <c r="B1140">
        <v>9.7653999999999996</v>
      </c>
      <c r="C1140">
        <v>9.7653999999999996</v>
      </c>
      <c r="D1140">
        <v>9.2050999999999998</v>
      </c>
      <c r="E1140">
        <v>9.2050999999999998</v>
      </c>
      <c r="F1140">
        <v>46867</v>
      </c>
    </row>
    <row r="1141" spans="1:6" x14ac:dyDescent="0.25">
      <c r="A1141" s="4">
        <v>36042</v>
      </c>
      <c r="B1141">
        <v>9.125</v>
      </c>
      <c r="C1141">
        <v>9.3651</v>
      </c>
      <c r="D1141">
        <v>9.0449999999999999</v>
      </c>
      <c r="E1141">
        <v>9.2050999999999998</v>
      </c>
      <c r="F1141">
        <v>33754</v>
      </c>
    </row>
    <row r="1142" spans="1:6" x14ac:dyDescent="0.25">
      <c r="A1142" s="4">
        <v>36043</v>
      </c>
      <c r="B1142">
        <v>9.2050999999999998</v>
      </c>
      <c r="C1142">
        <v>9.8453999999999997</v>
      </c>
      <c r="D1142">
        <v>9.125</v>
      </c>
      <c r="E1142">
        <v>9.8453999999999997</v>
      </c>
      <c r="F1142">
        <v>46824</v>
      </c>
    </row>
    <row r="1143" spans="1:6" x14ac:dyDescent="0.25">
      <c r="A1143" s="4">
        <v>36045</v>
      </c>
      <c r="B1143">
        <v>9.9254999999999995</v>
      </c>
      <c r="C1143">
        <v>9.9254999999999995</v>
      </c>
      <c r="D1143">
        <v>9.6852999999999998</v>
      </c>
      <c r="E1143">
        <v>9.8453999999999997</v>
      </c>
      <c r="F1143">
        <v>29060</v>
      </c>
    </row>
    <row r="1144" spans="1:6" x14ac:dyDescent="0.25">
      <c r="A1144" s="4">
        <v>36046</v>
      </c>
      <c r="B1144">
        <v>9.9254999999999995</v>
      </c>
      <c r="C1144">
        <v>10.2456</v>
      </c>
      <c r="D1144">
        <v>9.8453999999999997</v>
      </c>
      <c r="E1144">
        <v>10.0855</v>
      </c>
      <c r="F1144">
        <v>27425</v>
      </c>
    </row>
    <row r="1145" spans="1:6" x14ac:dyDescent="0.25">
      <c r="A1145" s="4">
        <v>36047</v>
      </c>
      <c r="B1145">
        <v>10.4057</v>
      </c>
      <c r="C1145">
        <v>10.4057</v>
      </c>
      <c r="D1145">
        <v>10.0055</v>
      </c>
      <c r="E1145">
        <v>10.2456</v>
      </c>
      <c r="F1145">
        <v>35436</v>
      </c>
    </row>
    <row r="1146" spans="1:6" x14ac:dyDescent="0.25">
      <c r="A1146" s="4">
        <v>36048</v>
      </c>
      <c r="B1146">
        <v>10.2456</v>
      </c>
      <c r="C1146">
        <v>10.4057</v>
      </c>
      <c r="D1146">
        <v>10.0855</v>
      </c>
      <c r="E1146">
        <v>10.2456</v>
      </c>
      <c r="F1146">
        <v>24424</v>
      </c>
    </row>
    <row r="1147" spans="1:6" x14ac:dyDescent="0.25">
      <c r="A1147" s="4">
        <v>36049</v>
      </c>
      <c r="B1147">
        <v>10.0855</v>
      </c>
      <c r="C1147">
        <v>10.1656</v>
      </c>
      <c r="D1147">
        <v>9.7653999999999996</v>
      </c>
      <c r="E1147">
        <v>10.0055</v>
      </c>
      <c r="F1147">
        <v>24907</v>
      </c>
    </row>
    <row r="1148" spans="1:6" x14ac:dyDescent="0.25">
      <c r="A1148" s="4">
        <v>36052</v>
      </c>
      <c r="B1148">
        <v>10.0855</v>
      </c>
      <c r="C1148">
        <v>10.0855</v>
      </c>
      <c r="D1148">
        <v>9.9254999999999995</v>
      </c>
      <c r="E1148">
        <v>10.0055</v>
      </c>
      <c r="F1148">
        <v>12792</v>
      </c>
    </row>
    <row r="1149" spans="1:6" x14ac:dyDescent="0.25">
      <c r="A1149" s="4">
        <v>36053</v>
      </c>
      <c r="B1149">
        <v>10.0855</v>
      </c>
      <c r="C1149">
        <v>10.0855</v>
      </c>
      <c r="D1149">
        <v>9.9254999999999995</v>
      </c>
      <c r="E1149">
        <v>10.0055</v>
      </c>
      <c r="F1149">
        <v>10342</v>
      </c>
    </row>
    <row r="1150" spans="1:6" x14ac:dyDescent="0.25">
      <c r="A1150" s="4">
        <v>36054</v>
      </c>
      <c r="B1150">
        <v>10.0055</v>
      </c>
      <c r="C1150">
        <v>10.1656</v>
      </c>
      <c r="D1150">
        <v>9.9254999999999995</v>
      </c>
      <c r="E1150">
        <v>10.1656</v>
      </c>
      <c r="F1150">
        <v>13502</v>
      </c>
    </row>
    <row r="1151" spans="1:6" x14ac:dyDescent="0.25">
      <c r="A1151" s="4">
        <v>36055</v>
      </c>
      <c r="B1151">
        <v>10.2456</v>
      </c>
      <c r="C1151">
        <v>10.485799999999999</v>
      </c>
      <c r="D1151">
        <v>10.1656</v>
      </c>
      <c r="E1151">
        <v>10.2456</v>
      </c>
      <c r="F1151">
        <v>29641</v>
      </c>
    </row>
    <row r="1152" spans="1:6" x14ac:dyDescent="0.25">
      <c r="A1152" s="4">
        <v>36056</v>
      </c>
      <c r="B1152">
        <v>10.1656</v>
      </c>
      <c r="C1152">
        <v>10.2456</v>
      </c>
      <c r="D1152">
        <v>10.0855</v>
      </c>
      <c r="E1152">
        <v>10.0855</v>
      </c>
      <c r="F1152">
        <v>8759</v>
      </c>
    </row>
    <row r="1153" spans="1:6" x14ac:dyDescent="0.25">
      <c r="A1153" s="4">
        <v>36057</v>
      </c>
      <c r="B1153">
        <v>10.1656</v>
      </c>
      <c r="C1153">
        <v>10.325699999999999</v>
      </c>
      <c r="D1153">
        <v>10.0855</v>
      </c>
      <c r="E1153">
        <v>10.1656</v>
      </c>
      <c r="F1153">
        <v>12744</v>
      </c>
    </row>
    <row r="1154" spans="1:6" x14ac:dyDescent="0.25">
      <c r="A1154" s="4">
        <v>36059</v>
      </c>
      <c r="B1154">
        <v>10.2456</v>
      </c>
      <c r="C1154">
        <v>10.325699999999999</v>
      </c>
      <c r="D1154">
        <v>10.0855</v>
      </c>
      <c r="E1154">
        <v>10.0855</v>
      </c>
      <c r="F1154">
        <v>13733</v>
      </c>
    </row>
    <row r="1155" spans="1:6" x14ac:dyDescent="0.25">
      <c r="A1155" s="4">
        <v>36060</v>
      </c>
      <c r="B1155">
        <v>10.2456</v>
      </c>
      <c r="C1155">
        <v>10.325699999999999</v>
      </c>
      <c r="D1155">
        <v>10.0855</v>
      </c>
      <c r="E1155">
        <v>10.1656</v>
      </c>
      <c r="F1155">
        <v>10170</v>
      </c>
    </row>
    <row r="1156" spans="1:6" x14ac:dyDescent="0.25">
      <c r="A1156" s="4">
        <v>36061</v>
      </c>
      <c r="B1156">
        <v>10.2456</v>
      </c>
      <c r="C1156">
        <v>10.565799999999999</v>
      </c>
      <c r="D1156">
        <v>10.2456</v>
      </c>
      <c r="E1156">
        <v>10.325699999999999</v>
      </c>
      <c r="F1156">
        <v>33117</v>
      </c>
    </row>
    <row r="1157" spans="1:6" x14ac:dyDescent="0.25">
      <c r="A1157" s="4">
        <v>36062</v>
      </c>
      <c r="B1157">
        <v>10.565799999999999</v>
      </c>
      <c r="C1157">
        <v>10.645899999999999</v>
      </c>
      <c r="D1157">
        <v>10.4057</v>
      </c>
      <c r="E1157">
        <v>10.4057</v>
      </c>
      <c r="F1157">
        <v>20630</v>
      </c>
    </row>
    <row r="1158" spans="1:6" x14ac:dyDescent="0.25">
      <c r="A1158" s="4">
        <v>36063</v>
      </c>
      <c r="B1158">
        <v>10.4057</v>
      </c>
      <c r="C1158">
        <v>10.485799999999999</v>
      </c>
      <c r="D1158">
        <v>10.325699999999999</v>
      </c>
      <c r="E1158">
        <v>10.485799999999999</v>
      </c>
      <c r="F1158">
        <v>10845</v>
      </c>
    </row>
    <row r="1159" spans="1:6" x14ac:dyDescent="0.25">
      <c r="A1159" s="4">
        <v>36066</v>
      </c>
      <c r="B1159">
        <v>10.565799999999999</v>
      </c>
      <c r="C1159">
        <v>10.725899999999999</v>
      </c>
      <c r="D1159">
        <v>10.4057</v>
      </c>
      <c r="E1159">
        <v>10.725899999999999</v>
      </c>
      <c r="F1159">
        <v>22191</v>
      </c>
    </row>
    <row r="1160" spans="1:6" x14ac:dyDescent="0.25">
      <c r="A1160" s="4">
        <v>36067</v>
      </c>
      <c r="B1160">
        <v>10.805899999999999</v>
      </c>
      <c r="C1160">
        <v>10.885999999999999</v>
      </c>
      <c r="D1160">
        <v>10.565799999999999</v>
      </c>
      <c r="E1160">
        <v>10.885999999999999</v>
      </c>
      <c r="F1160">
        <v>34701</v>
      </c>
    </row>
    <row r="1161" spans="1:6" x14ac:dyDescent="0.25">
      <c r="A1161" s="4">
        <v>36068</v>
      </c>
      <c r="B1161">
        <v>10.885999999999999</v>
      </c>
      <c r="C1161">
        <v>10.885999999999999</v>
      </c>
      <c r="D1161">
        <v>10.565799999999999</v>
      </c>
      <c r="E1161">
        <v>10.565799999999999</v>
      </c>
      <c r="F1161">
        <v>24759</v>
      </c>
    </row>
    <row r="1162" spans="1:6" x14ac:dyDescent="0.25">
      <c r="A1162" s="4">
        <v>36069</v>
      </c>
      <c r="B1162">
        <v>10.4057</v>
      </c>
      <c r="C1162">
        <v>10.4057</v>
      </c>
      <c r="D1162">
        <v>10.0055</v>
      </c>
      <c r="E1162">
        <v>10.0855</v>
      </c>
      <c r="F1162">
        <v>19614</v>
      </c>
    </row>
    <row r="1163" spans="1:6" x14ac:dyDescent="0.25">
      <c r="A1163" s="4">
        <v>36070</v>
      </c>
      <c r="B1163">
        <v>9.6052999999999997</v>
      </c>
      <c r="C1163">
        <v>9.7653999999999996</v>
      </c>
      <c r="D1163">
        <v>9.4451999999999998</v>
      </c>
      <c r="E1163">
        <v>9.6052999999999997</v>
      </c>
      <c r="F1163">
        <v>24808</v>
      </c>
    </row>
    <row r="1164" spans="1:6" x14ac:dyDescent="0.25">
      <c r="A1164" s="4">
        <v>36071</v>
      </c>
      <c r="B1164">
        <v>9.6052999999999997</v>
      </c>
      <c r="C1164">
        <v>9.9254999999999995</v>
      </c>
      <c r="D1164">
        <v>9.6052999999999997</v>
      </c>
      <c r="E1164">
        <v>9.8453999999999997</v>
      </c>
      <c r="F1164">
        <v>17586</v>
      </c>
    </row>
    <row r="1165" spans="1:6" x14ac:dyDescent="0.25">
      <c r="A1165" s="4">
        <v>36074</v>
      </c>
      <c r="B1165">
        <v>9.6052999999999997</v>
      </c>
      <c r="C1165">
        <v>9.6052999999999997</v>
      </c>
      <c r="D1165">
        <v>9.3651</v>
      </c>
      <c r="E1165">
        <v>9.5251999999999999</v>
      </c>
      <c r="F1165">
        <v>14794</v>
      </c>
    </row>
    <row r="1166" spans="1:6" x14ac:dyDescent="0.25">
      <c r="A1166" s="4">
        <v>36075</v>
      </c>
      <c r="B1166">
        <v>9.5251999999999999</v>
      </c>
      <c r="C1166">
        <v>9.6852999999999998</v>
      </c>
      <c r="D1166">
        <v>9.4451999999999998</v>
      </c>
      <c r="E1166">
        <v>9.6052999999999997</v>
      </c>
      <c r="F1166">
        <v>11235</v>
      </c>
    </row>
    <row r="1167" spans="1:6" x14ac:dyDescent="0.25">
      <c r="A1167" s="4">
        <v>36076</v>
      </c>
      <c r="B1167">
        <v>9.6852999999999998</v>
      </c>
      <c r="C1167">
        <v>10.1656</v>
      </c>
      <c r="D1167">
        <v>9.6052999999999997</v>
      </c>
      <c r="E1167">
        <v>10.0855</v>
      </c>
      <c r="F1167">
        <v>17575</v>
      </c>
    </row>
    <row r="1168" spans="1:6" x14ac:dyDescent="0.25">
      <c r="A1168" s="4">
        <v>36077</v>
      </c>
      <c r="B1168">
        <v>10.0855</v>
      </c>
      <c r="C1168">
        <v>10.0855</v>
      </c>
      <c r="D1168">
        <v>9.8453999999999997</v>
      </c>
      <c r="E1168">
        <v>9.8453999999999997</v>
      </c>
      <c r="F1168">
        <v>10977</v>
      </c>
    </row>
    <row r="1169" spans="1:6" x14ac:dyDescent="0.25">
      <c r="A1169" s="4">
        <v>36080</v>
      </c>
      <c r="B1169">
        <v>10.1656</v>
      </c>
      <c r="C1169">
        <v>10.1656</v>
      </c>
      <c r="D1169">
        <v>9.9254999999999995</v>
      </c>
      <c r="E1169">
        <v>9.9254999999999995</v>
      </c>
      <c r="F1169">
        <v>10092</v>
      </c>
    </row>
    <row r="1170" spans="1:6" x14ac:dyDescent="0.25">
      <c r="A1170" s="4">
        <v>36081</v>
      </c>
      <c r="B1170">
        <v>10.1656</v>
      </c>
      <c r="C1170">
        <v>10.1656</v>
      </c>
      <c r="D1170">
        <v>10.0055</v>
      </c>
      <c r="E1170">
        <v>10.0855</v>
      </c>
      <c r="F1170">
        <v>11210</v>
      </c>
    </row>
    <row r="1171" spans="1:6" x14ac:dyDescent="0.25">
      <c r="A1171" s="4">
        <v>36082</v>
      </c>
      <c r="B1171">
        <v>10.0855</v>
      </c>
      <c r="C1171">
        <v>10.2456</v>
      </c>
      <c r="D1171">
        <v>10.0055</v>
      </c>
      <c r="E1171">
        <v>10.0055</v>
      </c>
      <c r="F1171">
        <v>13793</v>
      </c>
    </row>
    <row r="1172" spans="1:6" x14ac:dyDescent="0.25">
      <c r="A1172" s="4">
        <v>36083</v>
      </c>
      <c r="B1172">
        <v>10.0855</v>
      </c>
      <c r="C1172">
        <v>10.1656</v>
      </c>
      <c r="D1172">
        <v>9.9254999999999995</v>
      </c>
      <c r="E1172">
        <v>10.0855</v>
      </c>
      <c r="F1172">
        <v>8889</v>
      </c>
    </row>
    <row r="1173" spans="1:6" x14ac:dyDescent="0.25">
      <c r="A1173" s="4">
        <v>36085</v>
      </c>
      <c r="B1173">
        <v>10.325699999999999</v>
      </c>
      <c r="C1173">
        <v>10.485799999999999</v>
      </c>
      <c r="D1173">
        <v>10.2456</v>
      </c>
      <c r="E1173">
        <v>10.325699999999999</v>
      </c>
      <c r="F1173">
        <v>30283</v>
      </c>
    </row>
    <row r="1174" spans="1:6" x14ac:dyDescent="0.25">
      <c r="A1174" s="4">
        <v>36087</v>
      </c>
      <c r="B1174">
        <v>10.4057</v>
      </c>
      <c r="C1174">
        <v>10.485799999999999</v>
      </c>
      <c r="D1174">
        <v>10.2456</v>
      </c>
      <c r="E1174">
        <v>10.325699999999999</v>
      </c>
      <c r="F1174">
        <v>10138</v>
      </c>
    </row>
    <row r="1175" spans="1:6" x14ac:dyDescent="0.25">
      <c r="A1175" s="4">
        <v>36088</v>
      </c>
      <c r="B1175">
        <v>10.0055</v>
      </c>
      <c r="C1175">
        <v>10.1656</v>
      </c>
      <c r="D1175">
        <v>9.9254999999999995</v>
      </c>
      <c r="E1175">
        <v>10.0055</v>
      </c>
      <c r="F1175">
        <v>14747</v>
      </c>
    </row>
    <row r="1176" spans="1:6" x14ac:dyDescent="0.25">
      <c r="A1176" s="4">
        <v>36089</v>
      </c>
      <c r="B1176">
        <v>10.0055</v>
      </c>
      <c r="C1176">
        <v>10.1656</v>
      </c>
      <c r="D1176">
        <v>9.9254999999999995</v>
      </c>
      <c r="E1176">
        <v>10.1656</v>
      </c>
      <c r="F1176">
        <v>10639</v>
      </c>
    </row>
    <row r="1177" spans="1:6" x14ac:dyDescent="0.25">
      <c r="A1177" s="4">
        <v>36090</v>
      </c>
      <c r="B1177">
        <v>10.2456</v>
      </c>
      <c r="C1177">
        <v>10.325699999999999</v>
      </c>
      <c r="D1177">
        <v>9.9254999999999995</v>
      </c>
      <c r="E1177">
        <v>9.9254999999999995</v>
      </c>
      <c r="F1177">
        <v>12357</v>
      </c>
    </row>
    <row r="1178" spans="1:6" x14ac:dyDescent="0.25">
      <c r="A1178" s="4">
        <v>36091</v>
      </c>
      <c r="B1178">
        <v>9.9254999999999995</v>
      </c>
      <c r="C1178">
        <v>10.0855</v>
      </c>
      <c r="D1178">
        <v>9.8453999999999997</v>
      </c>
      <c r="E1178">
        <v>10.0055</v>
      </c>
      <c r="F1178">
        <v>9778</v>
      </c>
    </row>
    <row r="1179" spans="1:6" x14ac:dyDescent="0.25">
      <c r="A1179" s="4">
        <v>36094</v>
      </c>
      <c r="B1179">
        <v>10.0055</v>
      </c>
      <c r="C1179">
        <v>10.1656</v>
      </c>
      <c r="D1179">
        <v>9.9254999999999995</v>
      </c>
      <c r="E1179">
        <v>10.0055</v>
      </c>
      <c r="F1179">
        <v>9739</v>
      </c>
    </row>
    <row r="1180" spans="1:6" x14ac:dyDescent="0.25">
      <c r="A1180" s="4">
        <v>36095</v>
      </c>
      <c r="B1180">
        <v>10.0855</v>
      </c>
      <c r="C1180">
        <v>10.1656</v>
      </c>
      <c r="D1180">
        <v>10.0055</v>
      </c>
      <c r="E1180">
        <v>10.0055</v>
      </c>
      <c r="F1180">
        <v>6054</v>
      </c>
    </row>
    <row r="1181" spans="1:6" x14ac:dyDescent="0.25">
      <c r="A1181" s="4">
        <v>36096</v>
      </c>
      <c r="B1181">
        <v>10.0855</v>
      </c>
      <c r="C1181">
        <v>10.1656</v>
      </c>
      <c r="D1181">
        <v>10.0055</v>
      </c>
      <c r="E1181">
        <v>10.0855</v>
      </c>
      <c r="F1181">
        <v>7832</v>
      </c>
    </row>
    <row r="1182" spans="1:6" x14ac:dyDescent="0.25">
      <c r="A1182" s="4">
        <v>36097</v>
      </c>
      <c r="B1182">
        <v>10.1656</v>
      </c>
      <c r="C1182">
        <v>10.1656</v>
      </c>
      <c r="D1182">
        <v>10.0055</v>
      </c>
      <c r="E1182">
        <v>10.0855</v>
      </c>
      <c r="F1182">
        <v>7268</v>
      </c>
    </row>
    <row r="1183" spans="1:6" x14ac:dyDescent="0.25">
      <c r="A1183" s="4">
        <v>36098</v>
      </c>
      <c r="B1183">
        <v>10.1656</v>
      </c>
      <c r="C1183">
        <v>10.485799999999999</v>
      </c>
      <c r="D1183">
        <v>10.1656</v>
      </c>
      <c r="E1183">
        <v>10.485799999999999</v>
      </c>
      <c r="F1183">
        <v>31699</v>
      </c>
    </row>
    <row r="1184" spans="1:6" x14ac:dyDescent="0.25">
      <c r="A1184" s="4">
        <v>36099</v>
      </c>
      <c r="B1184">
        <v>10.725899999999999</v>
      </c>
      <c r="C1184">
        <v>10.885999999999999</v>
      </c>
      <c r="D1184">
        <v>10.645899999999999</v>
      </c>
      <c r="E1184">
        <v>10.805899999999999</v>
      </c>
      <c r="F1184">
        <v>47830</v>
      </c>
    </row>
    <row r="1185" spans="1:6" x14ac:dyDescent="0.25">
      <c r="A1185" s="4">
        <v>36101</v>
      </c>
      <c r="B1185">
        <v>10.965999999999999</v>
      </c>
      <c r="C1185">
        <v>11.206200000000001</v>
      </c>
      <c r="D1185">
        <v>10.885999999999999</v>
      </c>
      <c r="E1185">
        <v>11.206200000000001</v>
      </c>
      <c r="F1185">
        <v>47656</v>
      </c>
    </row>
    <row r="1186" spans="1:6" x14ac:dyDescent="0.25">
      <c r="A1186" s="4">
        <v>36102</v>
      </c>
      <c r="B1186">
        <v>11.206200000000001</v>
      </c>
      <c r="C1186">
        <v>11.206200000000001</v>
      </c>
      <c r="D1186">
        <v>10.885999999999999</v>
      </c>
      <c r="E1186">
        <v>10.965999999999999</v>
      </c>
      <c r="F1186">
        <v>31269</v>
      </c>
    </row>
    <row r="1187" spans="1:6" x14ac:dyDescent="0.25">
      <c r="A1187" s="4">
        <v>36103</v>
      </c>
      <c r="B1187">
        <v>10.885999999999999</v>
      </c>
      <c r="C1187">
        <v>10.965999999999999</v>
      </c>
      <c r="D1187">
        <v>10.485799999999999</v>
      </c>
      <c r="E1187">
        <v>10.645899999999999</v>
      </c>
      <c r="F1187">
        <v>23338</v>
      </c>
    </row>
    <row r="1188" spans="1:6" x14ac:dyDescent="0.25">
      <c r="A1188" s="4">
        <v>36104</v>
      </c>
      <c r="B1188">
        <v>10.725899999999999</v>
      </c>
      <c r="C1188">
        <v>11.046099999999999</v>
      </c>
      <c r="D1188">
        <v>10.645899999999999</v>
      </c>
      <c r="E1188">
        <v>11.046099999999999</v>
      </c>
      <c r="F1188">
        <v>26024</v>
      </c>
    </row>
    <row r="1189" spans="1:6" x14ac:dyDescent="0.25">
      <c r="A1189" s="4">
        <v>36105</v>
      </c>
      <c r="B1189">
        <v>11.046099999999999</v>
      </c>
      <c r="C1189">
        <v>11.126099999999999</v>
      </c>
      <c r="D1189">
        <v>10.725899999999999</v>
      </c>
      <c r="E1189">
        <v>10.965999999999999</v>
      </c>
      <c r="F1189">
        <v>22473</v>
      </c>
    </row>
    <row r="1190" spans="1:6" x14ac:dyDescent="0.25">
      <c r="A1190" s="4">
        <v>36106</v>
      </c>
      <c r="B1190">
        <v>10.965999999999999</v>
      </c>
      <c r="C1190">
        <v>11.206200000000001</v>
      </c>
      <c r="D1190">
        <v>10.965999999999999</v>
      </c>
      <c r="E1190">
        <v>11.046099999999999</v>
      </c>
      <c r="F1190">
        <v>17089</v>
      </c>
    </row>
    <row r="1191" spans="1:6" x14ac:dyDescent="0.25">
      <c r="A1191" s="4">
        <v>36108</v>
      </c>
      <c r="B1191">
        <v>11.046099999999999</v>
      </c>
      <c r="C1191">
        <v>11.126099999999999</v>
      </c>
      <c r="D1191">
        <v>10.885999999999999</v>
      </c>
      <c r="E1191">
        <v>10.965999999999999</v>
      </c>
      <c r="F1191">
        <v>10334</v>
      </c>
    </row>
    <row r="1192" spans="1:6" x14ac:dyDescent="0.25">
      <c r="A1192" s="4">
        <v>36109</v>
      </c>
      <c r="B1192">
        <v>10.725899999999999</v>
      </c>
      <c r="C1192">
        <v>10.805899999999999</v>
      </c>
      <c r="D1192">
        <v>10.565799999999999</v>
      </c>
      <c r="E1192">
        <v>10.565799999999999</v>
      </c>
      <c r="F1192">
        <v>15083</v>
      </c>
    </row>
    <row r="1193" spans="1:6" x14ac:dyDescent="0.25">
      <c r="A1193" s="4">
        <v>36110</v>
      </c>
      <c r="B1193">
        <v>10.4057</v>
      </c>
      <c r="C1193">
        <v>10.485799999999999</v>
      </c>
      <c r="D1193">
        <v>10.2456</v>
      </c>
      <c r="E1193">
        <v>10.4057</v>
      </c>
      <c r="F1193">
        <v>16951</v>
      </c>
    </row>
    <row r="1194" spans="1:6" x14ac:dyDescent="0.25">
      <c r="A1194" s="4">
        <v>36112</v>
      </c>
      <c r="B1194">
        <v>10.725899999999999</v>
      </c>
      <c r="C1194">
        <v>10.805899999999999</v>
      </c>
      <c r="D1194">
        <v>10.565799999999999</v>
      </c>
      <c r="E1194">
        <v>10.725899999999999</v>
      </c>
      <c r="F1194">
        <v>18901</v>
      </c>
    </row>
    <row r="1195" spans="1:6" x14ac:dyDescent="0.25">
      <c r="A1195" s="4">
        <v>36115</v>
      </c>
      <c r="B1195">
        <v>10.885999999999999</v>
      </c>
      <c r="C1195">
        <v>10.965999999999999</v>
      </c>
      <c r="D1195">
        <v>10.805899999999999</v>
      </c>
      <c r="E1195">
        <v>10.965999999999999</v>
      </c>
      <c r="F1195">
        <v>13884</v>
      </c>
    </row>
    <row r="1196" spans="1:6" x14ac:dyDescent="0.25">
      <c r="A1196" s="4">
        <v>36116</v>
      </c>
      <c r="B1196">
        <v>11.206200000000001</v>
      </c>
      <c r="C1196">
        <v>11.686400000000001</v>
      </c>
      <c r="D1196">
        <v>11.206200000000001</v>
      </c>
      <c r="E1196">
        <v>11.686400000000001</v>
      </c>
      <c r="F1196">
        <v>65792</v>
      </c>
    </row>
    <row r="1197" spans="1:6" x14ac:dyDescent="0.25">
      <c r="A1197" s="4">
        <v>36117</v>
      </c>
      <c r="B1197">
        <v>11.926600000000001</v>
      </c>
      <c r="C1197">
        <v>12.086600000000001</v>
      </c>
      <c r="D1197">
        <v>11.766500000000001</v>
      </c>
      <c r="E1197">
        <v>11.846500000000001</v>
      </c>
      <c r="F1197">
        <v>76725</v>
      </c>
    </row>
    <row r="1198" spans="1:6" x14ac:dyDescent="0.25">
      <c r="A1198" s="4">
        <v>36118</v>
      </c>
      <c r="B1198">
        <v>12.006600000000001</v>
      </c>
      <c r="C1198">
        <v>12.647</v>
      </c>
      <c r="D1198">
        <v>12.006600000000001</v>
      </c>
      <c r="E1198">
        <v>12.647</v>
      </c>
      <c r="F1198">
        <v>73283</v>
      </c>
    </row>
    <row r="1199" spans="1:6" x14ac:dyDescent="0.25">
      <c r="A1199" s="4">
        <v>36119</v>
      </c>
      <c r="B1199">
        <v>12.807</v>
      </c>
      <c r="C1199">
        <v>12.9671</v>
      </c>
      <c r="D1199">
        <v>12.5669</v>
      </c>
      <c r="E1199">
        <v>12.807</v>
      </c>
      <c r="F1199">
        <v>63937</v>
      </c>
    </row>
    <row r="1200" spans="1:6" x14ac:dyDescent="0.25">
      <c r="A1200" s="4">
        <v>36120</v>
      </c>
      <c r="B1200">
        <v>12.807</v>
      </c>
      <c r="C1200">
        <v>12.807</v>
      </c>
      <c r="D1200">
        <v>12.4068</v>
      </c>
      <c r="E1200">
        <v>12.4869</v>
      </c>
      <c r="F1200">
        <v>48494</v>
      </c>
    </row>
    <row r="1201" spans="1:6" x14ac:dyDescent="0.25">
      <c r="A1201" s="4">
        <v>36122</v>
      </c>
      <c r="B1201">
        <v>12.246700000000001</v>
      </c>
      <c r="C1201">
        <v>12.4068</v>
      </c>
      <c r="D1201">
        <v>12.246700000000001</v>
      </c>
      <c r="E1201">
        <v>12.246700000000001</v>
      </c>
      <c r="F1201">
        <v>24992</v>
      </c>
    </row>
    <row r="1202" spans="1:6" x14ac:dyDescent="0.25">
      <c r="A1202" s="4">
        <v>36123</v>
      </c>
      <c r="B1202">
        <v>13.0472</v>
      </c>
      <c r="C1202">
        <v>13.0472</v>
      </c>
      <c r="D1202">
        <v>12.807</v>
      </c>
      <c r="E1202">
        <v>13.0472</v>
      </c>
      <c r="F1202">
        <v>84133</v>
      </c>
    </row>
    <row r="1203" spans="1:6" x14ac:dyDescent="0.25">
      <c r="A1203" s="4">
        <v>36124</v>
      </c>
      <c r="B1203">
        <v>12.647</v>
      </c>
      <c r="C1203">
        <v>13.3673</v>
      </c>
      <c r="D1203">
        <v>12.647</v>
      </c>
      <c r="E1203">
        <v>13.2873</v>
      </c>
      <c r="F1203">
        <v>101993</v>
      </c>
    </row>
    <row r="1204" spans="1:6" x14ac:dyDescent="0.25">
      <c r="A1204" s="4">
        <v>36125</v>
      </c>
      <c r="B1204">
        <v>13.2873</v>
      </c>
      <c r="C1204">
        <v>13.4474</v>
      </c>
      <c r="D1204">
        <v>13.0472</v>
      </c>
      <c r="E1204">
        <v>13.2073</v>
      </c>
      <c r="F1204">
        <v>74369</v>
      </c>
    </row>
    <row r="1205" spans="1:6" x14ac:dyDescent="0.25">
      <c r="A1205" s="4">
        <v>36126</v>
      </c>
      <c r="B1205">
        <v>13.1272</v>
      </c>
      <c r="C1205">
        <v>13.2073</v>
      </c>
      <c r="D1205">
        <v>12.807</v>
      </c>
      <c r="E1205">
        <v>12.8871</v>
      </c>
      <c r="F1205">
        <v>35491</v>
      </c>
    </row>
    <row r="1206" spans="1:6" x14ac:dyDescent="0.25">
      <c r="A1206" s="4">
        <v>36129</v>
      </c>
      <c r="B1206">
        <v>12.807</v>
      </c>
      <c r="C1206">
        <v>12.8871</v>
      </c>
      <c r="D1206">
        <v>12.5669</v>
      </c>
      <c r="E1206">
        <v>12.5669</v>
      </c>
      <c r="F1206">
        <v>21475</v>
      </c>
    </row>
    <row r="1207" spans="1:6" x14ac:dyDescent="0.25">
      <c r="A1207" s="4">
        <v>36130</v>
      </c>
      <c r="B1207">
        <v>12.3268</v>
      </c>
      <c r="C1207">
        <v>12.647</v>
      </c>
      <c r="D1207">
        <v>12.3268</v>
      </c>
      <c r="E1207">
        <v>12.3268</v>
      </c>
      <c r="F1207">
        <v>23536</v>
      </c>
    </row>
    <row r="1208" spans="1:6" x14ac:dyDescent="0.25">
      <c r="A1208" s="4">
        <v>36131</v>
      </c>
      <c r="B1208">
        <v>12.4869</v>
      </c>
      <c r="C1208">
        <v>12.647</v>
      </c>
      <c r="D1208">
        <v>12.3268</v>
      </c>
      <c r="E1208">
        <v>12.3268</v>
      </c>
      <c r="F1208">
        <v>24019</v>
      </c>
    </row>
    <row r="1209" spans="1:6" x14ac:dyDescent="0.25">
      <c r="A1209" s="4">
        <v>36132</v>
      </c>
      <c r="B1209">
        <v>12.4068</v>
      </c>
      <c r="C1209">
        <v>12.5669</v>
      </c>
      <c r="D1209">
        <v>12.3268</v>
      </c>
      <c r="E1209">
        <v>12.4869</v>
      </c>
      <c r="F1209">
        <v>22389</v>
      </c>
    </row>
    <row r="1210" spans="1:6" x14ac:dyDescent="0.25">
      <c r="A1210" s="4">
        <v>36133</v>
      </c>
      <c r="B1210">
        <v>12.5669</v>
      </c>
      <c r="C1210">
        <v>12.8871</v>
      </c>
      <c r="D1210">
        <v>12.5669</v>
      </c>
      <c r="E1210">
        <v>12.807</v>
      </c>
      <c r="F1210">
        <v>38431</v>
      </c>
    </row>
    <row r="1211" spans="1:6" x14ac:dyDescent="0.25">
      <c r="A1211" s="4">
        <v>36136</v>
      </c>
      <c r="B1211">
        <v>13.3673</v>
      </c>
      <c r="C1211">
        <v>13.3673</v>
      </c>
      <c r="D1211">
        <v>12.807</v>
      </c>
      <c r="E1211">
        <v>12.8871</v>
      </c>
      <c r="F1211">
        <v>45176</v>
      </c>
    </row>
    <row r="1212" spans="1:6" x14ac:dyDescent="0.25">
      <c r="A1212" s="4">
        <v>36137</v>
      </c>
      <c r="B1212">
        <v>12.8871</v>
      </c>
      <c r="C1212">
        <v>13.0472</v>
      </c>
      <c r="D1212">
        <v>12.5669</v>
      </c>
      <c r="E1212">
        <v>12.647</v>
      </c>
      <c r="F1212">
        <v>24169</v>
      </c>
    </row>
    <row r="1213" spans="1:6" x14ac:dyDescent="0.25">
      <c r="A1213" s="4">
        <v>36138</v>
      </c>
      <c r="B1213">
        <v>12.4869</v>
      </c>
      <c r="C1213">
        <v>12.647</v>
      </c>
      <c r="D1213">
        <v>12.4068</v>
      </c>
      <c r="E1213">
        <v>12.647</v>
      </c>
      <c r="F1213">
        <v>18618</v>
      </c>
    </row>
    <row r="1214" spans="1:6" x14ac:dyDescent="0.25">
      <c r="A1214" s="4">
        <v>36139</v>
      </c>
      <c r="B1214">
        <v>12.4869</v>
      </c>
      <c r="C1214">
        <v>12.647</v>
      </c>
      <c r="D1214">
        <v>12.4068</v>
      </c>
      <c r="E1214">
        <v>12.4068</v>
      </c>
      <c r="F1214">
        <v>14239</v>
      </c>
    </row>
    <row r="1215" spans="1:6" x14ac:dyDescent="0.25">
      <c r="A1215" s="4">
        <v>36140</v>
      </c>
      <c r="B1215">
        <v>12.246700000000001</v>
      </c>
      <c r="C1215">
        <v>12.4068</v>
      </c>
      <c r="D1215">
        <v>12.086600000000001</v>
      </c>
      <c r="E1215">
        <v>12.166700000000001</v>
      </c>
      <c r="F1215">
        <v>19347</v>
      </c>
    </row>
    <row r="1216" spans="1:6" x14ac:dyDescent="0.25">
      <c r="A1216" s="4">
        <v>36143</v>
      </c>
      <c r="B1216">
        <v>12.166700000000001</v>
      </c>
      <c r="C1216">
        <v>12.3268</v>
      </c>
      <c r="D1216">
        <v>11.526300000000001</v>
      </c>
      <c r="E1216">
        <v>11.526300000000001</v>
      </c>
      <c r="F1216">
        <v>29411</v>
      </c>
    </row>
    <row r="1217" spans="1:6" x14ac:dyDescent="0.25">
      <c r="A1217" s="4">
        <v>36144</v>
      </c>
      <c r="B1217">
        <v>11.206200000000001</v>
      </c>
      <c r="C1217">
        <v>11.526300000000001</v>
      </c>
      <c r="D1217">
        <v>10.885999999999999</v>
      </c>
      <c r="E1217">
        <v>11.526300000000001</v>
      </c>
      <c r="F1217">
        <v>34085</v>
      </c>
    </row>
    <row r="1218" spans="1:6" x14ac:dyDescent="0.25">
      <c r="A1218" s="4">
        <v>36145</v>
      </c>
      <c r="B1218">
        <v>11.446300000000001</v>
      </c>
      <c r="C1218">
        <v>11.526300000000001</v>
      </c>
      <c r="D1218">
        <v>11.206200000000001</v>
      </c>
      <c r="E1218">
        <v>11.206200000000001</v>
      </c>
      <c r="F1218">
        <v>19136</v>
      </c>
    </row>
    <row r="1219" spans="1:6" x14ac:dyDescent="0.25">
      <c r="A1219" s="4">
        <v>36146</v>
      </c>
      <c r="B1219">
        <v>11.046099999999999</v>
      </c>
      <c r="C1219">
        <v>11.366199999999999</v>
      </c>
      <c r="D1219">
        <v>11.046099999999999</v>
      </c>
      <c r="E1219">
        <v>11.046099999999999</v>
      </c>
      <c r="F1219">
        <v>19694</v>
      </c>
    </row>
    <row r="1220" spans="1:6" x14ac:dyDescent="0.25">
      <c r="A1220" s="4">
        <v>36147</v>
      </c>
      <c r="B1220">
        <v>11.206200000000001</v>
      </c>
      <c r="C1220">
        <v>11.526300000000001</v>
      </c>
      <c r="D1220">
        <v>11.126099999999999</v>
      </c>
      <c r="E1220">
        <v>11.206200000000001</v>
      </c>
      <c r="F1220">
        <v>28247</v>
      </c>
    </row>
    <row r="1221" spans="1:6" x14ac:dyDescent="0.25">
      <c r="A1221" s="4">
        <v>36148</v>
      </c>
      <c r="B1221">
        <v>11.366199999999999</v>
      </c>
      <c r="C1221">
        <v>11.366199999999999</v>
      </c>
      <c r="D1221">
        <v>11.206200000000001</v>
      </c>
      <c r="E1221">
        <v>11.286199999999999</v>
      </c>
      <c r="F1221">
        <v>19254</v>
      </c>
    </row>
    <row r="1222" spans="1:6" x14ac:dyDescent="0.25">
      <c r="A1222" s="4">
        <v>36150</v>
      </c>
      <c r="B1222">
        <v>11.446300000000001</v>
      </c>
      <c r="C1222">
        <v>11.526300000000001</v>
      </c>
      <c r="D1222">
        <v>11.366199999999999</v>
      </c>
      <c r="E1222">
        <v>11.366199999999999</v>
      </c>
      <c r="F1222">
        <v>13359</v>
      </c>
    </row>
    <row r="1223" spans="1:6" x14ac:dyDescent="0.25">
      <c r="A1223" s="4">
        <v>36151</v>
      </c>
      <c r="B1223">
        <v>11.526300000000001</v>
      </c>
      <c r="C1223">
        <v>12.006600000000001</v>
      </c>
      <c r="D1223">
        <v>11.526300000000001</v>
      </c>
      <c r="E1223">
        <v>12.006600000000001</v>
      </c>
      <c r="F1223">
        <v>26338</v>
      </c>
    </row>
    <row r="1224" spans="1:6" x14ac:dyDescent="0.25">
      <c r="A1224" s="4">
        <v>36152</v>
      </c>
      <c r="B1224">
        <v>12.006600000000001</v>
      </c>
      <c r="C1224">
        <v>12.086600000000001</v>
      </c>
      <c r="D1224">
        <v>11.846500000000001</v>
      </c>
      <c r="E1224">
        <v>11.846500000000001</v>
      </c>
      <c r="F1224">
        <v>17266</v>
      </c>
    </row>
    <row r="1225" spans="1:6" x14ac:dyDescent="0.25">
      <c r="A1225" s="4">
        <v>36153</v>
      </c>
      <c r="B1225">
        <v>12.086600000000001</v>
      </c>
      <c r="C1225">
        <v>12.166700000000001</v>
      </c>
      <c r="D1225">
        <v>11.766500000000001</v>
      </c>
      <c r="E1225">
        <v>11.846500000000001</v>
      </c>
      <c r="F1225">
        <v>17130</v>
      </c>
    </row>
    <row r="1226" spans="1:6" x14ac:dyDescent="0.25">
      <c r="A1226" s="4">
        <v>36157</v>
      </c>
      <c r="B1226">
        <v>11.846500000000001</v>
      </c>
      <c r="C1226">
        <v>11.846500000000001</v>
      </c>
      <c r="D1226">
        <v>11.366199999999999</v>
      </c>
      <c r="E1226">
        <v>11.446300000000001</v>
      </c>
      <c r="F1226">
        <v>11199</v>
      </c>
    </row>
    <row r="1227" spans="1:6" x14ac:dyDescent="0.25">
      <c r="A1227" s="4">
        <v>36158</v>
      </c>
      <c r="B1227">
        <v>11.446300000000001</v>
      </c>
      <c r="C1227">
        <v>11.526300000000001</v>
      </c>
      <c r="D1227">
        <v>11.206200000000001</v>
      </c>
      <c r="E1227">
        <v>11.446300000000001</v>
      </c>
      <c r="F1227">
        <v>11215</v>
      </c>
    </row>
    <row r="1228" spans="1:6" x14ac:dyDescent="0.25">
      <c r="A1228" s="4">
        <v>36159</v>
      </c>
      <c r="B1228">
        <v>11.526300000000001</v>
      </c>
      <c r="C1228">
        <v>11.686400000000001</v>
      </c>
      <c r="D1228">
        <v>11.446300000000001</v>
      </c>
      <c r="E1228">
        <v>11.446300000000001</v>
      </c>
      <c r="F1228">
        <v>12132</v>
      </c>
    </row>
    <row r="1229" spans="1:6" x14ac:dyDescent="0.25">
      <c r="A1229" s="4">
        <v>36160</v>
      </c>
      <c r="B1229">
        <v>11.526300000000001</v>
      </c>
      <c r="C1229">
        <v>11.606400000000001</v>
      </c>
      <c r="D1229">
        <v>11.366199999999999</v>
      </c>
      <c r="E1229">
        <v>11.366199999999999</v>
      </c>
      <c r="F1229">
        <v>9195</v>
      </c>
    </row>
    <row r="1230" spans="1:6" x14ac:dyDescent="0.25">
      <c r="A1230" s="4">
        <v>36165</v>
      </c>
      <c r="B1230">
        <v>11.366199999999999</v>
      </c>
      <c r="C1230">
        <v>11.366199999999999</v>
      </c>
      <c r="D1230">
        <v>10.885999999999999</v>
      </c>
      <c r="E1230">
        <v>10.885999999999999</v>
      </c>
      <c r="F1230">
        <v>17733</v>
      </c>
    </row>
    <row r="1231" spans="1:6" x14ac:dyDescent="0.25">
      <c r="A1231" s="4">
        <v>36166</v>
      </c>
      <c r="B1231">
        <v>10.885999999999999</v>
      </c>
      <c r="C1231">
        <v>11.366199999999999</v>
      </c>
      <c r="D1231">
        <v>10.885999999999999</v>
      </c>
      <c r="E1231">
        <v>11.286199999999999</v>
      </c>
      <c r="F1231">
        <v>21492</v>
      </c>
    </row>
    <row r="1232" spans="1:6" x14ac:dyDescent="0.25">
      <c r="A1232" s="4">
        <v>36167</v>
      </c>
      <c r="B1232">
        <v>11.846500000000001</v>
      </c>
      <c r="C1232">
        <v>12.006600000000001</v>
      </c>
      <c r="D1232">
        <v>11.446300000000001</v>
      </c>
      <c r="E1232">
        <v>12.006600000000001</v>
      </c>
      <c r="F1232">
        <v>45711</v>
      </c>
    </row>
    <row r="1233" spans="1:6" x14ac:dyDescent="0.25">
      <c r="A1233" s="4">
        <v>36168</v>
      </c>
      <c r="B1233">
        <v>12.246700000000001</v>
      </c>
      <c r="C1233">
        <v>12.5669</v>
      </c>
      <c r="D1233">
        <v>12.086600000000001</v>
      </c>
      <c r="E1233">
        <v>12.166700000000001</v>
      </c>
      <c r="F1233">
        <v>72618</v>
      </c>
    </row>
    <row r="1234" spans="1:6" x14ac:dyDescent="0.25">
      <c r="A1234" s="4">
        <v>36171</v>
      </c>
      <c r="B1234">
        <v>12.807</v>
      </c>
      <c r="C1234">
        <v>12.9671</v>
      </c>
      <c r="D1234">
        <v>12.647</v>
      </c>
      <c r="E1234">
        <v>12.807</v>
      </c>
      <c r="F1234">
        <v>92199</v>
      </c>
    </row>
    <row r="1235" spans="1:6" x14ac:dyDescent="0.25">
      <c r="A1235" s="4">
        <v>36172</v>
      </c>
      <c r="B1235">
        <v>12.9671</v>
      </c>
      <c r="C1235">
        <v>12.9671</v>
      </c>
      <c r="D1235">
        <v>12.647</v>
      </c>
      <c r="E1235">
        <v>12.807</v>
      </c>
      <c r="F1235">
        <v>40995</v>
      </c>
    </row>
    <row r="1236" spans="1:6" x14ac:dyDescent="0.25">
      <c r="A1236" s="4">
        <v>36173</v>
      </c>
      <c r="B1236">
        <v>12.4869</v>
      </c>
      <c r="C1236">
        <v>13.2873</v>
      </c>
      <c r="D1236">
        <v>12.4869</v>
      </c>
      <c r="E1236">
        <v>13.2073</v>
      </c>
      <c r="F1236">
        <v>86132</v>
      </c>
    </row>
    <row r="1237" spans="1:6" x14ac:dyDescent="0.25">
      <c r="A1237" s="4">
        <v>36174</v>
      </c>
      <c r="B1237">
        <v>13.2073</v>
      </c>
      <c r="C1237">
        <v>13.2873</v>
      </c>
      <c r="D1237">
        <v>12.807</v>
      </c>
      <c r="E1237">
        <v>13.1272</v>
      </c>
      <c r="F1237">
        <v>66925</v>
      </c>
    </row>
    <row r="1238" spans="1:6" x14ac:dyDescent="0.25">
      <c r="A1238" s="4">
        <v>36175</v>
      </c>
      <c r="B1238">
        <v>13.1272</v>
      </c>
      <c r="C1238">
        <v>13.9277</v>
      </c>
      <c r="D1238">
        <v>13.0472</v>
      </c>
      <c r="E1238">
        <v>13.9277</v>
      </c>
      <c r="F1238">
        <v>97897</v>
      </c>
    </row>
    <row r="1239" spans="1:6" x14ac:dyDescent="0.25">
      <c r="A1239" s="4">
        <v>36176</v>
      </c>
      <c r="B1239">
        <v>14.4079</v>
      </c>
      <c r="C1239">
        <v>14.568</v>
      </c>
      <c r="D1239">
        <v>13.9277</v>
      </c>
      <c r="E1239">
        <v>13.9277</v>
      </c>
      <c r="F1239">
        <v>98858</v>
      </c>
    </row>
    <row r="1240" spans="1:6" x14ac:dyDescent="0.25">
      <c r="A1240" s="4">
        <v>36178</v>
      </c>
      <c r="B1240">
        <v>13.9277</v>
      </c>
      <c r="C1240">
        <v>14.2478</v>
      </c>
      <c r="D1240">
        <v>13.7676</v>
      </c>
      <c r="E1240">
        <v>14.0877</v>
      </c>
      <c r="F1240">
        <v>48725</v>
      </c>
    </row>
    <row r="1241" spans="1:6" x14ac:dyDescent="0.25">
      <c r="A1241" s="4">
        <v>36179</v>
      </c>
      <c r="B1241">
        <v>13.9277</v>
      </c>
      <c r="C1241">
        <v>14.0877</v>
      </c>
      <c r="D1241">
        <v>13.6075</v>
      </c>
      <c r="E1241">
        <v>13.6875</v>
      </c>
      <c r="F1241">
        <v>52400</v>
      </c>
    </row>
    <row r="1242" spans="1:6" x14ac:dyDescent="0.25">
      <c r="A1242" s="4">
        <v>36180</v>
      </c>
      <c r="B1242">
        <v>13.6875</v>
      </c>
      <c r="C1242">
        <v>13.8476</v>
      </c>
      <c r="D1242">
        <v>13.4474</v>
      </c>
      <c r="E1242">
        <v>13.6875</v>
      </c>
      <c r="F1242">
        <v>43373</v>
      </c>
    </row>
    <row r="1243" spans="1:6" x14ac:dyDescent="0.25">
      <c r="A1243" s="4">
        <v>36181</v>
      </c>
      <c r="B1243">
        <v>13.7676</v>
      </c>
      <c r="C1243">
        <v>14.0877</v>
      </c>
      <c r="D1243">
        <v>13.7676</v>
      </c>
      <c r="E1243">
        <v>13.7676</v>
      </c>
      <c r="F1243">
        <v>36501</v>
      </c>
    </row>
    <row r="1244" spans="1:6" x14ac:dyDescent="0.25">
      <c r="A1244" s="4">
        <v>36182</v>
      </c>
      <c r="B1244">
        <v>13.6075</v>
      </c>
      <c r="C1244">
        <v>13.6875</v>
      </c>
      <c r="D1244">
        <v>13.2073</v>
      </c>
      <c r="E1244">
        <v>13.2873</v>
      </c>
      <c r="F1244">
        <v>41066</v>
      </c>
    </row>
    <row r="1245" spans="1:6" x14ac:dyDescent="0.25">
      <c r="A1245" s="4">
        <v>36185</v>
      </c>
      <c r="B1245">
        <v>13.1272</v>
      </c>
      <c r="C1245">
        <v>13.2073</v>
      </c>
      <c r="D1245">
        <v>12.807</v>
      </c>
      <c r="E1245">
        <v>12.8871</v>
      </c>
      <c r="F1245">
        <v>31044</v>
      </c>
    </row>
    <row r="1246" spans="1:6" x14ac:dyDescent="0.25">
      <c r="A1246" s="4">
        <v>36186</v>
      </c>
      <c r="B1246">
        <v>13.1272</v>
      </c>
      <c r="C1246">
        <v>13.4474</v>
      </c>
      <c r="D1246">
        <v>12.8871</v>
      </c>
      <c r="E1246">
        <v>13.4474</v>
      </c>
      <c r="F1246">
        <v>28313</v>
      </c>
    </row>
    <row r="1247" spans="1:6" x14ac:dyDescent="0.25">
      <c r="A1247" s="4">
        <v>36187</v>
      </c>
      <c r="B1247">
        <v>13.6875</v>
      </c>
      <c r="C1247">
        <v>13.8476</v>
      </c>
      <c r="D1247">
        <v>13.5274</v>
      </c>
      <c r="E1247">
        <v>13.5274</v>
      </c>
      <c r="F1247">
        <v>46919</v>
      </c>
    </row>
    <row r="1248" spans="1:6" x14ac:dyDescent="0.25">
      <c r="A1248" s="4">
        <v>36188</v>
      </c>
      <c r="B1248">
        <v>13.5274</v>
      </c>
      <c r="C1248">
        <v>13.6075</v>
      </c>
      <c r="D1248">
        <v>13.4474</v>
      </c>
      <c r="E1248">
        <v>13.6075</v>
      </c>
      <c r="F1248">
        <v>20939</v>
      </c>
    </row>
    <row r="1249" spans="1:6" x14ac:dyDescent="0.25">
      <c r="A1249" s="4">
        <v>36189</v>
      </c>
      <c r="B1249">
        <v>13.7676</v>
      </c>
      <c r="C1249">
        <v>13.7676</v>
      </c>
      <c r="D1249">
        <v>13.5274</v>
      </c>
      <c r="E1249">
        <v>13.5274</v>
      </c>
      <c r="F1249">
        <v>32441</v>
      </c>
    </row>
    <row r="1250" spans="1:6" x14ac:dyDescent="0.25">
      <c r="A1250" s="4">
        <v>36190</v>
      </c>
      <c r="B1250">
        <v>13.5274</v>
      </c>
      <c r="C1250">
        <v>13.7676</v>
      </c>
      <c r="D1250">
        <v>13.4474</v>
      </c>
      <c r="E1250">
        <v>13.4474</v>
      </c>
      <c r="F1250">
        <v>21977</v>
      </c>
    </row>
    <row r="1251" spans="1:6" x14ac:dyDescent="0.25">
      <c r="A1251" s="4">
        <v>36192</v>
      </c>
      <c r="B1251">
        <v>13.2073</v>
      </c>
      <c r="C1251">
        <v>13.3673</v>
      </c>
      <c r="D1251">
        <v>12.9671</v>
      </c>
      <c r="E1251">
        <v>12.9671</v>
      </c>
      <c r="F1251">
        <v>21367</v>
      </c>
    </row>
    <row r="1252" spans="1:6" x14ac:dyDescent="0.25">
      <c r="A1252" s="4">
        <v>36193</v>
      </c>
      <c r="B1252">
        <v>12.9671</v>
      </c>
      <c r="C1252">
        <v>13.1272</v>
      </c>
      <c r="D1252">
        <v>12.5669</v>
      </c>
      <c r="E1252">
        <v>12.727</v>
      </c>
      <c r="F1252">
        <v>21274</v>
      </c>
    </row>
    <row r="1253" spans="1:6" x14ac:dyDescent="0.25">
      <c r="A1253" s="4">
        <v>36194</v>
      </c>
      <c r="B1253">
        <v>12.4869</v>
      </c>
      <c r="C1253">
        <v>13.2873</v>
      </c>
      <c r="D1253">
        <v>12.4068</v>
      </c>
      <c r="E1253">
        <v>13.1272</v>
      </c>
      <c r="F1253">
        <v>27299</v>
      </c>
    </row>
    <row r="1254" spans="1:6" x14ac:dyDescent="0.25">
      <c r="A1254" s="4">
        <v>36195</v>
      </c>
      <c r="B1254">
        <v>13.2873</v>
      </c>
      <c r="C1254">
        <v>13.2873</v>
      </c>
      <c r="D1254">
        <v>12.647</v>
      </c>
      <c r="E1254">
        <v>12.807</v>
      </c>
      <c r="F1254">
        <v>22283</v>
      </c>
    </row>
    <row r="1255" spans="1:6" x14ac:dyDescent="0.25">
      <c r="A1255" s="4">
        <v>36196</v>
      </c>
      <c r="B1255">
        <v>12.647</v>
      </c>
      <c r="C1255">
        <v>13.2873</v>
      </c>
      <c r="D1255">
        <v>12.647</v>
      </c>
      <c r="E1255">
        <v>12.9671</v>
      </c>
      <c r="F1255">
        <v>20187</v>
      </c>
    </row>
    <row r="1256" spans="1:6" x14ac:dyDescent="0.25">
      <c r="A1256" s="4">
        <v>36197</v>
      </c>
      <c r="B1256">
        <v>12.9671</v>
      </c>
      <c r="C1256">
        <v>13.2073</v>
      </c>
      <c r="D1256">
        <v>12.807</v>
      </c>
      <c r="E1256">
        <v>13.1272</v>
      </c>
      <c r="F1256">
        <v>19873</v>
      </c>
    </row>
    <row r="1257" spans="1:6" x14ac:dyDescent="0.25">
      <c r="A1257" s="4">
        <v>36199</v>
      </c>
      <c r="B1257">
        <v>13.1272</v>
      </c>
      <c r="C1257">
        <v>13.2073</v>
      </c>
      <c r="D1257">
        <v>12.8871</v>
      </c>
      <c r="E1257">
        <v>12.9671</v>
      </c>
      <c r="F1257">
        <v>30480</v>
      </c>
    </row>
    <row r="1258" spans="1:6" x14ac:dyDescent="0.25">
      <c r="A1258" s="4">
        <v>36200</v>
      </c>
      <c r="B1258">
        <v>12.9671</v>
      </c>
      <c r="C1258">
        <v>13.0472</v>
      </c>
      <c r="D1258">
        <v>12.727</v>
      </c>
      <c r="E1258">
        <v>12.807</v>
      </c>
      <c r="F1258">
        <v>18531</v>
      </c>
    </row>
    <row r="1259" spans="1:6" x14ac:dyDescent="0.25">
      <c r="A1259" s="4">
        <v>36201</v>
      </c>
      <c r="B1259">
        <v>12.5669</v>
      </c>
      <c r="C1259">
        <v>12.727</v>
      </c>
      <c r="D1259">
        <v>12.4869</v>
      </c>
      <c r="E1259">
        <v>12.647</v>
      </c>
      <c r="F1259">
        <v>19828</v>
      </c>
    </row>
    <row r="1260" spans="1:6" x14ac:dyDescent="0.25">
      <c r="A1260" s="4">
        <v>36211</v>
      </c>
      <c r="B1260">
        <v>13.4474</v>
      </c>
      <c r="C1260">
        <v>13.4474</v>
      </c>
      <c r="D1260">
        <v>12.9671</v>
      </c>
      <c r="E1260">
        <v>13.4474</v>
      </c>
      <c r="F1260">
        <v>29261</v>
      </c>
    </row>
    <row r="1261" spans="1:6" x14ac:dyDescent="0.25">
      <c r="A1261" s="4">
        <v>36213</v>
      </c>
      <c r="B1261">
        <v>13.4474</v>
      </c>
      <c r="C1261">
        <v>13.8476</v>
      </c>
      <c r="D1261">
        <v>13.3673</v>
      </c>
      <c r="E1261">
        <v>13.6875</v>
      </c>
      <c r="F1261">
        <v>33091</v>
      </c>
    </row>
    <row r="1262" spans="1:6" x14ac:dyDescent="0.25">
      <c r="A1262" s="4">
        <v>36214</v>
      </c>
      <c r="B1262">
        <v>13.6875</v>
      </c>
      <c r="C1262">
        <v>13.7676</v>
      </c>
      <c r="D1262">
        <v>13.1272</v>
      </c>
      <c r="E1262">
        <v>13.3673</v>
      </c>
      <c r="F1262">
        <v>29568</v>
      </c>
    </row>
    <row r="1263" spans="1:6" x14ac:dyDescent="0.25">
      <c r="A1263" s="4">
        <v>36215</v>
      </c>
      <c r="B1263">
        <v>13.4474</v>
      </c>
      <c r="C1263">
        <v>14.0077</v>
      </c>
      <c r="D1263">
        <v>13.3673</v>
      </c>
      <c r="E1263">
        <v>14.0077</v>
      </c>
      <c r="F1263">
        <v>54445</v>
      </c>
    </row>
    <row r="1264" spans="1:6" x14ac:dyDescent="0.25">
      <c r="A1264" s="4">
        <v>36216</v>
      </c>
      <c r="B1264">
        <v>14.2478</v>
      </c>
      <c r="C1264">
        <v>14.3279</v>
      </c>
      <c r="D1264">
        <v>13.7676</v>
      </c>
      <c r="E1264">
        <v>14.0077</v>
      </c>
      <c r="F1264">
        <v>53477</v>
      </c>
    </row>
    <row r="1265" spans="1:6" x14ac:dyDescent="0.25">
      <c r="A1265" s="4">
        <v>36217</v>
      </c>
      <c r="B1265">
        <v>13.9277</v>
      </c>
      <c r="C1265">
        <v>14.2478</v>
      </c>
      <c r="D1265">
        <v>13.8476</v>
      </c>
      <c r="E1265">
        <v>14.1678</v>
      </c>
      <c r="F1265">
        <v>23306</v>
      </c>
    </row>
    <row r="1266" spans="1:6" x14ac:dyDescent="0.25">
      <c r="A1266" s="4">
        <v>36220</v>
      </c>
      <c r="B1266">
        <v>14.0877</v>
      </c>
      <c r="C1266">
        <v>14.1678</v>
      </c>
      <c r="D1266">
        <v>13.9277</v>
      </c>
      <c r="E1266">
        <v>14.0077</v>
      </c>
      <c r="F1266">
        <v>23602</v>
      </c>
    </row>
    <row r="1267" spans="1:6" x14ac:dyDescent="0.25">
      <c r="A1267" s="4">
        <v>36221</v>
      </c>
      <c r="B1267">
        <v>13.8476</v>
      </c>
      <c r="C1267">
        <v>13.8476</v>
      </c>
      <c r="D1267">
        <v>13.4474</v>
      </c>
      <c r="E1267">
        <v>13.6075</v>
      </c>
      <c r="F1267">
        <v>24741</v>
      </c>
    </row>
    <row r="1268" spans="1:6" x14ac:dyDescent="0.25">
      <c r="A1268" s="4">
        <v>36222</v>
      </c>
      <c r="B1268">
        <v>13.6075</v>
      </c>
      <c r="C1268">
        <v>13.7676</v>
      </c>
      <c r="D1268">
        <v>13.5274</v>
      </c>
      <c r="E1268">
        <v>13.7676</v>
      </c>
      <c r="F1268">
        <v>19281</v>
      </c>
    </row>
    <row r="1269" spans="1:6" x14ac:dyDescent="0.25">
      <c r="A1269" s="4">
        <v>36223</v>
      </c>
      <c r="B1269">
        <v>13.7676</v>
      </c>
      <c r="C1269">
        <v>13.8476</v>
      </c>
      <c r="D1269">
        <v>13.5274</v>
      </c>
      <c r="E1269">
        <v>13.5274</v>
      </c>
      <c r="F1269">
        <v>24966</v>
      </c>
    </row>
    <row r="1270" spans="1:6" x14ac:dyDescent="0.25">
      <c r="A1270" s="4">
        <v>36224</v>
      </c>
      <c r="B1270">
        <v>13.6075</v>
      </c>
      <c r="C1270">
        <v>13.7676</v>
      </c>
      <c r="D1270">
        <v>13.5274</v>
      </c>
      <c r="E1270">
        <v>13.6875</v>
      </c>
      <c r="F1270">
        <v>15715</v>
      </c>
    </row>
    <row r="1271" spans="1:6" x14ac:dyDescent="0.25">
      <c r="A1271" s="4">
        <v>36225</v>
      </c>
      <c r="B1271">
        <v>13.8476</v>
      </c>
      <c r="C1271">
        <v>14.0877</v>
      </c>
      <c r="D1271">
        <v>13.7676</v>
      </c>
      <c r="E1271">
        <v>13.8476</v>
      </c>
      <c r="F1271">
        <v>20976</v>
      </c>
    </row>
    <row r="1272" spans="1:6" x14ac:dyDescent="0.25">
      <c r="A1272" s="4">
        <v>36227</v>
      </c>
      <c r="B1272">
        <v>13.9277</v>
      </c>
      <c r="C1272">
        <v>14.0877</v>
      </c>
      <c r="D1272">
        <v>13.7676</v>
      </c>
      <c r="E1272">
        <v>14.0877</v>
      </c>
      <c r="F1272">
        <v>14464</v>
      </c>
    </row>
    <row r="1273" spans="1:6" x14ac:dyDescent="0.25">
      <c r="A1273" s="4">
        <v>36228</v>
      </c>
      <c r="B1273">
        <v>14.1678</v>
      </c>
      <c r="C1273">
        <v>14.3279</v>
      </c>
      <c r="D1273">
        <v>14.0077</v>
      </c>
      <c r="E1273">
        <v>14.0877</v>
      </c>
      <c r="F1273">
        <v>27667</v>
      </c>
    </row>
    <row r="1274" spans="1:6" x14ac:dyDescent="0.25">
      <c r="A1274" s="4">
        <v>36229</v>
      </c>
      <c r="B1274">
        <v>14.0877</v>
      </c>
      <c r="C1274">
        <v>14.4079</v>
      </c>
      <c r="D1274">
        <v>14.0077</v>
      </c>
      <c r="E1274">
        <v>14.4079</v>
      </c>
      <c r="F1274">
        <v>35912</v>
      </c>
    </row>
    <row r="1275" spans="1:6" x14ac:dyDescent="0.25">
      <c r="A1275" s="4">
        <v>36230</v>
      </c>
      <c r="B1275">
        <v>14.488</v>
      </c>
      <c r="C1275">
        <v>14.648099999999999</v>
      </c>
      <c r="D1275">
        <v>14.2478</v>
      </c>
      <c r="E1275">
        <v>14.3279</v>
      </c>
      <c r="F1275">
        <v>36157</v>
      </c>
    </row>
    <row r="1276" spans="1:6" x14ac:dyDescent="0.25">
      <c r="A1276" s="4">
        <v>36231</v>
      </c>
      <c r="B1276">
        <v>14.4079</v>
      </c>
      <c r="C1276">
        <v>14.648099999999999</v>
      </c>
      <c r="D1276">
        <v>14.2478</v>
      </c>
      <c r="E1276">
        <v>14.648099999999999</v>
      </c>
      <c r="F1276">
        <v>37113</v>
      </c>
    </row>
    <row r="1277" spans="1:6" x14ac:dyDescent="0.25">
      <c r="A1277" s="4">
        <v>36234</v>
      </c>
      <c r="B1277">
        <v>14.648099999999999</v>
      </c>
      <c r="C1277">
        <v>15.608599999999999</v>
      </c>
      <c r="D1277">
        <v>14.568</v>
      </c>
      <c r="E1277">
        <v>15.608599999999999</v>
      </c>
      <c r="F1277">
        <v>62737</v>
      </c>
    </row>
    <row r="1278" spans="1:6" x14ac:dyDescent="0.25">
      <c r="A1278" s="4">
        <v>36235</v>
      </c>
      <c r="B1278">
        <v>15.768700000000001</v>
      </c>
      <c r="C1278">
        <v>16.168900000000001</v>
      </c>
      <c r="D1278">
        <v>15.608599999999999</v>
      </c>
      <c r="E1278">
        <v>16.008800000000001</v>
      </c>
      <c r="F1278">
        <v>68890</v>
      </c>
    </row>
    <row r="1279" spans="1:6" x14ac:dyDescent="0.25">
      <c r="A1279" s="4">
        <v>36236</v>
      </c>
      <c r="B1279">
        <v>16.168900000000001</v>
      </c>
      <c r="C1279">
        <v>17.1294</v>
      </c>
      <c r="D1279">
        <v>16.088799999999999</v>
      </c>
      <c r="E1279">
        <v>16.809200000000001</v>
      </c>
      <c r="F1279">
        <v>97227</v>
      </c>
    </row>
    <row r="1280" spans="1:6" x14ac:dyDescent="0.25">
      <c r="A1280" s="4">
        <v>36237</v>
      </c>
      <c r="B1280">
        <v>17.1294</v>
      </c>
      <c r="C1280">
        <v>17.4496</v>
      </c>
      <c r="D1280">
        <v>16.809200000000001</v>
      </c>
      <c r="E1280">
        <v>17.4496</v>
      </c>
      <c r="F1280">
        <v>67297</v>
      </c>
    </row>
    <row r="1281" spans="1:6" x14ac:dyDescent="0.25">
      <c r="A1281" s="4">
        <v>36238</v>
      </c>
      <c r="B1281">
        <v>17.529599999999999</v>
      </c>
      <c r="C1281">
        <v>17.529599999999999</v>
      </c>
      <c r="D1281">
        <v>16.889299999999999</v>
      </c>
      <c r="E1281">
        <v>17.369499999999999</v>
      </c>
      <c r="F1281">
        <v>49813</v>
      </c>
    </row>
    <row r="1282" spans="1:6" x14ac:dyDescent="0.25">
      <c r="A1282" s="4">
        <v>36239</v>
      </c>
      <c r="B1282">
        <v>17.209499999999998</v>
      </c>
      <c r="C1282">
        <v>17.4496</v>
      </c>
      <c r="D1282">
        <v>16.9693</v>
      </c>
      <c r="E1282">
        <v>17.369499999999999</v>
      </c>
      <c r="F1282">
        <v>32468</v>
      </c>
    </row>
    <row r="1283" spans="1:6" x14ac:dyDescent="0.25">
      <c r="A1283" s="4">
        <v>36241</v>
      </c>
      <c r="B1283">
        <v>17.369499999999999</v>
      </c>
      <c r="C1283">
        <v>17.7698</v>
      </c>
      <c r="D1283">
        <v>17.1294</v>
      </c>
      <c r="E1283">
        <v>17.529599999999999</v>
      </c>
      <c r="F1283">
        <v>32941</v>
      </c>
    </row>
    <row r="1284" spans="1:6" x14ac:dyDescent="0.25">
      <c r="A1284" s="4">
        <v>36242</v>
      </c>
      <c r="B1284">
        <v>17.6097</v>
      </c>
      <c r="C1284">
        <v>17.7698</v>
      </c>
      <c r="D1284">
        <v>16.809200000000001</v>
      </c>
      <c r="E1284">
        <v>16.809200000000001</v>
      </c>
      <c r="F1284">
        <v>60265</v>
      </c>
    </row>
    <row r="1285" spans="1:6" x14ac:dyDescent="0.25">
      <c r="A1285" s="4">
        <v>36243</v>
      </c>
      <c r="B1285">
        <v>16.329000000000001</v>
      </c>
      <c r="C1285">
        <v>16.809200000000001</v>
      </c>
      <c r="D1285">
        <v>16.329000000000001</v>
      </c>
      <c r="E1285">
        <v>16.6492</v>
      </c>
      <c r="F1285">
        <v>38368</v>
      </c>
    </row>
    <row r="1286" spans="1:6" x14ac:dyDescent="0.25">
      <c r="A1286" s="4">
        <v>36244</v>
      </c>
      <c r="B1286">
        <v>16.729199999999999</v>
      </c>
      <c r="C1286">
        <v>16.889299999999999</v>
      </c>
      <c r="D1286">
        <v>16.489100000000001</v>
      </c>
      <c r="E1286">
        <v>16.729199999999999</v>
      </c>
      <c r="F1286">
        <v>25304</v>
      </c>
    </row>
    <row r="1287" spans="1:6" x14ac:dyDescent="0.25">
      <c r="A1287" s="4">
        <v>36245</v>
      </c>
      <c r="B1287">
        <v>16.9693</v>
      </c>
      <c r="C1287">
        <v>17.1294</v>
      </c>
      <c r="D1287">
        <v>16.729199999999999</v>
      </c>
      <c r="E1287">
        <v>17.1294</v>
      </c>
      <c r="F1287">
        <v>38803</v>
      </c>
    </row>
    <row r="1288" spans="1:6" x14ac:dyDescent="0.25">
      <c r="A1288" s="4">
        <v>36248</v>
      </c>
      <c r="B1288">
        <v>17.209499999999998</v>
      </c>
      <c r="C1288">
        <v>17.209499999999998</v>
      </c>
      <c r="D1288">
        <v>16.6492</v>
      </c>
      <c r="E1288">
        <v>16.729199999999999</v>
      </c>
      <c r="F1288">
        <v>25515</v>
      </c>
    </row>
    <row r="1289" spans="1:6" x14ac:dyDescent="0.25">
      <c r="A1289" s="4">
        <v>36249</v>
      </c>
      <c r="B1289">
        <v>16.889299999999999</v>
      </c>
      <c r="C1289">
        <v>16.9693</v>
      </c>
      <c r="D1289">
        <v>16.6492</v>
      </c>
      <c r="E1289">
        <v>16.809200000000001</v>
      </c>
      <c r="F1289">
        <v>20668</v>
      </c>
    </row>
    <row r="1290" spans="1:6" x14ac:dyDescent="0.25">
      <c r="A1290" s="4">
        <v>36250</v>
      </c>
      <c r="B1290">
        <v>16.809200000000001</v>
      </c>
      <c r="C1290">
        <v>16.809200000000001</v>
      </c>
      <c r="D1290">
        <v>16.489100000000001</v>
      </c>
      <c r="E1290">
        <v>16.6492</v>
      </c>
      <c r="F1290">
        <v>18496</v>
      </c>
    </row>
    <row r="1291" spans="1:6" x14ac:dyDescent="0.25">
      <c r="A1291" s="4">
        <v>36251</v>
      </c>
      <c r="B1291">
        <v>16.6492</v>
      </c>
      <c r="C1291">
        <v>17.2895</v>
      </c>
      <c r="D1291">
        <v>16.569099999999999</v>
      </c>
      <c r="E1291">
        <v>17.1294</v>
      </c>
      <c r="F1291">
        <v>32649</v>
      </c>
    </row>
    <row r="1292" spans="1:6" x14ac:dyDescent="0.25">
      <c r="A1292" s="4">
        <v>36252</v>
      </c>
      <c r="B1292">
        <v>17.4496</v>
      </c>
      <c r="C1292">
        <v>17.529599999999999</v>
      </c>
      <c r="D1292">
        <v>17.2895</v>
      </c>
      <c r="E1292">
        <v>17.369499999999999</v>
      </c>
      <c r="F1292">
        <v>33823</v>
      </c>
    </row>
    <row r="1293" spans="1:6" x14ac:dyDescent="0.25">
      <c r="A1293" s="4">
        <v>36253</v>
      </c>
      <c r="B1293">
        <v>17.2895</v>
      </c>
      <c r="C1293">
        <v>17.369499999999999</v>
      </c>
      <c r="D1293">
        <v>16.809200000000001</v>
      </c>
      <c r="E1293">
        <v>16.889299999999999</v>
      </c>
      <c r="F1293">
        <v>26760</v>
      </c>
    </row>
    <row r="1294" spans="1:6" x14ac:dyDescent="0.25">
      <c r="A1294" s="4">
        <v>36256</v>
      </c>
      <c r="B1294">
        <v>17.1294</v>
      </c>
      <c r="C1294">
        <v>17.209499999999998</v>
      </c>
      <c r="D1294">
        <v>16.9693</v>
      </c>
      <c r="E1294">
        <v>17.209499999999998</v>
      </c>
      <c r="F1294">
        <v>21879</v>
      </c>
    </row>
    <row r="1295" spans="1:6" x14ac:dyDescent="0.25">
      <c r="A1295" s="4">
        <v>36257</v>
      </c>
      <c r="B1295">
        <v>17.2895</v>
      </c>
      <c r="C1295">
        <v>17.369499999999999</v>
      </c>
      <c r="D1295">
        <v>17.049399999999999</v>
      </c>
      <c r="E1295">
        <v>17.2895</v>
      </c>
      <c r="F1295">
        <v>20601</v>
      </c>
    </row>
    <row r="1296" spans="1:6" x14ac:dyDescent="0.25">
      <c r="A1296" s="4">
        <v>36258</v>
      </c>
      <c r="B1296">
        <v>17.4496</v>
      </c>
      <c r="C1296">
        <v>18.490200000000002</v>
      </c>
      <c r="D1296">
        <v>17.4496</v>
      </c>
      <c r="E1296">
        <v>18.4101</v>
      </c>
      <c r="F1296">
        <v>82318</v>
      </c>
    </row>
    <row r="1297" spans="1:6" x14ac:dyDescent="0.25">
      <c r="A1297" s="4">
        <v>36259</v>
      </c>
      <c r="B1297">
        <v>18.5702</v>
      </c>
      <c r="C1297">
        <v>18.8904</v>
      </c>
      <c r="D1297">
        <v>18.490200000000002</v>
      </c>
      <c r="E1297">
        <v>18.650300000000001</v>
      </c>
      <c r="F1297">
        <v>66137</v>
      </c>
    </row>
    <row r="1298" spans="1:6" x14ac:dyDescent="0.25">
      <c r="A1298" s="4">
        <v>36262</v>
      </c>
      <c r="B1298">
        <v>18.8904</v>
      </c>
      <c r="C1298">
        <v>19.3706</v>
      </c>
      <c r="D1298">
        <v>18.7303</v>
      </c>
      <c r="E1298">
        <v>19.210599999999999</v>
      </c>
      <c r="F1298">
        <v>54825</v>
      </c>
    </row>
    <row r="1299" spans="1:6" x14ac:dyDescent="0.25">
      <c r="A1299" s="4">
        <v>36263</v>
      </c>
      <c r="B1299">
        <v>19.0505</v>
      </c>
      <c r="C1299">
        <v>19.210599999999999</v>
      </c>
      <c r="D1299">
        <v>18.810300000000002</v>
      </c>
      <c r="E1299">
        <v>19.0505</v>
      </c>
      <c r="F1299">
        <v>35956</v>
      </c>
    </row>
    <row r="1300" spans="1:6" x14ac:dyDescent="0.25">
      <c r="A1300" s="4">
        <v>36264</v>
      </c>
      <c r="B1300">
        <v>18.8904</v>
      </c>
      <c r="C1300">
        <v>19.210599999999999</v>
      </c>
      <c r="D1300">
        <v>18.7303</v>
      </c>
      <c r="E1300">
        <v>18.8904</v>
      </c>
      <c r="F1300">
        <v>35066</v>
      </c>
    </row>
    <row r="1301" spans="1:6" x14ac:dyDescent="0.25">
      <c r="A1301" s="4">
        <v>36265</v>
      </c>
      <c r="B1301">
        <v>18.5702</v>
      </c>
      <c r="C1301">
        <v>18.810300000000002</v>
      </c>
      <c r="D1301">
        <v>18.4101</v>
      </c>
      <c r="E1301">
        <v>18.810300000000002</v>
      </c>
      <c r="F1301">
        <v>42255</v>
      </c>
    </row>
    <row r="1302" spans="1:6" x14ac:dyDescent="0.25">
      <c r="A1302" s="4">
        <v>36266</v>
      </c>
      <c r="B1302">
        <v>18.650300000000001</v>
      </c>
      <c r="C1302">
        <v>18.650300000000001</v>
      </c>
      <c r="D1302">
        <v>18.0899</v>
      </c>
      <c r="E1302">
        <v>18.0899</v>
      </c>
      <c r="F1302">
        <v>50127</v>
      </c>
    </row>
    <row r="1303" spans="1:6" x14ac:dyDescent="0.25">
      <c r="A1303" s="4">
        <v>36267</v>
      </c>
      <c r="B1303">
        <v>17.9299</v>
      </c>
      <c r="C1303">
        <v>18.5702</v>
      </c>
      <c r="D1303">
        <v>17.9299</v>
      </c>
      <c r="E1303">
        <v>18.4101</v>
      </c>
      <c r="F1303">
        <v>29920</v>
      </c>
    </row>
    <row r="1304" spans="1:6" x14ac:dyDescent="0.25">
      <c r="A1304" s="4">
        <v>36269</v>
      </c>
      <c r="B1304">
        <v>18.4101</v>
      </c>
      <c r="C1304">
        <v>18.8904</v>
      </c>
      <c r="D1304">
        <v>18.170000000000002</v>
      </c>
      <c r="E1304">
        <v>18.5702</v>
      </c>
      <c r="F1304">
        <v>27070</v>
      </c>
    </row>
    <row r="1305" spans="1:6" x14ac:dyDescent="0.25">
      <c r="A1305" s="4">
        <v>36270</v>
      </c>
      <c r="B1305">
        <v>18.25</v>
      </c>
      <c r="C1305">
        <v>18.810300000000002</v>
      </c>
      <c r="D1305">
        <v>18.170000000000002</v>
      </c>
      <c r="E1305">
        <v>18.650300000000001</v>
      </c>
      <c r="F1305">
        <v>34329</v>
      </c>
    </row>
    <row r="1306" spans="1:6" x14ac:dyDescent="0.25">
      <c r="A1306" s="4">
        <v>36271</v>
      </c>
      <c r="B1306">
        <v>18.7303</v>
      </c>
      <c r="C1306">
        <v>18.8904</v>
      </c>
      <c r="D1306">
        <v>18.25</v>
      </c>
      <c r="E1306">
        <v>18.25</v>
      </c>
      <c r="F1306">
        <v>31009</v>
      </c>
    </row>
    <row r="1307" spans="1:6" x14ac:dyDescent="0.25">
      <c r="A1307" s="4">
        <v>36272</v>
      </c>
      <c r="B1307">
        <v>18.4101</v>
      </c>
      <c r="C1307">
        <v>18.7303</v>
      </c>
      <c r="D1307">
        <v>18.25</v>
      </c>
      <c r="E1307">
        <v>18.5702</v>
      </c>
      <c r="F1307">
        <v>28490</v>
      </c>
    </row>
    <row r="1308" spans="1:6" x14ac:dyDescent="0.25">
      <c r="A1308" s="4">
        <v>36273</v>
      </c>
      <c r="B1308">
        <v>18.8904</v>
      </c>
      <c r="C1308">
        <v>19.130500000000001</v>
      </c>
      <c r="D1308">
        <v>18.7303</v>
      </c>
      <c r="E1308">
        <v>18.7303</v>
      </c>
      <c r="F1308">
        <v>34614</v>
      </c>
    </row>
    <row r="1309" spans="1:6" x14ac:dyDescent="0.25">
      <c r="A1309" s="4">
        <v>36276</v>
      </c>
      <c r="B1309">
        <v>19.0505</v>
      </c>
      <c r="C1309">
        <v>19.3706</v>
      </c>
      <c r="D1309">
        <v>18.8904</v>
      </c>
      <c r="E1309">
        <v>19.0505</v>
      </c>
      <c r="F1309">
        <v>43070</v>
      </c>
    </row>
    <row r="1310" spans="1:6" x14ac:dyDescent="0.25">
      <c r="A1310" s="4">
        <v>36277</v>
      </c>
      <c r="B1310">
        <v>19.130500000000001</v>
      </c>
      <c r="C1310">
        <v>19.290600000000001</v>
      </c>
      <c r="D1310">
        <v>18.7303</v>
      </c>
      <c r="E1310">
        <v>18.970400000000001</v>
      </c>
      <c r="F1310">
        <v>28387</v>
      </c>
    </row>
    <row r="1311" spans="1:6" x14ac:dyDescent="0.25">
      <c r="A1311" s="4">
        <v>36278</v>
      </c>
      <c r="B1311">
        <v>18.970400000000001</v>
      </c>
      <c r="C1311">
        <v>18.970400000000001</v>
      </c>
      <c r="D1311">
        <v>18.5702</v>
      </c>
      <c r="E1311">
        <v>18.810300000000002</v>
      </c>
      <c r="F1311">
        <v>21486</v>
      </c>
    </row>
    <row r="1312" spans="1:6" x14ac:dyDescent="0.25">
      <c r="A1312" s="4">
        <v>36279</v>
      </c>
      <c r="B1312">
        <v>18.0899</v>
      </c>
      <c r="C1312">
        <v>18.330100000000002</v>
      </c>
      <c r="D1312">
        <v>17.529599999999999</v>
      </c>
      <c r="E1312">
        <v>17.529599999999999</v>
      </c>
      <c r="F1312">
        <v>53914</v>
      </c>
    </row>
    <row r="1313" spans="1:6" x14ac:dyDescent="0.25">
      <c r="A1313" s="4">
        <v>36280</v>
      </c>
      <c r="B1313">
        <v>17.1294</v>
      </c>
      <c r="C1313">
        <v>17.689699999999998</v>
      </c>
      <c r="D1313">
        <v>16.809200000000001</v>
      </c>
      <c r="E1313">
        <v>17.689699999999998</v>
      </c>
      <c r="F1313">
        <v>36548</v>
      </c>
    </row>
    <row r="1314" spans="1:6" x14ac:dyDescent="0.25">
      <c r="A1314" s="4">
        <v>36283</v>
      </c>
      <c r="B1314">
        <v>17.689699999999998</v>
      </c>
      <c r="C1314">
        <v>17.689699999999998</v>
      </c>
      <c r="D1314">
        <v>16.889299999999999</v>
      </c>
      <c r="E1314">
        <v>17.1294</v>
      </c>
      <c r="F1314">
        <v>20486</v>
      </c>
    </row>
    <row r="1315" spans="1:6" x14ac:dyDescent="0.25">
      <c r="A1315" s="4">
        <v>36284</v>
      </c>
      <c r="B1315">
        <v>17.2895</v>
      </c>
      <c r="C1315">
        <v>17.7698</v>
      </c>
      <c r="D1315">
        <v>17.2895</v>
      </c>
      <c r="E1315">
        <v>17.689699999999998</v>
      </c>
      <c r="F1315">
        <v>22133</v>
      </c>
    </row>
    <row r="1316" spans="1:6" x14ac:dyDescent="0.25">
      <c r="A1316" s="4">
        <v>36285</v>
      </c>
      <c r="B1316">
        <v>17.6097</v>
      </c>
      <c r="C1316">
        <v>17.6097</v>
      </c>
      <c r="D1316">
        <v>17.1294</v>
      </c>
      <c r="E1316">
        <v>17.2895</v>
      </c>
      <c r="F1316">
        <v>27418</v>
      </c>
    </row>
    <row r="1317" spans="1:6" x14ac:dyDescent="0.25">
      <c r="A1317" s="4">
        <v>36286</v>
      </c>
      <c r="B1317">
        <v>17.529599999999999</v>
      </c>
      <c r="C1317">
        <v>17.7698</v>
      </c>
      <c r="D1317">
        <v>17.2895</v>
      </c>
      <c r="E1317">
        <v>17.4496</v>
      </c>
      <c r="F1317">
        <v>32490</v>
      </c>
    </row>
    <row r="1318" spans="1:6" x14ac:dyDescent="0.25">
      <c r="A1318" s="4">
        <v>36287</v>
      </c>
      <c r="B1318">
        <v>17.209499999999998</v>
      </c>
      <c r="C1318">
        <v>17.369499999999999</v>
      </c>
      <c r="D1318">
        <v>16.889299999999999</v>
      </c>
      <c r="E1318">
        <v>16.9693</v>
      </c>
      <c r="F1318">
        <v>27566</v>
      </c>
    </row>
    <row r="1319" spans="1:6" x14ac:dyDescent="0.25">
      <c r="A1319" s="4">
        <v>36290</v>
      </c>
      <c r="B1319">
        <v>16.6492</v>
      </c>
      <c r="C1319">
        <v>16.9693</v>
      </c>
      <c r="D1319">
        <v>16.329000000000001</v>
      </c>
      <c r="E1319">
        <v>16.809200000000001</v>
      </c>
      <c r="F1319">
        <v>18659</v>
      </c>
    </row>
    <row r="1320" spans="1:6" x14ac:dyDescent="0.25">
      <c r="A1320" s="4">
        <v>36291</v>
      </c>
      <c r="B1320">
        <v>16.9693</v>
      </c>
      <c r="C1320">
        <v>17.209499999999998</v>
      </c>
      <c r="D1320">
        <v>16.889299999999999</v>
      </c>
      <c r="E1320">
        <v>16.9693</v>
      </c>
      <c r="F1320">
        <v>18294</v>
      </c>
    </row>
    <row r="1321" spans="1:6" x14ac:dyDescent="0.25">
      <c r="A1321" s="4">
        <v>36292</v>
      </c>
      <c r="B1321">
        <v>17.209499999999998</v>
      </c>
      <c r="C1321">
        <v>17.4496</v>
      </c>
      <c r="D1321">
        <v>17.1294</v>
      </c>
      <c r="E1321">
        <v>17.4496</v>
      </c>
      <c r="F1321">
        <v>28567</v>
      </c>
    </row>
    <row r="1322" spans="1:6" x14ac:dyDescent="0.25">
      <c r="A1322" s="4">
        <v>36293</v>
      </c>
      <c r="B1322">
        <v>17.369499999999999</v>
      </c>
      <c r="C1322">
        <v>17.4496</v>
      </c>
      <c r="D1322">
        <v>17.209499999999998</v>
      </c>
      <c r="E1322">
        <v>17.4496</v>
      </c>
      <c r="F1322">
        <v>19429</v>
      </c>
    </row>
    <row r="1323" spans="1:6" x14ac:dyDescent="0.25">
      <c r="A1323" s="4">
        <v>36294</v>
      </c>
      <c r="B1323">
        <v>17.6097</v>
      </c>
      <c r="C1323">
        <v>18.0899</v>
      </c>
      <c r="D1323">
        <v>17.529599999999999</v>
      </c>
      <c r="E1323">
        <v>18.009899999999998</v>
      </c>
      <c r="F1323">
        <v>34830</v>
      </c>
    </row>
    <row r="1324" spans="1:6" x14ac:dyDescent="0.25">
      <c r="A1324" s="4">
        <v>36295</v>
      </c>
      <c r="B1324">
        <v>17.849799999999998</v>
      </c>
      <c r="C1324">
        <v>18.009899999999998</v>
      </c>
      <c r="D1324">
        <v>17.689699999999998</v>
      </c>
      <c r="E1324">
        <v>17.7698</v>
      </c>
      <c r="F1324">
        <v>21677</v>
      </c>
    </row>
    <row r="1325" spans="1:6" x14ac:dyDescent="0.25">
      <c r="A1325" s="4">
        <v>36297</v>
      </c>
      <c r="B1325">
        <v>17.9299</v>
      </c>
      <c r="C1325">
        <v>18.0899</v>
      </c>
      <c r="D1325">
        <v>17.7698</v>
      </c>
      <c r="E1325">
        <v>17.9299</v>
      </c>
      <c r="F1325">
        <v>16625</v>
      </c>
    </row>
    <row r="1326" spans="1:6" x14ac:dyDescent="0.25">
      <c r="A1326" s="4">
        <v>36298</v>
      </c>
      <c r="B1326">
        <v>18.009899999999998</v>
      </c>
      <c r="C1326">
        <v>18.0899</v>
      </c>
      <c r="D1326">
        <v>17.4496</v>
      </c>
      <c r="E1326">
        <v>17.6097</v>
      </c>
      <c r="F1326">
        <v>34165</v>
      </c>
    </row>
    <row r="1327" spans="1:6" x14ac:dyDescent="0.25">
      <c r="A1327" s="4">
        <v>36299</v>
      </c>
      <c r="B1327">
        <v>17.1294</v>
      </c>
      <c r="C1327">
        <v>17.4496</v>
      </c>
      <c r="D1327">
        <v>17.1294</v>
      </c>
      <c r="E1327">
        <v>17.369499999999999</v>
      </c>
      <c r="F1327">
        <v>28565</v>
      </c>
    </row>
    <row r="1328" spans="1:6" x14ac:dyDescent="0.25">
      <c r="A1328" s="4">
        <v>36300</v>
      </c>
      <c r="B1328">
        <v>17.6097</v>
      </c>
      <c r="C1328">
        <v>17.9299</v>
      </c>
      <c r="D1328">
        <v>17.4496</v>
      </c>
      <c r="E1328">
        <v>17.689699999999998</v>
      </c>
      <c r="F1328">
        <v>30371</v>
      </c>
    </row>
    <row r="1329" spans="1:6" x14ac:dyDescent="0.25">
      <c r="A1329" s="4">
        <v>36301</v>
      </c>
      <c r="B1329">
        <v>17.9299</v>
      </c>
      <c r="C1329">
        <v>18.7303</v>
      </c>
      <c r="D1329">
        <v>17.849799999999998</v>
      </c>
      <c r="E1329">
        <v>18.330100000000002</v>
      </c>
      <c r="F1329">
        <v>54607</v>
      </c>
    </row>
    <row r="1330" spans="1:6" x14ac:dyDescent="0.25">
      <c r="A1330" s="4">
        <v>36304</v>
      </c>
      <c r="B1330">
        <v>18.4101</v>
      </c>
      <c r="C1330">
        <v>18.650300000000001</v>
      </c>
      <c r="D1330">
        <v>18.009899999999998</v>
      </c>
      <c r="E1330">
        <v>18.650300000000001</v>
      </c>
      <c r="F1330">
        <v>32068</v>
      </c>
    </row>
    <row r="1331" spans="1:6" x14ac:dyDescent="0.25">
      <c r="A1331" s="4">
        <v>36305</v>
      </c>
      <c r="B1331">
        <v>18.5702</v>
      </c>
      <c r="C1331">
        <v>19.450700000000001</v>
      </c>
      <c r="D1331">
        <v>18.4101</v>
      </c>
      <c r="E1331">
        <v>18.970400000000001</v>
      </c>
      <c r="F1331">
        <v>74152</v>
      </c>
    </row>
    <row r="1332" spans="1:6" x14ac:dyDescent="0.25">
      <c r="A1332" s="4">
        <v>36306</v>
      </c>
      <c r="B1332">
        <v>18.650300000000001</v>
      </c>
      <c r="C1332">
        <v>19.290600000000001</v>
      </c>
      <c r="D1332">
        <v>18.650300000000001</v>
      </c>
      <c r="E1332">
        <v>19.130500000000001</v>
      </c>
      <c r="F1332">
        <v>52050</v>
      </c>
    </row>
    <row r="1333" spans="1:6" x14ac:dyDescent="0.25">
      <c r="A1333" s="4">
        <v>36307</v>
      </c>
      <c r="B1333">
        <v>19.3706</v>
      </c>
      <c r="C1333">
        <v>19.690799999999999</v>
      </c>
      <c r="D1333">
        <v>19.0505</v>
      </c>
      <c r="E1333">
        <v>19.130500000000001</v>
      </c>
      <c r="F1333">
        <v>61409</v>
      </c>
    </row>
    <row r="1334" spans="1:6" x14ac:dyDescent="0.25">
      <c r="A1334" s="4">
        <v>36308</v>
      </c>
      <c r="B1334">
        <v>19.290600000000001</v>
      </c>
      <c r="C1334">
        <v>19.3706</v>
      </c>
      <c r="D1334">
        <v>18.5702</v>
      </c>
      <c r="E1334">
        <v>18.810300000000002</v>
      </c>
      <c r="F1334">
        <v>44539</v>
      </c>
    </row>
    <row r="1335" spans="1:6" x14ac:dyDescent="0.25">
      <c r="A1335" s="4">
        <v>36309</v>
      </c>
      <c r="B1335">
        <v>18.970400000000001</v>
      </c>
      <c r="C1335">
        <v>19.0505</v>
      </c>
      <c r="D1335">
        <v>18.4101</v>
      </c>
      <c r="E1335">
        <v>18.7303</v>
      </c>
      <c r="F1335">
        <v>39775</v>
      </c>
    </row>
    <row r="1336" spans="1:6" x14ac:dyDescent="0.25">
      <c r="A1336" s="4">
        <v>36311</v>
      </c>
      <c r="B1336">
        <v>18.7303</v>
      </c>
      <c r="C1336">
        <v>18.970400000000001</v>
      </c>
      <c r="D1336">
        <v>18.490200000000002</v>
      </c>
      <c r="E1336">
        <v>18.7303</v>
      </c>
      <c r="F1336">
        <v>28657</v>
      </c>
    </row>
    <row r="1337" spans="1:6" x14ac:dyDescent="0.25">
      <c r="A1337" s="4">
        <v>36312</v>
      </c>
      <c r="B1337">
        <v>18.650300000000001</v>
      </c>
      <c r="C1337">
        <v>18.7303</v>
      </c>
      <c r="D1337">
        <v>18.4101</v>
      </c>
      <c r="E1337">
        <v>18.650300000000001</v>
      </c>
      <c r="F1337">
        <v>18269</v>
      </c>
    </row>
    <row r="1338" spans="1:6" x14ac:dyDescent="0.25">
      <c r="A1338" s="4">
        <v>36313</v>
      </c>
      <c r="B1338">
        <v>18.970400000000001</v>
      </c>
      <c r="C1338">
        <v>19.210599999999999</v>
      </c>
      <c r="D1338">
        <v>18.8904</v>
      </c>
      <c r="E1338">
        <v>19.0505</v>
      </c>
      <c r="F1338">
        <v>39018</v>
      </c>
    </row>
    <row r="1339" spans="1:6" x14ac:dyDescent="0.25">
      <c r="A1339" s="4">
        <v>36314</v>
      </c>
      <c r="B1339">
        <v>19.5307</v>
      </c>
      <c r="C1339">
        <v>19.931000000000001</v>
      </c>
      <c r="D1339">
        <v>19.210599999999999</v>
      </c>
      <c r="E1339">
        <v>19.210599999999999</v>
      </c>
      <c r="F1339">
        <v>62125</v>
      </c>
    </row>
    <row r="1340" spans="1:6" x14ac:dyDescent="0.25">
      <c r="A1340" s="4">
        <v>36315</v>
      </c>
      <c r="B1340">
        <v>19.690799999999999</v>
      </c>
      <c r="C1340">
        <v>19.770900000000001</v>
      </c>
      <c r="D1340">
        <v>19.450700000000001</v>
      </c>
      <c r="E1340">
        <v>19.770900000000001</v>
      </c>
      <c r="F1340">
        <v>47579</v>
      </c>
    </row>
    <row r="1341" spans="1:6" x14ac:dyDescent="0.25">
      <c r="A1341" s="4">
        <v>36316</v>
      </c>
      <c r="B1341">
        <v>20.091000000000001</v>
      </c>
      <c r="C1341">
        <v>20.171099999999999</v>
      </c>
      <c r="D1341">
        <v>19.850899999999999</v>
      </c>
      <c r="E1341">
        <v>20.171099999999999</v>
      </c>
      <c r="F1341">
        <v>46449</v>
      </c>
    </row>
    <row r="1342" spans="1:6" x14ac:dyDescent="0.25">
      <c r="A1342" s="4">
        <v>36318</v>
      </c>
      <c r="B1342">
        <v>20.491299999999999</v>
      </c>
      <c r="C1342">
        <v>21.451799999999999</v>
      </c>
      <c r="D1342">
        <v>20.331199999999999</v>
      </c>
      <c r="E1342">
        <v>21.051600000000001</v>
      </c>
      <c r="F1342">
        <v>59240</v>
      </c>
    </row>
    <row r="1343" spans="1:6" x14ac:dyDescent="0.25">
      <c r="A1343" s="4">
        <v>36319</v>
      </c>
      <c r="B1343">
        <v>21.771999999999998</v>
      </c>
      <c r="C1343">
        <v>22.412299999999998</v>
      </c>
      <c r="D1343">
        <v>21.451799999999999</v>
      </c>
      <c r="E1343">
        <v>22.412299999999998</v>
      </c>
      <c r="F1343">
        <v>74880</v>
      </c>
    </row>
    <row r="1344" spans="1:6" x14ac:dyDescent="0.25">
      <c r="A1344" s="4">
        <v>36320</v>
      </c>
      <c r="B1344">
        <v>22.572399999999998</v>
      </c>
      <c r="C1344">
        <v>22.9726</v>
      </c>
      <c r="D1344">
        <v>22.1722</v>
      </c>
      <c r="E1344">
        <v>22.892600000000002</v>
      </c>
      <c r="F1344">
        <v>63557</v>
      </c>
    </row>
    <row r="1345" spans="1:6" x14ac:dyDescent="0.25">
      <c r="A1345" s="4">
        <v>36321</v>
      </c>
      <c r="B1345">
        <v>23.212800000000001</v>
      </c>
      <c r="C1345">
        <v>23.2928</v>
      </c>
      <c r="D1345">
        <v>22.412299999999998</v>
      </c>
      <c r="E1345">
        <v>22.8125</v>
      </c>
      <c r="F1345">
        <v>50079</v>
      </c>
    </row>
    <row r="1346" spans="1:6" x14ac:dyDescent="0.25">
      <c r="A1346" s="4">
        <v>36322</v>
      </c>
      <c r="B1346">
        <v>22.732500000000002</v>
      </c>
      <c r="C1346">
        <v>22.732500000000002</v>
      </c>
      <c r="D1346">
        <v>21.611899999999999</v>
      </c>
      <c r="E1346">
        <v>21.771999999999998</v>
      </c>
      <c r="F1346">
        <v>54423</v>
      </c>
    </row>
    <row r="1347" spans="1:6" x14ac:dyDescent="0.25">
      <c r="A1347" s="4">
        <v>36325</v>
      </c>
      <c r="B1347">
        <v>21.932099999999998</v>
      </c>
      <c r="C1347">
        <v>22.252199999999998</v>
      </c>
      <c r="D1347">
        <v>21.371700000000001</v>
      </c>
      <c r="E1347">
        <v>22.092099999999999</v>
      </c>
      <c r="F1347">
        <v>91888</v>
      </c>
    </row>
    <row r="1348" spans="1:6" x14ac:dyDescent="0.25">
      <c r="A1348" s="4">
        <v>36326</v>
      </c>
      <c r="B1348">
        <v>23.235199999999999</v>
      </c>
      <c r="C1348">
        <v>23.235199999999999</v>
      </c>
      <c r="D1348">
        <v>22.644400000000001</v>
      </c>
      <c r="E1348">
        <v>23.0383</v>
      </c>
      <c r="F1348">
        <v>130064</v>
      </c>
    </row>
    <row r="1349" spans="1:6" x14ac:dyDescent="0.25">
      <c r="A1349" s="4">
        <v>36327</v>
      </c>
      <c r="B1349">
        <v>23.0383</v>
      </c>
      <c r="C1349">
        <v>24.0228</v>
      </c>
      <c r="D1349">
        <v>22.447500000000002</v>
      </c>
      <c r="E1349">
        <v>23.825900000000001</v>
      </c>
      <c r="F1349">
        <v>64484</v>
      </c>
    </row>
    <row r="1350" spans="1:6" x14ac:dyDescent="0.25">
      <c r="A1350" s="4">
        <v>36328</v>
      </c>
      <c r="B1350">
        <v>24.613499999999998</v>
      </c>
      <c r="C1350">
        <v>25.401199999999999</v>
      </c>
      <c r="D1350">
        <v>24.416599999999999</v>
      </c>
      <c r="E1350">
        <v>25.401199999999999</v>
      </c>
      <c r="F1350">
        <v>74518</v>
      </c>
    </row>
    <row r="1351" spans="1:6" x14ac:dyDescent="0.25">
      <c r="A1351" s="4">
        <v>36332</v>
      </c>
      <c r="B1351">
        <v>25.8934</v>
      </c>
      <c r="C1351">
        <v>25.8934</v>
      </c>
      <c r="D1351">
        <v>24.712</v>
      </c>
      <c r="E1351">
        <v>25.007300000000001</v>
      </c>
      <c r="F1351">
        <v>63652</v>
      </c>
    </row>
    <row r="1352" spans="1:6" x14ac:dyDescent="0.25">
      <c r="A1352" s="4">
        <v>36333</v>
      </c>
      <c r="B1352">
        <v>25.007300000000001</v>
      </c>
      <c r="C1352">
        <v>25.598099999999999</v>
      </c>
      <c r="D1352">
        <v>24.712</v>
      </c>
      <c r="E1352">
        <v>25.2043</v>
      </c>
      <c r="F1352">
        <v>66098</v>
      </c>
    </row>
    <row r="1353" spans="1:6" x14ac:dyDescent="0.25">
      <c r="A1353" s="4">
        <v>36334</v>
      </c>
      <c r="B1353">
        <v>24.908899999999999</v>
      </c>
      <c r="C1353">
        <v>25.007300000000001</v>
      </c>
      <c r="D1353">
        <v>24.416599999999999</v>
      </c>
      <c r="E1353">
        <v>24.613499999999998</v>
      </c>
      <c r="F1353">
        <v>44713</v>
      </c>
    </row>
    <row r="1354" spans="1:6" x14ac:dyDescent="0.25">
      <c r="A1354" s="4">
        <v>36335</v>
      </c>
      <c r="B1354">
        <v>24.416599999999999</v>
      </c>
      <c r="C1354">
        <v>25.598099999999999</v>
      </c>
      <c r="D1354">
        <v>24.2197</v>
      </c>
      <c r="E1354">
        <v>25.401199999999999</v>
      </c>
      <c r="F1354">
        <v>69778</v>
      </c>
    </row>
    <row r="1355" spans="1:6" x14ac:dyDescent="0.25">
      <c r="A1355" s="4">
        <v>36336</v>
      </c>
      <c r="B1355">
        <v>23.825900000000001</v>
      </c>
      <c r="C1355">
        <v>25.105799999999999</v>
      </c>
      <c r="D1355">
        <v>23.825900000000001</v>
      </c>
      <c r="E1355">
        <v>24.121300000000002</v>
      </c>
      <c r="F1355">
        <v>57865</v>
      </c>
    </row>
    <row r="1356" spans="1:6" x14ac:dyDescent="0.25">
      <c r="A1356" s="4">
        <v>36339</v>
      </c>
      <c r="B1356">
        <v>24.121300000000002</v>
      </c>
      <c r="C1356">
        <v>24.416599999999999</v>
      </c>
      <c r="D1356">
        <v>23.825900000000001</v>
      </c>
      <c r="E1356">
        <v>24.121300000000002</v>
      </c>
      <c r="F1356">
        <v>29341</v>
      </c>
    </row>
    <row r="1357" spans="1:6" x14ac:dyDescent="0.25">
      <c r="A1357" s="4">
        <v>36340</v>
      </c>
      <c r="B1357">
        <v>24.810400000000001</v>
      </c>
      <c r="C1357">
        <v>25.2043</v>
      </c>
      <c r="D1357">
        <v>24.5151</v>
      </c>
      <c r="E1357">
        <v>25.007300000000001</v>
      </c>
      <c r="F1357">
        <v>50378</v>
      </c>
    </row>
    <row r="1358" spans="1:6" x14ac:dyDescent="0.25">
      <c r="A1358" s="4">
        <v>36341</v>
      </c>
      <c r="B1358">
        <v>24.613499999999998</v>
      </c>
      <c r="C1358">
        <v>24.810400000000001</v>
      </c>
      <c r="D1358">
        <v>24.2197</v>
      </c>
      <c r="E1358">
        <v>24.318200000000001</v>
      </c>
      <c r="F1358">
        <v>44370</v>
      </c>
    </row>
    <row r="1359" spans="1:6" x14ac:dyDescent="0.25">
      <c r="A1359" s="4">
        <v>36343</v>
      </c>
      <c r="B1359">
        <v>24.416599999999999</v>
      </c>
      <c r="C1359">
        <v>24.908899999999999</v>
      </c>
      <c r="D1359">
        <v>24.318200000000001</v>
      </c>
      <c r="E1359">
        <v>24.416599999999999</v>
      </c>
      <c r="F1359">
        <v>49096</v>
      </c>
    </row>
    <row r="1360" spans="1:6" x14ac:dyDescent="0.25">
      <c r="A1360" s="4">
        <v>36344</v>
      </c>
      <c r="B1360">
        <v>24.613499999999998</v>
      </c>
      <c r="C1360">
        <v>24.810400000000001</v>
      </c>
      <c r="D1360">
        <v>23.825900000000001</v>
      </c>
      <c r="E1360">
        <v>23.825900000000001</v>
      </c>
      <c r="F1360">
        <v>36149</v>
      </c>
    </row>
    <row r="1361" spans="1:6" x14ac:dyDescent="0.25">
      <c r="A1361" s="4">
        <v>36346</v>
      </c>
      <c r="B1361">
        <v>23.825900000000001</v>
      </c>
      <c r="C1361">
        <v>24.5151</v>
      </c>
      <c r="D1361">
        <v>23.629000000000001</v>
      </c>
      <c r="E1361">
        <v>23.924399999999999</v>
      </c>
      <c r="F1361">
        <v>30097</v>
      </c>
    </row>
    <row r="1362" spans="1:6" x14ac:dyDescent="0.25">
      <c r="A1362" s="4">
        <v>36347</v>
      </c>
      <c r="B1362">
        <v>24.2197</v>
      </c>
      <c r="C1362">
        <v>24.712</v>
      </c>
      <c r="D1362">
        <v>23.924399999999999</v>
      </c>
      <c r="E1362">
        <v>24.416599999999999</v>
      </c>
      <c r="F1362">
        <v>42568</v>
      </c>
    </row>
    <row r="1363" spans="1:6" x14ac:dyDescent="0.25">
      <c r="A1363" s="4">
        <v>36348</v>
      </c>
      <c r="B1363">
        <v>24.416599999999999</v>
      </c>
      <c r="C1363">
        <v>25.105799999999999</v>
      </c>
      <c r="D1363">
        <v>24.2197</v>
      </c>
      <c r="E1363">
        <v>25.007300000000001</v>
      </c>
      <c r="F1363">
        <v>51747</v>
      </c>
    </row>
    <row r="1364" spans="1:6" x14ac:dyDescent="0.25">
      <c r="A1364" s="4">
        <v>36349</v>
      </c>
      <c r="B1364">
        <v>25.2043</v>
      </c>
      <c r="C1364">
        <v>25.302700000000002</v>
      </c>
      <c r="D1364">
        <v>24.810400000000001</v>
      </c>
      <c r="E1364">
        <v>24.908899999999999</v>
      </c>
      <c r="F1364">
        <v>42095</v>
      </c>
    </row>
    <row r="1365" spans="1:6" x14ac:dyDescent="0.25">
      <c r="A1365" s="4">
        <v>36350</v>
      </c>
      <c r="B1365">
        <v>24.908899999999999</v>
      </c>
      <c r="C1365">
        <v>25.2043</v>
      </c>
      <c r="D1365">
        <v>24.416599999999999</v>
      </c>
      <c r="E1365">
        <v>24.5151</v>
      </c>
      <c r="F1365">
        <v>36988</v>
      </c>
    </row>
    <row r="1366" spans="1:6" x14ac:dyDescent="0.25">
      <c r="A1366" s="4">
        <v>36353</v>
      </c>
      <c r="B1366">
        <v>24.613499999999998</v>
      </c>
      <c r="C1366">
        <v>24.613499999999998</v>
      </c>
      <c r="D1366">
        <v>24.0228</v>
      </c>
      <c r="E1366">
        <v>24.2197</v>
      </c>
      <c r="F1366">
        <v>23758</v>
      </c>
    </row>
    <row r="1367" spans="1:6" x14ac:dyDescent="0.25">
      <c r="A1367" s="4">
        <v>36354</v>
      </c>
      <c r="B1367">
        <v>24.0228</v>
      </c>
      <c r="C1367">
        <v>24.2197</v>
      </c>
      <c r="D1367">
        <v>23.629000000000001</v>
      </c>
      <c r="E1367">
        <v>23.629000000000001</v>
      </c>
      <c r="F1367">
        <v>38164</v>
      </c>
    </row>
    <row r="1368" spans="1:6" x14ac:dyDescent="0.25">
      <c r="A1368" s="4">
        <v>36355</v>
      </c>
      <c r="B1368">
        <v>23.432099999999998</v>
      </c>
      <c r="C1368">
        <v>23.727399999999999</v>
      </c>
      <c r="D1368">
        <v>22.053699999999999</v>
      </c>
      <c r="E1368">
        <v>22.644400000000001</v>
      </c>
      <c r="F1368">
        <v>62335</v>
      </c>
    </row>
    <row r="1369" spans="1:6" x14ac:dyDescent="0.25">
      <c r="A1369" s="4">
        <v>36356</v>
      </c>
      <c r="B1369">
        <v>22.644400000000001</v>
      </c>
      <c r="C1369">
        <v>23.432099999999998</v>
      </c>
      <c r="D1369">
        <v>22.250599999999999</v>
      </c>
      <c r="E1369">
        <v>23.136700000000001</v>
      </c>
      <c r="F1369">
        <v>59331</v>
      </c>
    </row>
    <row r="1370" spans="1:6" x14ac:dyDescent="0.25">
      <c r="A1370" s="4">
        <v>36357</v>
      </c>
      <c r="B1370">
        <v>23.629000000000001</v>
      </c>
      <c r="C1370">
        <v>23.727399999999999</v>
      </c>
      <c r="D1370">
        <v>21.561499999999999</v>
      </c>
      <c r="E1370">
        <v>21.561499999999999</v>
      </c>
      <c r="F1370">
        <v>64159</v>
      </c>
    </row>
    <row r="1371" spans="1:6" x14ac:dyDescent="0.25">
      <c r="A1371" s="4">
        <v>36358</v>
      </c>
      <c r="B1371">
        <v>21.069199999999999</v>
      </c>
      <c r="C1371">
        <v>22.8414</v>
      </c>
      <c r="D1371">
        <v>21.069199999999999</v>
      </c>
      <c r="E1371">
        <v>22.8414</v>
      </c>
      <c r="F1371">
        <v>68896</v>
      </c>
    </row>
    <row r="1372" spans="1:6" x14ac:dyDescent="0.25">
      <c r="A1372" s="4">
        <v>36360</v>
      </c>
      <c r="B1372">
        <v>22.939800000000002</v>
      </c>
      <c r="C1372">
        <v>23.333600000000001</v>
      </c>
      <c r="D1372">
        <v>22.3491</v>
      </c>
      <c r="E1372">
        <v>22.939800000000002</v>
      </c>
      <c r="F1372">
        <v>42901</v>
      </c>
    </row>
    <row r="1373" spans="1:6" x14ac:dyDescent="0.25">
      <c r="A1373" s="4">
        <v>36361</v>
      </c>
      <c r="B1373">
        <v>23.432099999999998</v>
      </c>
      <c r="C1373">
        <v>24.416599999999999</v>
      </c>
      <c r="D1373">
        <v>23.432099999999998</v>
      </c>
      <c r="E1373">
        <v>24.121300000000002</v>
      </c>
      <c r="F1373">
        <v>59854</v>
      </c>
    </row>
    <row r="1374" spans="1:6" x14ac:dyDescent="0.25">
      <c r="A1374" s="4">
        <v>36362</v>
      </c>
      <c r="B1374">
        <v>23.235199999999999</v>
      </c>
      <c r="C1374">
        <v>24.0228</v>
      </c>
      <c r="D1374">
        <v>23.235199999999999</v>
      </c>
      <c r="E1374">
        <v>23.727399999999999</v>
      </c>
      <c r="F1374">
        <v>37985</v>
      </c>
    </row>
    <row r="1375" spans="1:6" x14ac:dyDescent="0.25">
      <c r="A1375" s="4">
        <v>36363</v>
      </c>
      <c r="B1375">
        <v>23.235199999999999</v>
      </c>
      <c r="C1375">
        <v>23.432099999999998</v>
      </c>
      <c r="D1375">
        <v>22.8414</v>
      </c>
      <c r="E1375">
        <v>22.8414</v>
      </c>
      <c r="F1375">
        <v>26897</v>
      </c>
    </row>
    <row r="1376" spans="1:6" x14ac:dyDescent="0.25">
      <c r="A1376" s="4">
        <v>36364</v>
      </c>
      <c r="B1376">
        <v>22.644400000000001</v>
      </c>
      <c r="C1376">
        <v>22.8414</v>
      </c>
      <c r="D1376">
        <v>22.3491</v>
      </c>
      <c r="E1376">
        <v>22.8414</v>
      </c>
      <c r="F1376">
        <v>19468</v>
      </c>
    </row>
    <row r="1377" spans="1:6" x14ac:dyDescent="0.25">
      <c r="A1377" s="4">
        <v>36367</v>
      </c>
      <c r="B1377">
        <v>22.447500000000002</v>
      </c>
      <c r="C1377">
        <v>22.742899999999999</v>
      </c>
      <c r="D1377">
        <v>22.250599999999999</v>
      </c>
      <c r="E1377">
        <v>22.3491</v>
      </c>
      <c r="F1377">
        <v>15313</v>
      </c>
    </row>
    <row r="1378" spans="1:6" x14ac:dyDescent="0.25">
      <c r="A1378" s="4">
        <v>36368</v>
      </c>
      <c r="B1378">
        <v>22.053699999999999</v>
      </c>
      <c r="C1378">
        <v>22.152200000000001</v>
      </c>
      <c r="D1378">
        <v>21.069199999999999</v>
      </c>
      <c r="E1378">
        <v>21.1676</v>
      </c>
      <c r="F1378">
        <v>30970</v>
      </c>
    </row>
    <row r="1379" spans="1:6" x14ac:dyDescent="0.25">
      <c r="A1379" s="4">
        <v>36369</v>
      </c>
      <c r="B1379">
        <v>21.758400000000002</v>
      </c>
      <c r="C1379">
        <v>22.053699999999999</v>
      </c>
      <c r="D1379">
        <v>21.463000000000001</v>
      </c>
      <c r="E1379">
        <v>21.8568</v>
      </c>
      <c r="F1379">
        <v>29520</v>
      </c>
    </row>
    <row r="1380" spans="1:6" x14ac:dyDescent="0.25">
      <c r="A1380" s="4">
        <v>36370</v>
      </c>
      <c r="B1380">
        <v>22.3491</v>
      </c>
      <c r="C1380">
        <v>22.3491</v>
      </c>
      <c r="D1380">
        <v>21.6599</v>
      </c>
      <c r="E1380">
        <v>21.758400000000002</v>
      </c>
      <c r="F1380">
        <v>20773</v>
      </c>
    </row>
    <row r="1381" spans="1:6" x14ac:dyDescent="0.25">
      <c r="A1381" s="4">
        <v>36371</v>
      </c>
      <c r="B1381">
        <v>21.069199999999999</v>
      </c>
      <c r="C1381">
        <v>22.250599999999999</v>
      </c>
      <c r="D1381">
        <v>21.069199999999999</v>
      </c>
      <c r="E1381">
        <v>22.250599999999999</v>
      </c>
      <c r="F1381">
        <v>21047</v>
      </c>
    </row>
    <row r="1382" spans="1:6" x14ac:dyDescent="0.25">
      <c r="A1382" s="4">
        <v>36372</v>
      </c>
      <c r="B1382">
        <v>21.955300000000001</v>
      </c>
      <c r="C1382">
        <v>22.3491</v>
      </c>
      <c r="D1382">
        <v>21.6599</v>
      </c>
      <c r="E1382">
        <v>21.8568</v>
      </c>
      <c r="F1382">
        <v>10390</v>
      </c>
    </row>
    <row r="1383" spans="1:6" x14ac:dyDescent="0.25">
      <c r="A1383" s="4">
        <v>36374</v>
      </c>
      <c r="B1383">
        <v>21.8568</v>
      </c>
      <c r="C1383">
        <v>21.955300000000001</v>
      </c>
      <c r="D1383">
        <v>20.872299999999999</v>
      </c>
      <c r="E1383">
        <v>20.872299999999999</v>
      </c>
      <c r="F1383">
        <v>22662</v>
      </c>
    </row>
    <row r="1384" spans="1:6" x14ac:dyDescent="0.25">
      <c r="A1384" s="4">
        <v>36375</v>
      </c>
      <c r="B1384">
        <v>20.4785</v>
      </c>
      <c r="C1384">
        <v>20.872299999999999</v>
      </c>
      <c r="D1384">
        <v>19.887699999999999</v>
      </c>
      <c r="E1384">
        <v>20.773800000000001</v>
      </c>
      <c r="F1384">
        <v>28874</v>
      </c>
    </row>
    <row r="1385" spans="1:6" x14ac:dyDescent="0.25">
      <c r="A1385" s="4">
        <v>36376</v>
      </c>
      <c r="B1385">
        <v>20.773800000000001</v>
      </c>
      <c r="C1385">
        <v>21.1676</v>
      </c>
      <c r="D1385">
        <v>20.38</v>
      </c>
      <c r="E1385">
        <v>20.38</v>
      </c>
      <c r="F1385">
        <v>16652</v>
      </c>
    </row>
    <row r="1386" spans="1:6" x14ac:dyDescent="0.25">
      <c r="A1386" s="4">
        <v>36377</v>
      </c>
      <c r="B1386">
        <v>19.9862</v>
      </c>
      <c r="C1386">
        <v>20.38</v>
      </c>
      <c r="D1386">
        <v>19.887699999999999</v>
      </c>
      <c r="E1386">
        <v>20.281500000000001</v>
      </c>
      <c r="F1386">
        <v>21495</v>
      </c>
    </row>
    <row r="1387" spans="1:6" x14ac:dyDescent="0.25">
      <c r="A1387" s="4">
        <v>36378</v>
      </c>
      <c r="B1387">
        <v>20.281500000000001</v>
      </c>
      <c r="C1387">
        <v>20.576899999999998</v>
      </c>
      <c r="D1387">
        <v>19.9862</v>
      </c>
      <c r="E1387">
        <v>20.084599999999998</v>
      </c>
      <c r="F1387">
        <v>20994</v>
      </c>
    </row>
    <row r="1388" spans="1:6" x14ac:dyDescent="0.25">
      <c r="A1388" s="4">
        <v>36379</v>
      </c>
      <c r="B1388">
        <v>20.084599999999998</v>
      </c>
      <c r="C1388">
        <v>21.3645</v>
      </c>
      <c r="D1388">
        <v>20.084599999999998</v>
      </c>
      <c r="E1388">
        <v>21.1676</v>
      </c>
      <c r="F1388">
        <v>32324</v>
      </c>
    </row>
    <row r="1389" spans="1:6" x14ac:dyDescent="0.25">
      <c r="A1389" s="4">
        <v>36381</v>
      </c>
      <c r="B1389">
        <v>21.1676</v>
      </c>
      <c r="C1389">
        <v>21.463000000000001</v>
      </c>
      <c r="D1389">
        <v>20.970700000000001</v>
      </c>
      <c r="E1389">
        <v>20.970700000000001</v>
      </c>
      <c r="F1389">
        <v>18576</v>
      </c>
    </row>
    <row r="1390" spans="1:6" x14ac:dyDescent="0.25">
      <c r="A1390" s="4">
        <v>36382</v>
      </c>
      <c r="B1390">
        <v>21.6599</v>
      </c>
      <c r="C1390">
        <v>22.3491</v>
      </c>
      <c r="D1390">
        <v>21.3645</v>
      </c>
      <c r="E1390">
        <v>22.3491</v>
      </c>
      <c r="F1390">
        <v>36146</v>
      </c>
    </row>
    <row r="1391" spans="1:6" x14ac:dyDescent="0.25">
      <c r="A1391" s="4">
        <v>36383</v>
      </c>
      <c r="B1391">
        <v>22.644400000000001</v>
      </c>
      <c r="C1391">
        <v>23.136700000000001</v>
      </c>
      <c r="D1391">
        <v>22.447500000000002</v>
      </c>
      <c r="E1391">
        <v>22.742899999999999</v>
      </c>
      <c r="F1391">
        <v>56529</v>
      </c>
    </row>
    <row r="1392" spans="1:6" x14ac:dyDescent="0.25">
      <c r="A1392" s="4">
        <v>36384</v>
      </c>
      <c r="B1392">
        <v>23.0383</v>
      </c>
      <c r="C1392">
        <v>23.432099999999998</v>
      </c>
      <c r="D1392">
        <v>22.8414</v>
      </c>
      <c r="E1392">
        <v>22.939800000000002</v>
      </c>
      <c r="F1392">
        <v>46120</v>
      </c>
    </row>
    <row r="1393" spans="1:6" x14ac:dyDescent="0.25">
      <c r="A1393" s="4">
        <v>36385</v>
      </c>
      <c r="B1393">
        <v>24.5151</v>
      </c>
      <c r="C1393">
        <v>24.5151</v>
      </c>
      <c r="D1393">
        <v>24.121300000000002</v>
      </c>
      <c r="E1393">
        <v>24.5151</v>
      </c>
      <c r="F1393">
        <v>121827</v>
      </c>
    </row>
    <row r="1394" spans="1:6" x14ac:dyDescent="0.25">
      <c r="A1394" s="4">
        <v>36388</v>
      </c>
      <c r="B1394">
        <v>25.401199999999999</v>
      </c>
      <c r="C1394">
        <v>25.991900000000001</v>
      </c>
      <c r="D1394">
        <v>25.401199999999999</v>
      </c>
      <c r="E1394">
        <v>25.991900000000001</v>
      </c>
      <c r="F1394">
        <v>101034</v>
      </c>
    </row>
    <row r="1395" spans="1:6" x14ac:dyDescent="0.25">
      <c r="A1395" s="4">
        <v>36389</v>
      </c>
      <c r="B1395">
        <v>25.598099999999999</v>
      </c>
      <c r="C1395">
        <v>25.991900000000001</v>
      </c>
      <c r="D1395">
        <v>25.2043</v>
      </c>
      <c r="E1395">
        <v>25.795000000000002</v>
      </c>
      <c r="F1395">
        <v>57075</v>
      </c>
    </row>
    <row r="1396" spans="1:6" x14ac:dyDescent="0.25">
      <c r="A1396" s="4">
        <v>36390</v>
      </c>
      <c r="B1396">
        <v>25.598099999999999</v>
      </c>
      <c r="C1396">
        <v>25.795000000000002</v>
      </c>
      <c r="D1396">
        <v>25.007300000000001</v>
      </c>
      <c r="E1396">
        <v>25.007300000000001</v>
      </c>
      <c r="F1396">
        <v>37311</v>
      </c>
    </row>
    <row r="1397" spans="1:6" x14ac:dyDescent="0.25">
      <c r="A1397" s="4">
        <v>36391</v>
      </c>
      <c r="B1397">
        <v>24.810400000000001</v>
      </c>
      <c r="C1397">
        <v>25.598099999999999</v>
      </c>
      <c r="D1397">
        <v>24.810400000000001</v>
      </c>
      <c r="E1397">
        <v>25.598099999999999</v>
      </c>
      <c r="F1397">
        <v>32893</v>
      </c>
    </row>
    <row r="1398" spans="1:6" x14ac:dyDescent="0.25">
      <c r="A1398" s="4">
        <v>36392</v>
      </c>
      <c r="B1398">
        <v>25.598099999999999</v>
      </c>
      <c r="C1398">
        <v>26.188800000000001</v>
      </c>
      <c r="D1398">
        <v>25.401199999999999</v>
      </c>
      <c r="E1398">
        <v>25.8934</v>
      </c>
      <c r="F1398">
        <v>59730</v>
      </c>
    </row>
    <row r="1399" spans="1:6" x14ac:dyDescent="0.25">
      <c r="A1399" s="4">
        <v>36393</v>
      </c>
      <c r="B1399">
        <v>26.582599999999999</v>
      </c>
      <c r="C1399">
        <v>26.681100000000001</v>
      </c>
      <c r="D1399">
        <v>25.401199999999999</v>
      </c>
      <c r="E1399">
        <v>25.401199999999999</v>
      </c>
      <c r="F1399">
        <v>66378</v>
      </c>
    </row>
    <row r="1400" spans="1:6" x14ac:dyDescent="0.25">
      <c r="A1400" s="4">
        <v>36395</v>
      </c>
      <c r="B1400">
        <v>25.302700000000002</v>
      </c>
      <c r="C1400">
        <v>25.598099999999999</v>
      </c>
      <c r="D1400">
        <v>25.007300000000001</v>
      </c>
      <c r="E1400">
        <v>25.598099999999999</v>
      </c>
      <c r="F1400">
        <v>24503</v>
      </c>
    </row>
    <row r="1401" spans="1:6" x14ac:dyDescent="0.25">
      <c r="A1401" s="4">
        <v>36396</v>
      </c>
      <c r="B1401">
        <v>25.991900000000001</v>
      </c>
      <c r="C1401">
        <v>26.188800000000001</v>
      </c>
      <c r="D1401">
        <v>25.2043</v>
      </c>
      <c r="E1401">
        <v>25.2043</v>
      </c>
      <c r="F1401">
        <v>37968</v>
      </c>
    </row>
    <row r="1402" spans="1:6" x14ac:dyDescent="0.25">
      <c r="A1402" s="4">
        <v>36397</v>
      </c>
      <c r="B1402">
        <v>25.598099999999999</v>
      </c>
      <c r="C1402">
        <v>26.3857</v>
      </c>
      <c r="D1402">
        <v>25.401199999999999</v>
      </c>
      <c r="E1402">
        <v>26.3857</v>
      </c>
      <c r="F1402">
        <v>71207</v>
      </c>
    </row>
    <row r="1403" spans="1:6" x14ac:dyDescent="0.25">
      <c r="A1403" s="4">
        <v>36398</v>
      </c>
      <c r="B1403">
        <v>26.484200000000001</v>
      </c>
      <c r="C1403">
        <v>26.582599999999999</v>
      </c>
      <c r="D1403">
        <v>25.795000000000002</v>
      </c>
      <c r="E1403">
        <v>25.991900000000001</v>
      </c>
      <c r="F1403">
        <v>50037</v>
      </c>
    </row>
    <row r="1404" spans="1:6" x14ac:dyDescent="0.25">
      <c r="A1404" s="4">
        <v>36399</v>
      </c>
      <c r="B1404">
        <v>25.795000000000002</v>
      </c>
      <c r="C1404">
        <v>25.991900000000001</v>
      </c>
      <c r="D1404">
        <v>25.598099999999999</v>
      </c>
      <c r="E1404">
        <v>25.598099999999999</v>
      </c>
      <c r="F1404">
        <v>25055</v>
      </c>
    </row>
    <row r="1405" spans="1:6" x14ac:dyDescent="0.25">
      <c r="A1405" s="4">
        <v>36402</v>
      </c>
      <c r="B1405">
        <v>25.598099999999999</v>
      </c>
      <c r="C1405">
        <v>26.484200000000001</v>
      </c>
      <c r="D1405">
        <v>25.598099999999999</v>
      </c>
      <c r="E1405">
        <v>25.8934</v>
      </c>
      <c r="F1405">
        <v>39255</v>
      </c>
    </row>
    <row r="1406" spans="1:6" x14ac:dyDescent="0.25">
      <c r="A1406" s="4">
        <v>36403</v>
      </c>
      <c r="B1406">
        <v>26.090299999999999</v>
      </c>
      <c r="C1406">
        <v>26.878</v>
      </c>
      <c r="D1406">
        <v>26.090299999999999</v>
      </c>
      <c r="E1406">
        <v>26.582599999999999</v>
      </c>
      <c r="F1406">
        <v>81905</v>
      </c>
    </row>
    <row r="1407" spans="1:6" x14ac:dyDescent="0.25">
      <c r="A1407" s="4">
        <v>36404</v>
      </c>
      <c r="B1407">
        <v>26.976400000000002</v>
      </c>
      <c r="C1407">
        <v>27.665600000000001</v>
      </c>
      <c r="D1407">
        <v>26.878</v>
      </c>
      <c r="E1407">
        <v>27.370200000000001</v>
      </c>
      <c r="F1407">
        <v>84152</v>
      </c>
    </row>
    <row r="1408" spans="1:6" x14ac:dyDescent="0.25">
      <c r="A1408" s="4">
        <v>36405</v>
      </c>
      <c r="B1408">
        <v>27.862500000000001</v>
      </c>
      <c r="C1408">
        <v>27.960999999999999</v>
      </c>
      <c r="D1408">
        <v>26.976400000000002</v>
      </c>
      <c r="E1408">
        <v>27.271799999999999</v>
      </c>
      <c r="F1408">
        <v>56044</v>
      </c>
    </row>
    <row r="1409" spans="1:6" x14ac:dyDescent="0.25">
      <c r="A1409" s="4">
        <v>36406</v>
      </c>
      <c r="B1409">
        <v>26.976400000000002</v>
      </c>
      <c r="C1409">
        <v>27.173300000000001</v>
      </c>
      <c r="D1409">
        <v>26.681100000000001</v>
      </c>
      <c r="E1409">
        <v>26.681100000000001</v>
      </c>
      <c r="F1409">
        <v>44998</v>
      </c>
    </row>
    <row r="1410" spans="1:6" x14ac:dyDescent="0.25">
      <c r="A1410" s="4">
        <v>36407</v>
      </c>
      <c r="B1410">
        <v>27.468699999999998</v>
      </c>
      <c r="C1410">
        <v>27.468699999999998</v>
      </c>
      <c r="D1410">
        <v>26.779499999999999</v>
      </c>
      <c r="E1410">
        <v>26.779499999999999</v>
      </c>
      <c r="F1410">
        <v>42918</v>
      </c>
    </row>
    <row r="1411" spans="1:6" x14ac:dyDescent="0.25">
      <c r="A1411" s="4">
        <v>36409</v>
      </c>
      <c r="B1411">
        <v>26.779499999999999</v>
      </c>
      <c r="C1411">
        <v>27.5672</v>
      </c>
      <c r="D1411">
        <v>26.3857</v>
      </c>
      <c r="E1411">
        <v>27.5672</v>
      </c>
      <c r="F1411">
        <v>40457</v>
      </c>
    </row>
    <row r="1412" spans="1:6" x14ac:dyDescent="0.25">
      <c r="A1412" s="4">
        <v>36410</v>
      </c>
      <c r="B1412">
        <v>27.5672</v>
      </c>
      <c r="C1412">
        <v>27.764099999999999</v>
      </c>
      <c r="D1412">
        <v>26.582599999999999</v>
      </c>
      <c r="E1412">
        <v>26.681100000000001</v>
      </c>
      <c r="F1412">
        <v>44579</v>
      </c>
    </row>
    <row r="1413" spans="1:6" x14ac:dyDescent="0.25">
      <c r="A1413" s="4">
        <v>36411</v>
      </c>
      <c r="B1413">
        <v>26.681100000000001</v>
      </c>
      <c r="C1413">
        <v>27.5672</v>
      </c>
      <c r="D1413">
        <v>26.681100000000001</v>
      </c>
      <c r="E1413">
        <v>27.271799999999999</v>
      </c>
      <c r="F1413">
        <v>46868</v>
      </c>
    </row>
    <row r="1414" spans="1:6" x14ac:dyDescent="0.25">
      <c r="A1414" s="4">
        <v>36412</v>
      </c>
      <c r="B1414">
        <v>27.271799999999999</v>
      </c>
      <c r="C1414">
        <v>27.468699999999998</v>
      </c>
      <c r="D1414">
        <v>26.976400000000002</v>
      </c>
      <c r="E1414">
        <v>27.271799999999999</v>
      </c>
      <c r="F1414">
        <v>25552</v>
      </c>
    </row>
    <row r="1415" spans="1:6" x14ac:dyDescent="0.25">
      <c r="A1415" s="4">
        <v>36413</v>
      </c>
      <c r="B1415">
        <v>27.665600000000001</v>
      </c>
      <c r="C1415">
        <v>28.157900000000001</v>
      </c>
      <c r="D1415">
        <v>27.5672</v>
      </c>
      <c r="E1415">
        <v>27.665600000000001</v>
      </c>
      <c r="F1415">
        <v>58124</v>
      </c>
    </row>
    <row r="1416" spans="1:6" x14ac:dyDescent="0.25">
      <c r="A1416" s="4">
        <v>36416</v>
      </c>
      <c r="B1416">
        <v>27.764099999999999</v>
      </c>
      <c r="C1416">
        <v>28.0594</v>
      </c>
      <c r="D1416">
        <v>27.5672</v>
      </c>
      <c r="E1416">
        <v>27.764099999999999</v>
      </c>
      <c r="F1416">
        <v>29529</v>
      </c>
    </row>
    <row r="1417" spans="1:6" x14ac:dyDescent="0.25">
      <c r="A1417" s="4">
        <v>36417</v>
      </c>
      <c r="B1417">
        <v>27.764099999999999</v>
      </c>
      <c r="C1417">
        <v>27.764099999999999</v>
      </c>
      <c r="D1417">
        <v>27.271799999999999</v>
      </c>
      <c r="E1417">
        <v>27.468699999999998</v>
      </c>
      <c r="F1417">
        <v>23088</v>
      </c>
    </row>
    <row r="1418" spans="1:6" x14ac:dyDescent="0.25">
      <c r="A1418" s="4">
        <v>36418</v>
      </c>
      <c r="B1418">
        <v>27.173300000000001</v>
      </c>
      <c r="C1418">
        <v>27.370200000000001</v>
      </c>
      <c r="D1418">
        <v>26.878</v>
      </c>
      <c r="E1418">
        <v>26.976400000000002</v>
      </c>
      <c r="F1418">
        <v>25619</v>
      </c>
    </row>
    <row r="1419" spans="1:6" x14ac:dyDescent="0.25">
      <c r="A1419" s="4">
        <v>36419</v>
      </c>
      <c r="B1419">
        <v>26.582599999999999</v>
      </c>
      <c r="C1419">
        <v>27.370200000000001</v>
      </c>
      <c r="D1419">
        <v>26.582599999999999</v>
      </c>
      <c r="E1419">
        <v>27.173300000000001</v>
      </c>
      <c r="F1419">
        <v>27101</v>
      </c>
    </row>
    <row r="1420" spans="1:6" x14ac:dyDescent="0.25">
      <c r="A1420" s="4">
        <v>36420</v>
      </c>
      <c r="B1420">
        <v>27.173300000000001</v>
      </c>
      <c r="C1420">
        <v>27.5672</v>
      </c>
      <c r="D1420">
        <v>26.976400000000002</v>
      </c>
      <c r="E1420">
        <v>27.0749</v>
      </c>
      <c r="F1420">
        <v>25016</v>
      </c>
    </row>
    <row r="1421" spans="1:6" x14ac:dyDescent="0.25">
      <c r="A1421" s="4">
        <v>36421</v>
      </c>
      <c r="B1421">
        <v>27.370200000000001</v>
      </c>
      <c r="C1421">
        <v>27.5672</v>
      </c>
      <c r="D1421">
        <v>27.173300000000001</v>
      </c>
      <c r="E1421">
        <v>27.370200000000001</v>
      </c>
      <c r="F1421">
        <v>15499</v>
      </c>
    </row>
    <row r="1422" spans="1:6" x14ac:dyDescent="0.25">
      <c r="A1422" s="4">
        <v>36423</v>
      </c>
      <c r="B1422">
        <v>27.370200000000001</v>
      </c>
      <c r="C1422">
        <v>27.5672</v>
      </c>
      <c r="D1422">
        <v>27.173300000000001</v>
      </c>
      <c r="E1422">
        <v>27.370200000000001</v>
      </c>
      <c r="F1422">
        <v>17212</v>
      </c>
    </row>
    <row r="1423" spans="1:6" x14ac:dyDescent="0.25">
      <c r="A1423" s="4">
        <v>36430</v>
      </c>
      <c r="B1423">
        <v>26.484200000000001</v>
      </c>
      <c r="C1423">
        <v>26.484200000000001</v>
      </c>
      <c r="D1423">
        <v>26.484200000000001</v>
      </c>
      <c r="E1423">
        <v>26.484200000000001</v>
      </c>
      <c r="F1423">
        <v>1923</v>
      </c>
    </row>
    <row r="1424" spans="1:6" x14ac:dyDescent="0.25">
      <c r="A1424" s="4">
        <v>36431</v>
      </c>
      <c r="B1424">
        <v>25.598099999999999</v>
      </c>
      <c r="C1424">
        <v>25.598099999999999</v>
      </c>
      <c r="D1424">
        <v>25.598099999999999</v>
      </c>
      <c r="E1424">
        <v>25.598099999999999</v>
      </c>
      <c r="F1424">
        <v>3531</v>
      </c>
    </row>
    <row r="1425" spans="1:6" x14ac:dyDescent="0.25">
      <c r="A1425" s="4">
        <v>36432</v>
      </c>
      <c r="B1425">
        <v>24.810400000000001</v>
      </c>
      <c r="C1425">
        <v>26.188800000000001</v>
      </c>
      <c r="D1425">
        <v>24.810400000000001</v>
      </c>
      <c r="E1425">
        <v>26.090299999999999</v>
      </c>
      <c r="F1425">
        <v>68945</v>
      </c>
    </row>
    <row r="1426" spans="1:6" x14ac:dyDescent="0.25">
      <c r="A1426" s="4">
        <v>36433</v>
      </c>
      <c r="B1426">
        <v>26.090299999999999</v>
      </c>
      <c r="C1426">
        <v>26.484200000000001</v>
      </c>
      <c r="D1426">
        <v>25.795000000000002</v>
      </c>
      <c r="E1426">
        <v>26.287299999999998</v>
      </c>
      <c r="F1426">
        <v>38261</v>
      </c>
    </row>
    <row r="1427" spans="1:6" x14ac:dyDescent="0.25">
      <c r="A1427" s="4">
        <v>36434</v>
      </c>
      <c r="B1427">
        <v>26.3857</v>
      </c>
      <c r="C1427">
        <v>26.582599999999999</v>
      </c>
      <c r="D1427">
        <v>26.188800000000001</v>
      </c>
      <c r="E1427">
        <v>26.287299999999998</v>
      </c>
      <c r="F1427">
        <v>19660</v>
      </c>
    </row>
    <row r="1428" spans="1:6" x14ac:dyDescent="0.25">
      <c r="A1428" s="4">
        <v>36435</v>
      </c>
      <c r="B1428">
        <v>26.188800000000001</v>
      </c>
      <c r="C1428">
        <v>26.287299999999998</v>
      </c>
      <c r="D1428">
        <v>25.598099999999999</v>
      </c>
      <c r="E1428">
        <v>25.795000000000002</v>
      </c>
      <c r="F1428">
        <v>23853</v>
      </c>
    </row>
    <row r="1429" spans="1:6" x14ac:dyDescent="0.25">
      <c r="A1429" s="4">
        <v>36437</v>
      </c>
      <c r="B1429">
        <v>25.795000000000002</v>
      </c>
      <c r="C1429">
        <v>26.090299999999999</v>
      </c>
      <c r="D1429">
        <v>25.302700000000002</v>
      </c>
      <c r="E1429">
        <v>25.795000000000002</v>
      </c>
      <c r="F1429">
        <v>19122</v>
      </c>
    </row>
    <row r="1430" spans="1:6" x14ac:dyDescent="0.25">
      <c r="A1430" s="4">
        <v>36438</v>
      </c>
      <c r="B1430">
        <v>26.090299999999999</v>
      </c>
      <c r="C1430">
        <v>26.188800000000001</v>
      </c>
      <c r="D1430">
        <v>25.598099999999999</v>
      </c>
      <c r="E1430">
        <v>25.598099999999999</v>
      </c>
      <c r="F1430">
        <v>19648</v>
      </c>
    </row>
    <row r="1431" spans="1:6" x14ac:dyDescent="0.25">
      <c r="A1431" s="4">
        <v>36439</v>
      </c>
      <c r="B1431">
        <v>25.598099999999999</v>
      </c>
      <c r="C1431">
        <v>26.188800000000001</v>
      </c>
      <c r="D1431">
        <v>25.598099999999999</v>
      </c>
      <c r="E1431">
        <v>25.8934</v>
      </c>
      <c r="F1431">
        <v>24903</v>
      </c>
    </row>
    <row r="1432" spans="1:6" x14ac:dyDescent="0.25">
      <c r="A1432" s="4">
        <v>36440</v>
      </c>
      <c r="B1432">
        <v>26.287299999999998</v>
      </c>
      <c r="C1432">
        <v>26.681100000000001</v>
      </c>
      <c r="D1432">
        <v>26.090299999999999</v>
      </c>
      <c r="E1432">
        <v>26.582599999999999</v>
      </c>
      <c r="F1432">
        <v>27838</v>
      </c>
    </row>
    <row r="1433" spans="1:6" x14ac:dyDescent="0.25">
      <c r="A1433" s="4">
        <v>36441</v>
      </c>
      <c r="B1433">
        <v>26.582599999999999</v>
      </c>
      <c r="C1433">
        <v>26.681100000000001</v>
      </c>
      <c r="D1433">
        <v>26.3857</v>
      </c>
      <c r="E1433">
        <v>26.582599999999999</v>
      </c>
      <c r="F1433">
        <v>20239</v>
      </c>
    </row>
    <row r="1434" spans="1:6" x14ac:dyDescent="0.25">
      <c r="A1434" s="4">
        <v>36444</v>
      </c>
      <c r="B1434">
        <v>26.582599999999999</v>
      </c>
      <c r="C1434">
        <v>27.173300000000001</v>
      </c>
      <c r="D1434">
        <v>26.582599999999999</v>
      </c>
      <c r="E1434">
        <v>27.173300000000001</v>
      </c>
      <c r="F1434">
        <v>24809</v>
      </c>
    </row>
    <row r="1435" spans="1:6" x14ac:dyDescent="0.25">
      <c r="A1435" s="4">
        <v>36445</v>
      </c>
      <c r="B1435">
        <v>27.370200000000001</v>
      </c>
      <c r="C1435">
        <v>27.960999999999999</v>
      </c>
      <c r="D1435">
        <v>27.370200000000001</v>
      </c>
      <c r="E1435">
        <v>27.764099999999999</v>
      </c>
      <c r="F1435">
        <v>39931</v>
      </c>
    </row>
    <row r="1436" spans="1:6" x14ac:dyDescent="0.25">
      <c r="A1436" s="4">
        <v>36446</v>
      </c>
      <c r="B1436">
        <v>27.5672</v>
      </c>
      <c r="C1436">
        <v>27.862500000000001</v>
      </c>
      <c r="D1436">
        <v>27.271799999999999</v>
      </c>
      <c r="E1436">
        <v>27.5672</v>
      </c>
      <c r="F1436">
        <v>34986</v>
      </c>
    </row>
    <row r="1437" spans="1:6" x14ac:dyDescent="0.25">
      <c r="A1437" s="4">
        <v>36447</v>
      </c>
      <c r="B1437">
        <v>27.173300000000001</v>
      </c>
      <c r="C1437">
        <v>27.764099999999999</v>
      </c>
      <c r="D1437">
        <v>27.173300000000001</v>
      </c>
      <c r="E1437">
        <v>27.665600000000001</v>
      </c>
      <c r="F1437">
        <v>20378</v>
      </c>
    </row>
    <row r="1438" spans="1:6" x14ac:dyDescent="0.25">
      <c r="A1438" s="4">
        <v>36448</v>
      </c>
      <c r="B1438">
        <v>27.764099999999999</v>
      </c>
      <c r="C1438">
        <v>27.960999999999999</v>
      </c>
      <c r="D1438">
        <v>27.271799999999999</v>
      </c>
      <c r="E1438">
        <v>27.370200000000001</v>
      </c>
      <c r="F1438">
        <v>16479</v>
      </c>
    </row>
    <row r="1439" spans="1:6" x14ac:dyDescent="0.25">
      <c r="A1439" s="4">
        <v>36449</v>
      </c>
      <c r="B1439">
        <v>26.976400000000002</v>
      </c>
      <c r="C1439">
        <v>27.370200000000001</v>
      </c>
      <c r="D1439">
        <v>26.878</v>
      </c>
      <c r="E1439">
        <v>27.370200000000001</v>
      </c>
      <c r="F1439">
        <v>14056</v>
      </c>
    </row>
    <row r="1440" spans="1:6" x14ac:dyDescent="0.25">
      <c r="A1440" s="4">
        <v>36451</v>
      </c>
      <c r="B1440">
        <v>27.173300000000001</v>
      </c>
      <c r="C1440">
        <v>27.370200000000001</v>
      </c>
      <c r="D1440">
        <v>26.976400000000002</v>
      </c>
      <c r="E1440">
        <v>27.0749</v>
      </c>
      <c r="F1440">
        <v>12234</v>
      </c>
    </row>
    <row r="1441" spans="1:6" x14ac:dyDescent="0.25">
      <c r="A1441" s="4">
        <v>36452</v>
      </c>
      <c r="B1441">
        <v>27.173300000000001</v>
      </c>
      <c r="C1441">
        <v>27.370200000000001</v>
      </c>
      <c r="D1441">
        <v>26.976400000000002</v>
      </c>
      <c r="E1441">
        <v>27.0749</v>
      </c>
      <c r="F1441">
        <v>13156</v>
      </c>
    </row>
    <row r="1442" spans="1:6" x14ac:dyDescent="0.25">
      <c r="A1442" s="4">
        <v>36453</v>
      </c>
      <c r="B1442">
        <v>27.0749</v>
      </c>
      <c r="C1442">
        <v>27.0749</v>
      </c>
      <c r="D1442">
        <v>26.582599999999999</v>
      </c>
      <c r="E1442">
        <v>26.681100000000001</v>
      </c>
      <c r="F1442">
        <v>14254</v>
      </c>
    </row>
    <row r="1443" spans="1:6" x14ac:dyDescent="0.25">
      <c r="A1443" s="4">
        <v>36454</v>
      </c>
      <c r="B1443">
        <v>27.0749</v>
      </c>
      <c r="C1443">
        <v>27.173300000000001</v>
      </c>
      <c r="D1443">
        <v>26.779499999999999</v>
      </c>
      <c r="E1443">
        <v>26.878</v>
      </c>
      <c r="F1443">
        <v>15277</v>
      </c>
    </row>
    <row r="1444" spans="1:6" x14ac:dyDescent="0.25">
      <c r="A1444" s="4">
        <v>36455</v>
      </c>
      <c r="B1444">
        <v>26.976400000000002</v>
      </c>
      <c r="C1444">
        <v>27.173300000000001</v>
      </c>
      <c r="D1444">
        <v>26.3857</v>
      </c>
      <c r="E1444">
        <v>26.582599999999999</v>
      </c>
      <c r="F1444">
        <v>20501</v>
      </c>
    </row>
    <row r="1445" spans="1:6" x14ac:dyDescent="0.25">
      <c r="A1445" s="4">
        <v>36458</v>
      </c>
      <c r="B1445">
        <v>26.681100000000001</v>
      </c>
      <c r="C1445">
        <v>27.0749</v>
      </c>
      <c r="D1445">
        <v>26.681100000000001</v>
      </c>
      <c r="E1445">
        <v>26.878</v>
      </c>
      <c r="F1445">
        <v>10416</v>
      </c>
    </row>
    <row r="1446" spans="1:6" x14ac:dyDescent="0.25">
      <c r="A1446" s="4">
        <v>36459</v>
      </c>
      <c r="B1446">
        <v>27.0749</v>
      </c>
      <c r="C1446">
        <v>27.5672</v>
      </c>
      <c r="D1446">
        <v>26.878</v>
      </c>
      <c r="E1446">
        <v>27.271799999999999</v>
      </c>
      <c r="F1446">
        <v>22241</v>
      </c>
    </row>
    <row r="1447" spans="1:6" x14ac:dyDescent="0.25">
      <c r="A1447" s="4">
        <v>36460</v>
      </c>
      <c r="B1447">
        <v>27.468699999999998</v>
      </c>
      <c r="C1447">
        <v>27.764099999999999</v>
      </c>
      <c r="D1447">
        <v>27.370200000000001</v>
      </c>
      <c r="E1447">
        <v>27.468699999999998</v>
      </c>
      <c r="F1447">
        <v>15524</v>
      </c>
    </row>
    <row r="1448" spans="1:6" x14ac:dyDescent="0.25">
      <c r="A1448" s="4">
        <v>36461</v>
      </c>
      <c r="B1448">
        <v>27.5672</v>
      </c>
      <c r="C1448">
        <v>27.665600000000001</v>
      </c>
      <c r="D1448">
        <v>27.173300000000001</v>
      </c>
      <c r="E1448">
        <v>27.271799999999999</v>
      </c>
      <c r="F1448">
        <v>10010</v>
      </c>
    </row>
    <row r="1449" spans="1:6" x14ac:dyDescent="0.25">
      <c r="A1449" s="4">
        <v>36462</v>
      </c>
      <c r="B1449">
        <v>27.665600000000001</v>
      </c>
      <c r="C1449">
        <v>27.862500000000001</v>
      </c>
      <c r="D1449">
        <v>27.468699999999998</v>
      </c>
      <c r="E1449">
        <v>27.764099999999999</v>
      </c>
      <c r="F1449">
        <v>26302</v>
      </c>
    </row>
    <row r="1450" spans="1:6" x14ac:dyDescent="0.25">
      <c r="A1450" s="4">
        <v>36463</v>
      </c>
      <c r="B1450">
        <v>28.2563</v>
      </c>
      <c r="C1450">
        <v>28.945499999999999</v>
      </c>
      <c r="D1450">
        <v>28.157900000000001</v>
      </c>
      <c r="E1450">
        <v>28.5517</v>
      </c>
      <c r="F1450">
        <v>47581</v>
      </c>
    </row>
    <row r="1451" spans="1:6" x14ac:dyDescent="0.25">
      <c r="A1451" s="4">
        <v>36465</v>
      </c>
      <c r="B1451">
        <v>28.5517</v>
      </c>
      <c r="C1451">
        <v>28.5517</v>
      </c>
      <c r="D1451">
        <v>28.2563</v>
      </c>
      <c r="E1451">
        <v>28.354800000000001</v>
      </c>
      <c r="F1451">
        <v>15808</v>
      </c>
    </row>
    <row r="1452" spans="1:6" x14ac:dyDescent="0.25">
      <c r="A1452" s="4">
        <v>36466</v>
      </c>
      <c r="B1452">
        <v>28.157900000000001</v>
      </c>
      <c r="C1452">
        <v>28.354800000000001</v>
      </c>
      <c r="D1452">
        <v>27.960999999999999</v>
      </c>
      <c r="E1452">
        <v>28.157900000000001</v>
      </c>
      <c r="F1452">
        <v>19144</v>
      </c>
    </row>
    <row r="1453" spans="1:6" x14ac:dyDescent="0.25">
      <c r="A1453" s="4">
        <v>36467</v>
      </c>
      <c r="B1453">
        <v>28.354800000000001</v>
      </c>
      <c r="C1453">
        <v>28.354800000000001</v>
      </c>
      <c r="D1453">
        <v>27.764099999999999</v>
      </c>
      <c r="E1453">
        <v>27.764099999999999</v>
      </c>
      <c r="F1453">
        <v>18787</v>
      </c>
    </row>
    <row r="1454" spans="1:6" x14ac:dyDescent="0.25">
      <c r="A1454" s="4">
        <v>36468</v>
      </c>
      <c r="B1454">
        <v>27.960999999999999</v>
      </c>
      <c r="C1454">
        <v>28.0594</v>
      </c>
      <c r="D1454">
        <v>27.665600000000001</v>
      </c>
      <c r="E1454">
        <v>27.764099999999999</v>
      </c>
      <c r="F1454">
        <v>18356</v>
      </c>
    </row>
    <row r="1455" spans="1:6" x14ac:dyDescent="0.25">
      <c r="A1455" s="4">
        <v>36469</v>
      </c>
      <c r="B1455">
        <v>27.960999999999999</v>
      </c>
      <c r="C1455">
        <v>28.0594</v>
      </c>
      <c r="D1455">
        <v>27.764099999999999</v>
      </c>
      <c r="E1455">
        <v>27.960999999999999</v>
      </c>
      <c r="F1455">
        <v>13448</v>
      </c>
    </row>
    <row r="1456" spans="1:6" x14ac:dyDescent="0.25">
      <c r="A1456" s="4">
        <v>36470</v>
      </c>
      <c r="B1456">
        <v>28.2563</v>
      </c>
      <c r="C1456">
        <v>28.354800000000001</v>
      </c>
      <c r="D1456">
        <v>27.862500000000001</v>
      </c>
      <c r="E1456">
        <v>27.862500000000001</v>
      </c>
      <c r="F1456">
        <v>15889</v>
      </c>
    </row>
    <row r="1457" spans="1:6" x14ac:dyDescent="0.25">
      <c r="A1457" s="4">
        <v>36472</v>
      </c>
      <c r="B1457">
        <v>27.665600000000001</v>
      </c>
      <c r="C1457">
        <v>27.862500000000001</v>
      </c>
      <c r="D1457">
        <v>27.370200000000001</v>
      </c>
      <c r="E1457">
        <v>27.764099999999999</v>
      </c>
      <c r="F1457">
        <v>15275</v>
      </c>
    </row>
    <row r="1458" spans="1:6" x14ac:dyDescent="0.25">
      <c r="A1458" s="4">
        <v>36473</v>
      </c>
      <c r="B1458">
        <v>27.960999999999999</v>
      </c>
      <c r="C1458">
        <v>28.2563</v>
      </c>
      <c r="D1458">
        <v>27.862500000000001</v>
      </c>
      <c r="E1458">
        <v>28.0594</v>
      </c>
      <c r="F1458">
        <v>15856</v>
      </c>
    </row>
    <row r="1459" spans="1:6" x14ac:dyDescent="0.25">
      <c r="A1459" s="4">
        <v>36474</v>
      </c>
      <c r="B1459">
        <v>28.0594</v>
      </c>
      <c r="C1459">
        <v>28.453199999999999</v>
      </c>
      <c r="D1459">
        <v>27.960999999999999</v>
      </c>
      <c r="E1459">
        <v>28.157900000000001</v>
      </c>
      <c r="F1459">
        <v>18043</v>
      </c>
    </row>
    <row r="1460" spans="1:6" x14ac:dyDescent="0.25">
      <c r="A1460" s="4">
        <v>36475</v>
      </c>
      <c r="B1460">
        <v>28.7486</v>
      </c>
      <c r="C1460">
        <v>29.2409</v>
      </c>
      <c r="D1460">
        <v>28.650200000000002</v>
      </c>
      <c r="E1460">
        <v>29.2409</v>
      </c>
      <c r="F1460">
        <v>49469</v>
      </c>
    </row>
    <row r="1461" spans="1:6" x14ac:dyDescent="0.25">
      <c r="A1461" s="4">
        <v>36479</v>
      </c>
      <c r="B1461">
        <v>29.339300000000001</v>
      </c>
      <c r="C1461">
        <v>30.126999999999999</v>
      </c>
      <c r="D1461">
        <v>29.044</v>
      </c>
      <c r="E1461">
        <v>30.126999999999999</v>
      </c>
      <c r="F1461">
        <v>35839</v>
      </c>
    </row>
    <row r="1462" spans="1:6" x14ac:dyDescent="0.25">
      <c r="A1462" s="4">
        <v>36480</v>
      </c>
      <c r="B1462">
        <v>30.126999999999999</v>
      </c>
      <c r="C1462">
        <v>30.717700000000001</v>
      </c>
      <c r="D1462">
        <v>29.930099999999999</v>
      </c>
      <c r="E1462">
        <v>30.323899999999998</v>
      </c>
      <c r="F1462">
        <v>30625</v>
      </c>
    </row>
    <row r="1463" spans="1:6" x14ac:dyDescent="0.25">
      <c r="A1463" s="4">
        <v>36481</v>
      </c>
      <c r="B1463">
        <v>30.520800000000001</v>
      </c>
      <c r="C1463">
        <v>30.717700000000001</v>
      </c>
      <c r="D1463">
        <v>29.930099999999999</v>
      </c>
      <c r="E1463">
        <v>30.323899999999998</v>
      </c>
      <c r="F1463">
        <v>23032</v>
      </c>
    </row>
    <row r="1464" spans="1:6" x14ac:dyDescent="0.25">
      <c r="A1464" s="4">
        <v>36482</v>
      </c>
      <c r="B1464">
        <v>29.930099999999999</v>
      </c>
      <c r="C1464">
        <v>30.520800000000001</v>
      </c>
      <c r="D1464">
        <v>29.7331</v>
      </c>
      <c r="E1464">
        <v>30.520800000000001</v>
      </c>
      <c r="F1464">
        <v>28674</v>
      </c>
    </row>
    <row r="1465" spans="1:6" x14ac:dyDescent="0.25">
      <c r="A1465" s="4">
        <v>36483</v>
      </c>
      <c r="B1465">
        <v>30.717700000000001</v>
      </c>
      <c r="C1465">
        <v>30.9146</v>
      </c>
      <c r="D1465">
        <v>30.126999999999999</v>
      </c>
      <c r="E1465">
        <v>30.520800000000001</v>
      </c>
      <c r="F1465">
        <v>23377</v>
      </c>
    </row>
    <row r="1466" spans="1:6" x14ac:dyDescent="0.25">
      <c r="A1466" s="4">
        <v>36484</v>
      </c>
      <c r="B1466">
        <v>31.111499999999999</v>
      </c>
      <c r="C1466">
        <v>31.308399999999999</v>
      </c>
      <c r="D1466">
        <v>30.717700000000001</v>
      </c>
      <c r="E1466">
        <v>30.9146</v>
      </c>
      <c r="F1466">
        <v>30764</v>
      </c>
    </row>
    <row r="1467" spans="1:6" x14ac:dyDescent="0.25">
      <c r="A1467" s="4">
        <v>36486</v>
      </c>
      <c r="B1467">
        <v>31.111499999999999</v>
      </c>
      <c r="C1467">
        <v>31.308399999999999</v>
      </c>
      <c r="D1467">
        <v>30.717700000000001</v>
      </c>
      <c r="E1467">
        <v>30.9146</v>
      </c>
      <c r="F1467">
        <v>20261</v>
      </c>
    </row>
    <row r="1468" spans="1:6" x14ac:dyDescent="0.25">
      <c r="A1468" s="4">
        <v>36487</v>
      </c>
      <c r="B1468">
        <v>30.9146</v>
      </c>
      <c r="C1468">
        <v>31.308399999999999</v>
      </c>
      <c r="D1468">
        <v>30.520800000000001</v>
      </c>
      <c r="E1468">
        <v>31.111499999999999</v>
      </c>
      <c r="F1468">
        <v>25256</v>
      </c>
    </row>
    <row r="1469" spans="1:6" x14ac:dyDescent="0.25">
      <c r="A1469" s="4">
        <v>36488</v>
      </c>
      <c r="B1469">
        <v>30.323899999999998</v>
      </c>
      <c r="C1469">
        <v>30.9146</v>
      </c>
      <c r="D1469">
        <v>30.323899999999998</v>
      </c>
      <c r="E1469">
        <v>30.323899999999998</v>
      </c>
      <c r="F1469">
        <v>27898</v>
      </c>
    </row>
    <row r="1470" spans="1:6" x14ac:dyDescent="0.25">
      <c r="A1470" s="4">
        <v>36489</v>
      </c>
      <c r="B1470">
        <v>30.323899999999998</v>
      </c>
      <c r="C1470">
        <v>30.520800000000001</v>
      </c>
      <c r="D1470">
        <v>29.7331</v>
      </c>
      <c r="E1470">
        <v>29.930099999999999</v>
      </c>
      <c r="F1470">
        <v>29120</v>
      </c>
    </row>
    <row r="1471" spans="1:6" x14ac:dyDescent="0.25">
      <c r="A1471" s="4">
        <v>36490</v>
      </c>
      <c r="B1471">
        <v>29.930099999999999</v>
      </c>
      <c r="C1471">
        <v>30.126999999999999</v>
      </c>
      <c r="D1471">
        <v>27.960999999999999</v>
      </c>
      <c r="E1471">
        <v>28.650200000000002</v>
      </c>
      <c r="F1471">
        <v>52309</v>
      </c>
    </row>
    <row r="1472" spans="1:6" x14ac:dyDescent="0.25">
      <c r="A1472" s="4">
        <v>36493</v>
      </c>
      <c r="B1472">
        <v>29.142399999999999</v>
      </c>
      <c r="C1472">
        <v>29.7331</v>
      </c>
      <c r="D1472">
        <v>28.945499999999999</v>
      </c>
      <c r="E1472">
        <v>29.536200000000001</v>
      </c>
      <c r="F1472">
        <v>34800</v>
      </c>
    </row>
    <row r="1473" spans="1:6" x14ac:dyDescent="0.25">
      <c r="A1473" s="4">
        <v>36494</v>
      </c>
      <c r="B1473">
        <v>29.7331</v>
      </c>
      <c r="C1473">
        <v>29.7331</v>
      </c>
      <c r="D1473">
        <v>28.945499999999999</v>
      </c>
      <c r="E1473">
        <v>29.2409</v>
      </c>
      <c r="F1473">
        <v>14107</v>
      </c>
    </row>
    <row r="1474" spans="1:6" x14ac:dyDescent="0.25">
      <c r="A1474" s="4">
        <v>36495</v>
      </c>
      <c r="B1474">
        <v>29.142399999999999</v>
      </c>
      <c r="C1474">
        <v>29.339300000000001</v>
      </c>
      <c r="D1474">
        <v>28.945499999999999</v>
      </c>
      <c r="E1474">
        <v>29.339300000000001</v>
      </c>
      <c r="F1474">
        <v>10133</v>
      </c>
    </row>
    <row r="1475" spans="1:6" x14ac:dyDescent="0.25">
      <c r="A1475" s="4">
        <v>36496</v>
      </c>
      <c r="B1475">
        <v>29.339300000000001</v>
      </c>
      <c r="C1475">
        <v>29.7331</v>
      </c>
      <c r="D1475">
        <v>29.142399999999999</v>
      </c>
      <c r="E1475">
        <v>29.437799999999999</v>
      </c>
      <c r="F1475">
        <v>16992</v>
      </c>
    </row>
    <row r="1476" spans="1:6" x14ac:dyDescent="0.25">
      <c r="A1476" s="4">
        <v>36497</v>
      </c>
      <c r="B1476">
        <v>29.930099999999999</v>
      </c>
      <c r="C1476">
        <v>30.323899999999998</v>
      </c>
      <c r="D1476">
        <v>29.7331</v>
      </c>
      <c r="E1476">
        <v>30.323899999999998</v>
      </c>
      <c r="F1476">
        <v>30718</v>
      </c>
    </row>
    <row r="1477" spans="1:6" x14ac:dyDescent="0.25">
      <c r="A1477" s="4">
        <v>36498</v>
      </c>
      <c r="B1477">
        <v>30.9146</v>
      </c>
      <c r="C1477">
        <v>31.111499999999999</v>
      </c>
      <c r="D1477">
        <v>30.520800000000001</v>
      </c>
      <c r="E1477">
        <v>30.717700000000001</v>
      </c>
      <c r="F1477">
        <v>22944</v>
      </c>
    </row>
    <row r="1478" spans="1:6" x14ac:dyDescent="0.25">
      <c r="A1478" s="4">
        <v>36500</v>
      </c>
      <c r="B1478">
        <v>30.717700000000001</v>
      </c>
      <c r="C1478">
        <v>30.717700000000001</v>
      </c>
      <c r="D1478">
        <v>29.7331</v>
      </c>
      <c r="E1478">
        <v>29.930099999999999</v>
      </c>
      <c r="F1478">
        <v>20276</v>
      </c>
    </row>
    <row r="1479" spans="1:6" x14ac:dyDescent="0.25">
      <c r="A1479" s="4">
        <v>36501</v>
      </c>
      <c r="B1479">
        <v>29.7331</v>
      </c>
      <c r="C1479">
        <v>29.7331</v>
      </c>
      <c r="D1479">
        <v>29.142399999999999</v>
      </c>
      <c r="E1479">
        <v>29.339300000000001</v>
      </c>
      <c r="F1479">
        <v>33809</v>
      </c>
    </row>
    <row r="1480" spans="1:6" x14ac:dyDescent="0.25">
      <c r="A1480" s="4">
        <v>36502</v>
      </c>
      <c r="B1480">
        <v>28.945499999999999</v>
      </c>
      <c r="C1480">
        <v>29.536200000000001</v>
      </c>
      <c r="D1480">
        <v>28.650200000000002</v>
      </c>
      <c r="E1480">
        <v>28.650200000000002</v>
      </c>
      <c r="F1480">
        <v>34936</v>
      </c>
    </row>
    <row r="1481" spans="1:6" x14ac:dyDescent="0.25">
      <c r="A1481" s="4">
        <v>36503</v>
      </c>
      <c r="B1481">
        <v>28.5517</v>
      </c>
      <c r="C1481">
        <v>29.142399999999999</v>
      </c>
      <c r="D1481">
        <v>28.354800000000001</v>
      </c>
      <c r="E1481">
        <v>28.7486</v>
      </c>
      <c r="F1481">
        <v>26710</v>
      </c>
    </row>
    <row r="1482" spans="1:6" x14ac:dyDescent="0.25">
      <c r="A1482" s="4">
        <v>36504</v>
      </c>
      <c r="B1482">
        <v>29.142399999999999</v>
      </c>
      <c r="C1482">
        <v>29.142399999999999</v>
      </c>
      <c r="D1482">
        <v>28.5517</v>
      </c>
      <c r="E1482">
        <v>28.650200000000002</v>
      </c>
      <c r="F1482">
        <v>20976</v>
      </c>
    </row>
    <row r="1483" spans="1:6" x14ac:dyDescent="0.25">
      <c r="A1483" s="4">
        <v>36507</v>
      </c>
      <c r="B1483">
        <v>28.5517</v>
      </c>
      <c r="C1483">
        <v>29.2409</v>
      </c>
      <c r="D1483">
        <v>28.5517</v>
      </c>
      <c r="E1483">
        <v>29.142399999999999</v>
      </c>
      <c r="F1483">
        <v>16483</v>
      </c>
    </row>
    <row r="1484" spans="1:6" x14ac:dyDescent="0.25">
      <c r="A1484" s="4">
        <v>36508</v>
      </c>
      <c r="B1484">
        <v>29.142399999999999</v>
      </c>
      <c r="C1484">
        <v>29.7331</v>
      </c>
      <c r="D1484">
        <v>28.945499999999999</v>
      </c>
      <c r="E1484">
        <v>29.437799999999999</v>
      </c>
      <c r="F1484">
        <v>19483</v>
      </c>
    </row>
    <row r="1485" spans="1:6" x14ac:dyDescent="0.25">
      <c r="A1485" s="4">
        <v>36509</v>
      </c>
      <c r="B1485">
        <v>29.142399999999999</v>
      </c>
      <c r="C1485">
        <v>29.2409</v>
      </c>
      <c r="D1485">
        <v>29.044</v>
      </c>
      <c r="E1485">
        <v>29.044</v>
      </c>
      <c r="F1485">
        <v>17798</v>
      </c>
    </row>
    <row r="1486" spans="1:6" x14ac:dyDescent="0.25">
      <c r="A1486" s="4">
        <v>36510</v>
      </c>
      <c r="B1486">
        <v>29.142399999999999</v>
      </c>
      <c r="C1486">
        <v>29.2409</v>
      </c>
      <c r="D1486">
        <v>28.5517</v>
      </c>
      <c r="E1486">
        <v>28.5517</v>
      </c>
      <c r="F1486">
        <v>21177</v>
      </c>
    </row>
    <row r="1487" spans="1:6" x14ac:dyDescent="0.25">
      <c r="A1487" s="4">
        <v>36511</v>
      </c>
      <c r="B1487">
        <v>28.5517</v>
      </c>
      <c r="C1487">
        <v>29.044</v>
      </c>
      <c r="D1487">
        <v>28.5517</v>
      </c>
      <c r="E1487">
        <v>28.945499999999999</v>
      </c>
      <c r="F1487">
        <v>13268</v>
      </c>
    </row>
    <row r="1488" spans="1:6" x14ac:dyDescent="0.25">
      <c r="A1488" s="4">
        <v>36512</v>
      </c>
      <c r="B1488">
        <v>29.044</v>
      </c>
      <c r="C1488">
        <v>29.7331</v>
      </c>
      <c r="D1488">
        <v>29.044</v>
      </c>
      <c r="E1488">
        <v>29.536200000000001</v>
      </c>
      <c r="F1488">
        <v>21115</v>
      </c>
    </row>
    <row r="1489" spans="1:6" x14ac:dyDescent="0.25">
      <c r="A1489" s="4">
        <v>36514</v>
      </c>
      <c r="B1489">
        <v>29.536200000000001</v>
      </c>
      <c r="C1489">
        <v>29.7331</v>
      </c>
      <c r="D1489">
        <v>29.2409</v>
      </c>
      <c r="E1489">
        <v>29.2409</v>
      </c>
      <c r="F1489">
        <v>8841</v>
      </c>
    </row>
    <row r="1490" spans="1:6" x14ac:dyDescent="0.25">
      <c r="A1490" s="4">
        <v>36515</v>
      </c>
      <c r="B1490">
        <v>29.339300000000001</v>
      </c>
      <c r="C1490">
        <v>29.930099999999999</v>
      </c>
      <c r="D1490">
        <v>29.339300000000001</v>
      </c>
      <c r="E1490">
        <v>29.7331</v>
      </c>
      <c r="F1490">
        <v>21424</v>
      </c>
    </row>
    <row r="1491" spans="1:6" x14ac:dyDescent="0.25">
      <c r="A1491" s="4">
        <v>36516</v>
      </c>
      <c r="B1491">
        <v>30.520800000000001</v>
      </c>
      <c r="C1491">
        <v>30.9146</v>
      </c>
      <c r="D1491">
        <v>30.323899999999998</v>
      </c>
      <c r="E1491">
        <v>30.323899999999998</v>
      </c>
      <c r="F1491">
        <v>29531</v>
      </c>
    </row>
    <row r="1492" spans="1:6" x14ac:dyDescent="0.25">
      <c r="A1492" s="4">
        <v>36517</v>
      </c>
      <c r="B1492">
        <v>30.520800000000001</v>
      </c>
      <c r="C1492">
        <v>30.9146</v>
      </c>
      <c r="D1492">
        <v>30.126999999999999</v>
      </c>
      <c r="E1492">
        <v>30.717700000000001</v>
      </c>
      <c r="F1492">
        <v>23514</v>
      </c>
    </row>
    <row r="1493" spans="1:6" x14ac:dyDescent="0.25">
      <c r="A1493" s="4">
        <v>36518</v>
      </c>
      <c r="B1493">
        <v>30.9146</v>
      </c>
      <c r="C1493">
        <v>31.702200000000001</v>
      </c>
      <c r="D1493">
        <v>30.9146</v>
      </c>
      <c r="E1493">
        <v>31.505299999999998</v>
      </c>
      <c r="F1493">
        <v>38613</v>
      </c>
    </row>
    <row r="1494" spans="1:6" x14ac:dyDescent="0.25">
      <c r="A1494" s="4">
        <v>36521</v>
      </c>
      <c r="B1494">
        <v>31.899100000000001</v>
      </c>
      <c r="C1494">
        <v>33.671300000000002</v>
      </c>
      <c r="D1494">
        <v>31.505299999999998</v>
      </c>
      <c r="E1494">
        <v>33.671300000000002</v>
      </c>
      <c r="F1494">
        <v>45588</v>
      </c>
    </row>
    <row r="1495" spans="1:6" x14ac:dyDescent="0.25">
      <c r="A1495" s="4">
        <v>36522</v>
      </c>
      <c r="B1495">
        <v>33.671300000000002</v>
      </c>
      <c r="C1495">
        <v>33.671300000000002</v>
      </c>
      <c r="D1495">
        <v>32.489899999999999</v>
      </c>
      <c r="E1495">
        <v>32.883699999999997</v>
      </c>
      <c r="F1495">
        <v>41554</v>
      </c>
    </row>
    <row r="1496" spans="1:6" x14ac:dyDescent="0.25">
      <c r="A1496" s="4">
        <v>36529</v>
      </c>
      <c r="B1496">
        <v>35.049700000000001</v>
      </c>
      <c r="C1496">
        <v>35.049700000000001</v>
      </c>
      <c r="D1496">
        <v>34.4589</v>
      </c>
      <c r="E1496">
        <v>35.049700000000001</v>
      </c>
      <c r="F1496">
        <v>35125</v>
      </c>
    </row>
    <row r="1497" spans="1:6" x14ac:dyDescent="0.25">
      <c r="A1497" s="4">
        <v>36530</v>
      </c>
      <c r="B1497">
        <v>35.049700000000001</v>
      </c>
      <c r="C1497">
        <v>35.837299999999999</v>
      </c>
      <c r="D1497">
        <v>34.655900000000003</v>
      </c>
      <c r="E1497">
        <v>35.837299999999999</v>
      </c>
      <c r="F1497">
        <v>70450</v>
      </c>
    </row>
    <row r="1498" spans="1:6" x14ac:dyDescent="0.25">
      <c r="A1498" s="4">
        <v>36531</v>
      </c>
      <c r="B1498">
        <v>35.6404</v>
      </c>
      <c r="C1498">
        <v>35.837299999999999</v>
      </c>
      <c r="D1498">
        <v>35.049700000000001</v>
      </c>
      <c r="E1498">
        <v>35.049700000000001</v>
      </c>
      <c r="F1498">
        <v>34579</v>
      </c>
    </row>
    <row r="1499" spans="1:6" x14ac:dyDescent="0.25">
      <c r="A1499" s="4">
        <v>36532</v>
      </c>
      <c r="B1499">
        <v>33.868200000000002</v>
      </c>
      <c r="C1499">
        <v>34.4589</v>
      </c>
      <c r="D1499">
        <v>33.474400000000003</v>
      </c>
      <c r="E1499">
        <v>34.065100000000001</v>
      </c>
      <c r="F1499">
        <v>41183</v>
      </c>
    </row>
    <row r="1500" spans="1:6" x14ac:dyDescent="0.25">
      <c r="A1500" s="4">
        <v>36535</v>
      </c>
      <c r="B1500">
        <v>35.049700000000001</v>
      </c>
      <c r="C1500">
        <v>35.4435</v>
      </c>
      <c r="D1500">
        <v>34.4589</v>
      </c>
      <c r="E1500">
        <v>35.246600000000001</v>
      </c>
      <c r="F1500">
        <v>48343</v>
      </c>
    </row>
    <row r="1501" spans="1:6" x14ac:dyDescent="0.25">
      <c r="A1501" s="4">
        <v>36536</v>
      </c>
      <c r="B1501">
        <v>35.6404</v>
      </c>
      <c r="C1501">
        <v>36.034199999999998</v>
      </c>
      <c r="D1501">
        <v>34.4589</v>
      </c>
      <c r="E1501">
        <v>34.655900000000003</v>
      </c>
      <c r="F1501">
        <v>48622</v>
      </c>
    </row>
    <row r="1502" spans="1:6" x14ac:dyDescent="0.25">
      <c r="A1502" s="4">
        <v>36537</v>
      </c>
      <c r="B1502">
        <v>34.852800000000002</v>
      </c>
      <c r="C1502">
        <v>35.6404</v>
      </c>
      <c r="D1502">
        <v>34.655900000000003</v>
      </c>
      <c r="E1502">
        <v>35.6404</v>
      </c>
      <c r="F1502">
        <v>37853</v>
      </c>
    </row>
    <row r="1503" spans="1:6" x14ac:dyDescent="0.25">
      <c r="A1503" s="4">
        <v>36538</v>
      </c>
      <c r="B1503">
        <v>35.6404</v>
      </c>
      <c r="C1503">
        <v>35.6404</v>
      </c>
      <c r="D1503">
        <v>35.049700000000001</v>
      </c>
      <c r="E1503">
        <v>35.049700000000001</v>
      </c>
      <c r="F1503">
        <v>25818</v>
      </c>
    </row>
    <row r="1504" spans="1:6" x14ac:dyDescent="0.25">
      <c r="A1504" s="4">
        <v>36539</v>
      </c>
      <c r="B1504">
        <v>35.4435</v>
      </c>
      <c r="C1504">
        <v>36.427999999999997</v>
      </c>
      <c r="D1504">
        <v>35.246600000000001</v>
      </c>
      <c r="E1504">
        <v>35.837299999999999</v>
      </c>
      <c r="F1504">
        <v>50469</v>
      </c>
    </row>
    <row r="1505" spans="1:6" x14ac:dyDescent="0.25">
      <c r="A1505" s="4">
        <v>36540</v>
      </c>
      <c r="B1505">
        <v>37.018799999999999</v>
      </c>
      <c r="C1505">
        <v>37.215699999999998</v>
      </c>
      <c r="D1505">
        <v>36.624899999999997</v>
      </c>
      <c r="E1505">
        <v>37.018799999999999</v>
      </c>
      <c r="F1505">
        <v>47479</v>
      </c>
    </row>
    <row r="1506" spans="1:6" x14ac:dyDescent="0.25">
      <c r="A1506" s="4">
        <v>36542</v>
      </c>
      <c r="B1506">
        <v>37.412599999999998</v>
      </c>
      <c r="C1506">
        <v>37.412599999999998</v>
      </c>
      <c r="D1506">
        <v>36.821800000000003</v>
      </c>
      <c r="E1506">
        <v>36.821800000000003</v>
      </c>
      <c r="F1506">
        <v>27177</v>
      </c>
    </row>
    <row r="1507" spans="1:6" x14ac:dyDescent="0.25">
      <c r="A1507" s="4">
        <v>36543</v>
      </c>
      <c r="B1507">
        <v>36.821800000000003</v>
      </c>
      <c r="C1507">
        <v>36.821800000000003</v>
      </c>
      <c r="D1507">
        <v>36.034199999999998</v>
      </c>
      <c r="E1507">
        <v>36.231099999999998</v>
      </c>
      <c r="F1507">
        <v>23044</v>
      </c>
    </row>
    <row r="1508" spans="1:6" x14ac:dyDescent="0.25">
      <c r="A1508" s="4">
        <v>36544</v>
      </c>
      <c r="B1508">
        <v>36.231099999999998</v>
      </c>
      <c r="C1508">
        <v>36.821800000000003</v>
      </c>
      <c r="D1508">
        <v>36.034199999999998</v>
      </c>
      <c r="E1508">
        <v>36.231099999999998</v>
      </c>
      <c r="F1508">
        <v>23605</v>
      </c>
    </row>
    <row r="1509" spans="1:6" x14ac:dyDescent="0.25">
      <c r="A1509" s="4">
        <v>36545</v>
      </c>
      <c r="B1509">
        <v>36.231099999999998</v>
      </c>
      <c r="C1509">
        <v>36.231099999999998</v>
      </c>
      <c r="D1509">
        <v>35.6404</v>
      </c>
      <c r="E1509">
        <v>35.837299999999999</v>
      </c>
      <c r="F1509">
        <v>22013</v>
      </c>
    </row>
    <row r="1510" spans="1:6" x14ac:dyDescent="0.25">
      <c r="A1510" s="4">
        <v>36546</v>
      </c>
      <c r="B1510">
        <v>35.837299999999999</v>
      </c>
      <c r="C1510">
        <v>36.624899999999997</v>
      </c>
      <c r="D1510">
        <v>35.837299999999999</v>
      </c>
      <c r="E1510">
        <v>36.624899999999997</v>
      </c>
      <c r="F1510">
        <v>19850</v>
      </c>
    </row>
    <row r="1511" spans="1:6" x14ac:dyDescent="0.25">
      <c r="A1511" s="4">
        <v>36549</v>
      </c>
      <c r="B1511">
        <v>37.018799999999999</v>
      </c>
      <c r="C1511">
        <v>37.609499999999997</v>
      </c>
      <c r="D1511">
        <v>36.821800000000003</v>
      </c>
      <c r="E1511">
        <v>37.018799999999999</v>
      </c>
      <c r="F1511">
        <v>30653</v>
      </c>
    </row>
    <row r="1512" spans="1:6" x14ac:dyDescent="0.25">
      <c r="A1512" s="4">
        <v>36550</v>
      </c>
      <c r="B1512">
        <v>38.003300000000003</v>
      </c>
      <c r="C1512">
        <v>38.003300000000003</v>
      </c>
      <c r="D1512">
        <v>37.412599999999998</v>
      </c>
      <c r="E1512">
        <v>38.003300000000003</v>
      </c>
      <c r="F1512">
        <v>39156</v>
      </c>
    </row>
    <row r="1513" spans="1:6" x14ac:dyDescent="0.25">
      <c r="A1513" s="4">
        <v>36551</v>
      </c>
      <c r="B1513">
        <v>39.184699999999999</v>
      </c>
      <c r="C1513">
        <v>40.563099999999999</v>
      </c>
      <c r="D1513">
        <v>39.184699999999999</v>
      </c>
      <c r="E1513">
        <v>40.563099999999999</v>
      </c>
      <c r="F1513">
        <v>62645</v>
      </c>
    </row>
    <row r="1514" spans="1:6" x14ac:dyDescent="0.25">
      <c r="A1514" s="4">
        <v>36552</v>
      </c>
      <c r="B1514">
        <v>40.956899999999997</v>
      </c>
      <c r="C1514">
        <v>41.547600000000003</v>
      </c>
      <c r="D1514">
        <v>40.1693</v>
      </c>
      <c r="E1514">
        <v>40.956899999999997</v>
      </c>
      <c r="F1514">
        <v>50400</v>
      </c>
    </row>
    <row r="1515" spans="1:6" x14ac:dyDescent="0.25">
      <c r="A1515" s="4">
        <v>36553</v>
      </c>
      <c r="B1515">
        <v>39.578600000000002</v>
      </c>
      <c r="C1515">
        <v>40.1693</v>
      </c>
      <c r="D1515">
        <v>39.578600000000002</v>
      </c>
      <c r="E1515">
        <v>40.1693</v>
      </c>
      <c r="F1515">
        <v>34642</v>
      </c>
    </row>
    <row r="1516" spans="1:6" x14ac:dyDescent="0.25">
      <c r="A1516" s="4">
        <v>36554</v>
      </c>
      <c r="B1516">
        <v>38.9878</v>
      </c>
      <c r="C1516">
        <v>39.381700000000002</v>
      </c>
      <c r="D1516">
        <v>38.9878</v>
      </c>
      <c r="E1516">
        <v>39.381700000000002</v>
      </c>
      <c r="F1516">
        <v>25714</v>
      </c>
    </row>
    <row r="1517" spans="1:6" x14ac:dyDescent="0.25">
      <c r="A1517" s="4">
        <v>36556</v>
      </c>
      <c r="B1517">
        <v>38.9878</v>
      </c>
      <c r="C1517">
        <v>40.1693</v>
      </c>
      <c r="D1517">
        <v>38.790900000000001</v>
      </c>
      <c r="E1517">
        <v>39.9724</v>
      </c>
      <c r="F1517">
        <v>29418</v>
      </c>
    </row>
    <row r="1518" spans="1:6" x14ac:dyDescent="0.25">
      <c r="A1518" s="4">
        <v>36557</v>
      </c>
      <c r="B1518">
        <v>40.366199999999999</v>
      </c>
      <c r="C1518">
        <v>40.366199999999999</v>
      </c>
      <c r="D1518">
        <v>39.578600000000002</v>
      </c>
      <c r="E1518">
        <v>39.775500000000001</v>
      </c>
      <c r="F1518">
        <v>26796</v>
      </c>
    </row>
    <row r="1519" spans="1:6" x14ac:dyDescent="0.25">
      <c r="A1519" s="4">
        <v>36565</v>
      </c>
      <c r="B1519">
        <v>42.138399999999997</v>
      </c>
      <c r="C1519">
        <v>42.138399999999997</v>
      </c>
      <c r="D1519">
        <v>40.76</v>
      </c>
      <c r="E1519">
        <v>41.547600000000003</v>
      </c>
      <c r="F1519">
        <v>44213</v>
      </c>
    </row>
    <row r="1520" spans="1:6" x14ac:dyDescent="0.25">
      <c r="A1520" s="4">
        <v>36566</v>
      </c>
      <c r="B1520">
        <v>41.153799999999997</v>
      </c>
      <c r="C1520">
        <v>42.335299999999997</v>
      </c>
      <c r="D1520">
        <v>40.76</v>
      </c>
      <c r="E1520">
        <v>42.138399999999997</v>
      </c>
      <c r="F1520">
        <v>31078</v>
      </c>
    </row>
    <row r="1521" spans="1:6" x14ac:dyDescent="0.25">
      <c r="A1521" s="4">
        <v>36567</v>
      </c>
      <c r="B1521">
        <v>42.729100000000003</v>
      </c>
      <c r="C1521">
        <v>43.7136</v>
      </c>
      <c r="D1521">
        <v>42.335299999999997</v>
      </c>
      <c r="E1521">
        <v>43.122900000000001</v>
      </c>
      <c r="F1521">
        <v>37640</v>
      </c>
    </row>
    <row r="1522" spans="1:6" x14ac:dyDescent="0.25">
      <c r="A1522" s="4">
        <v>36570</v>
      </c>
      <c r="B1522">
        <v>42.926000000000002</v>
      </c>
      <c r="C1522">
        <v>42.926000000000002</v>
      </c>
      <c r="D1522">
        <v>42.138399999999997</v>
      </c>
      <c r="E1522">
        <v>42.138399999999997</v>
      </c>
      <c r="F1522">
        <v>24559</v>
      </c>
    </row>
    <row r="1523" spans="1:6" x14ac:dyDescent="0.25">
      <c r="A1523" s="4">
        <v>36571</v>
      </c>
      <c r="B1523">
        <v>42.138399999999997</v>
      </c>
      <c r="C1523">
        <v>42.729100000000003</v>
      </c>
      <c r="D1523">
        <v>41.744500000000002</v>
      </c>
      <c r="E1523">
        <v>42.335299999999997</v>
      </c>
      <c r="F1523">
        <v>18398</v>
      </c>
    </row>
    <row r="1524" spans="1:6" x14ac:dyDescent="0.25">
      <c r="A1524" s="4">
        <v>36572</v>
      </c>
      <c r="B1524">
        <v>42.335299999999997</v>
      </c>
      <c r="C1524">
        <v>42.532200000000003</v>
      </c>
      <c r="D1524">
        <v>41.941499999999998</v>
      </c>
      <c r="E1524">
        <v>41.941499999999998</v>
      </c>
      <c r="F1524">
        <v>13890</v>
      </c>
    </row>
    <row r="1525" spans="1:6" x14ac:dyDescent="0.25">
      <c r="A1525" s="4">
        <v>36573</v>
      </c>
      <c r="B1525">
        <v>41.547600000000003</v>
      </c>
      <c r="C1525">
        <v>41.941499999999998</v>
      </c>
      <c r="D1525">
        <v>41.350700000000003</v>
      </c>
      <c r="E1525">
        <v>41.547600000000003</v>
      </c>
      <c r="F1525">
        <v>20375</v>
      </c>
    </row>
    <row r="1526" spans="1:6" x14ac:dyDescent="0.25">
      <c r="A1526" s="4">
        <v>36574</v>
      </c>
      <c r="B1526">
        <v>41.744500000000002</v>
      </c>
      <c r="C1526">
        <v>42.138399999999997</v>
      </c>
      <c r="D1526">
        <v>40.76</v>
      </c>
      <c r="E1526">
        <v>40.956899999999997</v>
      </c>
      <c r="F1526">
        <v>21321</v>
      </c>
    </row>
    <row r="1527" spans="1:6" x14ac:dyDescent="0.25">
      <c r="A1527" s="4">
        <v>36575</v>
      </c>
      <c r="B1527">
        <v>40.366199999999999</v>
      </c>
      <c r="C1527">
        <v>40.76</v>
      </c>
      <c r="D1527">
        <v>40.366199999999999</v>
      </c>
      <c r="E1527">
        <v>40.366199999999999</v>
      </c>
      <c r="F1527">
        <v>15672</v>
      </c>
    </row>
    <row r="1528" spans="1:6" x14ac:dyDescent="0.25">
      <c r="A1528" s="4">
        <v>36577</v>
      </c>
      <c r="B1528">
        <v>39.9724</v>
      </c>
      <c r="C1528">
        <v>39.9724</v>
      </c>
      <c r="D1528">
        <v>38.397100000000002</v>
      </c>
      <c r="E1528">
        <v>38.397100000000002</v>
      </c>
      <c r="F1528">
        <v>26940</v>
      </c>
    </row>
    <row r="1529" spans="1:6" x14ac:dyDescent="0.25">
      <c r="A1529" s="4">
        <v>36578</v>
      </c>
      <c r="B1529">
        <v>37.806399999999996</v>
      </c>
      <c r="C1529">
        <v>38.9878</v>
      </c>
      <c r="D1529">
        <v>37.412599999999998</v>
      </c>
      <c r="E1529">
        <v>38.397100000000002</v>
      </c>
      <c r="F1529">
        <v>29433</v>
      </c>
    </row>
    <row r="1530" spans="1:6" x14ac:dyDescent="0.25">
      <c r="A1530" s="4">
        <v>36579</v>
      </c>
      <c r="B1530">
        <v>38.397100000000002</v>
      </c>
      <c r="C1530">
        <v>38.397100000000002</v>
      </c>
      <c r="D1530">
        <v>38.003300000000003</v>
      </c>
      <c r="E1530">
        <v>38.200200000000002</v>
      </c>
      <c r="F1530">
        <v>12935</v>
      </c>
    </row>
    <row r="1531" spans="1:6" x14ac:dyDescent="0.25">
      <c r="A1531" s="4">
        <v>36580</v>
      </c>
      <c r="B1531">
        <v>38.397100000000002</v>
      </c>
      <c r="C1531">
        <v>38.790900000000001</v>
      </c>
      <c r="D1531">
        <v>38.200200000000002</v>
      </c>
      <c r="E1531">
        <v>38.397100000000002</v>
      </c>
      <c r="F1531">
        <v>14594</v>
      </c>
    </row>
    <row r="1532" spans="1:6" x14ac:dyDescent="0.25">
      <c r="A1532" s="4">
        <v>36581</v>
      </c>
      <c r="B1532">
        <v>38.397100000000002</v>
      </c>
      <c r="C1532">
        <v>39.381700000000002</v>
      </c>
      <c r="D1532">
        <v>38.397100000000002</v>
      </c>
      <c r="E1532">
        <v>39.184699999999999</v>
      </c>
      <c r="F1532">
        <v>29022</v>
      </c>
    </row>
    <row r="1533" spans="1:6" x14ac:dyDescent="0.25">
      <c r="A1533" s="4">
        <v>36585</v>
      </c>
      <c r="B1533">
        <v>39.381700000000002</v>
      </c>
      <c r="C1533">
        <v>39.9724</v>
      </c>
      <c r="D1533">
        <v>39.381700000000002</v>
      </c>
      <c r="E1533">
        <v>39.578600000000002</v>
      </c>
      <c r="F1533">
        <v>17286</v>
      </c>
    </row>
    <row r="1534" spans="1:6" x14ac:dyDescent="0.25">
      <c r="A1534" s="4">
        <v>36586</v>
      </c>
      <c r="B1534">
        <v>40.366199999999999</v>
      </c>
      <c r="C1534">
        <v>40.563099999999999</v>
      </c>
      <c r="D1534">
        <v>40.1693</v>
      </c>
      <c r="E1534">
        <v>40.563099999999999</v>
      </c>
      <c r="F1534">
        <v>15842</v>
      </c>
    </row>
    <row r="1535" spans="1:6" x14ac:dyDescent="0.25">
      <c r="A1535" s="4">
        <v>36587</v>
      </c>
      <c r="B1535">
        <v>40.76</v>
      </c>
      <c r="C1535">
        <v>40.956899999999997</v>
      </c>
      <c r="D1535">
        <v>39.9724</v>
      </c>
      <c r="E1535">
        <v>39.9724</v>
      </c>
      <c r="F1535">
        <v>12034</v>
      </c>
    </row>
    <row r="1536" spans="1:6" x14ac:dyDescent="0.25">
      <c r="A1536" s="4">
        <v>36588</v>
      </c>
      <c r="B1536">
        <v>39.775500000000001</v>
      </c>
      <c r="C1536">
        <v>40.1693</v>
      </c>
      <c r="D1536">
        <v>39.775500000000001</v>
      </c>
      <c r="E1536">
        <v>39.9724</v>
      </c>
      <c r="F1536">
        <v>10175</v>
      </c>
    </row>
    <row r="1537" spans="1:6" x14ac:dyDescent="0.25">
      <c r="A1537" s="4">
        <v>36589</v>
      </c>
      <c r="B1537">
        <v>40.366199999999999</v>
      </c>
      <c r="C1537">
        <v>40.76</v>
      </c>
      <c r="D1537">
        <v>39.9724</v>
      </c>
      <c r="E1537">
        <v>40.1693</v>
      </c>
      <c r="F1537">
        <v>11936</v>
      </c>
    </row>
    <row r="1538" spans="1:6" x14ac:dyDescent="0.25">
      <c r="A1538" s="4">
        <v>36591</v>
      </c>
      <c r="B1538">
        <v>40.1693</v>
      </c>
      <c r="C1538">
        <v>40.366199999999999</v>
      </c>
      <c r="D1538">
        <v>39.184699999999999</v>
      </c>
      <c r="E1538">
        <v>39.381700000000002</v>
      </c>
      <c r="F1538">
        <v>12658</v>
      </c>
    </row>
    <row r="1539" spans="1:6" x14ac:dyDescent="0.25">
      <c r="A1539" s="4">
        <v>36592</v>
      </c>
      <c r="B1539">
        <v>38.9878</v>
      </c>
      <c r="C1539">
        <v>39.578600000000002</v>
      </c>
      <c r="D1539">
        <v>38.790900000000001</v>
      </c>
      <c r="E1539">
        <v>39.184699999999999</v>
      </c>
      <c r="F1539">
        <v>14658</v>
      </c>
    </row>
    <row r="1540" spans="1:6" x14ac:dyDescent="0.25">
      <c r="A1540" s="4">
        <v>36593</v>
      </c>
      <c r="B1540">
        <v>38.9878</v>
      </c>
      <c r="C1540">
        <v>39.184699999999999</v>
      </c>
      <c r="D1540">
        <v>38.594000000000001</v>
      </c>
      <c r="E1540">
        <v>38.9878</v>
      </c>
      <c r="F1540">
        <v>11346</v>
      </c>
    </row>
    <row r="1541" spans="1:6" x14ac:dyDescent="0.25">
      <c r="A1541" s="4">
        <v>36594</v>
      </c>
      <c r="B1541">
        <v>38.9878</v>
      </c>
      <c r="C1541">
        <v>39.381700000000002</v>
      </c>
      <c r="D1541">
        <v>38.9878</v>
      </c>
      <c r="E1541">
        <v>39.381700000000002</v>
      </c>
      <c r="F1541">
        <v>12585</v>
      </c>
    </row>
    <row r="1542" spans="1:6" x14ac:dyDescent="0.25">
      <c r="A1542" s="4">
        <v>36595</v>
      </c>
      <c r="B1542">
        <v>39.578600000000002</v>
      </c>
      <c r="C1542">
        <v>39.775500000000001</v>
      </c>
      <c r="D1542">
        <v>38.200200000000002</v>
      </c>
      <c r="E1542">
        <v>38.397100000000002</v>
      </c>
      <c r="F1542">
        <v>17501</v>
      </c>
    </row>
    <row r="1543" spans="1:6" x14ac:dyDescent="0.25">
      <c r="A1543" s="4">
        <v>36598</v>
      </c>
      <c r="B1543">
        <v>37.412599999999998</v>
      </c>
      <c r="C1543">
        <v>37.412599999999998</v>
      </c>
      <c r="D1543">
        <v>35.837299999999999</v>
      </c>
      <c r="E1543">
        <v>35.837299999999999</v>
      </c>
      <c r="F1543">
        <v>40642</v>
      </c>
    </row>
    <row r="1544" spans="1:6" x14ac:dyDescent="0.25">
      <c r="A1544" s="4">
        <v>36599</v>
      </c>
      <c r="B1544">
        <v>35.837299999999999</v>
      </c>
      <c r="C1544">
        <v>36.821800000000003</v>
      </c>
      <c r="D1544">
        <v>35.4435</v>
      </c>
      <c r="E1544">
        <v>36.624899999999997</v>
      </c>
      <c r="F1544">
        <v>25465</v>
      </c>
    </row>
    <row r="1545" spans="1:6" x14ac:dyDescent="0.25">
      <c r="A1545" s="4">
        <v>36600</v>
      </c>
      <c r="B1545">
        <v>36.427999999999997</v>
      </c>
      <c r="C1545">
        <v>37.018799999999999</v>
      </c>
      <c r="D1545">
        <v>35.837299999999999</v>
      </c>
      <c r="E1545">
        <v>36.034199999999998</v>
      </c>
      <c r="F1545">
        <v>26993</v>
      </c>
    </row>
    <row r="1546" spans="1:6" x14ac:dyDescent="0.25">
      <c r="A1546" s="4">
        <v>36601</v>
      </c>
      <c r="B1546">
        <v>35.246600000000001</v>
      </c>
      <c r="C1546">
        <v>36.624899999999997</v>
      </c>
      <c r="D1546">
        <v>33.868200000000002</v>
      </c>
      <c r="E1546">
        <v>36.231099999999998</v>
      </c>
      <c r="F1546">
        <v>40862</v>
      </c>
    </row>
    <row r="1547" spans="1:6" x14ac:dyDescent="0.25">
      <c r="A1547" s="4">
        <v>36602</v>
      </c>
      <c r="B1547">
        <v>36.427999999999997</v>
      </c>
      <c r="C1547">
        <v>37.412599999999998</v>
      </c>
      <c r="D1547">
        <v>36.034199999999998</v>
      </c>
      <c r="E1547">
        <v>37.412599999999998</v>
      </c>
      <c r="F1547">
        <v>46865</v>
      </c>
    </row>
    <row r="1548" spans="1:6" x14ac:dyDescent="0.25">
      <c r="A1548" s="4">
        <v>36605</v>
      </c>
      <c r="B1548">
        <v>36.231099999999998</v>
      </c>
      <c r="C1548">
        <v>36.231099999999998</v>
      </c>
      <c r="D1548">
        <v>36.231099999999998</v>
      </c>
      <c r="E1548">
        <v>36.231099999999998</v>
      </c>
      <c r="F1548">
        <v>3709</v>
      </c>
    </row>
    <row r="1549" spans="1:6" x14ac:dyDescent="0.25">
      <c r="A1549" s="4">
        <v>36606</v>
      </c>
      <c r="B1549">
        <v>35.049700000000001</v>
      </c>
      <c r="C1549">
        <v>38.594000000000001</v>
      </c>
      <c r="D1549">
        <v>35.049700000000001</v>
      </c>
      <c r="E1549">
        <v>38.397100000000002</v>
      </c>
      <c r="F1549">
        <v>78357</v>
      </c>
    </row>
    <row r="1550" spans="1:6" x14ac:dyDescent="0.25">
      <c r="A1550" s="4">
        <v>36607</v>
      </c>
      <c r="B1550">
        <v>37.806399999999996</v>
      </c>
      <c r="C1550">
        <v>38.9878</v>
      </c>
      <c r="D1550">
        <v>37.215699999999998</v>
      </c>
      <c r="E1550">
        <v>37.806399999999996</v>
      </c>
      <c r="F1550">
        <v>43282</v>
      </c>
    </row>
    <row r="1551" spans="1:6" x14ac:dyDescent="0.25">
      <c r="A1551" s="4">
        <v>36608</v>
      </c>
      <c r="B1551">
        <v>38.200200000000002</v>
      </c>
      <c r="C1551">
        <v>39.9724</v>
      </c>
      <c r="D1551">
        <v>38.003300000000003</v>
      </c>
      <c r="E1551">
        <v>39.578600000000002</v>
      </c>
      <c r="F1551">
        <v>49042</v>
      </c>
    </row>
    <row r="1552" spans="1:6" x14ac:dyDescent="0.25">
      <c r="A1552" s="4">
        <v>36609</v>
      </c>
      <c r="B1552">
        <v>39.578600000000002</v>
      </c>
      <c r="C1552">
        <v>39.578600000000002</v>
      </c>
      <c r="D1552">
        <v>38.594000000000001</v>
      </c>
      <c r="E1552">
        <v>38.9878</v>
      </c>
      <c r="F1552">
        <v>33182</v>
      </c>
    </row>
    <row r="1553" spans="1:6" x14ac:dyDescent="0.25">
      <c r="A1553" s="4">
        <v>36612</v>
      </c>
      <c r="B1553">
        <v>39.381700000000002</v>
      </c>
      <c r="C1553">
        <v>41.547600000000003</v>
      </c>
      <c r="D1553">
        <v>39.381700000000002</v>
      </c>
      <c r="E1553">
        <v>41.547600000000003</v>
      </c>
      <c r="F1553">
        <v>45129</v>
      </c>
    </row>
    <row r="1554" spans="1:6" x14ac:dyDescent="0.25">
      <c r="A1554" s="4">
        <v>36613</v>
      </c>
      <c r="B1554">
        <v>41.744500000000002</v>
      </c>
      <c r="C1554">
        <v>42.138399999999997</v>
      </c>
      <c r="D1554">
        <v>40.76</v>
      </c>
      <c r="E1554">
        <v>41.153799999999997</v>
      </c>
      <c r="F1554">
        <v>31820</v>
      </c>
    </row>
    <row r="1555" spans="1:6" x14ac:dyDescent="0.25">
      <c r="A1555" s="4">
        <v>36614</v>
      </c>
      <c r="B1555">
        <v>40.956899999999997</v>
      </c>
      <c r="C1555">
        <v>40.956899999999997</v>
      </c>
      <c r="D1555">
        <v>40.1693</v>
      </c>
      <c r="E1555">
        <v>40.1693</v>
      </c>
      <c r="F1555">
        <v>18499</v>
      </c>
    </row>
    <row r="1556" spans="1:6" x14ac:dyDescent="0.25">
      <c r="A1556" s="4">
        <v>36615</v>
      </c>
      <c r="B1556">
        <v>40.1693</v>
      </c>
      <c r="C1556">
        <v>41.744500000000002</v>
      </c>
      <c r="D1556">
        <v>40.1693</v>
      </c>
      <c r="E1556">
        <v>40.956899999999997</v>
      </c>
      <c r="F1556">
        <v>39878</v>
      </c>
    </row>
    <row r="1557" spans="1:6" x14ac:dyDescent="0.25">
      <c r="A1557" s="4">
        <v>36616</v>
      </c>
      <c r="B1557">
        <v>40.76</v>
      </c>
      <c r="C1557">
        <v>41.350700000000003</v>
      </c>
      <c r="D1557">
        <v>40.366199999999999</v>
      </c>
      <c r="E1557">
        <v>40.366199999999999</v>
      </c>
      <c r="F1557">
        <v>22236</v>
      </c>
    </row>
    <row r="1558" spans="1:6" x14ac:dyDescent="0.25">
      <c r="A1558" s="4">
        <v>36617</v>
      </c>
      <c r="B1558">
        <v>40.563099999999999</v>
      </c>
      <c r="C1558">
        <v>41.350700000000003</v>
      </c>
      <c r="D1558">
        <v>40.366199999999999</v>
      </c>
      <c r="E1558">
        <v>41.350700000000003</v>
      </c>
      <c r="F1558">
        <v>17769</v>
      </c>
    </row>
    <row r="1559" spans="1:6" x14ac:dyDescent="0.25">
      <c r="A1559" s="4">
        <v>36621</v>
      </c>
      <c r="B1559">
        <v>39.578600000000002</v>
      </c>
      <c r="C1559">
        <v>41.350700000000003</v>
      </c>
      <c r="D1559">
        <v>39.578600000000002</v>
      </c>
      <c r="E1559">
        <v>40.956899999999997</v>
      </c>
      <c r="F1559">
        <v>31980</v>
      </c>
    </row>
    <row r="1560" spans="1:6" x14ac:dyDescent="0.25">
      <c r="A1560" s="4">
        <v>36622</v>
      </c>
      <c r="B1560">
        <v>40.956899999999997</v>
      </c>
      <c r="C1560">
        <v>41.547600000000003</v>
      </c>
      <c r="D1560">
        <v>39.775500000000001</v>
      </c>
      <c r="E1560">
        <v>39.775500000000001</v>
      </c>
      <c r="F1560">
        <v>25486</v>
      </c>
    </row>
    <row r="1561" spans="1:6" x14ac:dyDescent="0.25">
      <c r="A1561" s="4">
        <v>36623</v>
      </c>
      <c r="B1561">
        <v>40.1693</v>
      </c>
      <c r="C1561">
        <v>40.366199999999999</v>
      </c>
      <c r="D1561">
        <v>39.381700000000002</v>
      </c>
      <c r="E1561">
        <v>39.381700000000002</v>
      </c>
      <c r="F1561">
        <v>19460</v>
      </c>
    </row>
    <row r="1562" spans="1:6" x14ac:dyDescent="0.25">
      <c r="A1562" s="4">
        <v>36624</v>
      </c>
      <c r="B1562">
        <v>39.775500000000001</v>
      </c>
      <c r="C1562">
        <v>39.9724</v>
      </c>
      <c r="D1562">
        <v>39.184699999999999</v>
      </c>
      <c r="E1562">
        <v>39.381700000000002</v>
      </c>
      <c r="F1562">
        <v>17426</v>
      </c>
    </row>
    <row r="1563" spans="1:6" x14ac:dyDescent="0.25">
      <c r="A1563" s="4">
        <v>36626</v>
      </c>
      <c r="B1563">
        <v>39.578600000000002</v>
      </c>
      <c r="C1563">
        <v>41.941499999999998</v>
      </c>
      <c r="D1563">
        <v>39.381700000000002</v>
      </c>
      <c r="E1563">
        <v>41.350700000000003</v>
      </c>
      <c r="F1563">
        <v>35636</v>
      </c>
    </row>
    <row r="1564" spans="1:6" x14ac:dyDescent="0.25">
      <c r="A1564" s="4">
        <v>36627</v>
      </c>
      <c r="B1564">
        <v>40.956899999999997</v>
      </c>
      <c r="C1564">
        <v>40.956899999999997</v>
      </c>
      <c r="D1564">
        <v>40.366199999999999</v>
      </c>
      <c r="E1564">
        <v>40.366199999999999</v>
      </c>
      <c r="F1564">
        <v>20760</v>
      </c>
    </row>
    <row r="1565" spans="1:6" x14ac:dyDescent="0.25">
      <c r="A1565" s="4">
        <v>36628</v>
      </c>
      <c r="B1565">
        <v>39.775500000000001</v>
      </c>
      <c r="C1565">
        <v>40.1693</v>
      </c>
      <c r="D1565">
        <v>39.381700000000002</v>
      </c>
      <c r="E1565">
        <v>39.381700000000002</v>
      </c>
      <c r="F1565">
        <v>22682</v>
      </c>
    </row>
    <row r="1566" spans="1:6" x14ac:dyDescent="0.25">
      <c r="A1566" s="4">
        <v>36629</v>
      </c>
      <c r="B1566">
        <v>37.412599999999998</v>
      </c>
      <c r="C1566">
        <v>38.200200000000002</v>
      </c>
      <c r="D1566">
        <v>37.412599999999998</v>
      </c>
      <c r="E1566">
        <v>37.806399999999996</v>
      </c>
      <c r="F1566">
        <v>43879</v>
      </c>
    </row>
    <row r="1567" spans="1:6" x14ac:dyDescent="0.25">
      <c r="A1567" s="4">
        <v>36630</v>
      </c>
      <c r="B1567">
        <v>36.427999999999997</v>
      </c>
      <c r="C1567">
        <v>37.412599999999998</v>
      </c>
      <c r="D1567">
        <v>36.427999999999997</v>
      </c>
      <c r="E1567">
        <v>36.624899999999997</v>
      </c>
      <c r="F1567">
        <v>42136</v>
      </c>
    </row>
    <row r="1568" spans="1:6" x14ac:dyDescent="0.25">
      <c r="A1568" s="4">
        <v>36631</v>
      </c>
      <c r="B1568">
        <v>34.065100000000001</v>
      </c>
      <c r="C1568">
        <v>35.4435</v>
      </c>
      <c r="D1568">
        <v>34.065100000000001</v>
      </c>
      <c r="E1568">
        <v>34.655900000000003</v>
      </c>
      <c r="F1568">
        <v>60350</v>
      </c>
    </row>
    <row r="1569" spans="1:6" x14ac:dyDescent="0.25">
      <c r="A1569" s="4">
        <v>36633</v>
      </c>
      <c r="B1569">
        <v>34.655900000000003</v>
      </c>
      <c r="C1569">
        <v>35.4435</v>
      </c>
      <c r="D1569">
        <v>34.4589</v>
      </c>
      <c r="E1569">
        <v>35.246600000000001</v>
      </c>
      <c r="F1569">
        <v>36638</v>
      </c>
    </row>
    <row r="1570" spans="1:6" x14ac:dyDescent="0.25">
      <c r="A1570" s="4">
        <v>36634</v>
      </c>
      <c r="B1570">
        <v>37.215699999999998</v>
      </c>
      <c r="C1570">
        <v>37.215699999999998</v>
      </c>
      <c r="D1570">
        <v>36.427999999999997</v>
      </c>
      <c r="E1570">
        <v>37.215699999999998</v>
      </c>
      <c r="F1570">
        <v>38334</v>
      </c>
    </row>
    <row r="1571" spans="1:6" x14ac:dyDescent="0.25">
      <c r="A1571" s="4">
        <v>36635</v>
      </c>
      <c r="B1571">
        <v>38.200200000000002</v>
      </c>
      <c r="C1571">
        <v>38.200200000000002</v>
      </c>
      <c r="D1571">
        <v>35.837299999999999</v>
      </c>
      <c r="E1571">
        <v>36.034199999999998</v>
      </c>
      <c r="F1571">
        <v>25673</v>
      </c>
    </row>
    <row r="1572" spans="1:6" x14ac:dyDescent="0.25">
      <c r="A1572" s="4">
        <v>36636</v>
      </c>
      <c r="B1572">
        <v>36.034199999999998</v>
      </c>
      <c r="C1572">
        <v>36.624899999999997</v>
      </c>
      <c r="D1572">
        <v>35.4435</v>
      </c>
      <c r="E1572">
        <v>36.624899999999997</v>
      </c>
      <c r="F1572">
        <v>16799</v>
      </c>
    </row>
    <row r="1573" spans="1:6" x14ac:dyDescent="0.25">
      <c r="A1573" s="4">
        <v>36637</v>
      </c>
      <c r="B1573">
        <v>36.821800000000003</v>
      </c>
      <c r="C1573">
        <v>37.215699999999998</v>
      </c>
      <c r="D1573">
        <v>36.427999999999997</v>
      </c>
      <c r="E1573">
        <v>36.624899999999997</v>
      </c>
      <c r="F1573">
        <v>12463</v>
      </c>
    </row>
    <row r="1574" spans="1:6" x14ac:dyDescent="0.25">
      <c r="A1574" s="4">
        <v>36640</v>
      </c>
      <c r="B1574">
        <v>36.624899999999997</v>
      </c>
      <c r="C1574">
        <v>36.821800000000003</v>
      </c>
      <c r="D1574">
        <v>35.4435</v>
      </c>
      <c r="E1574">
        <v>35.4435</v>
      </c>
      <c r="F1574">
        <v>14244</v>
      </c>
    </row>
    <row r="1575" spans="1:6" x14ac:dyDescent="0.25">
      <c r="A1575" s="4">
        <v>36641</v>
      </c>
      <c r="B1575">
        <v>35.4435</v>
      </c>
      <c r="C1575">
        <v>37.018799999999999</v>
      </c>
      <c r="D1575">
        <v>35.4435</v>
      </c>
      <c r="E1575">
        <v>36.821800000000003</v>
      </c>
      <c r="F1575">
        <v>22906</v>
      </c>
    </row>
    <row r="1576" spans="1:6" x14ac:dyDescent="0.25">
      <c r="A1576" s="4">
        <v>36642</v>
      </c>
      <c r="B1576">
        <v>37.609499999999997</v>
      </c>
      <c r="C1576">
        <v>37.806399999999996</v>
      </c>
      <c r="D1576">
        <v>36.034199999999998</v>
      </c>
      <c r="E1576">
        <v>36.427999999999997</v>
      </c>
      <c r="F1576">
        <v>39361</v>
      </c>
    </row>
    <row r="1577" spans="1:6" x14ac:dyDescent="0.25">
      <c r="A1577" s="4">
        <v>36643</v>
      </c>
      <c r="B1577">
        <v>37.215699999999998</v>
      </c>
      <c r="C1577">
        <v>37.412599999999998</v>
      </c>
      <c r="D1577">
        <v>36.427999999999997</v>
      </c>
      <c r="E1577">
        <v>37.018799999999999</v>
      </c>
      <c r="F1577">
        <v>18692</v>
      </c>
    </row>
    <row r="1578" spans="1:6" x14ac:dyDescent="0.25">
      <c r="A1578" s="4">
        <v>36644</v>
      </c>
      <c r="B1578">
        <v>37.609499999999997</v>
      </c>
      <c r="C1578">
        <v>39.184699999999999</v>
      </c>
      <c r="D1578">
        <v>37.215699999999998</v>
      </c>
      <c r="E1578">
        <v>38.790900000000001</v>
      </c>
      <c r="F1578">
        <v>41903</v>
      </c>
    </row>
    <row r="1579" spans="1:6" x14ac:dyDescent="0.25">
      <c r="A1579" s="4">
        <v>36645</v>
      </c>
      <c r="B1579">
        <v>38.790900000000001</v>
      </c>
      <c r="C1579">
        <v>39.381700000000002</v>
      </c>
      <c r="D1579">
        <v>38.200200000000002</v>
      </c>
      <c r="E1579">
        <v>38.397100000000002</v>
      </c>
      <c r="F1579">
        <v>19773</v>
      </c>
    </row>
    <row r="1580" spans="1:6" x14ac:dyDescent="0.25">
      <c r="A1580" s="4">
        <v>36648</v>
      </c>
      <c r="B1580">
        <v>38.594000000000001</v>
      </c>
      <c r="C1580">
        <v>38.594000000000001</v>
      </c>
      <c r="D1580">
        <v>37.806399999999996</v>
      </c>
      <c r="E1580">
        <v>38.003300000000003</v>
      </c>
      <c r="F1580">
        <v>14964</v>
      </c>
    </row>
    <row r="1581" spans="1:6" x14ac:dyDescent="0.25">
      <c r="A1581" s="4">
        <v>36649</v>
      </c>
      <c r="B1581">
        <v>37.609499999999997</v>
      </c>
      <c r="C1581">
        <v>38.003300000000003</v>
      </c>
      <c r="D1581">
        <v>37.018799999999999</v>
      </c>
      <c r="E1581">
        <v>37.018799999999999</v>
      </c>
      <c r="F1581">
        <v>13337</v>
      </c>
    </row>
    <row r="1582" spans="1:6" x14ac:dyDescent="0.25">
      <c r="A1582" s="4">
        <v>36650</v>
      </c>
      <c r="B1582">
        <v>37.018799999999999</v>
      </c>
      <c r="C1582">
        <v>37.806399999999996</v>
      </c>
      <c r="D1582">
        <v>36.427999999999997</v>
      </c>
      <c r="E1582">
        <v>36.821800000000003</v>
      </c>
      <c r="F1582">
        <v>19705</v>
      </c>
    </row>
    <row r="1583" spans="1:6" x14ac:dyDescent="0.25">
      <c r="A1583" s="4">
        <v>36651</v>
      </c>
      <c r="B1583">
        <v>36.427999999999997</v>
      </c>
      <c r="C1583">
        <v>38.200200000000002</v>
      </c>
      <c r="D1583">
        <v>36.231099999999998</v>
      </c>
      <c r="E1583">
        <v>37.806399999999996</v>
      </c>
      <c r="F1583">
        <v>19526</v>
      </c>
    </row>
    <row r="1584" spans="1:6" x14ac:dyDescent="0.25">
      <c r="A1584" s="4">
        <v>36652</v>
      </c>
      <c r="B1584">
        <v>37.806399999999996</v>
      </c>
      <c r="C1584">
        <v>38.003300000000003</v>
      </c>
      <c r="D1584">
        <v>37.412599999999998</v>
      </c>
      <c r="E1584">
        <v>37.412599999999998</v>
      </c>
      <c r="F1584">
        <v>11051</v>
      </c>
    </row>
    <row r="1585" spans="1:6" x14ac:dyDescent="0.25">
      <c r="A1585" s="4">
        <v>36654</v>
      </c>
      <c r="B1585">
        <v>37.412599999999998</v>
      </c>
      <c r="C1585">
        <v>38.200200000000002</v>
      </c>
      <c r="D1585">
        <v>37.412599999999998</v>
      </c>
      <c r="E1585">
        <v>38.003300000000003</v>
      </c>
      <c r="F1585">
        <v>14605</v>
      </c>
    </row>
    <row r="1586" spans="1:6" x14ac:dyDescent="0.25">
      <c r="A1586" s="4">
        <v>36655</v>
      </c>
      <c r="B1586">
        <v>38.003300000000003</v>
      </c>
      <c r="C1586">
        <v>38.200200000000002</v>
      </c>
      <c r="D1586">
        <v>37.412599999999998</v>
      </c>
      <c r="E1586">
        <v>38.003300000000003</v>
      </c>
      <c r="F1586">
        <v>13524</v>
      </c>
    </row>
    <row r="1587" spans="1:6" x14ac:dyDescent="0.25">
      <c r="A1587" s="4">
        <v>36656</v>
      </c>
      <c r="B1587">
        <v>38.200200000000002</v>
      </c>
      <c r="C1587">
        <v>38.200200000000002</v>
      </c>
      <c r="D1587">
        <v>37.018799999999999</v>
      </c>
      <c r="E1587">
        <v>37.018799999999999</v>
      </c>
      <c r="F1587">
        <v>16877</v>
      </c>
    </row>
    <row r="1588" spans="1:6" x14ac:dyDescent="0.25">
      <c r="A1588" s="4">
        <v>36657</v>
      </c>
      <c r="B1588">
        <v>35.837299999999999</v>
      </c>
      <c r="C1588">
        <v>36.231099999999998</v>
      </c>
      <c r="D1588">
        <v>34.852800000000002</v>
      </c>
      <c r="E1588">
        <v>35.246600000000001</v>
      </c>
      <c r="F1588">
        <v>29310</v>
      </c>
    </row>
    <row r="1589" spans="1:6" x14ac:dyDescent="0.25">
      <c r="A1589" s="4">
        <v>36658</v>
      </c>
      <c r="B1589">
        <v>35.837299999999999</v>
      </c>
      <c r="C1589">
        <v>36.427999999999997</v>
      </c>
      <c r="D1589">
        <v>35.246600000000001</v>
      </c>
      <c r="E1589">
        <v>36.427999999999997</v>
      </c>
      <c r="F1589">
        <v>38309</v>
      </c>
    </row>
    <row r="1590" spans="1:6" x14ac:dyDescent="0.25">
      <c r="A1590" s="4">
        <v>36661</v>
      </c>
      <c r="B1590">
        <v>37.0503</v>
      </c>
      <c r="C1590">
        <v>37.0503</v>
      </c>
      <c r="D1590">
        <v>35.411999999999999</v>
      </c>
      <c r="E1590">
        <v>35.537999999999997</v>
      </c>
      <c r="F1590">
        <v>38971</v>
      </c>
    </row>
    <row r="1591" spans="1:6" x14ac:dyDescent="0.25">
      <c r="A1591" s="4">
        <v>36662</v>
      </c>
      <c r="B1591">
        <v>36.420200000000001</v>
      </c>
      <c r="C1591">
        <v>37.806399999999996</v>
      </c>
      <c r="D1591">
        <v>35.79</v>
      </c>
      <c r="E1591">
        <v>37.680399999999999</v>
      </c>
      <c r="F1591">
        <v>30786</v>
      </c>
    </row>
    <row r="1592" spans="1:6" x14ac:dyDescent="0.25">
      <c r="A1592" s="4">
        <v>36663</v>
      </c>
      <c r="B1592">
        <v>39.318600000000004</v>
      </c>
      <c r="C1592">
        <v>40.074800000000003</v>
      </c>
      <c r="D1592">
        <v>39.066600000000001</v>
      </c>
      <c r="E1592">
        <v>40.074800000000003</v>
      </c>
      <c r="F1592">
        <v>47775</v>
      </c>
    </row>
    <row r="1593" spans="1:6" x14ac:dyDescent="0.25">
      <c r="A1593" s="4">
        <v>36664</v>
      </c>
      <c r="B1593">
        <v>39.822699999999998</v>
      </c>
      <c r="C1593">
        <v>41.082900000000002</v>
      </c>
      <c r="D1593">
        <v>39.318600000000004</v>
      </c>
      <c r="E1593">
        <v>41.082900000000002</v>
      </c>
      <c r="F1593">
        <v>36662</v>
      </c>
    </row>
    <row r="1594" spans="1:6" x14ac:dyDescent="0.25">
      <c r="A1594" s="4">
        <v>36665</v>
      </c>
      <c r="B1594">
        <v>40.326799999999999</v>
      </c>
      <c r="C1594">
        <v>40.8309</v>
      </c>
      <c r="D1594">
        <v>40.074800000000003</v>
      </c>
      <c r="E1594">
        <v>40.8309</v>
      </c>
      <c r="F1594">
        <v>24316</v>
      </c>
    </row>
    <row r="1595" spans="1:6" x14ac:dyDescent="0.25">
      <c r="A1595" s="4">
        <v>36666</v>
      </c>
      <c r="B1595">
        <v>40.8309</v>
      </c>
      <c r="C1595">
        <v>40.8309</v>
      </c>
      <c r="D1595">
        <v>39.066600000000001</v>
      </c>
      <c r="E1595">
        <v>40.326799999999999</v>
      </c>
      <c r="F1595">
        <v>27041</v>
      </c>
    </row>
    <row r="1596" spans="1:6" x14ac:dyDescent="0.25">
      <c r="A1596" s="4">
        <v>36668</v>
      </c>
      <c r="B1596">
        <v>40.326799999999999</v>
      </c>
      <c r="C1596">
        <v>40.578899999999997</v>
      </c>
      <c r="D1596">
        <v>39.822699999999998</v>
      </c>
      <c r="E1596">
        <v>39.822699999999998</v>
      </c>
      <c r="F1596">
        <v>30913</v>
      </c>
    </row>
    <row r="1597" spans="1:6" x14ac:dyDescent="0.25">
      <c r="A1597" s="4">
        <v>36669</v>
      </c>
      <c r="B1597">
        <v>39.822699999999998</v>
      </c>
      <c r="C1597">
        <v>39.822699999999998</v>
      </c>
      <c r="D1597">
        <v>38.310499999999998</v>
      </c>
      <c r="E1597">
        <v>38.5625</v>
      </c>
      <c r="F1597">
        <v>22640</v>
      </c>
    </row>
    <row r="1598" spans="1:6" x14ac:dyDescent="0.25">
      <c r="A1598" s="4">
        <v>36670</v>
      </c>
      <c r="B1598">
        <v>37.0503</v>
      </c>
      <c r="C1598">
        <v>37.806399999999996</v>
      </c>
      <c r="D1598">
        <v>37.0503</v>
      </c>
      <c r="E1598">
        <v>37.4283</v>
      </c>
      <c r="F1598">
        <v>24774</v>
      </c>
    </row>
    <row r="1599" spans="1:6" x14ac:dyDescent="0.25">
      <c r="A1599" s="4">
        <v>36671</v>
      </c>
      <c r="B1599">
        <v>37.554299999999998</v>
      </c>
      <c r="C1599">
        <v>37.806399999999996</v>
      </c>
      <c r="D1599">
        <v>36.2941</v>
      </c>
      <c r="E1599">
        <v>36.672199999999997</v>
      </c>
      <c r="F1599">
        <v>27906</v>
      </c>
    </row>
    <row r="1600" spans="1:6" x14ac:dyDescent="0.25">
      <c r="A1600" s="4">
        <v>36672</v>
      </c>
      <c r="B1600">
        <v>36.2941</v>
      </c>
      <c r="C1600">
        <v>36.798200000000001</v>
      </c>
      <c r="D1600">
        <v>36.042099999999998</v>
      </c>
      <c r="E1600">
        <v>36.672199999999997</v>
      </c>
      <c r="F1600">
        <v>20146</v>
      </c>
    </row>
    <row r="1601" spans="1:6" x14ac:dyDescent="0.25">
      <c r="A1601" s="4">
        <v>36675</v>
      </c>
      <c r="B1601">
        <v>36.672199999999997</v>
      </c>
      <c r="C1601">
        <v>37.302300000000002</v>
      </c>
      <c r="D1601">
        <v>36.546199999999999</v>
      </c>
      <c r="E1601">
        <v>36.672199999999997</v>
      </c>
      <c r="F1601">
        <v>15021</v>
      </c>
    </row>
    <row r="1602" spans="1:6" x14ac:dyDescent="0.25">
      <c r="A1602" s="4">
        <v>36676</v>
      </c>
      <c r="B1602">
        <v>37.0503</v>
      </c>
      <c r="C1602">
        <v>38.310499999999998</v>
      </c>
      <c r="D1602">
        <v>36.924199999999999</v>
      </c>
      <c r="E1602">
        <v>38.058399999999999</v>
      </c>
      <c r="F1602">
        <v>23836</v>
      </c>
    </row>
    <row r="1603" spans="1:6" x14ac:dyDescent="0.25">
      <c r="A1603" s="4">
        <v>36677</v>
      </c>
      <c r="B1603">
        <v>39.570700000000002</v>
      </c>
      <c r="C1603">
        <v>39.822699999999998</v>
      </c>
      <c r="D1603">
        <v>38.814599999999999</v>
      </c>
      <c r="E1603">
        <v>39.570700000000002</v>
      </c>
      <c r="F1603">
        <v>45867</v>
      </c>
    </row>
    <row r="1604" spans="1:6" x14ac:dyDescent="0.25">
      <c r="A1604" s="4">
        <v>36678</v>
      </c>
      <c r="B1604">
        <v>39.318600000000004</v>
      </c>
      <c r="C1604">
        <v>39.318600000000004</v>
      </c>
      <c r="D1604">
        <v>38.310499999999998</v>
      </c>
      <c r="E1604">
        <v>38.5625</v>
      </c>
      <c r="F1604">
        <v>15917</v>
      </c>
    </row>
    <row r="1605" spans="1:6" x14ac:dyDescent="0.25">
      <c r="A1605" s="4">
        <v>36679</v>
      </c>
      <c r="B1605">
        <v>39.570700000000002</v>
      </c>
      <c r="C1605">
        <v>40.074800000000003</v>
      </c>
      <c r="D1605">
        <v>39.066600000000001</v>
      </c>
      <c r="E1605">
        <v>39.066600000000001</v>
      </c>
      <c r="F1605">
        <v>29135</v>
      </c>
    </row>
    <row r="1606" spans="1:6" x14ac:dyDescent="0.25">
      <c r="A1606" s="4">
        <v>36680</v>
      </c>
      <c r="B1606">
        <v>40.074800000000003</v>
      </c>
      <c r="C1606">
        <v>40.326799999999999</v>
      </c>
      <c r="D1606">
        <v>39.570700000000002</v>
      </c>
      <c r="E1606">
        <v>39.570700000000002</v>
      </c>
      <c r="F1606">
        <v>17809</v>
      </c>
    </row>
    <row r="1607" spans="1:6" x14ac:dyDescent="0.25">
      <c r="A1607" s="4">
        <v>36682</v>
      </c>
      <c r="B1607">
        <v>39.570700000000002</v>
      </c>
      <c r="C1607">
        <v>40.074800000000003</v>
      </c>
      <c r="D1607">
        <v>39.066600000000001</v>
      </c>
      <c r="E1607">
        <v>39.822699999999998</v>
      </c>
      <c r="F1607">
        <v>17308</v>
      </c>
    </row>
    <row r="1608" spans="1:6" x14ac:dyDescent="0.25">
      <c r="A1608" s="4">
        <v>36684</v>
      </c>
      <c r="B1608">
        <v>39.318600000000004</v>
      </c>
      <c r="C1608">
        <v>40.578899999999997</v>
      </c>
      <c r="D1608">
        <v>39.066600000000001</v>
      </c>
      <c r="E1608">
        <v>40.578899999999997</v>
      </c>
      <c r="F1608">
        <v>23755</v>
      </c>
    </row>
    <row r="1609" spans="1:6" x14ac:dyDescent="0.25">
      <c r="A1609" s="4">
        <v>36685</v>
      </c>
      <c r="B1609">
        <v>40.578899999999997</v>
      </c>
      <c r="C1609">
        <v>40.8309</v>
      </c>
      <c r="D1609">
        <v>39.570700000000002</v>
      </c>
      <c r="E1609">
        <v>39.570700000000002</v>
      </c>
      <c r="F1609">
        <v>20402</v>
      </c>
    </row>
    <row r="1610" spans="1:6" x14ac:dyDescent="0.25">
      <c r="A1610" s="4">
        <v>36686</v>
      </c>
      <c r="B1610">
        <v>39.822699999999998</v>
      </c>
      <c r="C1610">
        <v>40.074800000000003</v>
      </c>
      <c r="D1610">
        <v>39.318600000000004</v>
      </c>
      <c r="E1610">
        <v>39.822699999999998</v>
      </c>
      <c r="F1610">
        <v>13284</v>
      </c>
    </row>
    <row r="1611" spans="1:6" x14ac:dyDescent="0.25">
      <c r="A1611" s="4">
        <v>36689</v>
      </c>
      <c r="B1611">
        <v>40.326799999999999</v>
      </c>
      <c r="C1611">
        <v>40.326799999999999</v>
      </c>
      <c r="D1611">
        <v>39.570700000000002</v>
      </c>
      <c r="E1611">
        <v>39.570700000000002</v>
      </c>
      <c r="F1611">
        <v>19453</v>
      </c>
    </row>
    <row r="1612" spans="1:6" x14ac:dyDescent="0.25">
      <c r="A1612" s="4">
        <v>36690</v>
      </c>
      <c r="B1612">
        <v>39.318600000000004</v>
      </c>
      <c r="C1612">
        <v>39.318600000000004</v>
      </c>
      <c r="D1612">
        <v>39.066600000000001</v>
      </c>
      <c r="E1612">
        <v>39.066600000000001</v>
      </c>
      <c r="F1612">
        <v>13999</v>
      </c>
    </row>
    <row r="1613" spans="1:6" x14ac:dyDescent="0.25">
      <c r="A1613" s="4">
        <v>36691</v>
      </c>
      <c r="B1613">
        <v>39.822699999999998</v>
      </c>
      <c r="C1613">
        <v>39.822699999999998</v>
      </c>
      <c r="D1613">
        <v>38.814599999999999</v>
      </c>
      <c r="E1613">
        <v>38.814599999999999</v>
      </c>
      <c r="F1613">
        <v>18839</v>
      </c>
    </row>
    <row r="1614" spans="1:6" x14ac:dyDescent="0.25">
      <c r="A1614" s="4">
        <v>36692</v>
      </c>
      <c r="B1614">
        <v>38.814599999999999</v>
      </c>
      <c r="C1614">
        <v>38.814599999999999</v>
      </c>
      <c r="D1614">
        <v>37.806399999999996</v>
      </c>
      <c r="E1614">
        <v>37.806399999999996</v>
      </c>
      <c r="F1614">
        <v>20195</v>
      </c>
    </row>
    <row r="1615" spans="1:6" x14ac:dyDescent="0.25">
      <c r="A1615" s="4">
        <v>36693</v>
      </c>
      <c r="B1615">
        <v>37.806399999999996</v>
      </c>
      <c r="C1615">
        <v>38.058399999999999</v>
      </c>
      <c r="D1615">
        <v>37.554299999999998</v>
      </c>
      <c r="E1615">
        <v>37.806399999999996</v>
      </c>
      <c r="F1615">
        <v>21827</v>
      </c>
    </row>
    <row r="1616" spans="1:6" x14ac:dyDescent="0.25">
      <c r="A1616" s="4">
        <v>36694</v>
      </c>
      <c r="B1616">
        <v>37.806399999999996</v>
      </c>
      <c r="C1616">
        <v>38.058399999999999</v>
      </c>
      <c r="D1616">
        <v>37.554299999999998</v>
      </c>
      <c r="E1616">
        <v>37.680399999999999</v>
      </c>
      <c r="F1616">
        <v>11621</v>
      </c>
    </row>
    <row r="1617" spans="1:6" x14ac:dyDescent="0.25">
      <c r="A1617" s="4">
        <v>36696</v>
      </c>
      <c r="B1617">
        <v>37.680399999999999</v>
      </c>
      <c r="C1617">
        <v>37.806399999999996</v>
      </c>
      <c r="D1617">
        <v>36.924199999999999</v>
      </c>
      <c r="E1617">
        <v>37.302300000000002</v>
      </c>
      <c r="F1617">
        <v>16644</v>
      </c>
    </row>
    <row r="1618" spans="1:6" x14ac:dyDescent="0.25">
      <c r="A1618" s="4">
        <v>36697</v>
      </c>
      <c r="B1618">
        <v>38.058399999999999</v>
      </c>
      <c r="C1618">
        <v>38.058399999999999</v>
      </c>
      <c r="D1618">
        <v>37.302300000000002</v>
      </c>
      <c r="E1618">
        <v>37.4283</v>
      </c>
      <c r="F1618">
        <v>13224</v>
      </c>
    </row>
    <row r="1619" spans="1:6" x14ac:dyDescent="0.25">
      <c r="A1619" s="4">
        <v>36698</v>
      </c>
      <c r="B1619">
        <v>37.4283</v>
      </c>
      <c r="C1619">
        <v>37.554299999999998</v>
      </c>
      <c r="D1619">
        <v>37.0503</v>
      </c>
      <c r="E1619">
        <v>37.0503</v>
      </c>
      <c r="F1619">
        <v>10906</v>
      </c>
    </row>
    <row r="1620" spans="1:6" x14ac:dyDescent="0.25">
      <c r="A1620" s="4">
        <v>36699</v>
      </c>
      <c r="B1620">
        <v>36.798200000000001</v>
      </c>
      <c r="C1620">
        <v>37.680399999999999</v>
      </c>
      <c r="D1620">
        <v>36.798200000000001</v>
      </c>
      <c r="E1620">
        <v>37.554299999999998</v>
      </c>
      <c r="F1620">
        <v>18617</v>
      </c>
    </row>
    <row r="1621" spans="1:6" x14ac:dyDescent="0.25">
      <c r="A1621" s="4">
        <v>36700</v>
      </c>
      <c r="B1621">
        <v>37.302300000000002</v>
      </c>
      <c r="C1621">
        <v>37.4283</v>
      </c>
      <c r="D1621">
        <v>36.798200000000001</v>
      </c>
      <c r="E1621">
        <v>36.798200000000001</v>
      </c>
      <c r="F1621">
        <v>14558</v>
      </c>
    </row>
    <row r="1622" spans="1:6" x14ac:dyDescent="0.25">
      <c r="A1622" s="4">
        <v>36703</v>
      </c>
      <c r="B1622">
        <v>36.420200000000001</v>
      </c>
      <c r="C1622">
        <v>36.546199999999999</v>
      </c>
      <c r="D1622">
        <v>35.411999999999999</v>
      </c>
      <c r="E1622">
        <v>35.664000000000001</v>
      </c>
      <c r="F1622">
        <v>27432</v>
      </c>
    </row>
    <row r="1623" spans="1:6" x14ac:dyDescent="0.25">
      <c r="A1623" s="4">
        <v>36704</v>
      </c>
      <c r="B1623">
        <v>35.79</v>
      </c>
      <c r="C1623">
        <v>36.042099999999998</v>
      </c>
      <c r="D1623">
        <v>35.664000000000001</v>
      </c>
      <c r="E1623">
        <v>35.664000000000001</v>
      </c>
      <c r="F1623">
        <v>15823</v>
      </c>
    </row>
    <row r="1624" spans="1:6" x14ac:dyDescent="0.25">
      <c r="A1624" s="4">
        <v>36705</v>
      </c>
      <c r="B1624">
        <v>35.9161</v>
      </c>
      <c r="C1624">
        <v>36.420200000000001</v>
      </c>
      <c r="D1624">
        <v>35.79</v>
      </c>
      <c r="E1624">
        <v>36.2941</v>
      </c>
      <c r="F1624">
        <v>18816</v>
      </c>
    </row>
    <row r="1625" spans="1:6" x14ac:dyDescent="0.25">
      <c r="A1625" s="4">
        <v>36706</v>
      </c>
      <c r="B1625">
        <v>36.798200000000001</v>
      </c>
      <c r="C1625">
        <v>36.798200000000001</v>
      </c>
      <c r="D1625">
        <v>35.79</v>
      </c>
      <c r="E1625">
        <v>35.9161</v>
      </c>
      <c r="F1625">
        <v>22487</v>
      </c>
    </row>
    <row r="1626" spans="1:6" x14ac:dyDescent="0.25">
      <c r="A1626" s="4">
        <v>36707</v>
      </c>
      <c r="B1626">
        <v>36.042099999999998</v>
      </c>
      <c r="C1626">
        <v>36.798200000000001</v>
      </c>
      <c r="D1626">
        <v>35.664000000000001</v>
      </c>
      <c r="E1626">
        <v>36.798200000000001</v>
      </c>
      <c r="F1626">
        <v>22513</v>
      </c>
    </row>
    <row r="1627" spans="1:6" x14ac:dyDescent="0.25">
      <c r="A1627" s="4">
        <v>36710</v>
      </c>
      <c r="B1627">
        <v>36.042099999999998</v>
      </c>
      <c r="C1627">
        <v>36.798200000000001</v>
      </c>
      <c r="D1627">
        <v>35.411999999999999</v>
      </c>
      <c r="E1627">
        <v>36.168100000000003</v>
      </c>
      <c r="F1627">
        <v>30096</v>
      </c>
    </row>
    <row r="1628" spans="1:6" x14ac:dyDescent="0.25">
      <c r="A1628" s="4">
        <v>36711</v>
      </c>
      <c r="B1628">
        <v>36.168100000000003</v>
      </c>
      <c r="C1628">
        <v>36.2941</v>
      </c>
      <c r="D1628">
        <v>35.286000000000001</v>
      </c>
      <c r="E1628">
        <v>35.537999999999997</v>
      </c>
      <c r="F1628">
        <v>21260</v>
      </c>
    </row>
    <row r="1629" spans="1:6" x14ac:dyDescent="0.25">
      <c r="A1629" s="4">
        <v>36712</v>
      </c>
      <c r="B1629">
        <v>35.9161</v>
      </c>
      <c r="C1629">
        <v>37.806399999999996</v>
      </c>
      <c r="D1629">
        <v>35.286000000000001</v>
      </c>
      <c r="E1629">
        <v>37.554299999999998</v>
      </c>
      <c r="F1629">
        <v>34591</v>
      </c>
    </row>
    <row r="1630" spans="1:6" x14ac:dyDescent="0.25">
      <c r="A1630" s="4">
        <v>36713</v>
      </c>
      <c r="B1630">
        <v>36.546199999999999</v>
      </c>
      <c r="C1630">
        <v>37.176299999999998</v>
      </c>
      <c r="D1630">
        <v>36.168100000000003</v>
      </c>
      <c r="E1630">
        <v>36.546199999999999</v>
      </c>
      <c r="F1630">
        <v>29219</v>
      </c>
    </row>
    <row r="1631" spans="1:6" x14ac:dyDescent="0.25">
      <c r="A1631" s="4">
        <v>36714</v>
      </c>
      <c r="B1631">
        <v>36.546199999999999</v>
      </c>
      <c r="C1631">
        <v>36.798200000000001</v>
      </c>
      <c r="D1631">
        <v>35.79</v>
      </c>
      <c r="E1631">
        <v>35.79</v>
      </c>
      <c r="F1631">
        <v>16694</v>
      </c>
    </row>
    <row r="1632" spans="1:6" x14ac:dyDescent="0.25">
      <c r="A1632" s="4">
        <v>36717</v>
      </c>
      <c r="B1632">
        <v>35.9161</v>
      </c>
      <c r="C1632">
        <v>36.420200000000001</v>
      </c>
      <c r="D1632">
        <v>35.286000000000001</v>
      </c>
      <c r="E1632">
        <v>36.168100000000003</v>
      </c>
      <c r="F1632">
        <v>18866</v>
      </c>
    </row>
    <row r="1633" spans="1:6" x14ac:dyDescent="0.25">
      <c r="A1633" s="4">
        <v>36718</v>
      </c>
      <c r="B1633">
        <v>36.042099999999998</v>
      </c>
      <c r="C1633">
        <v>36.672199999999997</v>
      </c>
      <c r="D1633">
        <v>35.79</v>
      </c>
      <c r="E1633">
        <v>36.2941</v>
      </c>
      <c r="F1633">
        <v>15135</v>
      </c>
    </row>
    <row r="1634" spans="1:6" x14ac:dyDescent="0.25">
      <c r="A1634" s="4">
        <v>36719</v>
      </c>
      <c r="B1634">
        <v>36.2941</v>
      </c>
      <c r="C1634">
        <v>36.420200000000001</v>
      </c>
      <c r="D1634">
        <v>35.9161</v>
      </c>
      <c r="E1634">
        <v>36.168100000000003</v>
      </c>
      <c r="F1634">
        <v>11865</v>
      </c>
    </row>
    <row r="1635" spans="1:6" x14ac:dyDescent="0.25">
      <c r="A1635" s="4">
        <v>36720</v>
      </c>
      <c r="B1635">
        <v>36.2941</v>
      </c>
      <c r="C1635">
        <v>37.0503</v>
      </c>
      <c r="D1635">
        <v>36.2941</v>
      </c>
      <c r="E1635">
        <v>36.546199999999999</v>
      </c>
      <c r="F1635">
        <v>20212</v>
      </c>
    </row>
    <row r="1636" spans="1:6" x14ac:dyDescent="0.25">
      <c r="A1636" s="4">
        <v>36721</v>
      </c>
      <c r="B1636">
        <v>36.546199999999999</v>
      </c>
      <c r="C1636">
        <v>37.0503</v>
      </c>
      <c r="D1636">
        <v>36.546199999999999</v>
      </c>
      <c r="E1636">
        <v>36.798200000000001</v>
      </c>
      <c r="F1636">
        <v>18256</v>
      </c>
    </row>
    <row r="1637" spans="1:6" x14ac:dyDescent="0.25">
      <c r="A1637" s="4">
        <v>36722</v>
      </c>
      <c r="B1637">
        <v>37.0503</v>
      </c>
      <c r="C1637">
        <v>37.302300000000002</v>
      </c>
      <c r="D1637">
        <v>36.546199999999999</v>
      </c>
      <c r="E1637">
        <v>36.672199999999997</v>
      </c>
      <c r="F1637">
        <v>13737</v>
      </c>
    </row>
    <row r="1638" spans="1:6" x14ac:dyDescent="0.25">
      <c r="A1638" s="4">
        <v>36724</v>
      </c>
      <c r="B1638">
        <v>36.798200000000001</v>
      </c>
      <c r="C1638">
        <v>37.0503</v>
      </c>
      <c r="D1638">
        <v>36.042099999999998</v>
      </c>
      <c r="E1638">
        <v>36.168100000000003</v>
      </c>
      <c r="F1638">
        <v>14790</v>
      </c>
    </row>
    <row r="1639" spans="1:6" x14ac:dyDescent="0.25">
      <c r="A1639" s="4">
        <v>36725</v>
      </c>
      <c r="B1639">
        <v>36.168100000000003</v>
      </c>
      <c r="C1639">
        <v>36.168100000000003</v>
      </c>
      <c r="D1639">
        <v>35.79</v>
      </c>
      <c r="E1639">
        <v>35.79</v>
      </c>
      <c r="F1639">
        <v>9420</v>
      </c>
    </row>
    <row r="1640" spans="1:6" x14ac:dyDescent="0.25">
      <c r="A1640" s="4">
        <v>36726</v>
      </c>
      <c r="B1640">
        <v>35.537999999999997</v>
      </c>
      <c r="C1640">
        <v>36.042099999999998</v>
      </c>
      <c r="D1640">
        <v>35.411999999999999</v>
      </c>
      <c r="E1640">
        <v>35.79</v>
      </c>
      <c r="F1640">
        <v>11673</v>
      </c>
    </row>
    <row r="1641" spans="1:6" x14ac:dyDescent="0.25">
      <c r="A1641" s="4">
        <v>36727</v>
      </c>
      <c r="B1641">
        <v>35.537999999999997</v>
      </c>
      <c r="C1641">
        <v>35.537999999999997</v>
      </c>
      <c r="D1641">
        <v>34.025700000000001</v>
      </c>
      <c r="E1641">
        <v>34.025700000000001</v>
      </c>
      <c r="F1641">
        <v>33740</v>
      </c>
    </row>
    <row r="1642" spans="1:6" x14ac:dyDescent="0.25">
      <c r="A1642" s="4">
        <v>36728</v>
      </c>
      <c r="B1642">
        <v>34.025700000000001</v>
      </c>
      <c r="C1642">
        <v>34.151800000000001</v>
      </c>
      <c r="D1642">
        <v>32.261400000000002</v>
      </c>
      <c r="E1642">
        <v>32.765500000000003</v>
      </c>
      <c r="F1642">
        <v>47351</v>
      </c>
    </row>
    <row r="1643" spans="1:6" x14ac:dyDescent="0.25">
      <c r="A1643" s="4">
        <v>36731</v>
      </c>
      <c r="B1643">
        <v>32.387500000000003</v>
      </c>
      <c r="C1643">
        <v>32.513500000000001</v>
      </c>
      <c r="D1643">
        <v>31.757400000000001</v>
      </c>
      <c r="E1643">
        <v>31.883400000000002</v>
      </c>
      <c r="F1643">
        <v>32073</v>
      </c>
    </row>
    <row r="1644" spans="1:6" x14ac:dyDescent="0.25">
      <c r="A1644" s="4">
        <v>36732</v>
      </c>
      <c r="B1644">
        <v>31.253299999999999</v>
      </c>
      <c r="C1644">
        <v>32.261400000000002</v>
      </c>
      <c r="D1644">
        <v>31.253299999999999</v>
      </c>
      <c r="E1644">
        <v>31.6313</v>
      </c>
      <c r="F1644">
        <v>27099</v>
      </c>
    </row>
    <row r="1645" spans="1:6" x14ac:dyDescent="0.25">
      <c r="A1645" s="4">
        <v>36733</v>
      </c>
      <c r="B1645">
        <v>32.009399999999999</v>
      </c>
      <c r="C1645">
        <v>32.891599999999997</v>
      </c>
      <c r="D1645">
        <v>32.009399999999999</v>
      </c>
      <c r="E1645">
        <v>32.765500000000003</v>
      </c>
      <c r="F1645">
        <v>35850</v>
      </c>
    </row>
    <row r="1646" spans="1:6" x14ac:dyDescent="0.25">
      <c r="A1646" s="4">
        <v>36734</v>
      </c>
      <c r="B1646">
        <v>32.387500000000003</v>
      </c>
      <c r="C1646">
        <v>32.513500000000001</v>
      </c>
      <c r="D1646">
        <v>31.505299999999998</v>
      </c>
      <c r="E1646">
        <v>32.513500000000001</v>
      </c>
      <c r="F1646">
        <v>21839</v>
      </c>
    </row>
    <row r="1647" spans="1:6" x14ac:dyDescent="0.25">
      <c r="A1647" s="4">
        <v>36735</v>
      </c>
      <c r="B1647">
        <v>31.505299999999998</v>
      </c>
      <c r="C1647">
        <v>32.639499999999998</v>
      </c>
      <c r="D1647">
        <v>31.505299999999998</v>
      </c>
      <c r="E1647">
        <v>32.135399999999997</v>
      </c>
      <c r="F1647">
        <v>32270</v>
      </c>
    </row>
    <row r="1648" spans="1:6" x14ac:dyDescent="0.25">
      <c r="A1648" s="4">
        <v>36736</v>
      </c>
      <c r="B1648">
        <v>32.009399999999999</v>
      </c>
      <c r="C1648">
        <v>32.513500000000001</v>
      </c>
      <c r="D1648">
        <v>31.6313</v>
      </c>
      <c r="E1648">
        <v>32.261400000000002</v>
      </c>
      <c r="F1648">
        <v>17559</v>
      </c>
    </row>
    <row r="1649" spans="1:6" x14ac:dyDescent="0.25">
      <c r="A1649" s="4">
        <v>36738</v>
      </c>
      <c r="B1649">
        <v>32.135399999999997</v>
      </c>
      <c r="C1649">
        <v>32.261400000000002</v>
      </c>
      <c r="D1649">
        <v>31.757400000000001</v>
      </c>
      <c r="E1649">
        <v>32.009399999999999</v>
      </c>
      <c r="F1649">
        <v>12942</v>
      </c>
    </row>
    <row r="1650" spans="1:6" x14ac:dyDescent="0.25">
      <c r="A1650" s="4">
        <v>36739</v>
      </c>
      <c r="B1650">
        <v>32.387500000000003</v>
      </c>
      <c r="C1650">
        <v>32.639499999999998</v>
      </c>
      <c r="D1650">
        <v>31.757400000000001</v>
      </c>
      <c r="E1650">
        <v>31.757400000000001</v>
      </c>
      <c r="F1650">
        <v>16099</v>
      </c>
    </row>
    <row r="1651" spans="1:6" x14ac:dyDescent="0.25">
      <c r="A1651" s="4">
        <v>36740</v>
      </c>
      <c r="B1651">
        <v>31.883400000000002</v>
      </c>
      <c r="C1651">
        <v>32.135399999999997</v>
      </c>
      <c r="D1651">
        <v>31.505299999999998</v>
      </c>
      <c r="E1651">
        <v>31.505299999999998</v>
      </c>
      <c r="F1651">
        <v>11535</v>
      </c>
    </row>
    <row r="1652" spans="1:6" x14ac:dyDescent="0.25">
      <c r="A1652" s="4">
        <v>36741</v>
      </c>
      <c r="B1652">
        <v>31.505299999999998</v>
      </c>
      <c r="C1652">
        <v>31.505299999999998</v>
      </c>
      <c r="D1652">
        <v>30.4971</v>
      </c>
      <c r="E1652">
        <v>30.749199999999998</v>
      </c>
      <c r="F1652">
        <v>14726</v>
      </c>
    </row>
    <row r="1653" spans="1:6" x14ac:dyDescent="0.25">
      <c r="A1653" s="4">
        <v>36742</v>
      </c>
      <c r="B1653">
        <v>30.8752</v>
      </c>
      <c r="C1653">
        <v>32.387500000000003</v>
      </c>
      <c r="D1653">
        <v>30.8752</v>
      </c>
      <c r="E1653">
        <v>31.6313</v>
      </c>
      <c r="F1653">
        <v>23274</v>
      </c>
    </row>
    <row r="1654" spans="1:6" x14ac:dyDescent="0.25">
      <c r="A1654" s="4">
        <v>36743</v>
      </c>
      <c r="B1654">
        <v>31.757400000000001</v>
      </c>
      <c r="C1654">
        <v>32.513500000000001</v>
      </c>
      <c r="D1654">
        <v>31.757400000000001</v>
      </c>
      <c r="E1654">
        <v>31.757400000000001</v>
      </c>
      <c r="F1654">
        <v>21938</v>
      </c>
    </row>
    <row r="1655" spans="1:6" x14ac:dyDescent="0.25">
      <c r="A1655" s="4">
        <v>36745</v>
      </c>
      <c r="B1655">
        <v>31.757400000000001</v>
      </c>
      <c r="C1655">
        <v>31.757400000000001</v>
      </c>
      <c r="D1655">
        <v>30.749199999999998</v>
      </c>
      <c r="E1655">
        <v>31.001200000000001</v>
      </c>
      <c r="F1655">
        <v>25658</v>
      </c>
    </row>
    <row r="1656" spans="1:6" x14ac:dyDescent="0.25">
      <c r="A1656" s="4">
        <v>36746</v>
      </c>
      <c r="B1656">
        <v>31.001200000000001</v>
      </c>
      <c r="C1656">
        <v>31.757400000000001</v>
      </c>
      <c r="D1656">
        <v>30.749199999999998</v>
      </c>
      <c r="E1656">
        <v>31.6313</v>
      </c>
      <c r="F1656">
        <v>25507</v>
      </c>
    </row>
    <row r="1657" spans="1:6" x14ac:dyDescent="0.25">
      <c r="A1657" s="4">
        <v>36747</v>
      </c>
      <c r="B1657">
        <v>31.883400000000002</v>
      </c>
      <c r="C1657">
        <v>32.765500000000003</v>
      </c>
      <c r="D1657">
        <v>31.883400000000002</v>
      </c>
      <c r="E1657">
        <v>32.765500000000003</v>
      </c>
      <c r="F1657">
        <v>28520</v>
      </c>
    </row>
    <row r="1658" spans="1:6" x14ac:dyDescent="0.25">
      <c r="A1658" s="4">
        <v>36748</v>
      </c>
      <c r="B1658">
        <v>33.143599999999999</v>
      </c>
      <c r="C1658">
        <v>33.521700000000003</v>
      </c>
      <c r="D1658">
        <v>32.765500000000003</v>
      </c>
      <c r="E1658">
        <v>33.521700000000003</v>
      </c>
      <c r="F1658">
        <v>29662</v>
      </c>
    </row>
    <row r="1659" spans="1:6" x14ac:dyDescent="0.25">
      <c r="A1659" s="4">
        <v>36749</v>
      </c>
      <c r="B1659">
        <v>33.269599999999997</v>
      </c>
      <c r="C1659">
        <v>33.521700000000003</v>
      </c>
      <c r="D1659">
        <v>33.017600000000002</v>
      </c>
      <c r="E1659">
        <v>33.017600000000002</v>
      </c>
      <c r="F1659">
        <v>16134</v>
      </c>
    </row>
    <row r="1660" spans="1:6" x14ac:dyDescent="0.25">
      <c r="A1660" s="4">
        <v>36752</v>
      </c>
      <c r="B1660">
        <v>33.017600000000002</v>
      </c>
      <c r="C1660">
        <v>33.143599999999999</v>
      </c>
      <c r="D1660">
        <v>32.513500000000001</v>
      </c>
      <c r="E1660">
        <v>32.765500000000003</v>
      </c>
      <c r="F1660">
        <v>12551</v>
      </c>
    </row>
    <row r="1661" spans="1:6" x14ac:dyDescent="0.25">
      <c r="A1661" s="4">
        <v>36753</v>
      </c>
      <c r="B1661">
        <v>33.269599999999997</v>
      </c>
      <c r="C1661">
        <v>33.269599999999997</v>
      </c>
      <c r="D1661">
        <v>32.639499999999998</v>
      </c>
      <c r="E1661">
        <v>32.891599999999997</v>
      </c>
      <c r="F1661">
        <v>15549</v>
      </c>
    </row>
    <row r="1662" spans="1:6" x14ac:dyDescent="0.25">
      <c r="A1662" s="4">
        <v>36754</v>
      </c>
      <c r="B1662">
        <v>32.891599999999997</v>
      </c>
      <c r="C1662">
        <v>34.025700000000001</v>
      </c>
      <c r="D1662">
        <v>32.891599999999997</v>
      </c>
      <c r="E1662">
        <v>34.025700000000001</v>
      </c>
      <c r="F1662">
        <v>22477</v>
      </c>
    </row>
    <row r="1663" spans="1:6" x14ac:dyDescent="0.25">
      <c r="A1663" s="4">
        <v>36755</v>
      </c>
      <c r="B1663">
        <v>34.529800000000002</v>
      </c>
      <c r="C1663">
        <v>35.033900000000003</v>
      </c>
      <c r="D1663">
        <v>34.277799999999999</v>
      </c>
      <c r="E1663">
        <v>34.7819</v>
      </c>
      <c r="F1663">
        <v>27217</v>
      </c>
    </row>
    <row r="1664" spans="1:6" x14ac:dyDescent="0.25">
      <c r="A1664" s="4">
        <v>36756</v>
      </c>
      <c r="B1664">
        <v>35.033900000000003</v>
      </c>
      <c r="C1664">
        <v>35.411999999999999</v>
      </c>
      <c r="D1664">
        <v>34.907899999999998</v>
      </c>
      <c r="E1664">
        <v>35.1599</v>
      </c>
      <c r="F1664">
        <v>24952</v>
      </c>
    </row>
    <row r="1665" spans="1:6" x14ac:dyDescent="0.25">
      <c r="A1665" s="4">
        <v>36757</v>
      </c>
      <c r="B1665">
        <v>35.1599</v>
      </c>
      <c r="C1665">
        <v>35.1599</v>
      </c>
      <c r="D1665">
        <v>34.529800000000002</v>
      </c>
      <c r="E1665">
        <v>34.907899999999998</v>
      </c>
      <c r="F1665">
        <v>14584</v>
      </c>
    </row>
    <row r="1666" spans="1:6" x14ac:dyDescent="0.25">
      <c r="A1666" s="4">
        <v>36759</v>
      </c>
      <c r="B1666">
        <v>34.907899999999998</v>
      </c>
      <c r="C1666">
        <v>35.033900000000003</v>
      </c>
      <c r="D1666">
        <v>34.655900000000003</v>
      </c>
      <c r="E1666">
        <v>34.7819</v>
      </c>
      <c r="F1666">
        <v>14459</v>
      </c>
    </row>
    <row r="1667" spans="1:6" x14ac:dyDescent="0.25">
      <c r="A1667" s="4">
        <v>36760</v>
      </c>
      <c r="B1667">
        <v>34.7819</v>
      </c>
      <c r="C1667">
        <v>34.7819</v>
      </c>
      <c r="D1667">
        <v>34.151800000000001</v>
      </c>
      <c r="E1667">
        <v>34.529800000000002</v>
      </c>
      <c r="F1667">
        <v>13590</v>
      </c>
    </row>
    <row r="1668" spans="1:6" x14ac:dyDescent="0.25">
      <c r="A1668" s="4">
        <v>36762</v>
      </c>
      <c r="B1668">
        <v>34.7819</v>
      </c>
      <c r="C1668">
        <v>35.411999999999999</v>
      </c>
      <c r="D1668">
        <v>34.7819</v>
      </c>
      <c r="E1668">
        <v>35.1599</v>
      </c>
      <c r="F1668">
        <v>25072</v>
      </c>
    </row>
    <row r="1669" spans="1:6" x14ac:dyDescent="0.25">
      <c r="A1669" s="4">
        <v>36763</v>
      </c>
      <c r="B1669">
        <v>35.286000000000001</v>
      </c>
      <c r="C1669">
        <v>35.411999999999999</v>
      </c>
      <c r="D1669">
        <v>35.033900000000003</v>
      </c>
      <c r="E1669">
        <v>35.411999999999999</v>
      </c>
      <c r="F1669">
        <v>19556</v>
      </c>
    </row>
    <row r="1670" spans="1:6" x14ac:dyDescent="0.25">
      <c r="A1670" s="4">
        <v>36766</v>
      </c>
      <c r="B1670">
        <v>35.1599</v>
      </c>
      <c r="C1670">
        <v>35.1599</v>
      </c>
      <c r="D1670">
        <v>34.529800000000002</v>
      </c>
      <c r="E1670">
        <v>34.7819</v>
      </c>
      <c r="F1670">
        <v>12025</v>
      </c>
    </row>
    <row r="1671" spans="1:6" x14ac:dyDescent="0.25">
      <c r="A1671" s="4">
        <v>36767</v>
      </c>
      <c r="B1671">
        <v>34.7819</v>
      </c>
      <c r="C1671">
        <v>34.7819</v>
      </c>
      <c r="D1671">
        <v>33.773699999999998</v>
      </c>
      <c r="E1671">
        <v>34.529800000000002</v>
      </c>
      <c r="F1671">
        <v>20392</v>
      </c>
    </row>
    <row r="1672" spans="1:6" x14ac:dyDescent="0.25">
      <c r="A1672" s="4">
        <v>36768</v>
      </c>
      <c r="B1672">
        <v>34.277799999999999</v>
      </c>
      <c r="C1672">
        <v>34.7819</v>
      </c>
      <c r="D1672">
        <v>34.025700000000001</v>
      </c>
      <c r="E1672">
        <v>34.025700000000001</v>
      </c>
      <c r="F1672">
        <v>16166</v>
      </c>
    </row>
    <row r="1673" spans="1:6" x14ac:dyDescent="0.25">
      <c r="A1673" s="4">
        <v>36769</v>
      </c>
      <c r="B1673">
        <v>33.521700000000003</v>
      </c>
      <c r="C1673">
        <v>34.025700000000001</v>
      </c>
      <c r="D1673">
        <v>33.521700000000003</v>
      </c>
      <c r="E1673">
        <v>33.899700000000003</v>
      </c>
      <c r="F1673">
        <v>17177</v>
      </c>
    </row>
    <row r="1674" spans="1:6" x14ac:dyDescent="0.25">
      <c r="A1674" s="4">
        <v>36770</v>
      </c>
      <c r="B1674">
        <v>34.025700000000001</v>
      </c>
      <c r="C1674">
        <v>34.025700000000001</v>
      </c>
      <c r="D1674">
        <v>32.639499999999998</v>
      </c>
      <c r="E1674">
        <v>32.765500000000003</v>
      </c>
      <c r="F1674">
        <v>22628</v>
      </c>
    </row>
    <row r="1675" spans="1:6" x14ac:dyDescent="0.25">
      <c r="A1675" s="4">
        <v>36771</v>
      </c>
      <c r="B1675">
        <v>32.513500000000001</v>
      </c>
      <c r="C1675">
        <v>33.773699999999998</v>
      </c>
      <c r="D1675">
        <v>32.387500000000003</v>
      </c>
      <c r="E1675">
        <v>33.521700000000003</v>
      </c>
      <c r="F1675">
        <v>12236</v>
      </c>
    </row>
    <row r="1676" spans="1:6" x14ac:dyDescent="0.25">
      <c r="A1676" s="4">
        <v>36773</v>
      </c>
      <c r="B1676">
        <v>33.521700000000003</v>
      </c>
      <c r="C1676">
        <v>33.6477</v>
      </c>
      <c r="D1676">
        <v>33.143599999999999</v>
      </c>
      <c r="E1676">
        <v>33.6477</v>
      </c>
      <c r="F1676">
        <v>10959</v>
      </c>
    </row>
    <row r="1677" spans="1:6" x14ac:dyDescent="0.25">
      <c r="A1677" s="4">
        <v>36774</v>
      </c>
      <c r="B1677">
        <v>33.6477</v>
      </c>
      <c r="C1677">
        <v>33.899700000000003</v>
      </c>
      <c r="D1677">
        <v>33.269599999999997</v>
      </c>
      <c r="E1677">
        <v>33.773699999999998</v>
      </c>
      <c r="F1677">
        <v>12830</v>
      </c>
    </row>
    <row r="1678" spans="1:6" x14ac:dyDescent="0.25">
      <c r="A1678" s="4">
        <v>36775</v>
      </c>
      <c r="B1678">
        <v>33.269599999999997</v>
      </c>
      <c r="C1678">
        <v>33.395600000000002</v>
      </c>
      <c r="D1678">
        <v>32.765500000000003</v>
      </c>
      <c r="E1678">
        <v>33.017600000000002</v>
      </c>
      <c r="F1678">
        <v>16489</v>
      </c>
    </row>
    <row r="1679" spans="1:6" x14ac:dyDescent="0.25">
      <c r="A1679" s="4">
        <v>36776</v>
      </c>
      <c r="B1679">
        <v>31.883400000000002</v>
      </c>
      <c r="C1679">
        <v>32.261400000000002</v>
      </c>
      <c r="D1679">
        <v>31.505299999999998</v>
      </c>
      <c r="E1679">
        <v>31.6313</v>
      </c>
      <c r="F1679">
        <v>19595</v>
      </c>
    </row>
    <row r="1680" spans="1:6" x14ac:dyDescent="0.25">
      <c r="A1680" s="4">
        <v>36777</v>
      </c>
      <c r="B1680">
        <v>31.6313</v>
      </c>
      <c r="C1680">
        <v>31.883400000000002</v>
      </c>
      <c r="D1680">
        <v>31.253299999999999</v>
      </c>
      <c r="E1680">
        <v>31.379300000000001</v>
      </c>
      <c r="F1680">
        <v>15510</v>
      </c>
    </row>
    <row r="1681" spans="1:6" x14ac:dyDescent="0.25">
      <c r="A1681" s="4">
        <v>36780</v>
      </c>
      <c r="B1681">
        <v>31.127300000000002</v>
      </c>
      <c r="C1681">
        <v>31.505299999999998</v>
      </c>
      <c r="D1681">
        <v>31.127300000000002</v>
      </c>
      <c r="E1681">
        <v>31.253299999999999</v>
      </c>
      <c r="F1681">
        <v>17155</v>
      </c>
    </row>
    <row r="1682" spans="1:6" x14ac:dyDescent="0.25">
      <c r="A1682" s="4">
        <v>36782</v>
      </c>
      <c r="B1682">
        <v>30.749199999999998</v>
      </c>
      <c r="C1682">
        <v>31.505299999999998</v>
      </c>
      <c r="D1682">
        <v>29.867000000000001</v>
      </c>
      <c r="E1682">
        <v>31.253299999999999</v>
      </c>
      <c r="F1682">
        <v>34219</v>
      </c>
    </row>
    <row r="1683" spans="1:6" x14ac:dyDescent="0.25">
      <c r="A1683" s="4">
        <v>36783</v>
      </c>
      <c r="B1683">
        <v>30.623200000000001</v>
      </c>
      <c r="C1683">
        <v>31.001200000000001</v>
      </c>
      <c r="D1683">
        <v>30.1191</v>
      </c>
      <c r="E1683">
        <v>30.245100000000001</v>
      </c>
      <c r="F1683">
        <v>17053</v>
      </c>
    </row>
    <row r="1684" spans="1:6" x14ac:dyDescent="0.25">
      <c r="A1684" s="4">
        <v>36784</v>
      </c>
      <c r="B1684">
        <v>30.749199999999998</v>
      </c>
      <c r="C1684">
        <v>31.253299999999999</v>
      </c>
      <c r="D1684">
        <v>30.245100000000001</v>
      </c>
      <c r="E1684">
        <v>30.8752</v>
      </c>
      <c r="F1684">
        <v>23836</v>
      </c>
    </row>
    <row r="1685" spans="1:6" x14ac:dyDescent="0.25">
      <c r="A1685" s="4">
        <v>36785</v>
      </c>
      <c r="B1685">
        <v>30.4971</v>
      </c>
      <c r="C1685">
        <v>30.8752</v>
      </c>
      <c r="D1685">
        <v>30.371099999999998</v>
      </c>
      <c r="E1685">
        <v>30.623200000000001</v>
      </c>
      <c r="F1685">
        <v>12933</v>
      </c>
    </row>
    <row r="1686" spans="1:6" x14ac:dyDescent="0.25">
      <c r="A1686" s="4">
        <v>36787</v>
      </c>
      <c r="B1686">
        <v>30.245100000000001</v>
      </c>
      <c r="C1686">
        <v>30.749199999999998</v>
      </c>
      <c r="D1686">
        <v>29.867000000000001</v>
      </c>
      <c r="E1686">
        <v>30.4971</v>
      </c>
      <c r="F1686">
        <v>28184</v>
      </c>
    </row>
    <row r="1687" spans="1:6" x14ac:dyDescent="0.25">
      <c r="A1687" s="4">
        <v>36788</v>
      </c>
      <c r="B1687">
        <v>29.741</v>
      </c>
      <c r="C1687">
        <v>30.1191</v>
      </c>
      <c r="D1687">
        <v>28.480799999999999</v>
      </c>
      <c r="E1687">
        <v>28.480799999999999</v>
      </c>
      <c r="F1687">
        <v>38742</v>
      </c>
    </row>
    <row r="1688" spans="1:6" x14ac:dyDescent="0.25">
      <c r="A1688" s="4">
        <v>36789</v>
      </c>
      <c r="B1688">
        <v>29.110900000000001</v>
      </c>
      <c r="C1688">
        <v>29.363</v>
      </c>
      <c r="D1688">
        <v>28.480799999999999</v>
      </c>
      <c r="E1688">
        <v>28.9849</v>
      </c>
      <c r="F1688">
        <v>34698</v>
      </c>
    </row>
    <row r="1689" spans="1:6" x14ac:dyDescent="0.25">
      <c r="A1689" s="4">
        <v>36790</v>
      </c>
      <c r="B1689">
        <v>28.480799999999999</v>
      </c>
      <c r="C1689">
        <v>29.110900000000001</v>
      </c>
      <c r="D1689">
        <v>28.102699999999999</v>
      </c>
      <c r="E1689">
        <v>28.858899999999998</v>
      </c>
      <c r="F1689">
        <v>19716</v>
      </c>
    </row>
    <row r="1690" spans="1:6" x14ac:dyDescent="0.25">
      <c r="A1690" s="4">
        <v>36791</v>
      </c>
      <c r="B1690">
        <v>26.842500000000001</v>
      </c>
      <c r="C1690">
        <v>27.220600000000001</v>
      </c>
      <c r="D1690">
        <v>26.842500000000001</v>
      </c>
      <c r="E1690">
        <v>26.842500000000001</v>
      </c>
      <c r="F1690">
        <v>38288</v>
      </c>
    </row>
    <row r="1691" spans="1:6" x14ac:dyDescent="0.25">
      <c r="A1691" s="4">
        <v>36794</v>
      </c>
      <c r="B1691">
        <v>27.220600000000001</v>
      </c>
      <c r="C1691">
        <v>27.346599999999999</v>
      </c>
      <c r="D1691">
        <v>26.3384</v>
      </c>
      <c r="E1691">
        <v>26.842500000000001</v>
      </c>
      <c r="F1691">
        <v>25774</v>
      </c>
    </row>
    <row r="1692" spans="1:6" x14ac:dyDescent="0.25">
      <c r="A1692" s="4">
        <v>36795</v>
      </c>
      <c r="B1692">
        <v>26.842500000000001</v>
      </c>
      <c r="C1692">
        <v>28.6068</v>
      </c>
      <c r="D1692">
        <v>26.7165</v>
      </c>
      <c r="E1692">
        <v>28.6068</v>
      </c>
      <c r="F1692">
        <v>57279</v>
      </c>
    </row>
    <row r="1693" spans="1:6" x14ac:dyDescent="0.25">
      <c r="A1693" s="4">
        <v>36796</v>
      </c>
      <c r="B1693">
        <v>28.354800000000001</v>
      </c>
      <c r="C1693">
        <v>29.236899999999999</v>
      </c>
      <c r="D1693">
        <v>27.976700000000001</v>
      </c>
      <c r="E1693">
        <v>27.976700000000001</v>
      </c>
      <c r="F1693">
        <v>39454</v>
      </c>
    </row>
    <row r="1694" spans="1:6" x14ac:dyDescent="0.25">
      <c r="A1694" s="4">
        <v>36797</v>
      </c>
      <c r="B1694">
        <v>27.976700000000001</v>
      </c>
      <c r="C1694">
        <v>28.354800000000001</v>
      </c>
      <c r="D1694">
        <v>26.842500000000001</v>
      </c>
      <c r="E1694">
        <v>26.842500000000001</v>
      </c>
      <c r="F1694">
        <v>30979</v>
      </c>
    </row>
    <row r="1695" spans="1:6" x14ac:dyDescent="0.25">
      <c r="A1695" s="4">
        <v>36798</v>
      </c>
      <c r="B1695">
        <v>26.842500000000001</v>
      </c>
      <c r="C1695">
        <v>26.968599999999999</v>
      </c>
      <c r="D1695">
        <v>26.212399999999999</v>
      </c>
      <c r="E1695">
        <v>26.212399999999999</v>
      </c>
      <c r="F1695">
        <v>22123</v>
      </c>
    </row>
    <row r="1696" spans="1:6" x14ac:dyDescent="0.25">
      <c r="A1696" s="4">
        <v>36799</v>
      </c>
      <c r="B1696">
        <v>25.2043</v>
      </c>
      <c r="C1696">
        <v>25.834399999999999</v>
      </c>
      <c r="D1696">
        <v>25.078199999999999</v>
      </c>
      <c r="E1696">
        <v>25.2043</v>
      </c>
      <c r="F1696">
        <v>26652</v>
      </c>
    </row>
    <row r="1697" spans="1:6" x14ac:dyDescent="0.25">
      <c r="A1697" s="4">
        <v>36801</v>
      </c>
      <c r="B1697">
        <v>25.2043</v>
      </c>
      <c r="C1697">
        <v>25.708300000000001</v>
      </c>
      <c r="D1697">
        <v>24.8262</v>
      </c>
      <c r="E1697">
        <v>24.8262</v>
      </c>
      <c r="F1697">
        <v>39885</v>
      </c>
    </row>
    <row r="1698" spans="1:6" x14ac:dyDescent="0.25">
      <c r="A1698" s="4">
        <v>36802</v>
      </c>
      <c r="B1698">
        <v>24.4481</v>
      </c>
      <c r="C1698">
        <v>26.464500000000001</v>
      </c>
      <c r="D1698">
        <v>24.322099999999999</v>
      </c>
      <c r="E1698">
        <v>25.9604</v>
      </c>
      <c r="F1698">
        <v>56019</v>
      </c>
    </row>
    <row r="1699" spans="1:6" x14ac:dyDescent="0.25">
      <c r="A1699" s="4">
        <v>36803</v>
      </c>
      <c r="B1699">
        <v>25.078199999999999</v>
      </c>
      <c r="C1699">
        <v>25.078199999999999</v>
      </c>
      <c r="D1699">
        <v>25.078199999999999</v>
      </c>
      <c r="E1699">
        <v>25.078199999999999</v>
      </c>
      <c r="F1699">
        <v>24245</v>
      </c>
    </row>
    <row r="1700" spans="1:6" x14ac:dyDescent="0.25">
      <c r="A1700" s="4">
        <v>36804</v>
      </c>
      <c r="B1700">
        <v>24.700199999999999</v>
      </c>
      <c r="C1700">
        <v>26.590499999999999</v>
      </c>
      <c r="D1700">
        <v>24.700199999999999</v>
      </c>
      <c r="E1700">
        <v>25.9604</v>
      </c>
      <c r="F1700">
        <v>47638</v>
      </c>
    </row>
    <row r="1701" spans="1:6" x14ac:dyDescent="0.25">
      <c r="A1701" s="4">
        <v>36805</v>
      </c>
      <c r="B1701">
        <v>25.9604</v>
      </c>
      <c r="C1701">
        <v>27.724699999999999</v>
      </c>
      <c r="D1701">
        <v>25.9604</v>
      </c>
      <c r="E1701">
        <v>27.724699999999999</v>
      </c>
      <c r="F1701">
        <v>51705</v>
      </c>
    </row>
    <row r="1702" spans="1:6" x14ac:dyDescent="0.25">
      <c r="A1702" s="4">
        <v>36806</v>
      </c>
      <c r="B1702">
        <v>27.976700000000001</v>
      </c>
      <c r="C1702">
        <v>28.2288</v>
      </c>
      <c r="D1702">
        <v>27.220600000000001</v>
      </c>
      <c r="E1702">
        <v>27.976700000000001</v>
      </c>
      <c r="F1702">
        <v>22264</v>
      </c>
    </row>
    <row r="1703" spans="1:6" x14ac:dyDescent="0.25">
      <c r="A1703" s="4">
        <v>36808</v>
      </c>
      <c r="B1703">
        <v>27.4726</v>
      </c>
      <c r="C1703">
        <v>27.8507</v>
      </c>
      <c r="D1703">
        <v>27.0946</v>
      </c>
      <c r="E1703">
        <v>27.0946</v>
      </c>
      <c r="F1703">
        <v>29317</v>
      </c>
    </row>
    <row r="1704" spans="1:6" x14ac:dyDescent="0.25">
      <c r="A1704" s="4">
        <v>36810</v>
      </c>
      <c r="B1704">
        <v>26.212399999999999</v>
      </c>
      <c r="C1704">
        <v>26.212399999999999</v>
      </c>
      <c r="D1704">
        <v>26.212399999999999</v>
      </c>
      <c r="E1704">
        <v>26.212399999999999</v>
      </c>
      <c r="F1704">
        <v>8340</v>
      </c>
    </row>
    <row r="1705" spans="1:6" x14ac:dyDescent="0.25">
      <c r="A1705" s="4">
        <v>36811</v>
      </c>
      <c r="B1705">
        <v>24.574100000000001</v>
      </c>
      <c r="C1705">
        <v>25.456299999999999</v>
      </c>
      <c r="D1705">
        <v>24.4481</v>
      </c>
      <c r="E1705">
        <v>24.4481</v>
      </c>
      <c r="F1705">
        <v>52819</v>
      </c>
    </row>
    <row r="1706" spans="1:6" x14ac:dyDescent="0.25">
      <c r="A1706" s="4">
        <v>36812</v>
      </c>
      <c r="B1706">
        <v>22.809899999999999</v>
      </c>
      <c r="C1706">
        <v>24.700199999999999</v>
      </c>
      <c r="D1706">
        <v>22.809899999999999</v>
      </c>
      <c r="E1706">
        <v>24.322099999999999</v>
      </c>
      <c r="F1706">
        <v>55330</v>
      </c>
    </row>
    <row r="1707" spans="1:6" x14ac:dyDescent="0.25">
      <c r="A1707" s="4">
        <v>36815</v>
      </c>
      <c r="B1707">
        <v>25.834399999999999</v>
      </c>
      <c r="C1707">
        <v>25.834399999999999</v>
      </c>
      <c r="D1707">
        <v>22.809899999999999</v>
      </c>
      <c r="E1707">
        <v>23.061900000000001</v>
      </c>
      <c r="F1707">
        <v>51177</v>
      </c>
    </row>
    <row r="1708" spans="1:6" x14ac:dyDescent="0.25">
      <c r="A1708" s="4">
        <v>36816</v>
      </c>
      <c r="B1708">
        <v>22.683800000000002</v>
      </c>
      <c r="C1708">
        <v>23.943999999999999</v>
      </c>
      <c r="D1708">
        <v>22.683800000000002</v>
      </c>
      <c r="E1708">
        <v>23.692</v>
      </c>
      <c r="F1708">
        <v>44201</v>
      </c>
    </row>
    <row r="1709" spans="1:6" x14ac:dyDescent="0.25">
      <c r="A1709" s="4">
        <v>36817</v>
      </c>
      <c r="B1709">
        <v>23.44</v>
      </c>
      <c r="C1709">
        <v>23.692</v>
      </c>
      <c r="D1709">
        <v>22.053699999999999</v>
      </c>
      <c r="E1709">
        <v>22.053699999999999</v>
      </c>
      <c r="F1709">
        <v>57668</v>
      </c>
    </row>
    <row r="1710" spans="1:6" x14ac:dyDescent="0.25">
      <c r="A1710" s="4">
        <v>36818</v>
      </c>
      <c r="B1710">
        <v>20.919499999999999</v>
      </c>
      <c r="C1710">
        <v>21.8017</v>
      </c>
      <c r="D1710">
        <v>20.541499999999999</v>
      </c>
      <c r="E1710">
        <v>20.541499999999999</v>
      </c>
      <c r="F1710">
        <v>57450</v>
      </c>
    </row>
    <row r="1711" spans="1:6" x14ac:dyDescent="0.25">
      <c r="A1711" s="4">
        <v>36819</v>
      </c>
      <c r="B1711">
        <v>21.927700000000002</v>
      </c>
      <c r="C1711">
        <v>21.927700000000002</v>
      </c>
      <c r="D1711">
        <v>21.927700000000002</v>
      </c>
      <c r="E1711">
        <v>21.927700000000002</v>
      </c>
      <c r="F1711">
        <v>15340</v>
      </c>
    </row>
    <row r="1712" spans="1:6" x14ac:dyDescent="0.25">
      <c r="A1712" s="4">
        <v>36820</v>
      </c>
      <c r="B1712">
        <v>23.44</v>
      </c>
      <c r="C1712">
        <v>23.44</v>
      </c>
      <c r="D1712">
        <v>23.44</v>
      </c>
      <c r="E1712">
        <v>23.44</v>
      </c>
      <c r="F1712">
        <v>10400</v>
      </c>
    </row>
    <row r="1713" spans="1:6" x14ac:dyDescent="0.25">
      <c r="A1713" s="4">
        <v>36822</v>
      </c>
      <c r="B1713">
        <v>25.078199999999999</v>
      </c>
      <c r="C1713">
        <v>25.078199999999999</v>
      </c>
      <c r="D1713">
        <v>24.4481</v>
      </c>
      <c r="E1713">
        <v>25.078199999999999</v>
      </c>
      <c r="F1713">
        <v>112865</v>
      </c>
    </row>
    <row r="1714" spans="1:6" x14ac:dyDescent="0.25">
      <c r="A1714" s="4">
        <v>36823</v>
      </c>
      <c r="B1714">
        <v>25.078199999999999</v>
      </c>
      <c r="C1714">
        <v>26.7165</v>
      </c>
      <c r="D1714">
        <v>24.700199999999999</v>
      </c>
      <c r="E1714">
        <v>26.7165</v>
      </c>
      <c r="F1714">
        <v>80822</v>
      </c>
    </row>
    <row r="1715" spans="1:6" x14ac:dyDescent="0.25">
      <c r="A1715" s="4">
        <v>36824</v>
      </c>
      <c r="B1715">
        <v>26.3384</v>
      </c>
      <c r="C1715">
        <v>27.4726</v>
      </c>
      <c r="D1715">
        <v>26.3384</v>
      </c>
      <c r="E1715">
        <v>27.0946</v>
      </c>
      <c r="F1715">
        <v>61308</v>
      </c>
    </row>
    <row r="1716" spans="1:6" x14ac:dyDescent="0.25">
      <c r="A1716" s="4">
        <v>36825</v>
      </c>
      <c r="B1716">
        <v>26.212399999999999</v>
      </c>
      <c r="C1716">
        <v>27.0946</v>
      </c>
      <c r="D1716">
        <v>26.212399999999999</v>
      </c>
      <c r="E1716">
        <v>26.590499999999999</v>
      </c>
      <c r="F1716">
        <v>47068</v>
      </c>
    </row>
    <row r="1717" spans="1:6" x14ac:dyDescent="0.25">
      <c r="A1717" s="4">
        <v>36826</v>
      </c>
      <c r="B1717">
        <v>27.598700000000001</v>
      </c>
      <c r="C1717">
        <v>27.598700000000001</v>
      </c>
      <c r="D1717">
        <v>25.708300000000001</v>
      </c>
      <c r="E1717">
        <v>25.708300000000001</v>
      </c>
      <c r="F1717">
        <v>51145</v>
      </c>
    </row>
    <row r="1718" spans="1:6" x14ac:dyDescent="0.25">
      <c r="A1718" s="4">
        <v>36829</v>
      </c>
      <c r="B1718">
        <v>24.8262</v>
      </c>
      <c r="C1718">
        <v>24.8262</v>
      </c>
      <c r="D1718">
        <v>24.8262</v>
      </c>
      <c r="E1718">
        <v>24.8262</v>
      </c>
      <c r="F1718">
        <v>12596</v>
      </c>
    </row>
    <row r="1719" spans="1:6" x14ac:dyDescent="0.25">
      <c r="A1719" s="4">
        <v>36830</v>
      </c>
      <c r="B1719">
        <v>24.0701</v>
      </c>
      <c r="C1719">
        <v>24.952200000000001</v>
      </c>
      <c r="D1719">
        <v>24.0701</v>
      </c>
      <c r="E1719">
        <v>24.700199999999999</v>
      </c>
      <c r="F1719">
        <v>68147</v>
      </c>
    </row>
    <row r="1720" spans="1:6" x14ac:dyDescent="0.25">
      <c r="A1720" s="4">
        <v>36831</v>
      </c>
      <c r="B1720">
        <v>25.456299999999999</v>
      </c>
      <c r="C1720">
        <v>25.456299999999999</v>
      </c>
      <c r="D1720">
        <v>24.322099999999999</v>
      </c>
      <c r="E1720">
        <v>24.4481</v>
      </c>
      <c r="F1720">
        <v>51440</v>
      </c>
    </row>
    <row r="1721" spans="1:6" x14ac:dyDescent="0.25">
      <c r="A1721" s="4">
        <v>36832</v>
      </c>
      <c r="B1721">
        <v>24.574100000000001</v>
      </c>
      <c r="C1721">
        <v>26.086400000000001</v>
      </c>
      <c r="D1721">
        <v>24.4481</v>
      </c>
      <c r="E1721">
        <v>26.086400000000001</v>
      </c>
      <c r="F1721">
        <v>54746</v>
      </c>
    </row>
    <row r="1722" spans="1:6" x14ac:dyDescent="0.25">
      <c r="A1722" s="4">
        <v>36833</v>
      </c>
      <c r="B1722">
        <v>27.220600000000001</v>
      </c>
      <c r="C1722">
        <v>27.724699999999999</v>
      </c>
      <c r="D1722">
        <v>26.7165</v>
      </c>
      <c r="E1722">
        <v>27.598700000000001</v>
      </c>
      <c r="F1722">
        <v>71285</v>
      </c>
    </row>
    <row r="1723" spans="1:6" x14ac:dyDescent="0.25">
      <c r="A1723" s="4">
        <v>36834</v>
      </c>
      <c r="B1723">
        <v>27.598700000000001</v>
      </c>
      <c r="C1723">
        <v>27.724699999999999</v>
      </c>
      <c r="D1723">
        <v>26.7165</v>
      </c>
      <c r="E1723">
        <v>26.7165</v>
      </c>
      <c r="F1723">
        <v>25698</v>
      </c>
    </row>
    <row r="1724" spans="1:6" x14ac:dyDescent="0.25">
      <c r="A1724" s="4">
        <v>36836</v>
      </c>
      <c r="B1724">
        <v>26.590499999999999</v>
      </c>
      <c r="C1724">
        <v>27.8507</v>
      </c>
      <c r="D1724">
        <v>26.3384</v>
      </c>
      <c r="E1724">
        <v>27.4726</v>
      </c>
      <c r="F1724">
        <v>70240</v>
      </c>
    </row>
    <row r="1725" spans="1:6" x14ac:dyDescent="0.25">
      <c r="A1725" s="4">
        <v>36837</v>
      </c>
      <c r="B1725">
        <v>28.732900000000001</v>
      </c>
      <c r="C1725">
        <v>29.363</v>
      </c>
      <c r="D1725">
        <v>28.2288</v>
      </c>
      <c r="E1725">
        <v>29.363</v>
      </c>
      <c r="F1725">
        <v>72523</v>
      </c>
    </row>
    <row r="1726" spans="1:6" x14ac:dyDescent="0.25">
      <c r="A1726" s="4">
        <v>36838</v>
      </c>
      <c r="B1726">
        <v>29.993099999999998</v>
      </c>
      <c r="C1726">
        <v>30.8752</v>
      </c>
      <c r="D1726">
        <v>29.363</v>
      </c>
      <c r="E1726">
        <v>29.489000000000001</v>
      </c>
      <c r="F1726">
        <v>68139</v>
      </c>
    </row>
    <row r="1727" spans="1:6" x14ac:dyDescent="0.25">
      <c r="A1727" s="4">
        <v>36839</v>
      </c>
      <c r="B1727">
        <v>28.9849</v>
      </c>
      <c r="C1727">
        <v>28.9849</v>
      </c>
      <c r="D1727">
        <v>28.102699999999999</v>
      </c>
      <c r="E1727">
        <v>28.9849</v>
      </c>
      <c r="F1727">
        <v>48325</v>
      </c>
    </row>
    <row r="1728" spans="1:6" x14ac:dyDescent="0.25">
      <c r="A1728" s="4">
        <v>36840</v>
      </c>
      <c r="B1728">
        <v>28.2288</v>
      </c>
      <c r="C1728">
        <v>28.9849</v>
      </c>
      <c r="D1728">
        <v>27.976700000000001</v>
      </c>
      <c r="E1728">
        <v>28.732900000000001</v>
      </c>
      <c r="F1728">
        <v>50439</v>
      </c>
    </row>
    <row r="1729" spans="1:6" x14ac:dyDescent="0.25">
      <c r="A1729" s="4">
        <v>36843</v>
      </c>
      <c r="B1729">
        <v>26.842500000000001</v>
      </c>
      <c r="C1729">
        <v>27.346599999999999</v>
      </c>
      <c r="D1729">
        <v>26.842500000000001</v>
      </c>
      <c r="E1729">
        <v>26.842500000000001</v>
      </c>
      <c r="F1729">
        <v>42173</v>
      </c>
    </row>
    <row r="1730" spans="1:6" x14ac:dyDescent="0.25">
      <c r="A1730" s="4">
        <v>36844</v>
      </c>
      <c r="B1730">
        <v>26.7165</v>
      </c>
      <c r="C1730">
        <v>27.4726</v>
      </c>
      <c r="D1730">
        <v>26.590499999999999</v>
      </c>
      <c r="E1730">
        <v>26.842500000000001</v>
      </c>
      <c r="F1730">
        <v>30241</v>
      </c>
    </row>
    <row r="1731" spans="1:6" x14ac:dyDescent="0.25">
      <c r="A1731" s="4">
        <v>36845</v>
      </c>
      <c r="B1731">
        <v>27.724699999999999</v>
      </c>
      <c r="C1731">
        <v>27.8507</v>
      </c>
      <c r="D1731">
        <v>25.9604</v>
      </c>
      <c r="E1731">
        <v>26.968599999999999</v>
      </c>
      <c r="F1731">
        <v>39833</v>
      </c>
    </row>
    <row r="1732" spans="1:6" x14ac:dyDescent="0.25">
      <c r="A1732" s="4">
        <v>36846</v>
      </c>
      <c r="B1732">
        <v>25.2043</v>
      </c>
      <c r="C1732">
        <v>26.590499999999999</v>
      </c>
      <c r="D1732">
        <v>25.2043</v>
      </c>
      <c r="E1732">
        <v>25.2043</v>
      </c>
      <c r="F1732">
        <v>42372</v>
      </c>
    </row>
    <row r="1733" spans="1:6" x14ac:dyDescent="0.25">
      <c r="A1733" s="4">
        <v>36847</v>
      </c>
      <c r="B1733">
        <v>23.44</v>
      </c>
      <c r="C1733">
        <v>25.2043</v>
      </c>
      <c r="D1733">
        <v>23.44</v>
      </c>
      <c r="E1733">
        <v>24.8262</v>
      </c>
      <c r="F1733">
        <v>43157</v>
      </c>
    </row>
    <row r="1734" spans="1:6" x14ac:dyDescent="0.25">
      <c r="A1734" s="4">
        <v>36848</v>
      </c>
      <c r="B1734">
        <v>24.0701</v>
      </c>
      <c r="C1734">
        <v>24.4481</v>
      </c>
      <c r="D1734">
        <v>23.44</v>
      </c>
      <c r="E1734">
        <v>23.692</v>
      </c>
      <c r="F1734">
        <v>25719</v>
      </c>
    </row>
    <row r="1735" spans="1:6" x14ac:dyDescent="0.25">
      <c r="A1735" s="4">
        <v>36850</v>
      </c>
      <c r="B1735">
        <v>22.1797</v>
      </c>
      <c r="C1735">
        <v>23.187899999999999</v>
      </c>
      <c r="D1735">
        <v>22.1797</v>
      </c>
      <c r="E1735">
        <v>22.1797</v>
      </c>
      <c r="F1735">
        <v>35504</v>
      </c>
    </row>
    <row r="1736" spans="1:6" x14ac:dyDescent="0.25">
      <c r="A1736" s="4">
        <v>36851</v>
      </c>
      <c r="B1736">
        <v>21.927700000000002</v>
      </c>
      <c r="C1736">
        <v>23.692</v>
      </c>
      <c r="D1736">
        <v>21.927700000000002</v>
      </c>
      <c r="E1736">
        <v>23.692</v>
      </c>
      <c r="F1736">
        <v>40573</v>
      </c>
    </row>
    <row r="1737" spans="1:6" x14ac:dyDescent="0.25">
      <c r="A1737" s="4">
        <v>36852</v>
      </c>
      <c r="B1737">
        <v>23.818000000000001</v>
      </c>
      <c r="C1737">
        <v>24.4481</v>
      </c>
      <c r="D1737">
        <v>22.9359</v>
      </c>
      <c r="E1737">
        <v>22.9359</v>
      </c>
      <c r="F1737">
        <v>51108</v>
      </c>
    </row>
    <row r="1738" spans="1:6" x14ac:dyDescent="0.25">
      <c r="A1738" s="4">
        <v>36853</v>
      </c>
      <c r="B1738">
        <v>22.305800000000001</v>
      </c>
      <c r="C1738">
        <v>22.683800000000002</v>
      </c>
      <c r="D1738">
        <v>22.1797</v>
      </c>
      <c r="E1738">
        <v>22.431799999999999</v>
      </c>
      <c r="F1738">
        <v>26955</v>
      </c>
    </row>
    <row r="1739" spans="1:6" x14ac:dyDescent="0.25">
      <c r="A1739" s="4">
        <v>36854</v>
      </c>
      <c r="B1739">
        <v>22.9359</v>
      </c>
      <c r="C1739">
        <v>23.943999999999999</v>
      </c>
      <c r="D1739">
        <v>22.809899999999999</v>
      </c>
      <c r="E1739">
        <v>23.943999999999999</v>
      </c>
      <c r="F1739">
        <v>46019</v>
      </c>
    </row>
    <row r="1740" spans="1:6" x14ac:dyDescent="0.25">
      <c r="A1740" s="4">
        <v>36857</v>
      </c>
      <c r="B1740">
        <v>24.700199999999999</v>
      </c>
      <c r="C1740">
        <v>24.700199999999999</v>
      </c>
      <c r="D1740">
        <v>23.818000000000001</v>
      </c>
      <c r="E1740">
        <v>23.818000000000001</v>
      </c>
      <c r="F1740">
        <v>31146</v>
      </c>
    </row>
    <row r="1741" spans="1:6" x14ac:dyDescent="0.25">
      <c r="A1741" s="4">
        <v>36858</v>
      </c>
      <c r="B1741">
        <v>23.565999999999999</v>
      </c>
      <c r="C1741">
        <v>23.692</v>
      </c>
      <c r="D1741">
        <v>23.3139</v>
      </c>
      <c r="E1741">
        <v>23.3139</v>
      </c>
      <c r="F1741">
        <v>18505</v>
      </c>
    </row>
    <row r="1742" spans="1:6" x14ac:dyDescent="0.25">
      <c r="A1742" s="4">
        <v>36859</v>
      </c>
      <c r="B1742">
        <v>22.809899999999999</v>
      </c>
      <c r="C1742">
        <v>23.061900000000001</v>
      </c>
      <c r="D1742">
        <v>22.683800000000002</v>
      </c>
      <c r="E1742">
        <v>22.809899999999999</v>
      </c>
      <c r="F1742">
        <v>21559</v>
      </c>
    </row>
    <row r="1743" spans="1:6" x14ac:dyDescent="0.25">
      <c r="A1743" s="4">
        <v>36860</v>
      </c>
      <c r="B1743">
        <v>22.809899999999999</v>
      </c>
      <c r="C1743">
        <v>23.187899999999999</v>
      </c>
      <c r="D1743">
        <v>22.305800000000001</v>
      </c>
      <c r="E1743">
        <v>22.5578</v>
      </c>
      <c r="F1743">
        <v>35249</v>
      </c>
    </row>
    <row r="1744" spans="1:6" x14ac:dyDescent="0.25">
      <c r="A1744" s="4">
        <v>36861</v>
      </c>
      <c r="B1744">
        <v>21.927700000000002</v>
      </c>
      <c r="C1744">
        <v>23.061900000000001</v>
      </c>
      <c r="D1744">
        <v>21.927700000000002</v>
      </c>
      <c r="E1744">
        <v>23.061900000000001</v>
      </c>
      <c r="F1744">
        <v>29977</v>
      </c>
    </row>
    <row r="1745" spans="1:6" x14ac:dyDescent="0.25">
      <c r="A1745" s="4">
        <v>36862</v>
      </c>
      <c r="B1745">
        <v>23.061900000000001</v>
      </c>
      <c r="C1745">
        <v>23.187899999999999</v>
      </c>
      <c r="D1745">
        <v>22.431799999999999</v>
      </c>
      <c r="E1745">
        <v>22.683800000000002</v>
      </c>
      <c r="F1745">
        <v>13255</v>
      </c>
    </row>
    <row r="1746" spans="1:6" x14ac:dyDescent="0.25">
      <c r="A1746" s="4">
        <v>36864</v>
      </c>
      <c r="B1746">
        <v>22.5578</v>
      </c>
      <c r="C1746">
        <v>22.5578</v>
      </c>
      <c r="D1746">
        <v>22.1797</v>
      </c>
      <c r="E1746">
        <v>22.1797</v>
      </c>
      <c r="F1746">
        <v>13514</v>
      </c>
    </row>
    <row r="1747" spans="1:6" x14ac:dyDescent="0.25">
      <c r="A1747" s="4">
        <v>36865</v>
      </c>
      <c r="B1747">
        <v>21.927700000000002</v>
      </c>
      <c r="C1747">
        <v>22.5578</v>
      </c>
      <c r="D1747">
        <v>21.927700000000002</v>
      </c>
      <c r="E1747">
        <v>22.305800000000001</v>
      </c>
      <c r="F1747">
        <v>25771</v>
      </c>
    </row>
    <row r="1748" spans="1:6" x14ac:dyDescent="0.25">
      <c r="A1748" s="4">
        <v>36866</v>
      </c>
      <c r="B1748">
        <v>23.692</v>
      </c>
      <c r="C1748">
        <v>23.692</v>
      </c>
      <c r="D1748">
        <v>22.305800000000001</v>
      </c>
      <c r="E1748">
        <v>22.431799999999999</v>
      </c>
      <c r="F1748">
        <v>33782</v>
      </c>
    </row>
    <row r="1749" spans="1:6" x14ac:dyDescent="0.25">
      <c r="A1749" s="4">
        <v>36867</v>
      </c>
      <c r="B1749">
        <v>22.431799999999999</v>
      </c>
      <c r="C1749">
        <v>22.9359</v>
      </c>
      <c r="D1749">
        <v>22.305800000000001</v>
      </c>
      <c r="E1749">
        <v>22.9359</v>
      </c>
      <c r="F1749">
        <v>27656</v>
      </c>
    </row>
    <row r="1750" spans="1:6" x14ac:dyDescent="0.25">
      <c r="A1750" s="4">
        <v>36868</v>
      </c>
      <c r="B1750">
        <v>22.9359</v>
      </c>
      <c r="C1750">
        <v>23.061900000000001</v>
      </c>
      <c r="D1750">
        <v>22.5578</v>
      </c>
      <c r="E1750">
        <v>22.683800000000002</v>
      </c>
      <c r="F1750">
        <v>22742</v>
      </c>
    </row>
    <row r="1751" spans="1:6" x14ac:dyDescent="0.25">
      <c r="A1751" s="4">
        <v>36871</v>
      </c>
      <c r="B1751">
        <v>22.9359</v>
      </c>
      <c r="C1751">
        <v>23.061900000000001</v>
      </c>
      <c r="D1751">
        <v>22.5578</v>
      </c>
      <c r="E1751">
        <v>22.683800000000002</v>
      </c>
      <c r="F1751">
        <v>21336</v>
      </c>
    </row>
    <row r="1752" spans="1:6" x14ac:dyDescent="0.25">
      <c r="A1752" s="4">
        <v>36872</v>
      </c>
      <c r="B1752">
        <v>22.9359</v>
      </c>
      <c r="C1752">
        <v>23.44</v>
      </c>
      <c r="D1752">
        <v>22.9359</v>
      </c>
      <c r="E1752">
        <v>23.3139</v>
      </c>
      <c r="F1752">
        <v>41234</v>
      </c>
    </row>
    <row r="1753" spans="1:6" x14ac:dyDescent="0.25">
      <c r="A1753" s="4">
        <v>36873</v>
      </c>
      <c r="B1753">
        <v>23.3139</v>
      </c>
      <c r="C1753">
        <v>23.44</v>
      </c>
      <c r="D1753">
        <v>23.061900000000001</v>
      </c>
      <c r="E1753">
        <v>23.187899999999999</v>
      </c>
      <c r="F1753">
        <v>11266</v>
      </c>
    </row>
    <row r="1754" spans="1:6" x14ac:dyDescent="0.25">
      <c r="A1754" s="4">
        <v>36874</v>
      </c>
      <c r="B1754">
        <v>22.9359</v>
      </c>
      <c r="C1754">
        <v>23.061900000000001</v>
      </c>
      <c r="D1754">
        <v>22.5578</v>
      </c>
      <c r="E1754">
        <v>22.809899999999999</v>
      </c>
      <c r="F1754">
        <v>13908</v>
      </c>
    </row>
    <row r="1755" spans="1:6" x14ac:dyDescent="0.25">
      <c r="A1755" s="4">
        <v>36875</v>
      </c>
      <c r="B1755">
        <v>22.305800000000001</v>
      </c>
      <c r="C1755">
        <v>22.431799999999999</v>
      </c>
      <c r="D1755">
        <v>22.1797</v>
      </c>
      <c r="E1755">
        <v>22.1797</v>
      </c>
      <c r="F1755">
        <v>14337</v>
      </c>
    </row>
    <row r="1756" spans="1:6" x14ac:dyDescent="0.25">
      <c r="A1756" s="4">
        <v>36876</v>
      </c>
      <c r="B1756">
        <v>22.053699999999999</v>
      </c>
      <c r="C1756">
        <v>22.1797</v>
      </c>
      <c r="D1756">
        <v>21.927700000000002</v>
      </c>
      <c r="E1756">
        <v>22.053699999999999</v>
      </c>
      <c r="F1756">
        <v>8753</v>
      </c>
    </row>
    <row r="1757" spans="1:6" x14ac:dyDescent="0.25">
      <c r="A1757" s="4">
        <v>36878</v>
      </c>
      <c r="B1757">
        <v>21.927700000000002</v>
      </c>
      <c r="C1757">
        <v>22.053699999999999</v>
      </c>
      <c r="D1757">
        <v>21.297599999999999</v>
      </c>
      <c r="E1757">
        <v>21.297599999999999</v>
      </c>
      <c r="F1757">
        <v>16548</v>
      </c>
    </row>
    <row r="1758" spans="1:6" x14ac:dyDescent="0.25">
      <c r="A1758" s="4">
        <v>36879</v>
      </c>
      <c r="B1758">
        <v>20.919499999999999</v>
      </c>
      <c r="C1758">
        <v>21.171600000000002</v>
      </c>
      <c r="D1758">
        <v>20.6675</v>
      </c>
      <c r="E1758">
        <v>21.171600000000002</v>
      </c>
      <c r="F1758">
        <v>27685</v>
      </c>
    </row>
    <row r="1759" spans="1:6" x14ac:dyDescent="0.25">
      <c r="A1759" s="4">
        <v>36880</v>
      </c>
      <c r="B1759">
        <v>20.6675</v>
      </c>
      <c r="C1759">
        <v>20.919499999999999</v>
      </c>
      <c r="D1759">
        <v>20.541499999999999</v>
      </c>
      <c r="E1759">
        <v>20.541499999999999</v>
      </c>
      <c r="F1759">
        <v>26833</v>
      </c>
    </row>
    <row r="1760" spans="1:6" x14ac:dyDescent="0.25">
      <c r="A1760" s="4">
        <v>36881</v>
      </c>
      <c r="B1760">
        <v>19.9114</v>
      </c>
      <c r="C1760">
        <v>20.037400000000002</v>
      </c>
      <c r="D1760">
        <v>19.9114</v>
      </c>
      <c r="E1760">
        <v>19.9114</v>
      </c>
      <c r="F1760">
        <v>20874</v>
      </c>
    </row>
    <row r="1761" spans="1:6" x14ac:dyDescent="0.25">
      <c r="A1761" s="4">
        <v>36882</v>
      </c>
      <c r="B1761">
        <v>19.785299999999999</v>
      </c>
      <c r="C1761">
        <v>20.415400000000002</v>
      </c>
      <c r="D1761">
        <v>19.281300000000002</v>
      </c>
      <c r="E1761">
        <v>19.659300000000002</v>
      </c>
      <c r="F1761">
        <v>31969</v>
      </c>
    </row>
    <row r="1762" spans="1:6" x14ac:dyDescent="0.25">
      <c r="A1762" s="4">
        <v>36886</v>
      </c>
      <c r="B1762">
        <v>20.037400000000002</v>
      </c>
      <c r="C1762">
        <v>20.163399999999999</v>
      </c>
      <c r="D1762">
        <v>19.029199999999999</v>
      </c>
      <c r="E1762">
        <v>19.155200000000001</v>
      </c>
      <c r="F1762">
        <v>14940</v>
      </c>
    </row>
    <row r="1763" spans="1:6" x14ac:dyDescent="0.25">
      <c r="A1763" s="4">
        <v>36887</v>
      </c>
      <c r="B1763">
        <v>19.155200000000001</v>
      </c>
      <c r="C1763">
        <v>19.155200000000001</v>
      </c>
      <c r="D1763">
        <v>18.777200000000001</v>
      </c>
      <c r="E1763">
        <v>18.903199999999998</v>
      </c>
      <c r="F1763">
        <v>20502</v>
      </c>
    </row>
    <row r="1764" spans="1:6" x14ac:dyDescent="0.25">
      <c r="A1764" s="4">
        <v>36888</v>
      </c>
      <c r="B1764">
        <v>19.407299999999999</v>
      </c>
      <c r="C1764">
        <v>20.163399999999999</v>
      </c>
      <c r="D1764">
        <v>19.029199999999999</v>
      </c>
      <c r="E1764">
        <v>20.163399999999999</v>
      </c>
      <c r="F1764">
        <v>35550</v>
      </c>
    </row>
    <row r="1765" spans="1:6" x14ac:dyDescent="0.25">
      <c r="A1765" s="4">
        <v>36889</v>
      </c>
      <c r="B1765">
        <v>20.541499999999999</v>
      </c>
      <c r="C1765">
        <v>20.541499999999999</v>
      </c>
      <c r="D1765">
        <v>19.9114</v>
      </c>
      <c r="E1765">
        <v>20.037400000000002</v>
      </c>
      <c r="F1765">
        <v>36369</v>
      </c>
    </row>
    <row r="1766" spans="1:6" x14ac:dyDescent="0.25">
      <c r="A1766" s="4">
        <v>36890</v>
      </c>
      <c r="B1766">
        <v>19.785299999999999</v>
      </c>
      <c r="C1766">
        <v>20.289400000000001</v>
      </c>
      <c r="D1766">
        <v>19.659300000000002</v>
      </c>
      <c r="E1766">
        <v>19.785299999999999</v>
      </c>
      <c r="F1766">
        <v>13276</v>
      </c>
    </row>
    <row r="1767" spans="1:6" x14ac:dyDescent="0.25">
      <c r="A1767" s="4">
        <v>36893</v>
      </c>
      <c r="B1767">
        <v>19.659300000000002</v>
      </c>
      <c r="C1767">
        <v>21.0456</v>
      </c>
      <c r="D1767">
        <v>19.533300000000001</v>
      </c>
      <c r="E1767">
        <v>21.0456</v>
      </c>
      <c r="F1767">
        <v>31479</v>
      </c>
    </row>
    <row r="1768" spans="1:6" x14ac:dyDescent="0.25">
      <c r="A1768" s="4">
        <v>36894</v>
      </c>
      <c r="B1768">
        <v>20.289400000000001</v>
      </c>
      <c r="C1768">
        <v>20.793500000000002</v>
      </c>
      <c r="D1768">
        <v>20.037400000000002</v>
      </c>
      <c r="E1768">
        <v>20.289400000000001</v>
      </c>
      <c r="F1768">
        <v>31731</v>
      </c>
    </row>
    <row r="1769" spans="1:6" x14ac:dyDescent="0.25">
      <c r="A1769" s="4">
        <v>36895</v>
      </c>
      <c r="B1769">
        <v>21.549600000000002</v>
      </c>
      <c r="C1769">
        <v>21.675699999999999</v>
      </c>
      <c r="D1769">
        <v>21.0456</v>
      </c>
      <c r="E1769">
        <v>21.4236</v>
      </c>
      <c r="F1769">
        <v>67142</v>
      </c>
    </row>
    <row r="1770" spans="1:6" x14ac:dyDescent="0.25">
      <c r="A1770" s="4">
        <v>36896</v>
      </c>
      <c r="B1770">
        <v>21.4236</v>
      </c>
      <c r="C1770">
        <v>22.809899999999999</v>
      </c>
      <c r="D1770">
        <v>21.4236</v>
      </c>
      <c r="E1770">
        <v>22.809899999999999</v>
      </c>
      <c r="F1770">
        <v>57538</v>
      </c>
    </row>
    <row r="1771" spans="1:6" x14ac:dyDescent="0.25">
      <c r="A1771" s="4">
        <v>36899</v>
      </c>
      <c r="B1771">
        <v>22.5578</v>
      </c>
      <c r="C1771">
        <v>23.565999999999999</v>
      </c>
      <c r="D1771">
        <v>22.1797</v>
      </c>
      <c r="E1771">
        <v>22.5578</v>
      </c>
      <c r="F1771">
        <v>55458</v>
      </c>
    </row>
    <row r="1772" spans="1:6" x14ac:dyDescent="0.25">
      <c r="A1772" s="4">
        <v>36900</v>
      </c>
      <c r="B1772">
        <v>22.809899999999999</v>
      </c>
      <c r="C1772">
        <v>23.44</v>
      </c>
      <c r="D1772">
        <v>22.809899999999999</v>
      </c>
      <c r="E1772">
        <v>23.44</v>
      </c>
      <c r="F1772">
        <v>44746</v>
      </c>
    </row>
    <row r="1773" spans="1:6" x14ac:dyDescent="0.25">
      <c r="A1773" s="4">
        <v>36901</v>
      </c>
      <c r="B1773">
        <v>23.692</v>
      </c>
      <c r="C1773">
        <v>23.943999999999999</v>
      </c>
      <c r="D1773">
        <v>23.3139</v>
      </c>
      <c r="E1773">
        <v>23.692</v>
      </c>
      <c r="F1773">
        <v>33171</v>
      </c>
    </row>
    <row r="1774" spans="1:6" x14ac:dyDescent="0.25">
      <c r="A1774" s="4">
        <v>36902</v>
      </c>
      <c r="B1774">
        <v>23.943999999999999</v>
      </c>
      <c r="C1774">
        <v>24.0701</v>
      </c>
      <c r="D1774">
        <v>23.187899999999999</v>
      </c>
      <c r="E1774">
        <v>23.3139</v>
      </c>
      <c r="F1774">
        <v>36400</v>
      </c>
    </row>
    <row r="1775" spans="1:6" x14ac:dyDescent="0.25">
      <c r="A1775" s="4">
        <v>36903</v>
      </c>
      <c r="B1775">
        <v>23.44</v>
      </c>
      <c r="C1775">
        <v>23.692</v>
      </c>
      <c r="D1775">
        <v>23.3139</v>
      </c>
      <c r="E1775">
        <v>23.692</v>
      </c>
      <c r="F1775">
        <v>27241</v>
      </c>
    </row>
    <row r="1776" spans="1:6" x14ac:dyDescent="0.25">
      <c r="A1776" s="4">
        <v>36906</v>
      </c>
      <c r="B1776">
        <v>23.692</v>
      </c>
      <c r="C1776">
        <v>23.818000000000001</v>
      </c>
      <c r="D1776">
        <v>23.3139</v>
      </c>
      <c r="E1776">
        <v>23.818000000000001</v>
      </c>
      <c r="F1776">
        <v>25696</v>
      </c>
    </row>
    <row r="1777" spans="1:6" x14ac:dyDescent="0.25">
      <c r="A1777" s="4">
        <v>36907</v>
      </c>
      <c r="B1777">
        <v>23.692</v>
      </c>
      <c r="C1777">
        <v>25.456299999999999</v>
      </c>
      <c r="D1777">
        <v>23.692</v>
      </c>
      <c r="E1777">
        <v>25.456299999999999</v>
      </c>
      <c r="F1777">
        <v>75014</v>
      </c>
    </row>
    <row r="1778" spans="1:6" x14ac:dyDescent="0.25">
      <c r="A1778" s="4">
        <v>36908</v>
      </c>
      <c r="B1778">
        <v>25.456299999999999</v>
      </c>
      <c r="C1778">
        <v>25.9604</v>
      </c>
      <c r="D1778">
        <v>25.078199999999999</v>
      </c>
      <c r="E1778">
        <v>25.456299999999999</v>
      </c>
      <c r="F1778">
        <v>64318</v>
      </c>
    </row>
    <row r="1779" spans="1:6" x14ac:dyDescent="0.25">
      <c r="A1779" s="4">
        <v>36909</v>
      </c>
      <c r="B1779">
        <v>25.9604</v>
      </c>
      <c r="C1779">
        <v>26.086400000000001</v>
      </c>
      <c r="D1779">
        <v>25.456299999999999</v>
      </c>
      <c r="E1779">
        <v>25.708300000000001</v>
      </c>
      <c r="F1779">
        <v>66858</v>
      </c>
    </row>
    <row r="1780" spans="1:6" x14ac:dyDescent="0.25">
      <c r="A1780" s="4">
        <v>36920</v>
      </c>
      <c r="B1780">
        <v>25.2043</v>
      </c>
      <c r="C1780">
        <v>25.5823</v>
      </c>
      <c r="D1780">
        <v>24.4481</v>
      </c>
      <c r="E1780">
        <v>24.4481</v>
      </c>
      <c r="F1780">
        <v>46543</v>
      </c>
    </row>
    <row r="1781" spans="1:6" x14ac:dyDescent="0.25">
      <c r="A1781" s="4">
        <v>36921</v>
      </c>
      <c r="B1781">
        <v>24.4481</v>
      </c>
      <c r="C1781">
        <v>24.952200000000001</v>
      </c>
      <c r="D1781">
        <v>24.196100000000001</v>
      </c>
      <c r="E1781">
        <v>24.952200000000001</v>
      </c>
      <c r="F1781">
        <v>29954</v>
      </c>
    </row>
    <row r="1782" spans="1:6" x14ac:dyDescent="0.25">
      <c r="A1782" s="4">
        <v>36922</v>
      </c>
      <c r="B1782">
        <v>25.330300000000001</v>
      </c>
      <c r="C1782">
        <v>26.590499999999999</v>
      </c>
      <c r="D1782">
        <v>25.078199999999999</v>
      </c>
      <c r="E1782">
        <v>26.590499999999999</v>
      </c>
      <c r="F1782">
        <v>64583</v>
      </c>
    </row>
    <row r="1783" spans="1:6" x14ac:dyDescent="0.25">
      <c r="A1783" s="4">
        <v>36923</v>
      </c>
      <c r="B1783">
        <v>26.212399999999999</v>
      </c>
      <c r="C1783">
        <v>26.590499999999999</v>
      </c>
      <c r="D1783">
        <v>25.456299999999999</v>
      </c>
      <c r="E1783">
        <v>25.5823</v>
      </c>
      <c r="F1783">
        <v>32894</v>
      </c>
    </row>
    <row r="1784" spans="1:6" x14ac:dyDescent="0.25">
      <c r="A1784" s="4">
        <v>36924</v>
      </c>
      <c r="B1784">
        <v>25.708300000000001</v>
      </c>
      <c r="C1784">
        <v>26.3384</v>
      </c>
      <c r="D1784">
        <v>25.330300000000001</v>
      </c>
      <c r="E1784">
        <v>25.330300000000001</v>
      </c>
      <c r="F1784">
        <v>45780</v>
      </c>
    </row>
    <row r="1785" spans="1:6" x14ac:dyDescent="0.25">
      <c r="A1785" s="4">
        <v>36927</v>
      </c>
      <c r="B1785">
        <v>24.952200000000001</v>
      </c>
      <c r="C1785">
        <v>25.2043</v>
      </c>
      <c r="D1785">
        <v>24.700199999999999</v>
      </c>
      <c r="E1785">
        <v>24.8262</v>
      </c>
      <c r="F1785">
        <v>37766</v>
      </c>
    </row>
    <row r="1786" spans="1:6" x14ac:dyDescent="0.25">
      <c r="A1786" s="4">
        <v>36928</v>
      </c>
      <c r="B1786">
        <v>24.700199999999999</v>
      </c>
      <c r="C1786">
        <v>25.330300000000001</v>
      </c>
      <c r="D1786">
        <v>24.574100000000001</v>
      </c>
      <c r="E1786">
        <v>24.700199999999999</v>
      </c>
      <c r="F1786">
        <v>33992</v>
      </c>
    </row>
    <row r="1787" spans="1:6" x14ac:dyDescent="0.25">
      <c r="A1787" s="4">
        <v>36929</v>
      </c>
      <c r="B1787">
        <v>23.061900000000001</v>
      </c>
      <c r="C1787">
        <v>23.692</v>
      </c>
      <c r="D1787">
        <v>23.061900000000001</v>
      </c>
      <c r="E1787">
        <v>23.061900000000001</v>
      </c>
      <c r="F1787">
        <v>67956</v>
      </c>
    </row>
    <row r="1788" spans="1:6" x14ac:dyDescent="0.25">
      <c r="A1788" s="4">
        <v>36930</v>
      </c>
      <c r="B1788">
        <v>22.683800000000002</v>
      </c>
      <c r="C1788">
        <v>23.061900000000001</v>
      </c>
      <c r="D1788">
        <v>22.305800000000001</v>
      </c>
      <c r="E1788">
        <v>22.809899999999999</v>
      </c>
      <c r="F1788">
        <v>27020</v>
      </c>
    </row>
    <row r="1789" spans="1:6" x14ac:dyDescent="0.25">
      <c r="A1789" s="4">
        <v>36931</v>
      </c>
      <c r="B1789">
        <v>23.061900000000001</v>
      </c>
      <c r="C1789">
        <v>23.44</v>
      </c>
      <c r="D1789">
        <v>22.5578</v>
      </c>
      <c r="E1789">
        <v>23.061900000000001</v>
      </c>
      <c r="F1789">
        <v>36983</v>
      </c>
    </row>
    <row r="1790" spans="1:6" x14ac:dyDescent="0.25">
      <c r="A1790" s="4">
        <v>36934</v>
      </c>
      <c r="B1790">
        <v>22.9359</v>
      </c>
      <c r="C1790">
        <v>23.3139</v>
      </c>
      <c r="D1790">
        <v>22.683800000000002</v>
      </c>
      <c r="E1790">
        <v>23.187899999999999</v>
      </c>
      <c r="F1790">
        <v>18754</v>
      </c>
    </row>
    <row r="1791" spans="1:6" x14ac:dyDescent="0.25">
      <c r="A1791" s="4">
        <v>36935</v>
      </c>
      <c r="B1791">
        <v>23.565999999999999</v>
      </c>
      <c r="C1791">
        <v>24.700199999999999</v>
      </c>
      <c r="D1791">
        <v>23.44</v>
      </c>
      <c r="E1791">
        <v>24.700199999999999</v>
      </c>
      <c r="F1791">
        <v>28429</v>
      </c>
    </row>
    <row r="1792" spans="1:6" x14ac:dyDescent="0.25">
      <c r="A1792" s="4">
        <v>36936</v>
      </c>
      <c r="B1792">
        <v>24.700199999999999</v>
      </c>
      <c r="C1792">
        <v>24.952200000000001</v>
      </c>
      <c r="D1792">
        <v>23.44</v>
      </c>
      <c r="E1792">
        <v>23.692</v>
      </c>
      <c r="F1792">
        <v>22890</v>
      </c>
    </row>
    <row r="1793" spans="1:6" x14ac:dyDescent="0.25">
      <c r="A1793" s="4">
        <v>36937</v>
      </c>
      <c r="B1793">
        <v>24.322099999999999</v>
      </c>
      <c r="C1793">
        <v>25.330300000000001</v>
      </c>
      <c r="D1793">
        <v>24.196100000000001</v>
      </c>
      <c r="E1793">
        <v>25.330300000000001</v>
      </c>
      <c r="F1793">
        <v>50011</v>
      </c>
    </row>
    <row r="1794" spans="1:6" x14ac:dyDescent="0.25">
      <c r="A1794" s="4">
        <v>36938</v>
      </c>
      <c r="B1794">
        <v>25.330300000000001</v>
      </c>
      <c r="C1794">
        <v>25.456299999999999</v>
      </c>
      <c r="D1794">
        <v>24.574100000000001</v>
      </c>
      <c r="E1794">
        <v>24.700199999999999</v>
      </c>
      <c r="F1794">
        <v>40808</v>
      </c>
    </row>
    <row r="1795" spans="1:6" x14ac:dyDescent="0.25">
      <c r="A1795" s="4">
        <v>36941</v>
      </c>
      <c r="B1795">
        <v>23.692</v>
      </c>
      <c r="C1795">
        <v>24.4481</v>
      </c>
      <c r="D1795">
        <v>23.692</v>
      </c>
      <c r="E1795">
        <v>24.196100000000001</v>
      </c>
      <c r="F1795">
        <v>12329</v>
      </c>
    </row>
    <row r="1796" spans="1:6" x14ac:dyDescent="0.25">
      <c r="A1796" s="4">
        <v>36942</v>
      </c>
      <c r="B1796">
        <v>24.322099999999999</v>
      </c>
      <c r="C1796">
        <v>24.700199999999999</v>
      </c>
      <c r="D1796">
        <v>24.196100000000001</v>
      </c>
      <c r="E1796">
        <v>24.196100000000001</v>
      </c>
      <c r="F1796">
        <v>12118</v>
      </c>
    </row>
    <row r="1797" spans="1:6" x14ac:dyDescent="0.25">
      <c r="A1797" s="4">
        <v>36943</v>
      </c>
      <c r="B1797">
        <v>23.692</v>
      </c>
      <c r="C1797">
        <v>24.700199999999999</v>
      </c>
      <c r="D1797">
        <v>23.692</v>
      </c>
      <c r="E1797">
        <v>24.574100000000001</v>
      </c>
      <c r="F1797">
        <v>17962</v>
      </c>
    </row>
    <row r="1798" spans="1:6" x14ac:dyDescent="0.25">
      <c r="A1798" s="4">
        <v>36944</v>
      </c>
      <c r="B1798">
        <v>24.322099999999999</v>
      </c>
      <c r="C1798">
        <v>24.322099999999999</v>
      </c>
      <c r="D1798">
        <v>23.44</v>
      </c>
      <c r="E1798">
        <v>23.565999999999999</v>
      </c>
      <c r="F1798">
        <v>25218</v>
      </c>
    </row>
    <row r="1799" spans="1:6" x14ac:dyDescent="0.25">
      <c r="A1799" s="4">
        <v>36945</v>
      </c>
      <c r="B1799">
        <v>22.9359</v>
      </c>
      <c r="C1799">
        <v>23.44</v>
      </c>
      <c r="D1799">
        <v>22.683800000000002</v>
      </c>
      <c r="E1799">
        <v>22.9359</v>
      </c>
      <c r="F1799">
        <v>27379</v>
      </c>
    </row>
    <row r="1800" spans="1:6" x14ac:dyDescent="0.25">
      <c r="A1800" s="4">
        <v>36948</v>
      </c>
      <c r="B1800">
        <v>22.683800000000002</v>
      </c>
      <c r="C1800">
        <v>22.9359</v>
      </c>
      <c r="D1800">
        <v>22.431799999999999</v>
      </c>
      <c r="E1800">
        <v>22.431799999999999</v>
      </c>
      <c r="F1800">
        <v>25333</v>
      </c>
    </row>
    <row r="1801" spans="1:6" x14ac:dyDescent="0.25">
      <c r="A1801" s="4">
        <v>36949</v>
      </c>
      <c r="B1801">
        <v>22.683800000000002</v>
      </c>
      <c r="C1801">
        <v>22.9359</v>
      </c>
      <c r="D1801">
        <v>22.683800000000002</v>
      </c>
      <c r="E1801">
        <v>22.683800000000002</v>
      </c>
      <c r="F1801">
        <v>21853</v>
      </c>
    </row>
    <row r="1802" spans="1:6" x14ac:dyDescent="0.25">
      <c r="A1802" s="4">
        <v>36951</v>
      </c>
      <c r="B1802">
        <v>21.927700000000002</v>
      </c>
      <c r="C1802">
        <v>21.927700000000002</v>
      </c>
      <c r="D1802">
        <v>21.171600000000002</v>
      </c>
      <c r="E1802">
        <v>21.171600000000002</v>
      </c>
      <c r="F1802">
        <v>51618</v>
      </c>
    </row>
    <row r="1803" spans="1:6" x14ac:dyDescent="0.25">
      <c r="A1803" s="4">
        <v>36952</v>
      </c>
      <c r="B1803">
        <v>21.297599999999999</v>
      </c>
      <c r="C1803">
        <v>21.4236</v>
      </c>
      <c r="D1803">
        <v>20.919499999999999</v>
      </c>
      <c r="E1803">
        <v>21.0456</v>
      </c>
      <c r="F1803">
        <v>28280</v>
      </c>
    </row>
    <row r="1804" spans="1:6" x14ac:dyDescent="0.25">
      <c r="A1804" s="4">
        <v>36955</v>
      </c>
      <c r="B1804">
        <v>21.0456</v>
      </c>
      <c r="C1804">
        <v>21.4236</v>
      </c>
      <c r="D1804">
        <v>21.0456</v>
      </c>
      <c r="E1804">
        <v>21.297599999999999</v>
      </c>
      <c r="F1804">
        <v>24461</v>
      </c>
    </row>
    <row r="1805" spans="1:6" x14ac:dyDescent="0.25">
      <c r="A1805" s="4">
        <v>36956</v>
      </c>
      <c r="B1805">
        <v>22.1797</v>
      </c>
      <c r="C1805">
        <v>22.683800000000002</v>
      </c>
      <c r="D1805">
        <v>21.8017</v>
      </c>
      <c r="E1805">
        <v>22.305800000000001</v>
      </c>
      <c r="F1805">
        <v>33996</v>
      </c>
    </row>
    <row r="1806" spans="1:6" x14ac:dyDescent="0.25">
      <c r="A1806" s="4">
        <v>36957</v>
      </c>
      <c r="B1806">
        <v>23.061900000000001</v>
      </c>
      <c r="C1806">
        <v>23.44</v>
      </c>
      <c r="D1806">
        <v>23.061900000000001</v>
      </c>
      <c r="E1806">
        <v>23.187899999999999</v>
      </c>
      <c r="F1806">
        <v>41039</v>
      </c>
    </row>
    <row r="1807" spans="1:6" x14ac:dyDescent="0.25">
      <c r="A1807" s="4">
        <v>36958</v>
      </c>
      <c r="B1807">
        <v>23.187899999999999</v>
      </c>
      <c r="C1807">
        <v>23.187899999999999</v>
      </c>
      <c r="D1807">
        <v>22.683800000000002</v>
      </c>
      <c r="E1807">
        <v>22.809899999999999</v>
      </c>
      <c r="F1807">
        <v>15516</v>
      </c>
    </row>
    <row r="1808" spans="1:6" x14ac:dyDescent="0.25">
      <c r="A1808" s="4">
        <v>36959</v>
      </c>
      <c r="B1808">
        <v>22.053699999999999</v>
      </c>
      <c r="C1808">
        <v>22.1797</v>
      </c>
      <c r="D1808">
        <v>22.053699999999999</v>
      </c>
      <c r="E1808">
        <v>22.1797</v>
      </c>
      <c r="F1808">
        <v>15996</v>
      </c>
    </row>
    <row r="1809" spans="1:6" x14ac:dyDescent="0.25">
      <c r="A1809" s="4">
        <v>36962</v>
      </c>
      <c r="B1809">
        <v>21.4236</v>
      </c>
      <c r="C1809">
        <v>21.675699999999999</v>
      </c>
      <c r="D1809">
        <v>21.4236</v>
      </c>
      <c r="E1809">
        <v>21.549600000000002</v>
      </c>
      <c r="F1809">
        <v>17285</v>
      </c>
    </row>
    <row r="1810" spans="1:6" x14ac:dyDescent="0.25">
      <c r="A1810" s="4">
        <v>36963</v>
      </c>
      <c r="B1810">
        <v>21.171600000000002</v>
      </c>
      <c r="C1810">
        <v>21.927700000000002</v>
      </c>
      <c r="D1810">
        <v>21.171600000000002</v>
      </c>
      <c r="E1810">
        <v>21.927700000000002</v>
      </c>
      <c r="F1810">
        <v>29638</v>
      </c>
    </row>
    <row r="1811" spans="1:6" x14ac:dyDescent="0.25">
      <c r="A1811" s="4">
        <v>36964</v>
      </c>
      <c r="B1811">
        <v>22.1797</v>
      </c>
      <c r="C1811">
        <v>22.5578</v>
      </c>
      <c r="D1811">
        <v>21.8017</v>
      </c>
      <c r="E1811">
        <v>21.8017</v>
      </c>
      <c r="F1811">
        <v>19723</v>
      </c>
    </row>
    <row r="1812" spans="1:6" x14ac:dyDescent="0.25">
      <c r="A1812" s="4">
        <v>36965</v>
      </c>
      <c r="B1812">
        <v>21.8017</v>
      </c>
      <c r="C1812">
        <v>22.305800000000001</v>
      </c>
      <c r="D1812">
        <v>21.549600000000002</v>
      </c>
      <c r="E1812">
        <v>22.1797</v>
      </c>
      <c r="F1812">
        <v>19962</v>
      </c>
    </row>
    <row r="1813" spans="1:6" x14ac:dyDescent="0.25">
      <c r="A1813" s="4">
        <v>36966</v>
      </c>
      <c r="B1813">
        <v>22.053699999999999</v>
      </c>
      <c r="C1813">
        <v>22.431799999999999</v>
      </c>
      <c r="D1813">
        <v>22.053699999999999</v>
      </c>
      <c r="E1813">
        <v>22.305800000000001</v>
      </c>
      <c r="F1813">
        <v>19413</v>
      </c>
    </row>
    <row r="1814" spans="1:6" x14ac:dyDescent="0.25">
      <c r="A1814" s="4">
        <v>36969</v>
      </c>
      <c r="B1814">
        <v>22.1797</v>
      </c>
      <c r="C1814">
        <v>22.305800000000001</v>
      </c>
      <c r="D1814">
        <v>21.8017</v>
      </c>
      <c r="E1814">
        <v>21.927700000000002</v>
      </c>
      <c r="F1814">
        <v>9232</v>
      </c>
    </row>
    <row r="1815" spans="1:6" x14ac:dyDescent="0.25">
      <c r="A1815" s="4">
        <v>36970</v>
      </c>
      <c r="B1815">
        <v>21.927700000000002</v>
      </c>
      <c r="C1815">
        <v>22.1797</v>
      </c>
      <c r="D1815">
        <v>21.549600000000002</v>
      </c>
      <c r="E1815">
        <v>21.675699999999999</v>
      </c>
      <c r="F1815">
        <v>13747</v>
      </c>
    </row>
    <row r="1816" spans="1:6" x14ac:dyDescent="0.25">
      <c r="A1816" s="4">
        <v>36971</v>
      </c>
      <c r="B1816">
        <v>21.4236</v>
      </c>
      <c r="C1816">
        <v>21.549600000000002</v>
      </c>
      <c r="D1816">
        <v>21.297599999999999</v>
      </c>
      <c r="E1816">
        <v>21.4236</v>
      </c>
      <c r="F1816">
        <v>14762</v>
      </c>
    </row>
    <row r="1817" spans="1:6" x14ac:dyDescent="0.25">
      <c r="A1817" s="4">
        <v>36972</v>
      </c>
      <c r="B1817">
        <v>21.4236</v>
      </c>
      <c r="C1817">
        <v>21.927700000000002</v>
      </c>
      <c r="D1817">
        <v>21.4236</v>
      </c>
      <c r="E1817">
        <v>21.8017</v>
      </c>
      <c r="F1817">
        <v>19354</v>
      </c>
    </row>
    <row r="1818" spans="1:6" x14ac:dyDescent="0.25">
      <c r="A1818" s="4">
        <v>36973</v>
      </c>
      <c r="B1818">
        <v>22.053699999999999</v>
      </c>
      <c r="C1818">
        <v>22.809899999999999</v>
      </c>
      <c r="D1818">
        <v>22.053699999999999</v>
      </c>
      <c r="E1818">
        <v>22.809899999999999</v>
      </c>
      <c r="F1818">
        <v>65307</v>
      </c>
    </row>
    <row r="1819" spans="1:6" x14ac:dyDescent="0.25">
      <c r="A1819" s="4">
        <v>36976</v>
      </c>
      <c r="B1819">
        <v>22.9359</v>
      </c>
      <c r="C1819">
        <v>22.9359</v>
      </c>
      <c r="D1819">
        <v>22.5578</v>
      </c>
      <c r="E1819">
        <v>22.683800000000002</v>
      </c>
      <c r="F1819">
        <v>24844</v>
      </c>
    </row>
    <row r="1820" spans="1:6" x14ac:dyDescent="0.25">
      <c r="A1820" s="4">
        <v>36977</v>
      </c>
      <c r="B1820">
        <v>22.809899999999999</v>
      </c>
      <c r="C1820">
        <v>23.061900000000001</v>
      </c>
      <c r="D1820">
        <v>22.5578</v>
      </c>
      <c r="E1820">
        <v>22.5578</v>
      </c>
      <c r="F1820">
        <v>30946</v>
      </c>
    </row>
    <row r="1821" spans="1:6" x14ac:dyDescent="0.25">
      <c r="A1821" s="4">
        <v>36978</v>
      </c>
      <c r="B1821">
        <v>22.5578</v>
      </c>
      <c r="C1821">
        <v>22.683800000000002</v>
      </c>
      <c r="D1821">
        <v>22.305800000000001</v>
      </c>
      <c r="E1821">
        <v>22.431799999999999</v>
      </c>
      <c r="F1821">
        <v>18319</v>
      </c>
    </row>
    <row r="1822" spans="1:6" x14ac:dyDescent="0.25">
      <c r="A1822" s="4">
        <v>36979</v>
      </c>
      <c r="B1822">
        <v>22.431799999999999</v>
      </c>
      <c r="C1822">
        <v>22.431799999999999</v>
      </c>
      <c r="D1822">
        <v>22.1797</v>
      </c>
      <c r="E1822">
        <v>22.1797</v>
      </c>
      <c r="F1822">
        <v>13727</v>
      </c>
    </row>
    <row r="1823" spans="1:6" x14ac:dyDescent="0.25">
      <c r="A1823" s="4">
        <v>36980</v>
      </c>
      <c r="B1823">
        <v>22.431799999999999</v>
      </c>
      <c r="C1823">
        <v>22.431799999999999</v>
      </c>
      <c r="D1823">
        <v>21.927700000000002</v>
      </c>
      <c r="E1823">
        <v>22.305800000000001</v>
      </c>
      <c r="F1823">
        <v>15072</v>
      </c>
    </row>
    <row r="1824" spans="1:6" x14ac:dyDescent="0.25">
      <c r="A1824" s="4">
        <v>36983</v>
      </c>
      <c r="B1824">
        <v>22.1797</v>
      </c>
      <c r="C1824">
        <v>22.1797</v>
      </c>
      <c r="D1824">
        <v>21.4236</v>
      </c>
      <c r="E1824">
        <v>21.4236</v>
      </c>
      <c r="F1824">
        <v>15134</v>
      </c>
    </row>
    <row r="1825" spans="1:6" x14ac:dyDescent="0.25">
      <c r="A1825" s="4">
        <v>36984</v>
      </c>
      <c r="B1825">
        <v>20.919499999999999</v>
      </c>
      <c r="C1825">
        <v>20.919499999999999</v>
      </c>
      <c r="D1825">
        <v>20.415400000000002</v>
      </c>
      <c r="E1825">
        <v>20.541499999999999</v>
      </c>
      <c r="F1825">
        <v>39335</v>
      </c>
    </row>
    <row r="1826" spans="1:6" x14ac:dyDescent="0.25">
      <c r="A1826" s="4">
        <v>36985</v>
      </c>
      <c r="B1826">
        <v>19.9114</v>
      </c>
      <c r="C1826">
        <v>20.289400000000001</v>
      </c>
      <c r="D1826">
        <v>19.9114</v>
      </c>
      <c r="E1826">
        <v>20.037400000000002</v>
      </c>
      <c r="F1826">
        <v>30383</v>
      </c>
    </row>
    <row r="1827" spans="1:6" x14ac:dyDescent="0.25">
      <c r="A1827" s="4">
        <v>36987</v>
      </c>
      <c r="B1827">
        <v>21.4236</v>
      </c>
      <c r="C1827">
        <v>21.4236</v>
      </c>
      <c r="D1827">
        <v>20.6675</v>
      </c>
      <c r="E1827">
        <v>20.793500000000002</v>
      </c>
      <c r="F1827">
        <v>23851</v>
      </c>
    </row>
    <row r="1828" spans="1:6" x14ac:dyDescent="0.25">
      <c r="A1828" s="4">
        <v>36990</v>
      </c>
      <c r="B1828">
        <v>20.415400000000002</v>
      </c>
      <c r="C1828">
        <v>20.415400000000002</v>
      </c>
      <c r="D1828">
        <v>19.9114</v>
      </c>
      <c r="E1828">
        <v>20.163399999999999</v>
      </c>
      <c r="F1828">
        <v>14398</v>
      </c>
    </row>
    <row r="1829" spans="1:6" x14ac:dyDescent="0.25">
      <c r="A1829" s="4">
        <v>36991</v>
      </c>
      <c r="B1829">
        <v>20.163399999999999</v>
      </c>
      <c r="C1829">
        <v>20.289400000000001</v>
      </c>
      <c r="D1829">
        <v>19.785299999999999</v>
      </c>
      <c r="E1829">
        <v>19.9114</v>
      </c>
      <c r="F1829">
        <v>18465</v>
      </c>
    </row>
    <row r="1830" spans="1:6" x14ac:dyDescent="0.25">
      <c r="A1830" s="4">
        <v>36992</v>
      </c>
      <c r="B1830">
        <v>20.415400000000002</v>
      </c>
      <c r="C1830">
        <v>20.919499999999999</v>
      </c>
      <c r="D1830">
        <v>20.163399999999999</v>
      </c>
      <c r="E1830">
        <v>20.919499999999999</v>
      </c>
      <c r="F1830">
        <v>18240</v>
      </c>
    </row>
    <row r="1831" spans="1:6" x14ac:dyDescent="0.25">
      <c r="A1831" s="4">
        <v>36993</v>
      </c>
      <c r="B1831">
        <v>21.4236</v>
      </c>
      <c r="C1831">
        <v>21.927700000000002</v>
      </c>
      <c r="D1831">
        <v>21.297599999999999</v>
      </c>
      <c r="E1831">
        <v>21.675699999999999</v>
      </c>
      <c r="F1831">
        <v>49501</v>
      </c>
    </row>
    <row r="1832" spans="1:6" x14ac:dyDescent="0.25">
      <c r="A1832" s="4">
        <v>36994</v>
      </c>
      <c r="B1832">
        <v>22.053699999999999</v>
      </c>
      <c r="C1832">
        <v>22.053699999999999</v>
      </c>
      <c r="D1832">
        <v>21.4236</v>
      </c>
      <c r="E1832">
        <v>21.4236</v>
      </c>
      <c r="F1832">
        <v>17097</v>
      </c>
    </row>
    <row r="1833" spans="1:6" x14ac:dyDescent="0.25">
      <c r="A1833" s="4">
        <v>36997</v>
      </c>
      <c r="B1833">
        <v>21.297599999999999</v>
      </c>
      <c r="C1833">
        <v>21.4236</v>
      </c>
      <c r="D1833">
        <v>20.793500000000002</v>
      </c>
      <c r="E1833">
        <v>21.171600000000002</v>
      </c>
      <c r="F1833">
        <v>7629</v>
      </c>
    </row>
    <row r="1834" spans="1:6" x14ac:dyDescent="0.25">
      <c r="A1834" s="4">
        <v>36998</v>
      </c>
      <c r="B1834">
        <v>20.919499999999999</v>
      </c>
      <c r="C1834">
        <v>21.171600000000002</v>
      </c>
      <c r="D1834">
        <v>20.793500000000002</v>
      </c>
      <c r="E1834">
        <v>21.0456</v>
      </c>
      <c r="F1834">
        <v>10100</v>
      </c>
    </row>
    <row r="1835" spans="1:6" x14ac:dyDescent="0.25">
      <c r="A1835" s="4">
        <v>36999</v>
      </c>
      <c r="B1835">
        <v>21.4236</v>
      </c>
      <c r="C1835">
        <v>21.4236</v>
      </c>
      <c r="D1835">
        <v>21.171600000000002</v>
      </c>
      <c r="E1835">
        <v>21.4236</v>
      </c>
      <c r="F1835">
        <v>20834</v>
      </c>
    </row>
    <row r="1836" spans="1:6" x14ac:dyDescent="0.25">
      <c r="A1836" s="4">
        <v>37000</v>
      </c>
      <c r="B1836">
        <v>22.809899999999999</v>
      </c>
      <c r="C1836">
        <v>22.809899999999999</v>
      </c>
      <c r="D1836">
        <v>22.683800000000002</v>
      </c>
      <c r="E1836">
        <v>22.809899999999999</v>
      </c>
      <c r="F1836">
        <v>83444</v>
      </c>
    </row>
    <row r="1837" spans="1:6" x14ac:dyDescent="0.25">
      <c r="A1837" s="4">
        <v>37001</v>
      </c>
      <c r="B1837">
        <v>22.9359</v>
      </c>
      <c r="C1837">
        <v>23.061900000000001</v>
      </c>
      <c r="D1837">
        <v>22.5578</v>
      </c>
      <c r="E1837">
        <v>22.809899999999999</v>
      </c>
      <c r="F1837">
        <v>38894</v>
      </c>
    </row>
    <row r="1838" spans="1:6" x14ac:dyDescent="0.25">
      <c r="A1838" s="4">
        <v>37004</v>
      </c>
      <c r="B1838">
        <v>22.809899999999999</v>
      </c>
      <c r="C1838">
        <v>22.809899999999999</v>
      </c>
      <c r="D1838">
        <v>22.431799999999999</v>
      </c>
      <c r="E1838">
        <v>22.683800000000002</v>
      </c>
      <c r="F1838">
        <v>13612</v>
      </c>
    </row>
    <row r="1839" spans="1:6" x14ac:dyDescent="0.25">
      <c r="A1839" s="4">
        <v>37005</v>
      </c>
      <c r="B1839">
        <v>22.305800000000001</v>
      </c>
      <c r="C1839">
        <v>22.431799999999999</v>
      </c>
      <c r="D1839">
        <v>22.1797</v>
      </c>
      <c r="E1839">
        <v>22.1797</v>
      </c>
      <c r="F1839">
        <v>15352</v>
      </c>
    </row>
    <row r="1840" spans="1:6" x14ac:dyDescent="0.25">
      <c r="A1840" s="4">
        <v>37006</v>
      </c>
      <c r="B1840">
        <v>22.1797</v>
      </c>
      <c r="C1840">
        <v>22.431799999999999</v>
      </c>
      <c r="D1840">
        <v>21.675699999999999</v>
      </c>
      <c r="E1840">
        <v>21.8017</v>
      </c>
      <c r="F1840">
        <v>12042</v>
      </c>
    </row>
    <row r="1841" spans="1:6" x14ac:dyDescent="0.25">
      <c r="A1841" s="4">
        <v>37007</v>
      </c>
      <c r="B1841">
        <v>22.053699999999999</v>
      </c>
      <c r="C1841">
        <v>22.683800000000002</v>
      </c>
      <c r="D1841">
        <v>21.8017</v>
      </c>
      <c r="E1841">
        <v>22.431799999999999</v>
      </c>
      <c r="F1841">
        <v>18108</v>
      </c>
    </row>
    <row r="1842" spans="1:6" x14ac:dyDescent="0.25">
      <c r="A1842" s="4">
        <v>37008</v>
      </c>
      <c r="B1842">
        <v>22.431799999999999</v>
      </c>
      <c r="C1842">
        <v>22.431799999999999</v>
      </c>
      <c r="D1842">
        <v>21.927700000000002</v>
      </c>
      <c r="E1842">
        <v>21.927700000000002</v>
      </c>
      <c r="F1842">
        <v>12754</v>
      </c>
    </row>
    <row r="1843" spans="1:6" x14ac:dyDescent="0.25">
      <c r="A1843" s="4">
        <v>37011</v>
      </c>
      <c r="B1843">
        <v>22.431799999999999</v>
      </c>
      <c r="C1843">
        <v>23.061900000000001</v>
      </c>
      <c r="D1843">
        <v>22.305800000000001</v>
      </c>
      <c r="E1843">
        <v>22.9359</v>
      </c>
      <c r="F1843">
        <v>52338</v>
      </c>
    </row>
    <row r="1844" spans="1:6" x14ac:dyDescent="0.25">
      <c r="A1844" s="4">
        <v>37013</v>
      </c>
      <c r="B1844">
        <v>24.4481</v>
      </c>
      <c r="C1844">
        <v>24.4481</v>
      </c>
      <c r="D1844">
        <v>23.943999999999999</v>
      </c>
      <c r="E1844">
        <v>24.196100000000001</v>
      </c>
      <c r="F1844">
        <v>99764</v>
      </c>
    </row>
    <row r="1845" spans="1:6" x14ac:dyDescent="0.25">
      <c r="A1845" s="4">
        <v>37014</v>
      </c>
      <c r="B1845">
        <v>24.0701</v>
      </c>
      <c r="C1845">
        <v>24.322099999999999</v>
      </c>
      <c r="D1845">
        <v>23.943999999999999</v>
      </c>
      <c r="E1845">
        <v>24.322099999999999</v>
      </c>
      <c r="F1845">
        <v>38569</v>
      </c>
    </row>
    <row r="1846" spans="1:6" x14ac:dyDescent="0.25">
      <c r="A1846" s="4">
        <v>37015</v>
      </c>
      <c r="B1846">
        <v>24.196100000000001</v>
      </c>
      <c r="C1846">
        <v>24.196100000000001</v>
      </c>
      <c r="D1846">
        <v>23.44</v>
      </c>
      <c r="E1846">
        <v>23.44</v>
      </c>
      <c r="F1846">
        <v>22972</v>
      </c>
    </row>
    <row r="1847" spans="1:6" x14ac:dyDescent="0.25">
      <c r="A1847" s="4">
        <v>37018</v>
      </c>
      <c r="B1847">
        <v>23.565999999999999</v>
      </c>
      <c r="C1847">
        <v>24.4481</v>
      </c>
      <c r="D1847">
        <v>23.44</v>
      </c>
      <c r="E1847">
        <v>23.943999999999999</v>
      </c>
      <c r="F1847">
        <v>32851</v>
      </c>
    </row>
    <row r="1848" spans="1:6" x14ac:dyDescent="0.25">
      <c r="A1848" s="4">
        <v>37019</v>
      </c>
      <c r="B1848">
        <v>23.818000000000001</v>
      </c>
      <c r="C1848">
        <v>24.0701</v>
      </c>
      <c r="D1848">
        <v>23.565999999999999</v>
      </c>
      <c r="E1848">
        <v>23.818000000000001</v>
      </c>
      <c r="F1848">
        <v>28609</v>
      </c>
    </row>
    <row r="1849" spans="1:6" x14ac:dyDescent="0.25">
      <c r="A1849" s="4">
        <v>37020</v>
      </c>
      <c r="B1849">
        <v>23.943999999999999</v>
      </c>
      <c r="C1849">
        <v>24.196100000000001</v>
      </c>
      <c r="D1849">
        <v>23.818000000000001</v>
      </c>
      <c r="E1849">
        <v>23.943999999999999</v>
      </c>
      <c r="F1849">
        <v>17574</v>
      </c>
    </row>
    <row r="1850" spans="1:6" x14ac:dyDescent="0.25">
      <c r="A1850" s="4">
        <v>37021</v>
      </c>
      <c r="B1850">
        <v>23.692</v>
      </c>
      <c r="C1850">
        <v>23.692</v>
      </c>
      <c r="D1850">
        <v>23.187899999999999</v>
      </c>
      <c r="E1850">
        <v>23.3139</v>
      </c>
      <c r="F1850">
        <v>18467</v>
      </c>
    </row>
    <row r="1851" spans="1:6" x14ac:dyDescent="0.25">
      <c r="A1851" s="4">
        <v>37022</v>
      </c>
      <c r="B1851">
        <v>23.3139</v>
      </c>
      <c r="C1851">
        <v>23.692</v>
      </c>
      <c r="D1851">
        <v>23.187899999999999</v>
      </c>
      <c r="E1851">
        <v>23.692</v>
      </c>
      <c r="F1851">
        <v>18305</v>
      </c>
    </row>
    <row r="1852" spans="1:6" x14ac:dyDescent="0.25">
      <c r="A1852" s="4">
        <v>37025</v>
      </c>
      <c r="B1852">
        <v>23.187899999999999</v>
      </c>
      <c r="C1852">
        <v>23.44</v>
      </c>
      <c r="D1852">
        <v>23.187899999999999</v>
      </c>
      <c r="E1852">
        <v>23.3139</v>
      </c>
      <c r="F1852">
        <v>11507</v>
      </c>
    </row>
    <row r="1853" spans="1:6" x14ac:dyDescent="0.25">
      <c r="A1853" s="4">
        <v>37026</v>
      </c>
      <c r="B1853">
        <v>22.683800000000002</v>
      </c>
      <c r="C1853">
        <v>22.809899999999999</v>
      </c>
      <c r="D1853">
        <v>22.431799999999999</v>
      </c>
      <c r="E1853">
        <v>22.5578</v>
      </c>
      <c r="F1853">
        <v>24418</v>
      </c>
    </row>
    <row r="1854" spans="1:6" x14ac:dyDescent="0.25">
      <c r="A1854" s="4">
        <v>37027</v>
      </c>
      <c r="B1854">
        <v>22.1797</v>
      </c>
      <c r="C1854">
        <v>22.305800000000001</v>
      </c>
      <c r="D1854">
        <v>22.053699999999999</v>
      </c>
      <c r="E1854">
        <v>22.1797</v>
      </c>
      <c r="F1854">
        <v>17189</v>
      </c>
    </row>
    <row r="1855" spans="1:6" x14ac:dyDescent="0.25">
      <c r="A1855" s="4">
        <v>37028</v>
      </c>
      <c r="B1855">
        <v>22.305800000000001</v>
      </c>
      <c r="C1855">
        <v>22.683800000000002</v>
      </c>
      <c r="D1855">
        <v>22.053699999999999</v>
      </c>
      <c r="E1855">
        <v>22.431799999999999</v>
      </c>
      <c r="F1855">
        <v>13667</v>
      </c>
    </row>
    <row r="1856" spans="1:6" x14ac:dyDescent="0.25">
      <c r="A1856" s="4">
        <v>37029</v>
      </c>
      <c r="B1856">
        <v>22.683800000000002</v>
      </c>
      <c r="C1856">
        <v>23.061900000000001</v>
      </c>
      <c r="D1856">
        <v>22.431799999999999</v>
      </c>
      <c r="E1856">
        <v>22.809899999999999</v>
      </c>
      <c r="F1856">
        <v>27334</v>
      </c>
    </row>
    <row r="1857" spans="1:6" x14ac:dyDescent="0.25">
      <c r="A1857" s="4">
        <v>37032</v>
      </c>
      <c r="B1857">
        <v>22.683800000000002</v>
      </c>
      <c r="C1857">
        <v>22.683800000000002</v>
      </c>
      <c r="D1857">
        <v>22.053699999999999</v>
      </c>
      <c r="E1857">
        <v>22.305800000000001</v>
      </c>
      <c r="F1857">
        <v>15341</v>
      </c>
    </row>
    <row r="1858" spans="1:6" x14ac:dyDescent="0.25">
      <c r="A1858" s="4">
        <v>37033</v>
      </c>
      <c r="B1858">
        <v>22.5578</v>
      </c>
      <c r="C1858">
        <v>22.9359</v>
      </c>
      <c r="D1858">
        <v>22.5578</v>
      </c>
      <c r="E1858">
        <v>22.683800000000002</v>
      </c>
      <c r="F1858">
        <v>18147</v>
      </c>
    </row>
    <row r="1859" spans="1:6" x14ac:dyDescent="0.25">
      <c r="A1859" s="4">
        <v>37034</v>
      </c>
      <c r="B1859">
        <v>22.809899999999999</v>
      </c>
      <c r="C1859">
        <v>23.818000000000001</v>
      </c>
      <c r="D1859">
        <v>22.809899999999999</v>
      </c>
      <c r="E1859">
        <v>23.818000000000001</v>
      </c>
      <c r="F1859">
        <v>22366</v>
      </c>
    </row>
    <row r="1860" spans="1:6" x14ac:dyDescent="0.25">
      <c r="A1860" s="4">
        <v>37035</v>
      </c>
      <c r="B1860">
        <v>23.692</v>
      </c>
      <c r="C1860">
        <v>23.818000000000001</v>
      </c>
      <c r="D1860">
        <v>23.44</v>
      </c>
      <c r="E1860">
        <v>23.692</v>
      </c>
      <c r="F1860">
        <v>16252</v>
      </c>
    </row>
    <row r="1861" spans="1:6" x14ac:dyDescent="0.25">
      <c r="A1861" s="4">
        <v>37036</v>
      </c>
      <c r="B1861">
        <v>23.692</v>
      </c>
      <c r="C1861">
        <v>23.943999999999999</v>
      </c>
      <c r="D1861">
        <v>23.565999999999999</v>
      </c>
      <c r="E1861">
        <v>23.818000000000001</v>
      </c>
      <c r="F1861">
        <v>16594</v>
      </c>
    </row>
    <row r="1862" spans="1:6" x14ac:dyDescent="0.25">
      <c r="A1862" s="4">
        <v>37039</v>
      </c>
      <c r="B1862">
        <v>23.565999999999999</v>
      </c>
      <c r="C1862">
        <v>23.692</v>
      </c>
      <c r="D1862">
        <v>23.44</v>
      </c>
      <c r="E1862">
        <v>23.44</v>
      </c>
      <c r="F1862">
        <v>7885</v>
      </c>
    </row>
    <row r="1863" spans="1:6" x14ac:dyDescent="0.25">
      <c r="A1863" s="4">
        <v>37040</v>
      </c>
      <c r="B1863">
        <v>23.44</v>
      </c>
      <c r="C1863">
        <v>23.692</v>
      </c>
      <c r="D1863">
        <v>23.44</v>
      </c>
      <c r="E1863">
        <v>23.44</v>
      </c>
      <c r="F1863">
        <v>14452</v>
      </c>
    </row>
    <row r="1864" spans="1:6" x14ac:dyDescent="0.25">
      <c r="A1864" s="4">
        <v>37041</v>
      </c>
      <c r="B1864">
        <v>23.3139</v>
      </c>
      <c r="C1864">
        <v>23.44</v>
      </c>
      <c r="D1864">
        <v>22.683800000000002</v>
      </c>
      <c r="E1864">
        <v>22.683800000000002</v>
      </c>
      <c r="F1864">
        <v>14280</v>
      </c>
    </row>
    <row r="1865" spans="1:6" x14ac:dyDescent="0.25">
      <c r="A1865" s="4">
        <v>37042</v>
      </c>
      <c r="B1865">
        <v>22.431799999999999</v>
      </c>
      <c r="C1865">
        <v>22.683800000000002</v>
      </c>
      <c r="D1865">
        <v>22.431799999999999</v>
      </c>
      <c r="E1865">
        <v>22.5578</v>
      </c>
      <c r="F1865">
        <v>15592</v>
      </c>
    </row>
    <row r="1866" spans="1:6" x14ac:dyDescent="0.25">
      <c r="A1866" s="4">
        <v>37043</v>
      </c>
      <c r="B1866">
        <v>22.809899999999999</v>
      </c>
      <c r="C1866">
        <v>22.9359</v>
      </c>
      <c r="D1866">
        <v>22.305800000000001</v>
      </c>
      <c r="E1866">
        <v>22.431799999999999</v>
      </c>
      <c r="F1866">
        <v>11688</v>
      </c>
    </row>
    <row r="1867" spans="1:6" x14ac:dyDescent="0.25">
      <c r="A1867" s="4">
        <v>37046</v>
      </c>
      <c r="B1867">
        <v>22.431799999999999</v>
      </c>
      <c r="C1867">
        <v>22.9359</v>
      </c>
      <c r="D1867">
        <v>22.305800000000001</v>
      </c>
      <c r="E1867">
        <v>22.683800000000002</v>
      </c>
      <c r="F1867">
        <v>11051</v>
      </c>
    </row>
    <row r="1868" spans="1:6" x14ac:dyDescent="0.25">
      <c r="A1868" s="4">
        <v>37047</v>
      </c>
      <c r="B1868">
        <v>22.683800000000002</v>
      </c>
      <c r="C1868">
        <v>22.9359</v>
      </c>
      <c r="D1868">
        <v>22.5578</v>
      </c>
      <c r="E1868">
        <v>22.9359</v>
      </c>
      <c r="F1868">
        <v>8292</v>
      </c>
    </row>
    <row r="1869" spans="1:6" x14ac:dyDescent="0.25">
      <c r="A1869" s="4">
        <v>37048</v>
      </c>
      <c r="B1869">
        <v>23.3139</v>
      </c>
      <c r="C1869">
        <v>23.692</v>
      </c>
      <c r="D1869">
        <v>23.3139</v>
      </c>
      <c r="E1869">
        <v>23.565999999999999</v>
      </c>
      <c r="F1869">
        <v>20907</v>
      </c>
    </row>
    <row r="1870" spans="1:6" x14ac:dyDescent="0.25">
      <c r="A1870" s="4">
        <v>37049</v>
      </c>
      <c r="B1870">
        <v>23.3139</v>
      </c>
      <c r="C1870">
        <v>23.565999999999999</v>
      </c>
      <c r="D1870">
        <v>23.187899999999999</v>
      </c>
      <c r="E1870">
        <v>23.44</v>
      </c>
      <c r="F1870">
        <v>17822</v>
      </c>
    </row>
    <row r="1871" spans="1:6" x14ac:dyDescent="0.25">
      <c r="A1871" s="4">
        <v>37050</v>
      </c>
      <c r="B1871">
        <v>24.196100000000001</v>
      </c>
      <c r="C1871">
        <v>24.574100000000001</v>
      </c>
      <c r="D1871">
        <v>24.196100000000001</v>
      </c>
      <c r="E1871">
        <v>24.4481</v>
      </c>
      <c r="F1871">
        <v>46786</v>
      </c>
    </row>
    <row r="1872" spans="1:6" x14ac:dyDescent="0.25">
      <c r="A1872" s="4">
        <v>37053</v>
      </c>
      <c r="B1872">
        <v>24.4481</v>
      </c>
      <c r="C1872">
        <v>24.952200000000001</v>
      </c>
      <c r="D1872">
        <v>24.322099999999999</v>
      </c>
      <c r="E1872">
        <v>24.952200000000001</v>
      </c>
      <c r="F1872">
        <v>20527</v>
      </c>
    </row>
    <row r="1873" spans="1:6" x14ac:dyDescent="0.25">
      <c r="A1873" s="4">
        <v>37054</v>
      </c>
      <c r="B1873">
        <v>24.700199999999999</v>
      </c>
      <c r="C1873">
        <v>24.8262</v>
      </c>
      <c r="D1873">
        <v>24.322099999999999</v>
      </c>
      <c r="E1873">
        <v>24.4481</v>
      </c>
      <c r="F1873">
        <v>17747</v>
      </c>
    </row>
    <row r="1874" spans="1:6" x14ac:dyDescent="0.25">
      <c r="A1874" s="4">
        <v>37055</v>
      </c>
      <c r="B1874">
        <v>24.322099999999999</v>
      </c>
      <c r="C1874">
        <v>24.4481</v>
      </c>
      <c r="D1874">
        <v>23.692</v>
      </c>
      <c r="E1874">
        <v>23.692</v>
      </c>
      <c r="F1874">
        <v>16723</v>
      </c>
    </row>
    <row r="1875" spans="1:6" x14ac:dyDescent="0.25">
      <c r="A1875" s="4">
        <v>37056</v>
      </c>
      <c r="B1875">
        <v>23.692</v>
      </c>
      <c r="C1875">
        <v>23.692</v>
      </c>
      <c r="D1875">
        <v>22.9359</v>
      </c>
      <c r="E1875">
        <v>23.3139</v>
      </c>
      <c r="F1875">
        <v>15718</v>
      </c>
    </row>
    <row r="1876" spans="1:6" x14ac:dyDescent="0.25">
      <c r="A1876" s="4">
        <v>37057</v>
      </c>
      <c r="B1876">
        <v>23.187899999999999</v>
      </c>
      <c r="C1876">
        <v>23.565999999999999</v>
      </c>
      <c r="D1876">
        <v>23.061900000000001</v>
      </c>
      <c r="E1876">
        <v>23.565999999999999</v>
      </c>
      <c r="F1876">
        <v>9638</v>
      </c>
    </row>
    <row r="1877" spans="1:6" x14ac:dyDescent="0.25">
      <c r="A1877" s="4">
        <v>37060</v>
      </c>
      <c r="B1877">
        <v>23.44</v>
      </c>
      <c r="C1877">
        <v>23.565999999999999</v>
      </c>
      <c r="D1877">
        <v>22.809899999999999</v>
      </c>
      <c r="E1877">
        <v>23.187899999999999</v>
      </c>
      <c r="F1877">
        <v>38123</v>
      </c>
    </row>
    <row r="1878" spans="1:6" x14ac:dyDescent="0.25">
      <c r="A1878" s="4">
        <v>37061</v>
      </c>
      <c r="B1878">
        <v>23.061900000000001</v>
      </c>
      <c r="C1878">
        <v>23.187899999999999</v>
      </c>
      <c r="D1878">
        <v>22.683800000000002</v>
      </c>
      <c r="E1878">
        <v>22.809899999999999</v>
      </c>
      <c r="F1878">
        <v>25556</v>
      </c>
    </row>
    <row r="1879" spans="1:6" x14ac:dyDescent="0.25">
      <c r="A1879" s="4">
        <v>37062</v>
      </c>
      <c r="B1879">
        <v>22.683800000000002</v>
      </c>
      <c r="C1879">
        <v>22.809899999999999</v>
      </c>
      <c r="D1879">
        <v>22.5578</v>
      </c>
      <c r="E1879">
        <v>22.683800000000002</v>
      </c>
      <c r="F1879">
        <v>11941</v>
      </c>
    </row>
    <row r="1880" spans="1:6" x14ac:dyDescent="0.25">
      <c r="A1880" s="4">
        <v>37063</v>
      </c>
      <c r="B1880">
        <v>22.431799999999999</v>
      </c>
      <c r="C1880">
        <v>22.431799999999999</v>
      </c>
      <c r="D1880">
        <v>21.675699999999999</v>
      </c>
      <c r="E1880">
        <v>21.675699999999999</v>
      </c>
      <c r="F1880">
        <v>29068</v>
      </c>
    </row>
    <row r="1881" spans="1:6" x14ac:dyDescent="0.25">
      <c r="A1881" s="4">
        <v>37064</v>
      </c>
      <c r="B1881">
        <v>21.675699999999999</v>
      </c>
      <c r="C1881">
        <v>21.927700000000002</v>
      </c>
      <c r="D1881">
        <v>21.171600000000002</v>
      </c>
      <c r="E1881">
        <v>21.4236</v>
      </c>
      <c r="F1881">
        <v>34403</v>
      </c>
    </row>
    <row r="1882" spans="1:6" x14ac:dyDescent="0.25">
      <c r="A1882" s="4">
        <v>37068</v>
      </c>
      <c r="B1882">
        <v>21.700900000000001</v>
      </c>
      <c r="C1882">
        <v>22.2302</v>
      </c>
      <c r="D1882">
        <v>21.5244</v>
      </c>
      <c r="E1882">
        <v>21.5244</v>
      </c>
      <c r="F1882">
        <v>54003</v>
      </c>
    </row>
    <row r="1883" spans="1:6" x14ac:dyDescent="0.25">
      <c r="A1883" s="4">
        <v>37069</v>
      </c>
      <c r="B1883">
        <v>22.053699999999999</v>
      </c>
      <c r="C1883">
        <v>22.582999999999998</v>
      </c>
      <c r="D1883">
        <v>21.877300000000002</v>
      </c>
      <c r="E1883">
        <v>22.406600000000001</v>
      </c>
      <c r="F1883">
        <v>32049</v>
      </c>
    </row>
    <row r="1884" spans="1:6" x14ac:dyDescent="0.25">
      <c r="A1884" s="4">
        <v>37070</v>
      </c>
      <c r="B1884">
        <v>22.406600000000001</v>
      </c>
      <c r="C1884">
        <v>22.406600000000001</v>
      </c>
      <c r="D1884">
        <v>21.5244</v>
      </c>
      <c r="E1884">
        <v>21.700900000000001</v>
      </c>
      <c r="F1884">
        <v>26437</v>
      </c>
    </row>
    <row r="1885" spans="1:6" x14ac:dyDescent="0.25">
      <c r="A1885" s="4">
        <v>37071</v>
      </c>
      <c r="B1885">
        <v>22.2302</v>
      </c>
      <c r="C1885">
        <v>22.582999999999998</v>
      </c>
      <c r="D1885">
        <v>22.053699999999999</v>
      </c>
      <c r="E1885">
        <v>22.582999999999998</v>
      </c>
      <c r="F1885">
        <v>30245</v>
      </c>
    </row>
    <row r="1886" spans="1:6" x14ac:dyDescent="0.25">
      <c r="A1886" s="4">
        <v>37074</v>
      </c>
      <c r="B1886">
        <v>22.759399999999999</v>
      </c>
      <c r="C1886">
        <v>23.6416</v>
      </c>
      <c r="D1886">
        <v>22.759399999999999</v>
      </c>
      <c r="E1886">
        <v>23.6416</v>
      </c>
      <c r="F1886">
        <v>35100</v>
      </c>
    </row>
    <row r="1887" spans="1:6" x14ac:dyDescent="0.25">
      <c r="A1887" s="4">
        <v>37075</v>
      </c>
      <c r="B1887">
        <v>23.6416</v>
      </c>
      <c r="C1887">
        <v>23.994499999999999</v>
      </c>
      <c r="D1887">
        <v>23.288699999999999</v>
      </c>
      <c r="E1887">
        <v>23.465199999999999</v>
      </c>
      <c r="F1887">
        <v>16971</v>
      </c>
    </row>
    <row r="1888" spans="1:6" x14ac:dyDescent="0.25">
      <c r="A1888" s="4">
        <v>37076</v>
      </c>
      <c r="B1888">
        <v>23.288699999999999</v>
      </c>
      <c r="C1888">
        <v>23.288699999999999</v>
      </c>
      <c r="D1888">
        <v>22.9359</v>
      </c>
      <c r="E1888">
        <v>23.112300000000001</v>
      </c>
      <c r="F1888">
        <v>15034</v>
      </c>
    </row>
    <row r="1889" spans="1:6" x14ac:dyDescent="0.25">
      <c r="A1889" s="4">
        <v>37077</v>
      </c>
      <c r="B1889">
        <v>22.9359</v>
      </c>
      <c r="C1889">
        <v>23.288699999999999</v>
      </c>
      <c r="D1889">
        <v>22.9359</v>
      </c>
      <c r="E1889">
        <v>23.112300000000001</v>
      </c>
      <c r="F1889">
        <v>9019</v>
      </c>
    </row>
    <row r="1890" spans="1:6" x14ac:dyDescent="0.25">
      <c r="A1890" s="4">
        <v>37078</v>
      </c>
      <c r="B1890">
        <v>22.582999999999998</v>
      </c>
      <c r="C1890">
        <v>22.759399999999999</v>
      </c>
      <c r="D1890">
        <v>22.2302</v>
      </c>
      <c r="E1890">
        <v>22.2302</v>
      </c>
      <c r="F1890">
        <v>22813</v>
      </c>
    </row>
    <row r="1891" spans="1:6" x14ac:dyDescent="0.25">
      <c r="A1891" s="4">
        <v>37081</v>
      </c>
      <c r="B1891">
        <v>21.877300000000002</v>
      </c>
      <c r="C1891">
        <v>21.877300000000002</v>
      </c>
      <c r="D1891">
        <v>21.5244</v>
      </c>
      <c r="E1891">
        <v>21.5244</v>
      </c>
      <c r="F1891">
        <v>34992</v>
      </c>
    </row>
    <row r="1892" spans="1:6" x14ac:dyDescent="0.25">
      <c r="A1892" s="4">
        <v>37082</v>
      </c>
      <c r="B1892">
        <v>21.700900000000001</v>
      </c>
      <c r="C1892">
        <v>22.053699999999999</v>
      </c>
      <c r="D1892">
        <v>21.700900000000001</v>
      </c>
      <c r="E1892">
        <v>21.700900000000001</v>
      </c>
      <c r="F1892">
        <v>27227</v>
      </c>
    </row>
    <row r="1893" spans="1:6" x14ac:dyDescent="0.25">
      <c r="A1893" s="4">
        <v>37083</v>
      </c>
      <c r="B1893">
        <v>21.877300000000002</v>
      </c>
      <c r="C1893">
        <v>22.053699999999999</v>
      </c>
      <c r="D1893">
        <v>21.700900000000001</v>
      </c>
      <c r="E1893">
        <v>21.700900000000001</v>
      </c>
      <c r="F1893">
        <v>19212</v>
      </c>
    </row>
    <row r="1894" spans="1:6" x14ac:dyDescent="0.25">
      <c r="A1894" s="4">
        <v>37084</v>
      </c>
      <c r="B1894">
        <v>22.053699999999999</v>
      </c>
      <c r="C1894">
        <v>22.406600000000001</v>
      </c>
      <c r="D1894">
        <v>21.877300000000002</v>
      </c>
      <c r="E1894">
        <v>22.406600000000001</v>
      </c>
      <c r="F1894">
        <v>25376</v>
      </c>
    </row>
    <row r="1895" spans="1:6" x14ac:dyDescent="0.25">
      <c r="A1895" s="4">
        <v>37085</v>
      </c>
      <c r="B1895">
        <v>22.9359</v>
      </c>
      <c r="C1895">
        <v>23.112300000000001</v>
      </c>
      <c r="D1895">
        <v>22.2302</v>
      </c>
      <c r="E1895">
        <v>22.2302</v>
      </c>
      <c r="F1895">
        <v>46903</v>
      </c>
    </row>
    <row r="1896" spans="1:6" x14ac:dyDescent="0.25">
      <c r="A1896" s="4">
        <v>37088</v>
      </c>
      <c r="B1896">
        <v>22.582999999999998</v>
      </c>
      <c r="C1896">
        <v>22.582999999999998</v>
      </c>
      <c r="D1896">
        <v>21.877300000000002</v>
      </c>
      <c r="E1896">
        <v>22.2302</v>
      </c>
      <c r="F1896">
        <v>29285</v>
      </c>
    </row>
    <row r="1897" spans="1:6" x14ac:dyDescent="0.25">
      <c r="A1897" s="4">
        <v>37089</v>
      </c>
      <c r="B1897">
        <v>21.877300000000002</v>
      </c>
      <c r="C1897">
        <v>22.2302</v>
      </c>
      <c r="D1897">
        <v>21.700900000000001</v>
      </c>
      <c r="E1897">
        <v>22.053699999999999</v>
      </c>
      <c r="F1897">
        <v>22065</v>
      </c>
    </row>
    <row r="1898" spans="1:6" x14ac:dyDescent="0.25">
      <c r="A1898" s="4">
        <v>37090</v>
      </c>
      <c r="B1898">
        <v>22.053699999999999</v>
      </c>
      <c r="C1898">
        <v>22.053699999999999</v>
      </c>
      <c r="D1898">
        <v>21.5244</v>
      </c>
      <c r="E1898">
        <v>21.877300000000002</v>
      </c>
      <c r="F1898">
        <v>22568</v>
      </c>
    </row>
    <row r="1899" spans="1:6" x14ac:dyDescent="0.25">
      <c r="A1899" s="4">
        <v>37091</v>
      </c>
      <c r="B1899">
        <v>21.5244</v>
      </c>
      <c r="C1899">
        <v>21.877300000000002</v>
      </c>
      <c r="D1899">
        <v>20.995100000000001</v>
      </c>
      <c r="E1899">
        <v>21.5244</v>
      </c>
      <c r="F1899">
        <v>29484</v>
      </c>
    </row>
    <row r="1900" spans="1:6" x14ac:dyDescent="0.25">
      <c r="A1900" s="4">
        <v>37092</v>
      </c>
      <c r="B1900">
        <v>21.877300000000002</v>
      </c>
      <c r="C1900">
        <v>21.877300000000002</v>
      </c>
      <c r="D1900">
        <v>21.347999999999999</v>
      </c>
      <c r="E1900">
        <v>21.347999999999999</v>
      </c>
      <c r="F1900">
        <v>27172</v>
      </c>
    </row>
    <row r="1901" spans="1:6" x14ac:dyDescent="0.25">
      <c r="A1901" s="4">
        <v>37095</v>
      </c>
      <c r="B1901">
        <v>21.171600000000002</v>
      </c>
      <c r="C1901">
        <v>21.347999999999999</v>
      </c>
      <c r="D1901">
        <v>20.289400000000001</v>
      </c>
      <c r="E1901">
        <v>20.465900000000001</v>
      </c>
      <c r="F1901">
        <v>34934</v>
      </c>
    </row>
    <row r="1902" spans="1:6" x14ac:dyDescent="0.25">
      <c r="A1902" s="4">
        <v>37096</v>
      </c>
      <c r="B1902">
        <v>20.113</v>
      </c>
      <c r="C1902">
        <v>20.289400000000001</v>
      </c>
      <c r="D1902">
        <v>19.760100000000001</v>
      </c>
      <c r="E1902">
        <v>20.289400000000001</v>
      </c>
      <c r="F1902">
        <v>29247</v>
      </c>
    </row>
    <row r="1903" spans="1:6" x14ac:dyDescent="0.25">
      <c r="A1903" s="4">
        <v>37097</v>
      </c>
      <c r="B1903">
        <v>20.465900000000001</v>
      </c>
      <c r="C1903">
        <v>20.995100000000001</v>
      </c>
      <c r="D1903">
        <v>20.289400000000001</v>
      </c>
      <c r="E1903">
        <v>20.8187</v>
      </c>
      <c r="F1903">
        <v>24208</v>
      </c>
    </row>
    <row r="1904" spans="1:6" x14ac:dyDescent="0.25">
      <c r="A1904" s="4">
        <v>37098</v>
      </c>
      <c r="B1904">
        <v>21.171600000000002</v>
      </c>
      <c r="C1904">
        <v>21.5244</v>
      </c>
      <c r="D1904">
        <v>20.8187</v>
      </c>
      <c r="E1904">
        <v>21.347999999999999</v>
      </c>
      <c r="F1904">
        <v>29198</v>
      </c>
    </row>
    <row r="1905" spans="1:6" x14ac:dyDescent="0.25">
      <c r="A1905" s="4">
        <v>37099</v>
      </c>
      <c r="B1905">
        <v>22.406600000000001</v>
      </c>
      <c r="C1905">
        <v>22.759399999999999</v>
      </c>
      <c r="D1905">
        <v>22.2302</v>
      </c>
      <c r="E1905">
        <v>22.406600000000001</v>
      </c>
      <c r="F1905">
        <v>87777</v>
      </c>
    </row>
    <row r="1906" spans="1:6" x14ac:dyDescent="0.25">
      <c r="A1906" s="4">
        <v>37103</v>
      </c>
      <c r="B1906">
        <v>22.759399999999999</v>
      </c>
      <c r="C1906">
        <v>23.288699999999999</v>
      </c>
      <c r="D1906">
        <v>22.582999999999998</v>
      </c>
      <c r="E1906">
        <v>23.288699999999999</v>
      </c>
      <c r="F1906">
        <v>57989</v>
      </c>
    </row>
    <row r="1907" spans="1:6" x14ac:dyDescent="0.25">
      <c r="A1907" s="4">
        <v>37104</v>
      </c>
      <c r="B1907">
        <v>24.1709</v>
      </c>
      <c r="C1907">
        <v>24.1709</v>
      </c>
      <c r="D1907">
        <v>23.6416</v>
      </c>
      <c r="E1907">
        <v>24.1709</v>
      </c>
      <c r="F1907">
        <v>77405</v>
      </c>
    </row>
    <row r="1908" spans="1:6" x14ac:dyDescent="0.25">
      <c r="A1908" s="4">
        <v>37105</v>
      </c>
      <c r="B1908">
        <v>24.700199999999999</v>
      </c>
      <c r="C1908">
        <v>25.053000000000001</v>
      </c>
      <c r="D1908">
        <v>24.700199999999999</v>
      </c>
      <c r="E1908">
        <v>24.8766</v>
      </c>
      <c r="F1908">
        <v>55827</v>
      </c>
    </row>
    <row r="1909" spans="1:6" x14ac:dyDescent="0.25">
      <c r="A1909" s="4">
        <v>37106</v>
      </c>
      <c r="B1909">
        <v>24.8766</v>
      </c>
      <c r="C1909">
        <v>24.8766</v>
      </c>
      <c r="D1909">
        <v>24.347300000000001</v>
      </c>
      <c r="E1909">
        <v>24.347300000000001</v>
      </c>
      <c r="F1909">
        <v>38818</v>
      </c>
    </row>
    <row r="1910" spans="1:6" x14ac:dyDescent="0.25">
      <c r="A1910" s="4">
        <v>37109</v>
      </c>
      <c r="B1910">
        <v>23.994499999999999</v>
      </c>
      <c r="C1910">
        <v>24.1709</v>
      </c>
      <c r="D1910">
        <v>23.818000000000001</v>
      </c>
      <c r="E1910">
        <v>23.994499999999999</v>
      </c>
      <c r="F1910">
        <v>26206</v>
      </c>
    </row>
    <row r="1911" spans="1:6" x14ac:dyDescent="0.25">
      <c r="A1911" s="4">
        <v>37110</v>
      </c>
      <c r="B1911">
        <v>23.465199999999999</v>
      </c>
      <c r="C1911">
        <v>23.6416</v>
      </c>
      <c r="D1911">
        <v>23.112300000000001</v>
      </c>
      <c r="E1911">
        <v>23.288699999999999</v>
      </c>
      <c r="F1911">
        <v>25684</v>
      </c>
    </row>
    <row r="1912" spans="1:6" x14ac:dyDescent="0.25">
      <c r="A1912" s="4">
        <v>37111</v>
      </c>
      <c r="B1912">
        <v>23.288699999999999</v>
      </c>
      <c r="C1912">
        <v>23.818000000000001</v>
      </c>
      <c r="D1912">
        <v>23.288699999999999</v>
      </c>
      <c r="E1912">
        <v>23.818000000000001</v>
      </c>
      <c r="F1912">
        <v>19092</v>
      </c>
    </row>
    <row r="1913" spans="1:6" x14ac:dyDescent="0.25">
      <c r="A1913" s="4">
        <v>37112</v>
      </c>
      <c r="B1913">
        <v>22.9359</v>
      </c>
      <c r="C1913">
        <v>23.288699999999999</v>
      </c>
      <c r="D1913">
        <v>22.9359</v>
      </c>
      <c r="E1913">
        <v>22.9359</v>
      </c>
      <c r="F1913">
        <v>16385</v>
      </c>
    </row>
    <row r="1914" spans="1:6" x14ac:dyDescent="0.25">
      <c r="A1914" s="4">
        <v>37113</v>
      </c>
      <c r="B1914">
        <v>23.465199999999999</v>
      </c>
      <c r="C1914">
        <v>24.1709</v>
      </c>
      <c r="D1914">
        <v>23.112300000000001</v>
      </c>
      <c r="E1914">
        <v>24.1709</v>
      </c>
      <c r="F1914">
        <v>28816</v>
      </c>
    </row>
    <row r="1915" spans="1:6" x14ac:dyDescent="0.25">
      <c r="A1915" s="4">
        <v>37116</v>
      </c>
      <c r="B1915">
        <v>23.994499999999999</v>
      </c>
      <c r="C1915">
        <v>23.994499999999999</v>
      </c>
      <c r="D1915">
        <v>23.6416</v>
      </c>
      <c r="E1915">
        <v>23.994499999999999</v>
      </c>
      <c r="F1915">
        <v>12792</v>
      </c>
    </row>
    <row r="1916" spans="1:6" x14ac:dyDescent="0.25">
      <c r="A1916" s="4">
        <v>37117</v>
      </c>
      <c r="B1916">
        <v>23.994499999999999</v>
      </c>
      <c r="C1916">
        <v>24.347300000000001</v>
      </c>
      <c r="D1916">
        <v>23.994499999999999</v>
      </c>
      <c r="E1916">
        <v>24.347300000000001</v>
      </c>
      <c r="F1916">
        <v>17062</v>
      </c>
    </row>
    <row r="1917" spans="1:6" x14ac:dyDescent="0.25">
      <c r="A1917" s="4">
        <v>37118</v>
      </c>
      <c r="B1917">
        <v>24.347300000000001</v>
      </c>
      <c r="C1917">
        <v>24.523700000000002</v>
      </c>
      <c r="D1917">
        <v>24.1709</v>
      </c>
      <c r="E1917">
        <v>24.1709</v>
      </c>
      <c r="F1917">
        <v>21108</v>
      </c>
    </row>
    <row r="1918" spans="1:6" x14ac:dyDescent="0.25">
      <c r="A1918" s="4">
        <v>37119</v>
      </c>
      <c r="B1918">
        <v>23.994499999999999</v>
      </c>
      <c r="C1918">
        <v>24.1709</v>
      </c>
      <c r="D1918">
        <v>23.818000000000001</v>
      </c>
      <c r="E1918">
        <v>23.994499999999999</v>
      </c>
      <c r="F1918">
        <v>12632</v>
      </c>
    </row>
    <row r="1919" spans="1:6" x14ac:dyDescent="0.25">
      <c r="A1919" s="4">
        <v>37120</v>
      </c>
      <c r="B1919">
        <v>23.994499999999999</v>
      </c>
      <c r="C1919">
        <v>24.1709</v>
      </c>
      <c r="D1919">
        <v>23.6416</v>
      </c>
      <c r="E1919">
        <v>23.818000000000001</v>
      </c>
      <c r="F1919">
        <v>13542</v>
      </c>
    </row>
    <row r="1920" spans="1:6" x14ac:dyDescent="0.25">
      <c r="A1920" s="4">
        <v>37123</v>
      </c>
      <c r="B1920">
        <v>23.112300000000001</v>
      </c>
      <c r="C1920">
        <v>23.288699999999999</v>
      </c>
      <c r="D1920">
        <v>22.9359</v>
      </c>
      <c r="E1920">
        <v>23.288699999999999</v>
      </c>
      <c r="F1920">
        <v>30387</v>
      </c>
    </row>
    <row r="1921" spans="1:6" x14ac:dyDescent="0.25">
      <c r="A1921" s="4">
        <v>37124</v>
      </c>
      <c r="B1921">
        <v>22.9359</v>
      </c>
      <c r="C1921">
        <v>23.465199999999999</v>
      </c>
      <c r="D1921">
        <v>22.9359</v>
      </c>
      <c r="E1921">
        <v>23.465199999999999</v>
      </c>
      <c r="F1921">
        <v>16013</v>
      </c>
    </row>
    <row r="1922" spans="1:6" x14ac:dyDescent="0.25">
      <c r="A1922" s="4">
        <v>37125</v>
      </c>
      <c r="B1922">
        <v>22.582999999999998</v>
      </c>
      <c r="C1922">
        <v>22.759399999999999</v>
      </c>
      <c r="D1922">
        <v>21.877300000000002</v>
      </c>
      <c r="E1922">
        <v>21.877300000000002</v>
      </c>
      <c r="F1922">
        <v>73826</v>
      </c>
    </row>
    <row r="1923" spans="1:6" x14ac:dyDescent="0.25">
      <c r="A1923" s="4">
        <v>37126</v>
      </c>
      <c r="B1923">
        <v>21.171600000000002</v>
      </c>
      <c r="C1923">
        <v>22.053699999999999</v>
      </c>
      <c r="D1923">
        <v>21.171600000000002</v>
      </c>
      <c r="E1923">
        <v>21.877300000000002</v>
      </c>
      <c r="F1923">
        <v>61699</v>
      </c>
    </row>
    <row r="1924" spans="1:6" x14ac:dyDescent="0.25">
      <c r="A1924" s="4">
        <v>37127</v>
      </c>
      <c r="B1924">
        <v>21.5244</v>
      </c>
      <c r="C1924">
        <v>21.5244</v>
      </c>
      <c r="D1924">
        <v>21.171600000000002</v>
      </c>
      <c r="E1924">
        <v>21.347999999999999</v>
      </c>
      <c r="F1924">
        <v>52017</v>
      </c>
    </row>
    <row r="1925" spans="1:6" x14ac:dyDescent="0.25">
      <c r="A1925" s="4">
        <v>37130</v>
      </c>
      <c r="B1925">
        <v>21.347999999999999</v>
      </c>
      <c r="C1925">
        <v>22.759399999999999</v>
      </c>
      <c r="D1925">
        <v>21.347999999999999</v>
      </c>
      <c r="E1925">
        <v>22.406600000000001</v>
      </c>
      <c r="F1925">
        <v>97158</v>
      </c>
    </row>
    <row r="1926" spans="1:6" x14ac:dyDescent="0.25">
      <c r="A1926" s="4">
        <v>37131</v>
      </c>
      <c r="B1926">
        <v>22.582999999999998</v>
      </c>
      <c r="C1926">
        <v>22.582999999999998</v>
      </c>
      <c r="D1926">
        <v>21.877300000000002</v>
      </c>
      <c r="E1926">
        <v>22.2302</v>
      </c>
      <c r="F1926">
        <v>54587</v>
      </c>
    </row>
    <row r="1927" spans="1:6" x14ac:dyDescent="0.25">
      <c r="A1927" s="4">
        <v>37132</v>
      </c>
      <c r="B1927">
        <v>22.2302</v>
      </c>
      <c r="C1927">
        <v>22.759399999999999</v>
      </c>
      <c r="D1927">
        <v>22.053699999999999</v>
      </c>
      <c r="E1927">
        <v>22.759399999999999</v>
      </c>
      <c r="F1927">
        <v>55722</v>
      </c>
    </row>
    <row r="1928" spans="1:6" x14ac:dyDescent="0.25">
      <c r="A1928" s="4">
        <v>37133</v>
      </c>
      <c r="B1928">
        <v>22.406600000000001</v>
      </c>
      <c r="C1928">
        <v>22.582999999999998</v>
      </c>
      <c r="D1928">
        <v>22.2302</v>
      </c>
      <c r="E1928">
        <v>22.2302</v>
      </c>
      <c r="F1928">
        <v>28604</v>
      </c>
    </row>
    <row r="1929" spans="1:6" x14ac:dyDescent="0.25">
      <c r="A1929" s="4">
        <v>37134</v>
      </c>
      <c r="B1929">
        <v>22.053699999999999</v>
      </c>
      <c r="C1929">
        <v>22.759399999999999</v>
      </c>
      <c r="D1929">
        <v>21.877300000000002</v>
      </c>
      <c r="E1929">
        <v>22.582999999999998</v>
      </c>
      <c r="F1929">
        <v>28088</v>
      </c>
    </row>
    <row r="1930" spans="1:6" x14ac:dyDescent="0.25">
      <c r="A1930" s="4">
        <v>37137</v>
      </c>
      <c r="B1930">
        <v>22.582999999999998</v>
      </c>
      <c r="C1930">
        <v>22.759399999999999</v>
      </c>
      <c r="D1930">
        <v>22.406600000000001</v>
      </c>
      <c r="E1930">
        <v>22.582999999999998</v>
      </c>
      <c r="F1930">
        <v>21932</v>
      </c>
    </row>
    <row r="1931" spans="1:6" x14ac:dyDescent="0.25">
      <c r="A1931" s="4">
        <v>37138</v>
      </c>
      <c r="B1931">
        <v>22.582999999999998</v>
      </c>
      <c r="C1931">
        <v>23.288699999999999</v>
      </c>
      <c r="D1931">
        <v>22.406600000000001</v>
      </c>
      <c r="E1931">
        <v>23.288699999999999</v>
      </c>
      <c r="F1931">
        <v>29308</v>
      </c>
    </row>
    <row r="1932" spans="1:6" x14ac:dyDescent="0.25">
      <c r="A1932" s="4">
        <v>37139</v>
      </c>
      <c r="B1932">
        <v>23.112300000000001</v>
      </c>
      <c r="C1932">
        <v>23.112300000000001</v>
      </c>
      <c r="D1932">
        <v>22.759399999999999</v>
      </c>
      <c r="E1932">
        <v>23.112300000000001</v>
      </c>
      <c r="F1932">
        <v>25302</v>
      </c>
    </row>
    <row r="1933" spans="1:6" x14ac:dyDescent="0.25">
      <c r="A1933" s="4">
        <v>37140</v>
      </c>
      <c r="B1933">
        <v>22.582999999999998</v>
      </c>
      <c r="C1933">
        <v>22.759399999999999</v>
      </c>
      <c r="D1933">
        <v>22.2302</v>
      </c>
      <c r="E1933">
        <v>22.582999999999998</v>
      </c>
      <c r="F1933">
        <v>18073</v>
      </c>
    </row>
    <row r="1934" spans="1:6" x14ac:dyDescent="0.25">
      <c r="A1934" s="4">
        <v>37141</v>
      </c>
      <c r="B1934">
        <v>22.406600000000001</v>
      </c>
      <c r="C1934">
        <v>22.406600000000001</v>
      </c>
      <c r="D1934">
        <v>22.053699999999999</v>
      </c>
      <c r="E1934">
        <v>22.2302</v>
      </c>
      <c r="F1934">
        <v>23561</v>
      </c>
    </row>
    <row r="1935" spans="1:6" x14ac:dyDescent="0.25">
      <c r="A1935" s="4">
        <v>37144</v>
      </c>
      <c r="B1935">
        <v>22.053699999999999</v>
      </c>
      <c r="C1935">
        <v>22.759399999999999</v>
      </c>
      <c r="D1935">
        <v>22.053699999999999</v>
      </c>
      <c r="E1935">
        <v>22.582999999999998</v>
      </c>
      <c r="F1935">
        <v>15962</v>
      </c>
    </row>
    <row r="1936" spans="1:6" x14ac:dyDescent="0.25">
      <c r="A1936" s="4">
        <v>37145</v>
      </c>
      <c r="B1936">
        <v>22.582999999999998</v>
      </c>
      <c r="C1936">
        <v>22.582999999999998</v>
      </c>
      <c r="D1936">
        <v>22.2302</v>
      </c>
      <c r="E1936">
        <v>22.2302</v>
      </c>
      <c r="F1936">
        <v>16419</v>
      </c>
    </row>
    <row r="1937" spans="1:6" x14ac:dyDescent="0.25">
      <c r="A1937" s="4">
        <v>37147</v>
      </c>
      <c r="B1937">
        <v>20.8187</v>
      </c>
      <c r="C1937">
        <v>20.8187</v>
      </c>
      <c r="D1937">
        <v>20.8187</v>
      </c>
      <c r="E1937">
        <v>20.8187</v>
      </c>
      <c r="F1937">
        <v>21824</v>
      </c>
    </row>
    <row r="1938" spans="1:6" x14ac:dyDescent="0.25">
      <c r="A1938" s="4">
        <v>37148</v>
      </c>
      <c r="B1938">
        <v>20.465900000000001</v>
      </c>
      <c r="C1938">
        <v>20.8187</v>
      </c>
      <c r="D1938">
        <v>19.407299999999999</v>
      </c>
      <c r="E1938">
        <v>19.5837</v>
      </c>
      <c r="F1938">
        <v>55315</v>
      </c>
    </row>
    <row r="1939" spans="1:6" x14ac:dyDescent="0.25">
      <c r="A1939" s="4">
        <v>37153</v>
      </c>
      <c r="B1939">
        <v>19.054400000000001</v>
      </c>
      <c r="C1939">
        <v>19.054400000000001</v>
      </c>
      <c r="D1939">
        <v>19.054400000000001</v>
      </c>
      <c r="E1939">
        <v>19.054400000000001</v>
      </c>
      <c r="F1939">
        <v>4384</v>
      </c>
    </row>
    <row r="1940" spans="1:6" x14ac:dyDescent="0.25">
      <c r="A1940" s="4">
        <v>37154</v>
      </c>
      <c r="B1940">
        <v>18.525099999999998</v>
      </c>
      <c r="C1940">
        <v>18.525099999999998</v>
      </c>
      <c r="D1940">
        <v>18.525099999999998</v>
      </c>
      <c r="E1940">
        <v>18.525099999999998</v>
      </c>
      <c r="F1940">
        <v>2744</v>
      </c>
    </row>
    <row r="1941" spans="1:6" x14ac:dyDescent="0.25">
      <c r="A1941" s="4">
        <v>37155</v>
      </c>
      <c r="B1941">
        <v>17.995799999999999</v>
      </c>
      <c r="C1941">
        <v>17.995799999999999</v>
      </c>
      <c r="D1941">
        <v>17.995799999999999</v>
      </c>
      <c r="E1941">
        <v>17.995799999999999</v>
      </c>
      <c r="F1941">
        <v>1467</v>
      </c>
    </row>
    <row r="1942" spans="1:6" x14ac:dyDescent="0.25">
      <c r="A1942" s="4">
        <v>37158</v>
      </c>
      <c r="B1942">
        <v>16.7608</v>
      </c>
      <c r="C1942">
        <v>16.7608</v>
      </c>
      <c r="D1942">
        <v>16.7608</v>
      </c>
      <c r="E1942">
        <v>16.7608</v>
      </c>
      <c r="F1942">
        <v>55043</v>
      </c>
    </row>
    <row r="1943" spans="1:6" x14ac:dyDescent="0.25">
      <c r="A1943" s="4">
        <v>37159</v>
      </c>
      <c r="B1943">
        <v>17.360700000000001</v>
      </c>
      <c r="C1943">
        <v>17.396000000000001</v>
      </c>
      <c r="D1943">
        <v>16.655000000000001</v>
      </c>
      <c r="E1943">
        <v>16.7255</v>
      </c>
      <c r="F1943">
        <v>102011</v>
      </c>
    </row>
    <row r="1944" spans="1:6" x14ac:dyDescent="0.25">
      <c r="A1944" s="4">
        <v>37160</v>
      </c>
      <c r="B1944">
        <v>16.584399999999999</v>
      </c>
      <c r="C1944">
        <v>17.1843</v>
      </c>
      <c r="D1944">
        <v>15.5611</v>
      </c>
      <c r="E1944">
        <v>17.113700000000001</v>
      </c>
      <c r="F1944">
        <v>77458</v>
      </c>
    </row>
    <row r="1945" spans="1:6" x14ac:dyDescent="0.25">
      <c r="A1945" s="4">
        <v>37161</v>
      </c>
      <c r="B1945">
        <v>16.9373</v>
      </c>
      <c r="C1945">
        <v>16.9373</v>
      </c>
      <c r="D1945">
        <v>16.2315</v>
      </c>
      <c r="E1945">
        <v>16.408000000000001</v>
      </c>
      <c r="F1945">
        <v>29503</v>
      </c>
    </row>
    <row r="1946" spans="1:6" x14ac:dyDescent="0.25">
      <c r="A1946" s="4">
        <v>37162</v>
      </c>
      <c r="B1946">
        <v>15.984500000000001</v>
      </c>
      <c r="C1946">
        <v>16.7608</v>
      </c>
      <c r="D1946">
        <v>15.984500000000001</v>
      </c>
      <c r="E1946">
        <v>16.4785</v>
      </c>
      <c r="F1946">
        <v>60334</v>
      </c>
    </row>
    <row r="1947" spans="1:6" x14ac:dyDescent="0.25">
      <c r="A1947" s="4">
        <v>37166</v>
      </c>
      <c r="B1947">
        <v>16.443300000000001</v>
      </c>
      <c r="C1947">
        <v>16.443300000000001</v>
      </c>
      <c r="D1947">
        <v>15.4552</v>
      </c>
      <c r="E1947">
        <v>15.8787</v>
      </c>
      <c r="F1947">
        <v>37731</v>
      </c>
    </row>
    <row r="1948" spans="1:6" x14ac:dyDescent="0.25">
      <c r="A1948" s="4">
        <v>37167</v>
      </c>
      <c r="B1948">
        <v>15.702299999999999</v>
      </c>
      <c r="C1948">
        <v>15.949299999999999</v>
      </c>
      <c r="D1948">
        <v>15.3847</v>
      </c>
      <c r="E1948">
        <v>15.5611</v>
      </c>
      <c r="F1948">
        <v>28120</v>
      </c>
    </row>
    <row r="1949" spans="1:6" x14ac:dyDescent="0.25">
      <c r="A1949" s="4">
        <v>37168</v>
      </c>
      <c r="B1949">
        <v>16.619700000000002</v>
      </c>
      <c r="C1949">
        <v>16.619700000000002</v>
      </c>
      <c r="D1949">
        <v>15.596399999999999</v>
      </c>
      <c r="E1949">
        <v>15.6317</v>
      </c>
      <c r="F1949">
        <v>60350</v>
      </c>
    </row>
    <row r="1950" spans="1:6" x14ac:dyDescent="0.25">
      <c r="A1950" s="4">
        <v>37169</v>
      </c>
      <c r="B1950">
        <v>15.7728</v>
      </c>
      <c r="C1950">
        <v>16.7255</v>
      </c>
      <c r="D1950">
        <v>15.702299999999999</v>
      </c>
      <c r="E1950">
        <v>16.5138</v>
      </c>
      <c r="F1950">
        <v>50927</v>
      </c>
    </row>
    <row r="1951" spans="1:6" x14ac:dyDescent="0.25">
      <c r="A1951" s="4">
        <v>37172</v>
      </c>
      <c r="B1951">
        <v>16.055099999999999</v>
      </c>
      <c r="C1951">
        <v>16.443300000000001</v>
      </c>
      <c r="D1951">
        <v>16.055099999999999</v>
      </c>
      <c r="E1951">
        <v>16.2315</v>
      </c>
      <c r="F1951">
        <v>20760</v>
      </c>
    </row>
    <row r="1952" spans="1:6" x14ac:dyDescent="0.25">
      <c r="A1952" s="4">
        <v>37173</v>
      </c>
      <c r="B1952">
        <v>16.796099999999999</v>
      </c>
      <c r="C1952">
        <v>17.360700000000001</v>
      </c>
      <c r="D1952">
        <v>16.690300000000001</v>
      </c>
      <c r="E1952">
        <v>17.360700000000001</v>
      </c>
      <c r="F1952">
        <v>48332</v>
      </c>
    </row>
    <row r="1953" spans="1:6" x14ac:dyDescent="0.25">
      <c r="A1953" s="4">
        <v>37175</v>
      </c>
      <c r="B1953">
        <v>18.1723</v>
      </c>
      <c r="C1953">
        <v>18.525099999999998</v>
      </c>
      <c r="D1953">
        <v>17.995799999999999</v>
      </c>
      <c r="E1953">
        <v>18.525099999999998</v>
      </c>
      <c r="F1953">
        <v>39673</v>
      </c>
    </row>
    <row r="1954" spans="1:6" x14ac:dyDescent="0.25">
      <c r="A1954" s="4">
        <v>37176</v>
      </c>
      <c r="B1954">
        <v>19.760100000000001</v>
      </c>
      <c r="C1954">
        <v>19.760100000000001</v>
      </c>
      <c r="D1954">
        <v>19.054400000000001</v>
      </c>
      <c r="E1954">
        <v>19.407299999999999</v>
      </c>
      <c r="F1954">
        <v>82368</v>
      </c>
    </row>
    <row r="1955" spans="1:6" x14ac:dyDescent="0.25">
      <c r="A1955" s="4">
        <v>37179</v>
      </c>
      <c r="B1955">
        <v>18.878</v>
      </c>
      <c r="C1955">
        <v>19.407299999999999</v>
      </c>
      <c r="D1955">
        <v>18.701599999999999</v>
      </c>
      <c r="E1955">
        <v>18.878</v>
      </c>
      <c r="F1955">
        <v>25786</v>
      </c>
    </row>
    <row r="1956" spans="1:6" x14ac:dyDescent="0.25">
      <c r="A1956" s="4">
        <v>37180</v>
      </c>
      <c r="B1956">
        <v>19.054400000000001</v>
      </c>
      <c r="C1956">
        <v>19.5837</v>
      </c>
      <c r="D1956">
        <v>18.701599999999999</v>
      </c>
      <c r="E1956">
        <v>19.5837</v>
      </c>
      <c r="F1956">
        <v>23684</v>
      </c>
    </row>
    <row r="1957" spans="1:6" x14ac:dyDescent="0.25">
      <c r="A1957" s="4">
        <v>37181</v>
      </c>
      <c r="B1957">
        <v>20.465900000000001</v>
      </c>
      <c r="C1957">
        <v>20.8187</v>
      </c>
      <c r="D1957">
        <v>20.113</v>
      </c>
      <c r="E1957">
        <v>20.465900000000001</v>
      </c>
      <c r="F1957">
        <v>72746</v>
      </c>
    </row>
    <row r="1958" spans="1:6" x14ac:dyDescent="0.25">
      <c r="A1958" s="4">
        <v>37182</v>
      </c>
      <c r="B1958">
        <v>20.113</v>
      </c>
      <c r="C1958">
        <v>20.995100000000001</v>
      </c>
      <c r="D1958">
        <v>20.113</v>
      </c>
      <c r="E1958">
        <v>20.995100000000001</v>
      </c>
      <c r="F1958">
        <v>48185</v>
      </c>
    </row>
    <row r="1959" spans="1:6" x14ac:dyDescent="0.25">
      <c r="A1959" s="4">
        <v>37183</v>
      </c>
      <c r="B1959">
        <v>20.642299999999999</v>
      </c>
      <c r="C1959">
        <v>20.8187</v>
      </c>
      <c r="D1959">
        <v>20.113</v>
      </c>
      <c r="E1959">
        <v>20.642299999999999</v>
      </c>
      <c r="F1959">
        <v>48976</v>
      </c>
    </row>
    <row r="1960" spans="1:6" x14ac:dyDescent="0.25">
      <c r="A1960" s="4">
        <v>37186</v>
      </c>
      <c r="B1960">
        <v>20.642299999999999</v>
      </c>
      <c r="C1960">
        <v>20.8187</v>
      </c>
      <c r="D1960">
        <v>20.113</v>
      </c>
      <c r="E1960">
        <v>20.465900000000001</v>
      </c>
      <c r="F1960">
        <v>30108</v>
      </c>
    </row>
    <row r="1961" spans="1:6" x14ac:dyDescent="0.25">
      <c r="A1961" s="4">
        <v>37187</v>
      </c>
      <c r="B1961">
        <v>20.995100000000001</v>
      </c>
      <c r="C1961">
        <v>20.995100000000001</v>
      </c>
      <c r="D1961">
        <v>20.289400000000001</v>
      </c>
      <c r="E1961">
        <v>20.289400000000001</v>
      </c>
      <c r="F1961">
        <v>33447</v>
      </c>
    </row>
    <row r="1962" spans="1:6" x14ac:dyDescent="0.25">
      <c r="A1962" s="4">
        <v>37188</v>
      </c>
      <c r="B1962">
        <v>20.465900000000001</v>
      </c>
      <c r="C1962">
        <v>21.700900000000001</v>
      </c>
      <c r="D1962">
        <v>20.465900000000001</v>
      </c>
      <c r="E1962">
        <v>21.700900000000001</v>
      </c>
      <c r="F1962">
        <v>74840</v>
      </c>
    </row>
    <row r="1963" spans="1:6" x14ac:dyDescent="0.25">
      <c r="A1963" s="4">
        <v>37189</v>
      </c>
      <c r="B1963">
        <v>22.2302</v>
      </c>
      <c r="C1963">
        <v>22.2302</v>
      </c>
      <c r="D1963">
        <v>21.700900000000001</v>
      </c>
      <c r="E1963">
        <v>22.053699999999999</v>
      </c>
      <c r="F1963">
        <v>56278</v>
      </c>
    </row>
    <row r="1964" spans="1:6" x14ac:dyDescent="0.25">
      <c r="A1964" s="4">
        <v>37190</v>
      </c>
      <c r="B1964">
        <v>22.2302</v>
      </c>
      <c r="C1964">
        <v>22.582999999999998</v>
      </c>
      <c r="D1964">
        <v>22.2302</v>
      </c>
      <c r="E1964">
        <v>22.2302</v>
      </c>
      <c r="F1964">
        <v>35625</v>
      </c>
    </row>
    <row r="1965" spans="1:6" x14ac:dyDescent="0.25">
      <c r="A1965" s="4">
        <v>37193</v>
      </c>
      <c r="B1965">
        <v>23.465199999999999</v>
      </c>
      <c r="C1965">
        <v>23.6416</v>
      </c>
      <c r="D1965">
        <v>22.759399999999999</v>
      </c>
      <c r="E1965">
        <v>23.6416</v>
      </c>
      <c r="F1965">
        <v>89805</v>
      </c>
    </row>
    <row r="1966" spans="1:6" x14ac:dyDescent="0.25">
      <c r="A1966" s="4">
        <v>37194</v>
      </c>
      <c r="B1966">
        <v>22.053699999999999</v>
      </c>
      <c r="C1966">
        <v>22.759399999999999</v>
      </c>
      <c r="D1966">
        <v>22.053699999999999</v>
      </c>
      <c r="E1966">
        <v>22.053699999999999</v>
      </c>
      <c r="F1966">
        <v>58138</v>
      </c>
    </row>
    <row r="1967" spans="1:6" x14ac:dyDescent="0.25">
      <c r="A1967" s="4">
        <v>37195</v>
      </c>
      <c r="B1967">
        <v>21.171600000000002</v>
      </c>
      <c r="C1967">
        <v>22.053699999999999</v>
      </c>
      <c r="D1967">
        <v>21.171600000000002</v>
      </c>
      <c r="E1967">
        <v>21.5244</v>
      </c>
      <c r="F1967">
        <v>48995</v>
      </c>
    </row>
    <row r="1968" spans="1:6" x14ac:dyDescent="0.25">
      <c r="A1968" s="4">
        <v>37196</v>
      </c>
      <c r="B1968">
        <v>22.053699999999999</v>
      </c>
      <c r="C1968">
        <v>22.053699999999999</v>
      </c>
      <c r="D1968">
        <v>21.347999999999999</v>
      </c>
      <c r="E1968">
        <v>21.5244</v>
      </c>
      <c r="F1968">
        <v>38059</v>
      </c>
    </row>
    <row r="1969" spans="1:6" x14ac:dyDescent="0.25">
      <c r="A1969" s="4">
        <v>37197</v>
      </c>
      <c r="B1969">
        <v>22.2302</v>
      </c>
      <c r="C1969">
        <v>22.582999999999998</v>
      </c>
      <c r="D1969">
        <v>21.877300000000002</v>
      </c>
      <c r="E1969">
        <v>22.053699999999999</v>
      </c>
      <c r="F1969">
        <v>60478</v>
      </c>
    </row>
    <row r="1970" spans="1:6" x14ac:dyDescent="0.25">
      <c r="A1970" s="4">
        <v>37200</v>
      </c>
      <c r="B1970">
        <v>22.2302</v>
      </c>
      <c r="C1970">
        <v>22.9359</v>
      </c>
      <c r="D1970">
        <v>22.053699999999999</v>
      </c>
      <c r="E1970">
        <v>22.9359</v>
      </c>
      <c r="F1970">
        <v>40983</v>
      </c>
    </row>
    <row r="1971" spans="1:6" x14ac:dyDescent="0.25">
      <c r="A1971" s="4">
        <v>37201</v>
      </c>
      <c r="B1971">
        <v>23.6416</v>
      </c>
      <c r="C1971">
        <v>23.818000000000001</v>
      </c>
      <c r="D1971">
        <v>23.112300000000001</v>
      </c>
      <c r="E1971">
        <v>23.112300000000001</v>
      </c>
      <c r="F1971">
        <v>65063</v>
      </c>
    </row>
    <row r="1972" spans="1:6" x14ac:dyDescent="0.25">
      <c r="A1972" s="4">
        <v>37202</v>
      </c>
      <c r="B1972">
        <v>23.465199999999999</v>
      </c>
      <c r="C1972">
        <v>23.818000000000001</v>
      </c>
      <c r="D1972">
        <v>23.288699999999999</v>
      </c>
      <c r="E1972">
        <v>23.6416</v>
      </c>
      <c r="F1972">
        <v>35239</v>
      </c>
    </row>
    <row r="1973" spans="1:6" x14ac:dyDescent="0.25">
      <c r="A1973" s="4">
        <v>37203</v>
      </c>
      <c r="B1973">
        <v>23.994499999999999</v>
      </c>
      <c r="C1973">
        <v>24.523700000000002</v>
      </c>
      <c r="D1973">
        <v>23.6416</v>
      </c>
      <c r="E1973">
        <v>23.818000000000001</v>
      </c>
      <c r="F1973">
        <v>55040</v>
      </c>
    </row>
    <row r="1974" spans="1:6" x14ac:dyDescent="0.25">
      <c r="A1974" s="4">
        <v>37204</v>
      </c>
      <c r="B1974">
        <v>24.1709</v>
      </c>
      <c r="C1974">
        <v>24.347300000000001</v>
      </c>
      <c r="D1974">
        <v>23.6416</v>
      </c>
      <c r="E1974">
        <v>23.994499999999999</v>
      </c>
      <c r="F1974">
        <v>51625</v>
      </c>
    </row>
    <row r="1975" spans="1:6" x14ac:dyDescent="0.25">
      <c r="A1975" s="4">
        <v>37207</v>
      </c>
      <c r="B1975">
        <v>23.994499999999999</v>
      </c>
      <c r="C1975">
        <v>24.347300000000001</v>
      </c>
      <c r="D1975">
        <v>23.6416</v>
      </c>
      <c r="E1975">
        <v>23.994499999999999</v>
      </c>
      <c r="F1975">
        <v>33770</v>
      </c>
    </row>
    <row r="1976" spans="1:6" x14ac:dyDescent="0.25">
      <c r="A1976" s="4">
        <v>37208</v>
      </c>
      <c r="B1976">
        <v>23.6416</v>
      </c>
      <c r="C1976">
        <v>23.994499999999999</v>
      </c>
      <c r="D1976">
        <v>23.6416</v>
      </c>
      <c r="E1976">
        <v>23.818000000000001</v>
      </c>
      <c r="F1976">
        <v>17989</v>
      </c>
    </row>
    <row r="1977" spans="1:6" x14ac:dyDescent="0.25">
      <c r="A1977" s="4">
        <v>37209</v>
      </c>
      <c r="B1977">
        <v>24.700199999999999</v>
      </c>
      <c r="C1977">
        <v>25.405899999999999</v>
      </c>
      <c r="D1977">
        <v>24.700199999999999</v>
      </c>
      <c r="E1977">
        <v>25.405899999999999</v>
      </c>
      <c r="F1977">
        <v>94035</v>
      </c>
    </row>
    <row r="1978" spans="1:6" x14ac:dyDescent="0.25">
      <c r="A1978" s="4">
        <v>37210</v>
      </c>
      <c r="B1978">
        <v>25.405899999999999</v>
      </c>
      <c r="C1978">
        <v>26.288</v>
      </c>
      <c r="D1978">
        <v>25.229500000000002</v>
      </c>
      <c r="E1978">
        <v>26.288</v>
      </c>
      <c r="F1978">
        <v>71902</v>
      </c>
    </row>
    <row r="1979" spans="1:6" x14ac:dyDescent="0.25">
      <c r="A1979" s="4">
        <v>37211</v>
      </c>
      <c r="B1979">
        <v>26.288</v>
      </c>
      <c r="C1979">
        <v>27.6995</v>
      </c>
      <c r="D1979">
        <v>25.935199999999998</v>
      </c>
      <c r="E1979">
        <v>27.346599999999999</v>
      </c>
      <c r="F1979">
        <v>86760</v>
      </c>
    </row>
    <row r="1980" spans="1:6" x14ac:dyDescent="0.25">
      <c r="A1980" s="4">
        <v>37214</v>
      </c>
      <c r="B1980">
        <v>27.346599999999999</v>
      </c>
      <c r="C1980">
        <v>28.052299999999999</v>
      </c>
      <c r="D1980">
        <v>26.9938</v>
      </c>
      <c r="E1980">
        <v>28.052299999999999</v>
      </c>
      <c r="F1980">
        <v>55841</v>
      </c>
    </row>
    <row r="1981" spans="1:6" x14ac:dyDescent="0.25">
      <c r="A1981" s="4">
        <v>37215</v>
      </c>
      <c r="B1981">
        <v>27.523</v>
      </c>
      <c r="C1981">
        <v>27.6995</v>
      </c>
      <c r="D1981">
        <v>26.111599999999999</v>
      </c>
      <c r="E1981">
        <v>26.288</v>
      </c>
      <c r="F1981">
        <v>61105</v>
      </c>
    </row>
    <row r="1982" spans="1:6" x14ac:dyDescent="0.25">
      <c r="A1982" s="4">
        <v>37216</v>
      </c>
      <c r="B1982">
        <v>25.405899999999999</v>
      </c>
      <c r="C1982">
        <v>26.640899999999998</v>
      </c>
      <c r="D1982">
        <v>25.405899999999999</v>
      </c>
      <c r="E1982">
        <v>26.640899999999998</v>
      </c>
      <c r="F1982">
        <v>64020</v>
      </c>
    </row>
    <row r="1983" spans="1:6" x14ac:dyDescent="0.25">
      <c r="A1983" s="4">
        <v>37217</v>
      </c>
      <c r="B1983">
        <v>26.464500000000001</v>
      </c>
      <c r="C1983">
        <v>26.464500000000001</v>
      </c>
      <c r="D1983">
        <v>25.5823</v>
      </c>
      <c r="E1983">
        <v>25.758700000000001</v>
      </c>
      <c r="F1983">
        <v>43928</v>
      </c>
    </row>
    <row r="1984" spans="1:6" x14ac:dyDescent="0.25">
      <c r="A1984" s="4">
        <v>37218</v>
      </c>
      <c r="B1984">
        <v>25.758700000000001</v>
      </c>
      <c r="C1984">
        <v>26.288</v>
      </c>
      <c r="D1984">
        <v>25.405899999999999</v>
      </c>
      <c r="E1984">
        <v>25.935199999999998</v>
      </c>
      <c r="F1984">
        <v>38101</v>
      </c>
    </row>
    <row r="1985" spans="1:6" x14ac:dyDescent="0.25">
      <c r="A1985" s="4">
        <v>37221</v>
      </c>
      <c r="B1985">
        <v>25.935199999999998</v>
      </c>
      <c r="C1985">
        <v>26.288</v>
      </c>
      <c r="D1985">
        <v>25.758700000000001</v>
      </c>
      <c r="E1985">
        <v>26.111599999999999</v>
      </c>
      <c r="F1985">
        <v>59653</v>
      </c>
    </row>
    <row r="1986" spans="1:6" x14ac:dyDescent="0.25">
      <c r="A1986" s="4">
        <v>37222</v>
      </c>
      <c r="B1986">
        <v>27.875900000000001</v>
      </c>
      <c r="C1986">
        <v>27.875900000000001</v>
      </c>
      <c r="D1986">
        <v>26.111599999999999</v>
      </c>
      <c r="E1986">
        <v>26.640899999999998</v>
      </c>
      <c r="F1986">
        <v>117165</v>
      </c>
    </row>
    <row r="1987" spans="1:6" x14ac:dyDescent="0.25">
      <c r="A1987" s="4">
        <v>37223</v>
      </c>
      <c r="B1987">
        <v>26.817299999999999</v>
      </c>
      <c r="C1987">
        <v>27.523</v>
      </c>
      <c r="D1987">
        <v>26.111599999999999</v>
      </c>
      <c r="E1987">
        <v>26.111599999999999</v>
      </c>
      <c r="F1987">
        <v>46212</v>
      </c>
    </row>
    <row r="1988" spans="1:6" x14ac:dyDescent="0.25">
      <c r="A1988" s="4">
        <v>37224</v>
      </c>
      <c r="B1988">
        <v>25.5823</v>
      </c>
      <c r="C1988">
        <v>25.758700000000001</v>
      </c>
      <c r="D1988">
        <v>25.405899999999999</v>
      </c>
      <c r="E1988">
        <v>25.758700000000001</v>
      </c>
      <c r="F1988">
        <v>44161</v>
      </c>
    </row>
    <row r="1989" spans="1:6" x14ac:dyDescent="0.25">
      <c r="A1989" s="4">
        <v>37225</v>
      </c>
      <c r="B1989">
        <v>26.464500000000001</v>
      </c>
      <c r="C1989">
        <v>26.464500000000001</v>
      </c>
      <c r="D1989">
        <v>25.758700000000001</v>
      </c>
      <c r="E1989">
        <v>25.758700000000001</v>
      </c>
      <c r="F1989">
        <v>68114</v>
      </c>
    </row>
    <row r="1990" spans="1:6" x14ac:dyDescent="0.25">
      <c r="A1990" s="4">
        <v>37228</v>
      </c>
      <c r="B1990">
        <v>26.640899999999998</v>
      </c>
      <c r="C1990">
        <v>27.346599999999999</v>
      </c>
      <c r="D1990">
        <v>26.464500000000001</v>
      </c>
      <c r="E1990">
        <v>27.346599999999999</v>
      </c>
      <c r="F1990">
        <v>53626</v>
      </c>
    </row>
    <row r="1991" spans="1:6" x14ac:dyDescent="0.25">
      <c r="A1991" s="4">
        <v>37229</v>
      </c>
      <c r="B1991">
        <v>26.9938</v>
      </c>
      <c r="C1991">
        <v>27.875900000000001</v>
      </c>
      <c r="D1991">
        <v>26.640899999999998</v>
      </c>
      <c r="E1991">
        <v>27.6995</v>
      </c>
      <c r="F1991">
        <v>49446</v>
      </c>
    </row>
    <row r="1992" spans="1:6" x14ac:dyDescent="0.25">
      <c r="A1992" s="4">
        <v>37230</v>
      </c>
      <c r="B1992">
        <v>28.9345</v>
      </c>
      <c r="C1992">
        <v>29.463799999999999</v>
      </c>
      <c r="D1992">
        <v>28.758099999999999</v>
      </c>
      <c r="E1992">
        <v>29.463799999999999</v>
      </c>
      <c r="F1992">
        <v>115585</v>
      </c>
    </row>
    <row r="1993" spans="1:6" x14ac:dyDescent="0.25">
      <c r="A1993" s="4">
        <v>37231</v>
      </c>
      <c r="B1993">
        <v>31.404499999999999</v>
      </c>
      <c r="C1993">
        <v>31.404499999999999</v>
      </c>
      <c r="D1993">
        <v>30.698799999999999</v>
      </c>
      <c r="E1993">
        <v>31.404499999999999</v>
      </c>
      <c r="F1993">
        <v>109189</v>
      </c>
    </row>
    <row r="1994" spans="1:6" x14ac:dyDescent="0.25">
      <c r="A1994" s="4">
        <v>37232</v>
      </c>
      <c r="B1994">
        <v>31.051600000000001</v>
      </c>
      <c r="C1994">
        <v>31.404499999999999</v>
      </c>
      <c r="D1994">
        <v>30.3459</v>
      </c>
      <c r="E1994">
        <v>31.228100000000001</v>
      </c>
      <c r="F1994">
        <v>66340</v>
      </c>
    </row>
    <row r="1995" spans="1:6" x14ac:dyDescent="0.25">
      <c r="A1995" s="4">
        <v>37235</v>
      </c>
      <c r="B1995">
        <v>30.522400000000001</v>
      </c>
      <c r="C1995">
        <v>30.698799999999999</v>
      </c>
      <c r="D1995">
        <v>29.6402</v>
      </c>
      <c r="E1995">
        <v>29.6402</v>
      </c>
      <c r="F1995">
        <v>60696</v>
      </c>
    </row>
    <row r="1996" spans="1:6" x14ac:dyDescent="0.25">
      <c r="A1996" s="4">
        <v>37236</v>
      </c>
      <c r="B1996">
        <v>28.9345</v>
      </c>
      <c r="C1996">
        <v>30.3459</v>
      </c>
      <c r="D1996">
        <v>28.758099999999999</v>
      </c>
      <c r="E1996">
        <v>30.169499999999999</v>
      </c>
      <c r="F1996">
        <v>53639</v>
      </c>
    </row>
    <row r="1997" spans="1:6" x14ac:dyDescent="0.25">
      <c r="A1997" s="4">
        <v>37237</v>
      </c>
      <c r="B1997">
        <v>30.3459</v>
      </c>
      <c r="C1997">
        <v>31.757400000000001</v>
      </c>
      <c r="D1997">
        <v>30.169499999999999</v>
      </c>
      <c r="E1997">
        <v>31.228100000000001</v>
      </c>
      <c r="F1997">
        <v>66427</v>
      </c>
    </row>
    <row r="1998" spans="1:6" x14ac:dyDescent="0.25">
      <c r="A1998" s="4">
        <v>37238</v>
      </c>
      <c r="B1998">
        <v>31.404499999999999</v>
      </c>
      <c r="C1998">
        <v>31.5809</v>
      </c>
      <c r="D1998">
        <v>29.6402</v>
      </c>
      <c r="E1998">
        <v>29.6402</v>
      </c>
      <c r="F1998">
        <v>59065</v>
      </c>
    </row>
    <row r="1999" spans="1:6" x14ac:dyDescent="0.25">
      <c r="A1999" s="4">
        <v>37239</v>
      </c>
      <c r="B1999">
        <v>29.110900000000001</v>
      </c>
      <c r="C1999">
        <v>29.6402</v>
      </c>
      <c r="D1999">
        <v>28.9345</v>
      </c>
      <c r="E1999">
        <v>29.463799999999999</v>
      </c>
      <c r="F1999">
        <v>41267</v>
      </c>
    </row>
    <row r="2000" spans="1:6" x14ac:dyDescent="0.25">
      <c r="A2000" s="4">
        <v>37242</v>
      </c>
      <c r="B2000">
        <v>29.110900000000001</v>
      </c>
      <c r="C2000">
        <v>29.287299999999998</v>
      </c>
      <c r="D2000">
        <v>28.405200000000001</v>
      </c>
      <c r="E2000">
        <v>28.581600000000002</v>
      </c>
      <c r="F2000">
        <v>35239</v>
      </c>
    </row>
    <row r="2001" spans="1:6" x14ac:dyDescent="0.25">
      <c r="A2001" s="4">
        <v>37243</v>
      </c>
      <c r="B2001">
        <v>29.6402</v>
      </c>
      <c r="C2001">
        <v>29.6402</v>
      </c>
      <c r="D2001">
        <v>28.9345</v>
      </c>
      <c r="E2001">
        <v>29.110900000000001</v>
      </c>
      <c r="F2001">
        <v>50808</v>
      </c>
    </row>
    <row r="2002" spans="1:6" x14ac:dyDescent="0.25">
      <c r="A2002" s="4">
        <v>37244</v>
      </c>
      <c r="B2002">
        <v>29.6402</v>
      </c>
      <c r="C2002">
        <v>30.522400000000001</v>
      </c>
      <c r="D2002">
        <v>29.463799999999999</v>
      </c>
      <c r="E2002">
        <v>30.169499999999999</v>
      </c>
      <c r="F2002">
        <v>53578</v>
      </c>
    </row>
    <row r="2003" spans="1:6" x14ac:dyDescent="0.25">
      <c r="A2003" s="4">
        <v>37245</v>
      </c>
      <c r="B2003">
        <v>29.287299999999998</v>
      </c>
      <c r="C2003">
        <v>30.3459</v>
      </c>
      <c r="D2003">
        <v>29.287299999999998</v>
      </c>
      <c r="E2003">
        <v>30.169499999999999</v>
      </c>
      <c r="F2003">
        <v>46442</v>
      </c>
    </row>
    <row r="2004" spans="1:6" x14ac:dyDescent="0.25">
      <c r="A2004" s="4">
        <v>37246</v>
      </c>
      <c r="B2004">
        <v>28.9345</v>
      </c>
      <c r="C2004">
        <v>29.110900000000001</v>
      </c>
      <c r="D2004">
        <v>28.2288</v>
      </c>
      <c r="E2004">
        <v>28.2288</v>
      </c>
      <c r="F2004">
        <v>103683</v>
      </c>
    </row>
    <row r="2005" spans="1:6" x14ac:dyDescent="0.25">
      <c r="A2005" s="4">
        <v>37249</v>
      </c>
      <c r="B2005">
        <v>27.6995</v>
      </c>
      <c r="C2005">
        <v>28.9345</v>
      </c>
      <c r="D2005">
        <v>27.6995</v>
      </c>
      <c r="E2005">
        <v>28.581600000000002</v>
      </c>
      <c r="F2005">
        <v>39100</v>
      </c>
    </row>
    <row r="2006" spans="1:6" x14ac:dyDescent="0.25">
      <c r="A2006" s="4">
        <v>37250</v>
      </c>
      <c r="B2006">
        <v>28.581600000000002</v>
      </c>
      <c r="C2006">
        <v>29.6402</v>
      </c>
      <c r="D2006">
        <v>28.405200000000001</v>
      </c>
      <c r="E2006">
        <v>29.463799999999999</v>
      </c>
      <c r="F2006">
        <v>31647</v>
      </c>
    </row>
    <row r="2007" spans="1:6" x14ac:dyDescent="0.25">
      <c r="A2007" s="4">
        <v>37251</v>
      </c>
      <c r="B2007">
        <v>29.463799999999999</v>
      </c>
      <c r="C2007">
        <v>29.816600000000001</v>
      </c>
      <c r="D2007">
        <v>28.9345</v>
      </c>
      <c r="E2007">
        <v>29.110900000000001</v>
      </c>
      <c r="F2007">
        <v>28484</v>
      </c>
    </row>
    <row r="2008" spans="1:6" x14ac:dyDescent="0.25">
      <c r="A2008" s="4">
        <v>37252</v>
      </c>
      <c r="B2008">
        <v>29.463799999999999</v>
      </c>
      <c r="C2008">
        <v>29.993099999999998</v>
      </c>
      <c r="D2008">
        <v>28.9345</v>
      </c>
      <c r="E2008">
        <v>28.9345</v>
      </c>
      <c r="F2008">
        <v>41742</v>
      </c>
    </row>
    <row r="2009" spans="1:6" x14ac:dyDescent="0.25">
      <c r="A2009" s="4">
        <v>37253</v>
      </c>
      <c r="B2009">
        <v>29.463799999999999</v>
      </c>
      <c r="C2009">
        <v>30.169499999999999</v>
      </c>
      <c r="D2009">
        <v>29.110900000000001</v>
      </c>
      <c r="E2009">
        <v>29.993099999999998</v>
      </c>
      <c r="F2009">
        <v>50962</v>
      </c>
    </row>
    <row r="2010" spans="1:6" x14ac:dyDescent="0.25">
      <c r="A2010" s="4">
        <v>37256</v>
      </c>
      <c r="B2010">
        <v>30.522400000000001</v>
      </c>
      <c r="C2010">
        <v>31.404499999999999</v>
      </c>
      <c r="D2010">
        <v>30.522400000000001</v>
      </c>
      <c r="E2010">
        <v>30.8752</v>
      </c>
      <c r="F2010">
        <v>79977</v>
      </c>
    </row>
    <row r="2011" spans="1:6" x14ac:dyDescent="0.25">
      <c r="A2011" s="4">
        <v>37258</v>
      </c>
      <c r="B2011">
        <v>30.8752</v>
      </c>
      <c r="C2011">
        <v>31.051600000000001</v>
      </c>
      <c r="D2011">
        <v>29.816600000000001</v>
      </c>
      <c r="E2011">
        <v>30.3459</v>
      </c>
      <c r="F2011">
        <v>35537</v>
      </c>
    </row>
    <row r="2012" spans="1:6" x14ac:dyDescent="0.25">
      <c r="A2012" s="4">
        <v>37259</v>
      </c>
      <c r="B2012">
        <v>30.8752</v>
      </c>
      <c r="C2012">
        <v>30.8752</v>
      </c>
      <c r="D2012">
        <v>29.993099999999998</v>
      </c>
      <c r="E2012">
        <v>30.169499999999999</v>
      </c>
      <c r="F2012">
        <v>41163</v>
      </c>
    </row>
    <row r="2013" spans="1:6" x14ac:dyDescent="0.25">
      <c r="A2013" s="4">
        <v>37260</v>
      </c>
      <c r="B2013">
        <v>31.228100000000001</v>
      </c>
      <c r="C2013">
        <v>31.5809</v>
      </c>
      <c r="D2013">
        <v>31.051600000000001</v>
      </c>
      <c r="E2013">
        <v>31.404499999999999</v>
      </c>
      <c r="F2013">
        <v>90627</v>
      </c>
    </row>
    <row r="2014" spans="1:6" x14ac:dyDescent="0.25">
      <c r="A2014" s="4">
        <v>37263</v>
      </c>
      <c r="B2014">
        <v>31.757400000000001</v>
      </c>
      <c r="C2014">
        <v>32.815899999999999</v>
      </c>
      <c r="D2014">
        <v>31.404499999999999</v>
      </c>
      <c r="E2014">
        <v>32.639499999999998</v>
      </c>
      <c r="F2014">
        <v>80754</v>
      </c>
    </row>
    <row r="2015" spans="1:6" x14ac:dyDescent="0.25">
      <c r="A2015" s="4">
        <v>37264</v>
      </c>
      <c r="B2015">
        <v>32.463099999999997</v>
      </c>
      <c r="C2015">
        <v>32.463099999999997</v>
      </c>
      <c r="D2015">
        <v>31.757400000000001</v>
      </c>
      <c r="E2015">
        <v>31.933800000000002</v>
      </c>
      <c r="F2015">
        <v>37406</v>
      </c>
    </row>
    <row r="2016" spans="1:6" x14ac:dyDescent="0.25">
      <c r="A2016" s="4">
        <v>37265</v>
      </c>
      <c r="B2016">
        <v>32.639499999999998</v>
      </c>
      <c r="C2016">
        <v>32.815899999999999</v>
      </c>
      <c r="D2016">
        <v>31.757400000000001</v>
      </c>
      <c r="E2016">
        <v>32.286700000000003</v>
      </c>
      <c r="F2016">
        <v>40632</v>
      </c>
    </row>
    <row r="2017" spans="1:6" x14ac:dyDescent="0.25">
      <c r="A2017" s="4">
        <v>37266</v>
      </c>
      <c r="B2017">
        <v>32.286700000000003</v>
      </c>
      <c r="C2017">
        <v>32.463099999999997</v>
      </c>
      <c r="D2017">
        <v>31.757400000000001</v>
      </c>
      <c r="E2017">
        <v>31.933800000000002</v>
      </c>
      <c r="F2017">
        <v>28875</v>
      </c>
    </row>
    <row r="2018" spans="1:6" x14ac:dyDescent="0.25">
      <c r="A2018" s="4">
        <v>37267</v>
      </c>
      <c r="B2018">
        <v>31.757400000000001</v>
      </c>
      <c r="C2018">
        <v>31.933800000000002</v>
      </c>
      <c r="D2018">
        <v>30.8752</v>
      </c>
      <c r="E2018">
        <v>30.8752</v>
      </c>
      <c r="F2018">
        <v>39267</v>
      </c>
    </row>
    <row r="2019" spans="1:6" x14ac:dyDescent="0.25">
      <c r="A2019" s="4">
        <v>37270</v>
      </c>
      <c r="B2019">
        <v>30.522400000000001</v>
      </c>
      <c r="C2019">
        <v>31.051600000000001</v>
      </c>
      <c r="D2019">
        <v>30.3459</v>
      </c>
      <c r="E2019">
        <v>31.051600000000001</v>
      </c>
      <c r="F2019">
        <v>26781</v>
      </c>
    </row>
    <row r="2020" spans="1:6" x14ac:dyDescent="0.25">
      <c r="A2020" s="4">
        <v>37271</v>
      </c>
      <c r="B2020">
        <v>31.051600000000001</v>
      </c>
      <c r="C2020">
        <v>31.228100000000001</v>
      </c>
      <c r="D2020">
        <v>30.698799999999999</v>
      </c>
      <c r="E2020">
        <v>30.8752</v>
      </c>
      <c r="F2020">
        <v>20636</v>
      </c>
    </row>
    <row r="2021" spans="1:6" x14ac:dyDescent="0.25">
      <c r="A2021" s="4">
        <v>37272</v>
      </c>
      <c r="B2021">
        <v>30.8752</v>
      </c>
      <c r="C2021">
        <v>31.051600000000001</v>
      </c>
      <c r="D2021">
        <v>29.993099999999998</v>
      </c>
      <c r="E2021">
        <v>29.993099999999998</v>
      </c>
      <c r="F2021">
        <v>35414</v>
      </c>
    </row>
    <row r="2022" spans="1:6" x14ac:dyDescent="0.25">
      <c r="A2022" s="4">
        <v>37273</v>
      </c>
      <c r="B2022">
        <v>29.287299999999998</v>
      </c>
      <c r="C2022">
        <v>29.993099999999998</v>
      </c>
      <c r="D2022">
        <v>29.110900000000001</v>
      </c>
      <c r="E2022">
        <v>29.816600000000001</v>
      </c>
      <c r="F2022">
        <v>41602</v>
      </c>
    </row>
    <row r="2023" spans="1:6" x14ac:dyDescent="0.25">
      <c r="A2023" s="4">
        <v>37274</v>
      </c>
      <c r="B2023">
        <v>29.993099999999998</v>
      </c>
      <c r="C2023">
        <v>30.522400000000001</v>
      </c>
      <c r="D2023">
        <v>29.816600000000001</v>
      </c>
      <c r="E2023">
        <v>29.993099999999998</v>
      </c>
      <c r="F2023">
        <v>36225</v>
      </c>
    </row>
    <row r="2024" spans="1:6" x14ac:dyDescent="0.25">
      <c r="A2024" s="4">
        <v>37277</v>
      </c>
      <c r="B2024">
        <v>30.3459</v>
      </c>
      <c r="C2024">
        <v>31.933800000000002</v>
      </c>
      <c r="D2024">
        <v>30.169499999999999</v>
      </c>
      <c r="E2024">
        <v>31.933800000000002</v>
      </c>
      <c r="F2024">
        <v>60049</v>
      </c>
    </row>
    <row r="2025" spans="1:6" x14ac:dyDescent="0.25">
      <c r="A2025" s="4">
        <v>37278</v>
      </c>
      <c r="B2025">
        <v>32.110199999999999</v>
      </c>
      <c r="C2025">
        <v>32.815899999999999</v>
      </c>
      <c r="D2025">
        <v>31.228100000000001</v>
      </c>
      <c r="E2025">
        <v>31.757400000000001</v>
      </c>
      <c r="F2025">
        <v>72395</v>
      </c>
    </row>
    <row r="2026" spans="1:6" x14ac:dyDescent="0.25">
      <c r="A2026" s="4">
        <v>37279</v>
      </c>
      <c r="B2026">
        <v>31.051600000000001</v>
      </c>
      <c r="C2026">
        <v>32.463099999999997</v>
      </c>
      <c r="D2026">
        <v>30.8752</v>
      </c>
      <c r="E2026">
        <v>31.228100000000001</v>
      </c>
      <c r="F2026">
        <v>67514</v>
      </c>
    </row>
    <row r="2027" spans="1:6" x14ac:dyDescent="0.25">
      <c r="A2027" s="4">
        <v>37280</v>
      </c>
      <c r="B2027">
        <v>31.757400000000001</v>
      </c>
      <c r="C2027">
        <v>32.110199999999999</v>
      </c>
      <c r="D2027">
        <v>30.8752</v>
      </c>
      <c r="E2027">
        <v>31.933800000000002</v>
      </c>
      <c r="F2027">
        <v>51190</v>
      </c>
    </row>
    <row r="2028" spans="1:6" x14ac:dyDescent="0.25">
      <c r="A2028" s="4">
        <v>37281</v>
      </c>
      <c r="B2028">
        <v>32.286700000000003</v>
      </c>
      <c r="C2028">
        <v>32.639499999999998</v>
      </c>
      <c r="D2028">
        <v>31.757400000000001</v>
      </c>
      <c r="E2028">
        <v>32.463099999999997</v>
      </c>
      <c r="F2028">
        <v>73841</v>
      </c>
    </row>
    <row r="2029" spans="1:6" x14ac:dyDescent="0.25">
      <c r="A2029" s="4">
        <v>37284</v>
      </c>
      <c r="B2029">
        <v>32.463099999999997</v>
      </c>
      <c r="C2029">
        <v>32.639499999999998</v>
      </c>
      <c r="D2029">
        <v>32.110199999999999</v>
      </c>
      <c r="E2029">
        <v>32.463099999999997</v>
      </c>
      <c r="F2029">
        <v>49639</v>
      </c>
    </row>
    <row r="2030" spans="1:6" x14ac:dyDescent="0.25">
      <c r="A2030" s="4">
        <v>37285</v>
      </c>
      <c r="B2030">
        <v>32.110199999999999</v>
      </c>
      <c r="C2030">
        <v>32.110199999999999</v>
      </c>
      <c r="D2030">
        <v>31.404499999999999</v>
      </c>
      <c r="E2030">
        <v>31.404499999999999</v>
      </c>
      <c r="F2030">
        <v>33073</v>
      </c>
    </row>
    <row r="2031" spans="1:6" x14ac:dyDescent="0.25">
      <c r="A2031" s="4">
        <v>37286</v>
      </c>
      <c r="B2031">
        <v>30.698799999999999</v>
      </c>
      <c r="C2031">
        <v>31.051600000000001</v>
      </c>
      <c r="D2031">
        <v>30.522400000000001</v>
      </c>
      <c r="E2031">
        <v>30.698799999999999</v>
      </c>
      <c r="F2031">
        <v>41247</v>
      </c>
    </row>
    <row r="2032" spans="1:6" x14ac:dyDescent="0.25">
      <c r="A2032" s="4">
        <v>37287</v>
      </c>
      <c r="B2032">
        <v>30.698799999999999</v>
      </c>
      <c r="C2032">
        <v>31.051600000000001</v>
      </c>
      <c r="D2032">
        <v>30.169499999999999</v>
      </c>
      <c r="E2032">
        <v>30.8752</v>
      </c>
      <c r="F2032">
        <v>66250</v>
      </c>
    </row>
    <row r="2033" spans="1:6" x14ac:dyDescent="0.25">
      <c r="A2033" s="4">
        <v>37288</v>
      </c>
      <c r="B2033">
        <v>30.698799999999999</v>
      </c>
      <c r="C2033">
        <v>30.698799999999999</v>
      </c>
      <c r="D2033">
        <v>29.993099999999998</v>
      </c>
      <c r="E2033">
        <v>30.169499999999999</v>
      </c>
      <c r="F2033">
        <v>58389</v>
      </c>
    </row>
    <row r="2034" spans="1:6" x14ac:dyDescent="0.25">
      <c r="A2034" s="4">
        <v>37291</v>
      </c>
      <c r="B2034">
        <v>29.993099999999998</v>
      </c>
      <c r="C2034">
        <v>30.698799999999999</v>
      </c>
      <c r="D2034">
        <v>29.816600000000001</v>
      </c>
      <c r="E2034">
        <v>30.3459</v>
      </c>
      <c r="F2034">
        <v>27223</v>
      </c>
    </row>
    <row r="2035" spans="1:6" x14ac:dyDescent="0.25">
      <c r="A2035" s="4">
        <v>37292</v>
      </c>
      <c r="B2035">
        <v>29.816600000000001</v>
      </c>
      <c r="C2035">
        <v>30.3459</v>
      </c>
      <c r="D2035">
        <v>29.816600000000001</v>
      </c>
      <c r="E2035">
        <v>30.169499999999999</v>
      </c>
      <c r="F2035">
        <v>24329</v>
      </c>
    </row>
    <row r="2036" spans="1:6" x14ac:dyDescent="0.25">
      <c r="A2036" s="4">
        <v>37293</v>
      </c>
      <c r="B2036">
        <v>30.3459</v>
      </c>
      <c r="C2036">
        <v>30.8752</v>
      </c>
      <c r="D2036">
        <v>30.3459</v>
      </c>
      <c r="E2036">
        <v>30.522400000000001</v>
      </c>
      <c r="F2036">
        <v>39706</v>
      </c>
    </row>
    <row r="2037" spans="1:6" x14ac:dyDescent="0.25">
      <c r="A2037" s="4">
        <v>37305</v>
      </c>
      <c r="B2037">
        <v>31.228100000000001</v>
      </c>
      <c r="C2037">
        <v>31.404499999999999</v>
      </c>
      <c r="D2037">
        <v>30.698799999999999</v>
      </c>
      <c r="E2037">
        <v>30.8752</v>
      </c>
      <c r="F2037">
        <v>44642</v>
      </c>
    </row>
    <row r="2038" spans="1:6" x14ac:dyDescent="0.25">
      <c r="A2038" s="4">
        <v>37306</v>
      </c>
      <c r="B2038">
        <v>30.8752</v>
      </c>
      <c r="C2038">
        <v>31.051600000000001</v>
      </c>
      <c r="D2038">
        <v>29.993099999999998</v>
      </c>
      <c r="E2038">
        <v>30.169499999999999</v>
      </c>
      <c r="F2038">
        <v>28071</v>
      </c>
    </row>
    <row r="2039" spans="1:6" x14ac:dyDescent="0.25">
      <c r="A2039" s="4">
        <v>37307</v>
      </c>
      <c r="B2039">
        <v>29.6402</v>
      </c>
      <c r="C2039">
        <v>29.6402</v>
      </c>
      <c r="D2039">
        <v>28.9345</v>
      </c>
      <c r="E2039">
        <v>28.9345</v>
      </c>
      <c r="F2039">
        <v>36393</v>
      </c>
    </row>
    <row r="2040" spans="1:6" x14ac:dyDescent="0.25">
      <c r="A2040" s="4">
        <v>37308</v>
      </c>
      <c r="B2040">
        <v>29.287299999999998</v>
      </c>
      <c r="C2040">
        <v>29.463799999999999</v>
      </c>
      <c r="D2040">
        <v>28.581600000000002</v>
      </c>
      <c r="E2040">
        <v>29.110900000000001</v>
      </c>
      <c r="F2040">
        <v>30139</v>
      </c>
    </row>
    <row r="2041" spans="1:6" x14ac:dyDescent="0.25">
      <c r="A2041" s="4">
        <v>37309</v>
      </c>
      <c r="B2041">
        <v>28.2288</v>
      </c>
      <c r="C2041">
        <v>28.9345</v>
      </c>
      <c r="D2041">
        <v>28.2288</v>
      </c>
      <c r="E2041">
        <v>28.758099999999999</v>
      </c>
      <c r="F2041">
        <v>25490</v>
      </c>
    </row>
    <row r="2042" spans="1:6" x14ac:dyDescent="0.25">
      <c r="A2042" s="4">
        <v>37312</v>
      </c>
      <c r="B2042">
        <v>28.9345</v>
      </c>
      <c r="C2042">
        <v>29.287299999999998</v>
      </c>
      <c r="D2042">
        <v>28.581600000000002</v>
      </c>
      <c r="E2042">
        <v>28.581600000000002</v>
      </c>
      <c r="F2042">
        <v>18713</v>
      </c>
    </row>
    <row r="2043" spans="1:6" x14ac:dyDescent="0.25">
      <c r="A2043" s="4">
        <v>37313</v>
      </c>
      <c r="B2043">
        <v>28.9345</v>
      </c>
      <c r="C2043">
        <v>29.110900000000001</v>
      </c>
      <c r="D2043">
        <v>28.2288</v>
      </c>
      <c r="E2043">
        <v>28.2288</v>
      </c>
      <c r="F2043">
        <v>35841</v>
      </c>
    </row>
    <row r="2044" spans="1:6" x14ac:dyDescent="0.25">
      <c r="A2044" s="4">
        <v>37314</v>
      </c>
      <c r="B2044">
        <v>28.405200000000001</v>
      </c>
      <c r="C2044">
        <v>29.110900000000001</v>
      </c>
      <c r="D2044">
        <v>28.405200000000001</v>
      </c>
      <c r="E2044">
        <v>28.9345</v>
      </c>
      <c r="F2044">
        <v>41711</v>
      </c>
    </row>
    <row r="2045" spans="1:6" x14ac:dyDescent="0.25">
      <c r="A2045" s="4">
        <v>37316</v>
      </c>
      <c r="B2045">
        <v>28.581600000000002</v>
      </c>
      <c r="C2045">
        <v>29.110900000000001</v>
      </c>
      <c r="D2045">
        <v>28.581600000000002</v>
      </c>
      <c r="E2045">
        <v>28.581600000000002</v>
      </c>
      <c r="F2045">
        <v>42670</v>
      </c>
    </row>
    <row r="2046" spans="1:6" x14ac:dyDescent="0.25">
      <c r="A2046" s="4">
        <v>37319</v>
      </c>
      <c r="B2046">
        <v>30.522400000000001</v>
      </c>
      <c r="C2046">
        <v>30.522400000000001</v>
      </c>
      <c r="D2046">
        <v>29.6402</v>
      </c>
      <c r="E2046">
        <v>30.522400000000001</v>
      </c>
      <c r="F2046">
        <v>54644</v>
      </c>
    </row>
    <row r="2047" spans="1:6" x14ac:dyDescent="0.25">
      <c r="A2047" s="4">
        <v>37320</v>
      </c>
      <c r="B2047">
        <v>32.463099999999997</v>
      </c>
      <c r="C2047">
        <v>32.463099999999997</v>
      </c>
      <c r="D2047">
        <v>31.404499999999999</v>
      </c>
      <c r="E2047">
        <v>32.110199999999999</v>
      </c>
      <c r="F2047">
        <v>100669</v>
      </c>
    </row>
    <row r="2048" spans="1:6" x14ac:dyDescent="0.25">
      <c r="A2048" s="4">
        <v>37321</v>
      </c>
      <c r="B2048">
        <v>32.286700000000003</v>
      </c>
      <c r="C2048">
        <v>33.345199999999998</v>
      </c>
      <c r="D2048">
        <v>32.110199999999999</v>
      </c>
      <c r="E2048">
        <v>33.345199999999998</v>
      </c>
      <c r="F2048">
        <v>100934</v>
      </c>
    </row>
    <row r="2049" spans="1:6" x14ac:dyDescent="0.25">
      <c r="A2049" s="4">
        <v>37322</v>
      </c>
      <c r="B2049">
        <v>33.521700000000003</v>
      </c>
      <c r="C2049">
        <v>33.521700000000003</v>
      </c>
      <c r="D2049">
        <v>32.815899999999999</v>
      </c>
      <c r="E2049">
        <v>32.992400000000004</v>
      </c>
      <c r="F2049">
        <v>67607</v>
      </c>
    </row>
    <row r="2050" spans="1:6" x14ac:dyDescent="0.25">
      <c r="A2050" s="4">
        <v>37323</v>
      </c>
      <c r="B2050">
        <v>32.992400000000004</v>
      </c>
      <c r="C2050">
        <v>33.345199999999998</v>
      </c>
      <c r="D2050">
        <v>32.110199999999999</v>
      </c>
      <c r="E2050">
        <v>32.286700000000003</v>
      </c>
      <c r="F2050">
        <v>47491</v>
      </c>
    </row>
    <row r="2051" spans="1:6" x14ac:dyDescent="0.25">
      <c r="A2051" s="4">
        <v>37326</v>
      </c>
      <c r="B2051">
        <v>32.992400000000004</v>
      </c>
      <c r="C2051">
        <v>34.403799999999997</v>
      </c>
      <c r="D2051">
        <v>32.992400000000004</v>
      </c>
      <c r="E2051">
        <v>34.403799999999997</v>
      </c>
      <c r="F2051">
        <v>79812</v>
      </c>
    </row>
    <row r="2052" spans="1:6" x14ac:dyDescent="0.25">
      <c r="A2052" s="4">
        <v>37327</v>
      </c>
      <c r="B2052">
        <v>33.698099999999997</v>
      </c>
      <c r="C2052">
        <v>34.050899999999999</v>
      </c>
      <c r="D2052">
        <v>32.992400000000004</v>
      </c>
      <c r="E2052">
        <v>33.521700000000003</v>
      </c>
      <c r="F2052">
        <v>45968</v>
      </c>
    </row>
    <row r="2053" spans="1:6" x14ac:dyDescent="0.25">
      <c r="A2053" s="4">
        <v>37328</v>
      </c>
      <c r="B2053">
        <v>33.521700000000003</v>
      </c>
      <c r="C2053">
        <v>33.874499999999998</v>
      </c>
      <c r="D2053">
        <v>32.992400000000004</v>
      </c>
      <c r="E2053">
        <v>33.168799999999997</v>
      </c>
      <c r="F2053">
        <v>30989</v>
      </c>
    </row>
    <row r="2054" spans="1:6" x14ac:dyDescent="0.25">
      <c r="A2054" s="4">
        <v>37329</v>
      </c>
      <c r="B2054">
        <v>32.463099999999997</v>
      </c>
      <c r="C2054">
        <v>32.815899999999999</v>
      </c>
      <c r="D2054">
        <v>32.286700000000003</v>
      </c>
      <c r="E2054">
        <v>32.815899999999999</v>
      </c>
      <c r="F2054">
        <v>34761</v>
      </c>
    </row>
    <row r="2055" spans="1:6" x14ac:dyDescent="0.25">
      <c r="A2055" s="4">
        <v>37330</v>
      </c>
      <c r="B2055">
        <v>32.110199999999999</v>
      </c>
      <c r="C2055">
        <v>32.463099999999997</v>
      </c>
      <c r="D2055">
        <v>31.757400000000001</v>
      </c>
      <c r="E2055">
        <v>31.933800000000002</v>
      </c>
      <c r="F2055">
        <v>52508</v>
      </c>
    </row>
    <row r="2056" spans="1:6" x14ac:dyDescent="0.25">
      <c r="A2056" s="4">
        <v>37333</v>
      </c>
      <c r="B2056">
        <v>32.286700000000003</v>
      </c>
      <c r="C2056">
        <v>32.286700000000003</v>
      </c>
      <c r="D2056">
        <v>31.404499999999999</v>
      </c>
      <c r="E2056">
        <v>32.286700000000003</v>
      </c>
      <c r="F2056">
        <v>21949</v>
      </c>
    </row>
    <row r="2057" spans="1:6" x14ac:dyDescent="0.25">
      <c r="A2057" s="4">
        <v>37334</v>
      </c>
      <c r="B2057">
        <v>32.463099999999997</v>
      </c>
      <c r="C2057">
        <v>32.463099999999997</v>
      </c>
      <c r="D2057">
        <v>31.757400000000001</v>
      </c>
      <c r="E2057">
        <v>32.286700000000003</v>
      </c>
      <c r="F2057">
        <v>26239</v>
      </c>
    </row>
    <row r="2058" spans="1:6" x14ac:dyDescent="0.25">
      <c r="A2058" s="4">
        <v>37335</v>
      </c>
      <c r="B2058">
        <v>32.463099999999997</v>
      </c>
      <c r="C2058">
        <v>33.874499999999998</v>
      </c>
      <c r="D2058">
        <v>32.286700000000003</v>
      </c>
      <c r="E2058">
        <v>33.874499999999998</v>
      </c>
      <c r="F2058">
        <v>50574</v>
      </c>
    </row>
    <row r="2059" spans="1:6" x14ac:dyDescent="0.25">
      <c r="A2059" s="4">
        <v>37336</v>
      </c>
      <c r="B2059">
        <v>32.639499999999998</v>
      </c>
      <c r="C2059">
        <v>33.521700000000003</v>
      </c>
      <c r="D2059">
        <v>32.639499999999998</v>
      </c>
      <c r="E2059">
        <v>33.168799999999997</v>
      </c>
      <c r="F2059">
        <v>33546</v>
      </c>
    </row>
    <row r="2060" spans="1:6" x14ac:dyDescent="0.25">
      <c r="A2060" s="4">
        <v>37337</v>
      </c>
      <c r="B2060">
        <v>33.698099999999997</v>
      </c>
      <c r="C2060">
        <v>33.874499999999998</v>
      </c>
      <c r="D2060">
        <v>33.345199999999998</v>
      </c>
      <c r="E2060">
        <v>33.521700000000003</v>
      </c>
      <c r="F2060">
        <v>32436</v>
      </c>
    </row>
    <row r="2061" spans="1:6" x14ac:dyDescent="0.25">
      <c r="A2061" s="4">
        <v>37340</v>
      </c>
      <c r="B2061">
        <v>33.521700000000003</v>
      </c>
      <c r="C2061">
        <v>34.050899999999999</v>
      </c>
      <c r="D2061">
        <v>32.992400000000004</v>
      </c>
      <c r="E2061">
        <v>33.874499999999998</v>
      </c>
      <c r="F2061">
        <v>28146</v>
      </c>
    </row>
    <row r="2062" spans="1:6" x14ac:dyDescent="0.25">
      <c r="A2062" s="4">
        <v>37341</v>
      </c>
      <c r="B2062">
        <v>33.521700000000003</v>
      </c>
      <c r="C2062">
        <v>33.698099999999997</v>
      </c>
      <c r="D2062">
        <v>33.168799999999997</v>
      </c>
      <c r="E2062">
        <v>33.345199999999998</v>
      </c>
      <c r="F2062">
        <v>19334</v>
      </c>
    </row>
    <row r="2063" spans="1:6" x14ac:dyDescent="0.25">
      <c r="A2063" s="4">
        <v>37342</v>
      </c>
      <c r="B2063">
        <v>33.698099999999997</v>
      </c>
      <c r="C2063">
        <v>33.698099999999997</v>
      </c>
      <c r="D2063">
        <v>32.639499999999998</v>
      </c>
      <c r="E2063">
        <v>32.639499999999998</v>
      </c>
      <c r="F2063">
        <v>28045</v>
      </c>
    </row>
    <row r="2064" spans="1:6" x14ac:dyDescent="0.25">
      <c r="A2064" s="4">
        <v>37343</v>
      </c>
      <c r="B2064">
        <v>32.992400000000004</v>
      </c>
      <c r="C2064">
        <v>33.521700000000003</v>
      </c>
      <c r="D2064">
        <v>32.815899999999999</v>
      </c>
      <c r="E2064">
        <v>33.521700000000003</v>
      </c>
      <c r="F2064">
        <v>37531</v>
      </c>
    </row>
    <row r="2065" spans="1:6" x14ac:dyDescent="0.25">
      <c r="A2065" s="4">
        <v>37344</v>
      </c>
      <c r="B2065">
        <v>34.227400000000003</v>
      </c>
      <c r="C2065">
        <v>34.403799999999997</v>
      </c>
      <c r="D2065">
        <v>33.874499999999998</v>
      </c>
      <c r="E2065">
        <v>34.050899999999999</v>
      </c>
      <c r="F2065">
        <v>47422</v>
      </c>
    </row>
    <row r="2066" spans="1:6" x14ac:dyDescent="0.25">
      <c r="A2066" s="4">
        <v>37347</v>
      </c>
      <c r="B2066">
        <v>33.874499999999998</v>
      </c>
      <c r="C2066">
        <v>34.227400000000003</v>
      </c>
      <c r="D2066">
        <v>33.698099999999997</v>
      </c>
      <c r="E2066">
        <v>33.698099999999997</v>
      </c>
      <c r="F2066">
        <v>16545</v>
      </c>
    </row>
    <row r="2067" spans="1:6" x14ac:dyDescent="0.25">
      <c r="A2067" s="4">
        <v>37348</v>
      </c>
      <c r="B2067">
        <v>34.050899999999999</v>
      </c>
      <c r="C2067">
        <v>34.403799999999997</v>
      </c>
      <c r="D2067">
        <v>33.874499999999998</v>
      </c>
      <c r="E2067">
        <v>33.874499999999998</v>
      </c>
      <c r="F2067">
        <v>29762</v>
      </c>
    </row>
    <row r="2068" spans="1:6" x14ac:dyDescent="0.25">
      <c r="A2068" s="4">
        <v>37349</v>
      </c>
      <c r="B2068">
        <v>33.521700000000003</v>
      </c>
      <c r="C2068">
        <v>33.698099999999997</v>
      </c>
      <c r="D2068">
        <v>33.345199999999998</v>
      </c>
      <c r="E2068">
        <v>33.521700000000003</v>
      </c>
      <c r="F2068">
        <v>28485</v>
      </c>
    </row>
    <row r="2069" spans="1:6" x14ac:dyDescent="0.25">
      <c r="A2069" s="4">
        <v>37350</v>
      </c>
      <c r="B2069">
        <v>33.168799999999997</v>
      </c>
      <c r="C2069">
        <v>33.521700000000003</v>
      </c>
      <c r="D2069">
        <v>32.463099999999997</v>
      </c>
      <c r="E2069">
        <v>32.639499999999998</v>
      </c>
      <c r="F2069">
        <v>38107</v>
      </c>
    </row>
    <row r="2070" spans="1:6" x14ac:dyDescent="0.25">
      <c r="A2070" s="4">
        <v>37354</v>
      </c>
      <c r="B2070">
        <v>32.463099999999997</v>
      </c>
      <c r="C2070">
        <v>32.639499999999998</v>
      </c>
      <c r="D2070">
        <v>32.110199999999999</v>
      </c>
      <c r="E2070">
        <v>32.286700000000003</v>
      </c>
      <c r="F2070">
        <v>34788</v>
      </c>
    </row>
    <row r="2071" spans="1:6" x14ac:dyDescent="0.25">
      <c r="A2071" s="4">
        <v>37355</v>
      </c>
      <c r="B2071">
        <v>32.463099999999997</v>
      </c>
      <c r="C2071">
        <v>32.463099999999997</v>
      </c>
      <c r="D2071">
        <v>31.933800000000002</v>
      </c>
      <c r="E2071">
        <v>32.286700000000003</v>
      </c>
      <c r="F2071">
        <v>22014</v>
      </c>
    </row>
    <row r="2072" spans="1:6" x14ac:dyDescent="0.25">
      <c r="A2072" s="4">
        <v>37356</v>
      </c>
      <c r="B2072">
        <v>31.933800000000002</v>
      </c>
      <c r="C2072">
        <v>32.110199999999999</v>
      </c>
      <c r="D2072">
        <v>31.757400000000001</v>
      </c>
      <c r="E2072">
        <v>31.933800000000002</v>
      </c>
      <c r="F2072">
        <v>43253</v>
      </c>
    </row>
    <row r="2073" spans="1:6" x14ac:dyDescent="0.25">
      <c r="A2073" s="4">
        <v>37357</v>
      </c>
      <c r="B2073">
        <v>31.757400000000001</v>
      </c>
      <c r="C2073">
        <v>32.110199999999999</v>
      </c>
      <c r="D2073">
        <v>31.757400000000001</v>
      </c>
      <c r="E2073">
        <v>31.757400000000001</v>
      </c>
      <c r="F2073">
        <v>36815</v>
      </c>
    </row>
    <row r="2074" spans="1:6" x14ac:dyDescent="0.25">
      <c r="A2074" s="4">
        <v>37358</v>
      </c>
      <c r="B2074">
        <v>31.5809</v>
      </c>
      <c r="C2074">
        <v>32.463099999999997</v>
      </c>
      <c r="D2074">
        <v>31.228100000000001</v>
      </c>
      <c r="E2074">
        <v>32.463099999999997</v>
      </c>
      <c r="F2074">
        <v>38855</v>
      </c>
    </row>
    <row r="2075" spans="1:6" x14ac:dyDescent="0.25">
      <c r="A2075" s="4">
        <v>37361</v>
      </c>
      <c r="B2075">
        <v>32.463099999999997</v>
      </c>
      <c r="C2075">
        <v>32.639499999999998</v>
      </c>
      <c r="D2075">
        <v>32.110199999999999</v>
      </c>
      <c r="E2075">
        <v>32.286700000000003</v>
      </c>
      <c r="F2075">
        <v>25323</v>
      </c>
    </row>
    <row r="2076" spans="1:6" x14ac:dyDescent="0.25">
      <c r="A2076" s="4">
        <v>37362</v>
      </c>
      <c r="B2076">
        <v>32.463099999999997</v>
      </c>
      <c r="C2076">
        <v>32.815899999999999</v>
      </c>
      <c r="D2076">
        <v>32.286700000000003</v>
      </c>
      <c r="E2076">
        <v>32.639499999999998</v>
      </c>
      <c r="F2076">
        <v>18619</v>
      </c>
    </row>
    <row r="2077" spans="1:6" x14ac:dyDescent="0.25">
      <c r="A2077" s="4">
        <v>37363</v>
      </c>
      <c r="B2077">
        <v>33.698099999999997</v>
      </c>
      <c r="C2077">
        <v>34.227400000000003</v>
      </c>
      <c r="D2077">
        <v>33.698099999999997</v>
      </c>
      <c r="E2077">
        <v>33.874499999999998</v>
      </c>
      <c r="F2077">
        <v>67280</v>
      </c>
    </row>
    <row r="2078" spans="1:6" x14ac:dyDescent="0.25">
      <c r="A2078" s="4">
        <v>37364</v>
      </c>
      <c r="B2078">
        <v>34.227400000000003</v>
      </c>
      <c r="C2078">
        <v>34.227400000000003</v>
      </c>
      <c r="D2078">
        <v>33.521700000000003</v>
      </c>
      <c r="E2078">
        <v>33.698099999999997</v>
      </c>
      <c r="F2078">
        <v>24309</v>
      </c>
    </row>
    <row r="2079" spans="1:6" x14ac:dyDescent="0.25">
      <c r="A2079" s="4">
        <v>37365</v>
      </c>
      <c r="B2079">
        <v>33.521700000000003</v>
      </c>
      <c r="C2079">
        <v>33.521700000000003</v>
      </c>
      <c r="D2079">
        <v>33.168799999999997</v>
      </c>
      <c r="E2079">
        <v>33.345199999999998</v>
      </c>
      <c r="F2079">
        <v>19093</v>
      </c>
    </row>
    <row r="2080" spans="1:6" x14ac:dyDescent="0.25">
      <c r="A2080" s="4">
        <v>37368</v>
      </c>
      <c r="B2080">
        <v>32.992400000000004</v>
      </c>
      <c r="C2080">
        <v>33.345199999999998</v>
      </c>
      <c r="D2080">
        <v>32.815899999999999</v>
      </c>
      <c r="E2080">
        <v>32.815899999999999</v>
      </c>
      <c r="F2080">
        <v>18588</v>
      </c>
    </row>
    <row r="2081" spans="1:6" x14ac:dyDescent="0.25">
      <c r="A2081" s="4">
        <v>37369</v>
      </c>
      <c r="B2081">
        <v>32.463099999999997</v>
      </c>
      <c r="C2081">
        <v>33.168799999999997</v>
      </c>
      <c r="D2081">
        <v>32.463099999999997</v>
      </c>
      <c r="E2081">
        <v>33.168799999999997</v>
      </c>
      <c r="F2081">
        <v>16446</v>
      </c>
    </row>
    <row r="2082" spans="1:6" x14ac:dyDescent="0.25">
      <c r="A2082" s="4">
        <v>37370</v>
      </c>
      <c r="B2082">
        <v>33.168799999999997</v>
      </c>
      <c r="C2082">
        <v>33.698099999999997</v>
      </c>
      <c r="D2082">
        <v>33.168799999999997</v>
      </c>
      <c r="E2082">
        <v>33.521700000000003</v>
      </c>
      <c r="F2082">
        <v>22366</v>
      </c>
    </row>
    <row r="2083" spans="1:6" x14ac:dyDescent="0.25">
      <c r="A2083" s="4">
        <v>37371</v>
      </c>
      <c r="B2083">
        <v>32.815899999999999</v>
      </c>
      <c r="C2083">
        <v>32.992400000000004</v>
      </c>
      <c r="D2083">
        <v>32.463099999999997</v>
      </c>
      <c r="E2083">
        <v>32.463099999999997</v>
      </c>
      <c r="F2083">
        <v>30369</v>
      </c>
    </row>
    <row r="2084" spans="1:6" x14ac:dyDescent="0.25">
      <c r="A2084" s="4">
        <v>37372</v>
      </c>
      <c r="B2084">
        <v>32.110199999999999</v>
      </c>
      <c r="C2084">
        <v>32.463099999999997</v>
      </c>
      <c r="D2084">
        <v>32.110199999999999</v>
      </c>
      <c r="E2084">
        <v>32.463099999999997</v>
      </c>
      <c r="F2084">
        <v>29122</v>
      </c>
    </row>
    <row r="2085" spans="1:6" x14ac:dyDescent="0.25">
      <c r="A2085" s="4">
        <v>37375</v>
      </c>
      <c r="B2085">
        <v>31.757400000000001</v>
      </c>
      <c r="C2085">
        <v>31.757400000000001</v>
      </c>
      <c r="D2085">
        <v>31.051600000000001</v>
      </c>
      <c r="E2085">
        <v>31.404499999999999</v>
      </c>
      <c r="F2085">
        <v>78663</v>
      </c>
    </row>
    <row r="2086" spans="1:6" x14ac:dyDescent="0.25">
      <c r="A2086" s="4">
        <v>37376</v>
      </c>
      <c r="B2086">
        <v>31.051600000000001</v>
      </c>
      <c r="C2086">
        <v>31.228100000000001</v>
      </c>
      <c r="D2086">
        <v>30.698799999999999</v>
      </c>
      <c r="E2086">
        <v>30.8752</v>
      </c>
      <c r="F2086">
        <v>42536</v>
      </c>
    </row>
    <row r="2087" spans="1:6" x14ac:dyDescent="0.25">
      <c r="A2087" s="4">
        <v>37378</v>
      </c>
      <c r="B2087">
        <v>30.8752</v>
      </c>
      <c r="C2087">
        <v>31.051600000000001</v>
      </c>
      <c r="D2087">
        <v>29.993099999999998</v>
      </c>
      <c r="E2087">
        <v>29.993099999999998</v>
      </c>
      <c r="F2087">
        <v>42328</v>
      </c>
    </row>
    <row r="2088" spans="1:6" x14ac:dyDescent="0.25">
      <c r="A2088" s="4">
        <v>37379</v>
      </c>
      <c r="B2088">
        <v>29.287299999999998</v>
      </c>
      <c r="C2088">
        <v>29.993099999999998</v>
      </c>
      <c r="D2088">
        <v>29.287299999999998</v>
      </c>
      <c r="E2088">
        <v>29.993099999999998</v>
      </c>
      <c r="F2088">
        <v>33116</v>
      </c>
    </row>
    <row r="2089" spans="1:6" x14ac:dyDescent="0.25">
      <c r="A2089" s="4">
        <v>37382</v>
      </c>
      <c r="B2089">
        <v>28.9345</v>
      </c>
      <c r="C2089">
        <v>28.9345</v>
      </c>
      <c r="D2089">
        <v>28.2288</v>
      </c>
      <c r="E2089">
        <v>28.581600000000002</v>
      </c>
      <c r="F2089">
        <v>48493</v>
      </c>
    </row>
    <row r="2090" spans="1:6" x14ac:dyDescent="0.25">
      <c r="A2090" s="4">
        <v>37383</v>
      </c>
      <c r="B2090">
        <v>28.2288</v>
      </c>
      <c r="C2090">
        <v>29.110900000000001</v>
      </c>
      <c r="D2090">
        <v>28.2288</v>
      </c>
      <c r="E2090">
        <v>28.9345</v>
      </c>
      <c r="F2090">
        <v>34773</v>
      </c>
    </row>
    <row r="2091" spans="1:6" x14ac:dyDescent="0.25">
      <c r="A2091" s="4">
        <v>37384</v>
      </c>
      <c r="B2091">
        <v>29.110900000000001</v>
      </c>
      <c r="C2091">
        <v>29.6402</v>
      </c>
      <c r="D2091">
        <v>29.110900000000001</v>
      </c>
      <c r="E2091">
        <v>29.287299999999998</v>
      </c>
      <c r="F2091">
        <v>44419</v>
      </c>
    </row>
    <row r="2092" spans="1:6" x14ac:dyDescent="0.25">
      <c r="A2092" s="4">
        <v>37385</v>
      </c>
      <c r="B2092">
        <v>30.8752</v>
      </c>
      <c r="C2092">
        <v>30.8752</v>
      </c>
      <c r="D2092">
        <v>29.993099999999998</v>
      </c>
      <c r="E2092">
        <v>29.993099999999998</v>
      </c>
      <c r="F2092">
        <v>42916</v>
      </c>
    </row>
    <row r="2093" spans="1:6" x14ac:dyDescent="0.25">
      <c r="A2093" s="4">
        <v>37386</v>
      </c>
      <c r="B2093">
        <v>29.6402</v>
      </c>
      <c r="C2093">
        <v>30.698799999999999</v>
      </c>
      <c r="D2093">
        <v>29.463799999999999</v>
      </c>
      <c r="E2093">
        <v>30.522400000000001</v>
      </c>
      <c r="F2093">
        <v>24451</v>
      </c>
    </row>
    <row r="2094" spans="1:6" x14ac:dyDescent="0.25">
      <c r="A2094" s="4">
        <v>37389</v>
      </c>
      <c r="B2094">
        <v>29.993099999999998</v>
      </c>
      <c r="C2094">
        <v>30.3459</v>
      </c>
      <c r="D2094">
        <v>29.993099999999998</v>
      </c>
      <c r="E2094">
        <v>29.993099999999998</v>
      </c>
      <c r="F2094">
        <v>15585</v>
      </c>
    </row>
    <row r="2095" spans="1:6" x14ac:dyDescent="0.25">
      <c r="A2095" s="4">
        <v>37390</v>
      </c>
      <c r="B2095">
        <v>30.3459</v>
      </c>
      <c r="C2095">
        <v>30.698799999999999</v>
      </c>
      <c r="D2095">
        <v>30.3459</v>
      </c>
      <c r="E2095">
        <v>30.698799999999999</v>
      </c>
      <c r="F2095">
        <v>20540</v>
      </c>
    </row>
    <row r="2096" spans="1:6" x14ac:dyDescent="0.25">
      <c r="A2096" s="4">
        <v>37391</v>
      </c>
      <c r="B2096">
        <v>31.404499999999999</v>
      </c>
      <c r="C2096">
        <v>31.933800000000002</v>
      </c>
      <c r="D2096">
        <v>31.228100000000001</v>
      </c>
      <c r="E2096">
        <v>31.757400000000001</v>
      </c>
      <c r="F2096">
        <v>44493</v>
      </c>
    </row>
    <row r="2097" spans="1:6" x14ac:dyDescent="0.25">
      <c r="A2097" s="4">
        <v>37392</v>
      </c>
      <c r="B2097">
        <v>31.404499999999999</v>
      </c>
      <c r="C2097">
        <v>31.404499999999999</v>
      </c>
      <c r="D2097">
        <v>31.051600000000001</v>
      </c>
      <c r="E2097">
        <v>31.228100000000001</v>
      </c>
      <c r="F2097">
        <v>15613</v>
      </c>
    </row>
    <row r="2098" spans="1:6" x14ac:dyDescent="0.25">
      <c r="A2098" s="4">
        <v>37393</v>
      </c>
      <c r="B2098">
        <v>31.404499999999999</v>
      </c>
      <c r="C2098">
        <v>31.5809</v>
      </c>
      <c r="D2098">
        <v>31.051600000000001</v>
      </c>
      <c r="E2098">
        <v>31.5809</v>
      </c>
      <c r="F2098">
        <v>22671</v>
      </c>
    </row>
    <row r="2099" spans="1:6" x14ac:dyDescent="0.25">
      <c r="A2099" s="4">
        <v>37396</v>
      </c>
      <c r="B2099">
        <v>31.228100000000001</v>
      </c>
      <c r="C2099">
        <v>31.404499999999999</v>
      </c>
      <c r="D2099">
        <v>30.698799999999999</v>
      </c>
      <c r="E2099">
        <v>30.698799999999999</v>
      </c>
      <c r="F2099">
        <v>25150</v>
      </c>
    </row>
    <row r="2100" spans="1:6" x14ac:dyDescent="0.25">
      <c r="A2100" s="4">
        <v>37397</v>
      </c>
      <c r="B2100">
        <v>30.522400000000001</v>
      </c>
      <c r="C2100">
        <v>30.8752</v>
      </c>
      <c r="D2100">
        <v>30.3459</v>
      </c>
      <c r="E2100">
        <v>30.522400000000001</v>
      </c>
      <c r="F2100">
        <v>20432</v>
      </c>
    </row>
    <row r="2101" spans="1:6" x14ac:dyDescent="0.25">
      <c r="A2101" s="4">
        <v>37398</v>
      </c>
      <c r="B2101">
        <v>30.522400000000001</v>
      </c>
      <c r="C2101">
        <v>31.404499999999999</v>
      </c>
      <c r="D2101">
        <v>30.522400000000001</v>
      </c>
      <c r="E2101">
        <v>31.051600000000001</v>
      </c>
      <c r="F2101">
        <v>29866</v>
      </c>
    </row>
    <row r="2102" spans="1:6" x14ac:dyDescent="0.25">
      <c r="A2102" s="4">
        <v>37399</v>
      </c>
      <c r="B2102">
        <v>30.698799999999999</v>
      </c>
      <c r="C2102">
        <v>30.8752</v>
      </c>
      <c r="D2102">
        <v>30.522400000000001</v>
      </c>
      <c r="E2102">
        <v>30.698799999999999</v>
      </c>
      <c r="F2102">
        <v>25099</v>
      </c>
    </row>
    <row r="2103" spans="1:6" x14ac:dyDescent="0.25">
      <c r="A2103" s="4">
        <v>37400</v>
      </c>
      <c r="B2103">
        <v>30.522400000000001</v>
      </c>
      <c r="C2103">
        <v>31.051600000000001</v>
      </c>
      <c r="D2103">
        <v>30.522400000000001</v>
      </c>
      <c r="E2103">
        <v>30.8752</v>
      </c>
      <c r="F2103">
        <v>25023</v>
      </c>
    </row>
    <row r="2104" spans="1:6" x14ac:dyDescent="0.25">
      <c r="A2104" s="4">
        <v>37403</v>
      </c>
      <c r="B2104">
        <v>30.698799999999999</v>
      </c>
      <c r="C2104">
        <v>30.698799999999999</v>
      </c>
      <c r="D2104">
        <v>30.3459</v>
      </c>
      <c r="E2104">
        <v>30.522400000000001</v>
      </c>
      <c r="F2104">
        <v>10771</v>
      </c>
    </row>
    <row r="2105" spans="1:6" x14ac:dyDescent="0.25">
      <c r="A2105" s="4">
        <v>37404</v>
      </c>
      <c r="B2105">
        <v>30.698799999999999</v>
      </c>
      <c r="C2105">
        <v>30.8752</v>
      </c>
      <c r="D2105">
        <v>29.993099999999998</v>
      </c>
      <c r="E2105">
        <v>30.3459</v>
      </c>
      <c r="F2105">
        <v>27628</v>
      </c>
    </row>
    <row r="2106" spans="1:6" x14ac:dyDescent="0.25">
      <c r="A2106" s="4">
        <v>37405</v>
      </c>
      <c r="B2106">
        <v>29.993099999999998</v>
      </c>
      <c r="C2106">
        <v>30.169499999999999</v>
      </c>
      <c r="D2106">
        <v>29.6402</v>
      </c>
      <c r="E2106">
        <v>30.169499999999999</v>
      </c>
      <c r="F2106">
        <v>25375</v>
      </c>
    </row>
    <row r="2107" spans="1:6" x14ac:dyDescent="0.25">
      <c r="A2107" s="4">
        <v>37406</v>
      </c>
      <c r="B2107">
        <v>29.6402</v>
      </c>
      <c r="C2107">
        <v>30.522400000000001</v>
      </c>
      <c r="D2107">
        <v>29.6402</v>
      </c>
      <c r="E2107">
        <v>30.522400000000001</v>
      </c>
      <c r="F2107">
        <v>42152</v>
      </c>
    </row>
    <row r="2108" spans="1:6" x14ac:dyDescent="0.25">
      <c r="A2108" s="4">
        <v>37407</v>
      </c>
      <c r="B2108">
        <v>30.169499999999999</v>
      </c>
      <c r="C2108">
        <v>30.3459</v>
      </c>
      <c r="D2108">
        <v>29.6402</v>
      </c>
      <c r="E2108">
        <v>30.169499999999999</v>
      </c>
      <c r="F2108">
        <v>36762</v>
      </c>
    </row>
    <row r="2109" spans="1:6" x14ac:dyDescent="0.25">
      <c r="A2109" s="4">
        <v>37410</v>
      </c>
      <c r="B2109">
        <v>29.6402</v>
      </c>
      <c r="C2109">
        <v>29.993099999999998</v>
      </c>
      <c r="D2109">
        <v>29.110900000000001</v>
      </c>
      <c r="E2109">
        <v>29.993099999999998</v>
      </c>
      <c r="F2109">
        <v>24012</v>
      </c>
    </row>
    <row r="2110" spans="1:6" x14ac:dyDescent="0.25">
      <c r="A2110" s="4">
        <v>37411</v>
      </c>
      <c r="B2110">
        <v>28.758099999999999</v>
      </c>
      <c r="C2110">
        <v>29.110900000000001</v>
      </c>
      <c r="D2110">
        <v>28.581600000000002</v>
      </c>
      <c r="E2110">
        <v>28.758099999999999</v>
      </c>
      <c r="F2110">
        <v>50871</v>
      </c>
    </row>
    <row r="2111" spans="1:6" x14ac:dyDescent="0.25">
      <c r="A2111" s="4">
        <v>37412</v>
      </c>
      <c r="B2111">
        <v>28.758099999999999</v>
      </c>
      <c r="C2111">
        <v>29.110900000000001</v>
      </c>
      <c r="D2111">
        <v>28.758099999999999</v>
      </c>
      <c r="E2111">
        <v>28.9345</v>
      </c>
      <c r="F2111">
        <v>36481</v>
      </c>
    </row>
    <row r="2112" spans="1:6" x14ac:dyDescent="0.25">
      <c r="A2112" s="4">
        <v>37413</v>
      </c>
      <c r="B2112">
        <v>28.758099999999999</v>
      </c>
      <c r="C2112">
        <v>28.758099999999999</v>
      </c>
      <c r="D2112">
        <v>28.2288</v>
      </c>
      <c r="E2112">
        <v>28.405200000000001</v>
      </c>
      <c r="F2112">
        <v>47949</v>
      </c>
    </row>
    <row r="2113" spans="1:6" x14ac:dyDescent="0.25">
      <c r="A2113" s="4">
        <v>37414</v>
      </c>
      <c r="B2113">
        <v>26.464500000000001</v>
      </c>
      <c r="C2113">
        <v>26.9938</v>
      </c>
      <c r="D2113">
        <v>26.464500000000001</v>
      </c>
      <c r="E2113">
        <v>26.464500000000001</v>
      </c>
      <c r="F2113">
        <v>123809</v>
      </c>
    </row>
    <row r="2114" spans="1:6" x14ac:dyDescent="0.25">
      <c r="A2114" s="4">
        <v>37417</v>
      </c>
      <c r="B2114">
        <v>26.464500000000001</v>
      </c>
      <c r="C2114">
        <v>26.817299999999999</v>
      </c>
      <c r="D2114">
        <v>26.111599999999999</v>
      </c>
      <c r="E2114">
        <v>26.464500000000001</v>
      </c>
      <c r="F2114">
        <v>54462</v>
      </c>
    </row>
    <row r="2115" spans="1:6" x14ac:dyDescent="0.25">
      <c r="A2115" s="4">
        <v>37418</v>
      </c>
      <c r="B2115">
        <v>26.817299999999999</v>
      </c>
      <c r="C2115">
        <v>26.817299999999999</v>
      </c>
      <c r="D2115">
        <v>25.935199999999998</v>
      </c>
      <c r="E2115">
        <v>26.111599999999999</v>
      </c>
      <c r="F2115">
        <v>39052</v>
      </c>
    </row>
    <row r="2116" spans="1:6" x14ac:dyDescent="0.25">
      <c r="A2116" s="4">
        <v>37419</v>
      </c>
      <c r="B2116">
        <v>25.935199999999998</v>
      </c>
      <c r="C2116">
        <v>26.111599999999999</v>
      </c>
      <c r="D2116">
        <v>25.229500000000002</v>
      </c>
      <c r="E2116">
        <v>25.405899999999999</v>
      </c>
      <c r="F2116">
        <v>38982</v>
      </c>
    </row>
    <row r="2117" spans="1:6" x14ac:dyDescent="0.25">
      <c r="A2117" s="4">
        <v>37420</v>
      </c>
      <c r="B2117">
        <v>26.288</v>
      </c>
      <c r="C2117">
        <v>26.817299999999999</v>
      </c>
      <c r="D2117">
        <v>25.935199999999998</v>
      </c>
      <c r="E2117">
        <v>26.640899999999998</v>
      </c>
      <c r="F2117">
        <v>60119</v>
      </c>
    </row>
    <row r="2118" spans="1:6" x14ac:dyDescent="0.25">
      <c r="A2118" s="4">
        <v>37421</v>
      </c>
      <c r="B2118">
        <v>26.464500000000001</v>
      </c>
      <c r="C2118">
        <v>26.640899999999998</v>
      </c>
      <c r="D2118">
        <v>26.288</v>
      </c>
      <c r="E2118">
        <v>26.640899999999998</v>
      </c>
      <c r="F2118">
        <v>19671</v>
      </c>
    </row>
    <row r="2119" spans="1:6" x14ac:dyDescent="0.25">
      <c r="A2119" s="4">
        <v>37424</v>
      </c>
      <c r="B2119">
        <v>26.640899999999998</v>
      </c>
      <c r="C2119">
        <v>26.817299999999999</v>
      </c>
      <c r="D2119">
        <v>26.111599999999999</v>
      </c>
      <c r="E2119">
        <v>26.111599999999999</v>
      </c>
      <c r="F2119">
        <v>56965</v>
      </c>
    </row>
    <row r="2120" spans="1:6" x14ac:dyDescent="0.25">
      <c r="A2120" s="4">
        <v>37425</v>
      </c>
      <c r="B2120">
        <v>26.817299999999999</v>
      </c>
      <c r="C2120">
        <v>26.817299999999999</v>
      </c>
      <c r="D2120">
        <v>26.464500000000001</v>
      </c>
      <c r="E2120">
        <v>26.640899999999998</v>
      </c>
      <c r="F2120">
        <v>51345</v>
      </c>
    </row>
    <row r="2121" spans="1:6" x14ac:dyDescent="0.25">
      <c r="A2121" s="4">
        <v>37426</v>
      </c>
      <c r="B2121">
        <v>26.976099999999999</v>
      </c>
      <c r="C2121">
        <v>27.3643</v>
      </c>
      <c r="D2121">
        <v>26.588000000000001</v>
      </c>
      <c r="E2121">
        <v>26.588000000000001</v>
      </c>
      <c r="F2121">
        <v>59922</v>
      </c>
    </row>
    <row r="2122" spans="1:6" x14ac:dyDescent="0.25">
      <c r="A2122" s="4">
        <v>37427</v>
      </c>
      <c r="B2122">
        <v>26.005800000000001</v>
      </c>
      <c r="C2122">
        <v>26.588000000000001</v>
      </c>
      <c r="D2122">
        <v>25.617599999999999</v>
      </c>
      <c r="E2122">
        <v>26.588000000000001</v>
      </c>
      <c r="F2122">
        <v>39932</v>
      </c>
    </row>
    <row r="2123" spans="1:6" x14ac:dyDescent="0.25">
      <c r="A2123" s="4">
        <v>37428</v>
      </c>
      <c r="B2123">
        <v>26.1998</v>
      </c>
      <c r="C2123">
        <v>27.3643</v>
      </c>
      <c r="D2123">
        <v>26.005800000000001</v>
      </c>
      <c r="E2123">
        <v>26.782</v>
      </c>
      <c r="F2123">
        <v>51804</v>
      </c>
    </row>
    <row r="2124" spans="1:6" x14ac:dyDescent="0.25">
      <c r="A2124" s="4">
        <v>37431</v>
      </c>
      <c r="B2124">
        <v>26.588000000000001</v>
      </c>
      <c r="C2124">
        <v>26.782</v>
      </c>
      <c r="D2124">
        <v>26.1998</v>
      </c>
      <c r="E2124">
        <v>26.588000000000001</v>
      </c>
      <c r="F2124">
        <v>34298</v>
      </c>
    </row>
    <row r="2125" spans="1:6" x14ac:dyDescent="0.25">
      <c r="A2125" s="4">
        <v>37432</v>
      </c>
      <c r="B2125">
        <v>26.976099999999999</v>
      </c>
      <c r="C2125">
        <v>27.558299999999999</v>
      </c>
      <c r="D2125">
        <v>26.588000000000001</v>
      </c>
      <c r="E2125">
        <v>26.976099999999999</v>
      </c>
      <c r="F2125">
        <v>52524</v>
      </c>
    </row>
    <row r="2126" spans="1:6" x14ac:dyDescent="0.25">
      <c r="A2126" s="4">
        <v>37433</v>
      </c>
      <c r="B2126">
        <v>26.588000000000001</v>
      </c>
      <c r="C2126">
        <v>26.782</v>
      </c>
      <c r="D2126">
        <v>25.811699999999998</v>
      </c>
      <c r="E2126">
        <v>25.811699999999998</v>
      </c>
      <c r="F2126">
        <v>45447</v>
      </c>
    </row>
    <row r="2127" spans="1:6" x14ac:dyDescent="0.25">
      <c r="A2127" s="4">
        <v>37434</v>
      </c>
      <c r="B2127">
        <v>26.005800000000001</v>
      </c>
      <c r="C2127">
        <v>26.393899999999999</v>
      </c>
      <c r="D2127">
        <v>25.617599999999999</v>
      </c>
      <c r="E2127">
        <v>25.811699999999998</v>
      </c>
      <c r="F2127">
        <v>35621</v>
      </c>
    </row>
    <row r="2128" spans="1:6" x14ac:dyDescent="0.25">
      <c r="A2128" s="4">
        <v>37435</v>
      </c>
      <c r="B2128">
        <v>26.1998</v>
      </c>
      <c r="C2128">
        <v>26.588000000000001</v>
      </c>
      <c r="D2128">
        <v>26.005800000000001</v>
      </c>
      <c r="E2128">
        <v>26.393899999999999</v>
      </c>
      <c r="F2128">
        <v>36542</v>
      </c>
    </row>
    <row r="2129" spans="1:6" x14ac:dyDescent="0.25">
      <c r="A2129" s="4">
        <v>37438</v>
      </c>
      <c r="B2129">
        <v>26.393899999999999</v>
      </c>
      <c r="C2129">
        <v>26.393899999999999</v>
      </c>
      <c r="D2129">
        <v>25.617599999999999</v>
      </c>
      <c r="E2129">
        <v>26.005800000000001</v>
      </c>
      <c r="F2129">
        <v>21541</v>
      </c>
    </row>
    <row r="2130" spans="1:6" x14ac:dyDescent="0.25">
      <c r="A2130" s="4">
        <v>37439</v>
      </c>
      <c r="B2130">
        <v>24.8413</v>
      </c>
      <c r="C2130">
        <v>25.811699999999998</v>
      </c>
      <c r="D2130">
        <v>24.8413</v>
      </c>
      <c r="E2130">
        <v>25.617599999999999</v>
      </c>
      <c r="F2130">
        <v>23797</v>
      </c>
    </row>
    <row r="2131" spans="1:6" x14ac:dyDescent="0.25">
      <c r="A2131" s="4">
        <v>37440</v>
      </c>
      <c r="B2131">
        <v>24.8413</v>
      </c>
      <c r="C2131">
        <v>24.8413</v>
      </c>
      <c r="D2131">
        <v>23.870999999999999</v>
      </c>
      <c r="E2131">
        <v>24.647200000000002</v>
      </c>
      <c r="F2131">
        <v>70555</v>
      </c>
    </row>
    <row r="2132" spans="1:6" x14ac:dyDescent="0.25">
      <c r="A2132" s="4">
        <v>37441</v>
      </c>
      <c r="B2132">
        <v>24.8413</v>
      </c>
      <c r="C2132">
        <v>25.229500000000002</v>
      </c>
      <c r="D2132">
        <v>24.647200000000002</v>
      </c>
      <c r="E2132">
        <v>25.035399999999999</v>
      </c>
      <c r="F2132">
        <v>38890</v>
      </c>
    </row>
    <row r="2133" spans="1:6" x14ac:dyDescent="0.25">
      <c r="A2133" s="4">
        <v>37442</v>
      </c>
      <c r="B2133">
        <v>25.035399999999999</v>
      </c>
      <c r="C2133">
        <v>26.005800000000001</v>
      </c>
      <c r="D2133">
        <v>24.647200000000002</v>
      </c>
      <c r="E2133">
        <v>26.005800000000001</v>
      </c>
      <c r="F2133">
        <v>44151</v>
      </c>
    </row>
    <row r="2134" spans="1:6" x14ac:dyDescent="0.25">
      <c r="A2134" s="4">
        <v>37445</v>
      </c>
      <c r="B2134">
        <v>26.976099999999999</v>
      </c>
      <c r="C2134">
        <v>27.752400000000002</v>
      </c>
      <c r="D2134">
        <v>26.782</v>
      </c>
      <c r="E2134">
        <v>27.558299999999999</v>
      </c>
      <c r="F2134">
        <v>87198</v>
      </c>
    </row>
    <row r="2135" spans="1:6" x14ac:dyDescent="0.25">
      <c r="A2135" s="4">
        <v>37446</v>
      </c>
      <c r="B2135">
        <v>27.3643</v>
      </c>
      <c r="C2135">
        <v>27.752400000000002</v>
      </c>
      <c r="D2135">
        <v>26.976099999999999</v>
      </c>
      <c r="E2135">
        <v>27.752400000000002</v>
      </c>
      <c r="F2135">
        <v>29698</v>
      </c>
    </row>
    <row r="2136" spans="1:6" x14ac:dyDescent="0.25">
      <c r="A2136" s="4">
        <v>37447</v>
      </c>
      <c r="B2136">
        <v>27.3643</v>
      </c>
      <c r="C2136">
        <v>27.3643</v>
      </c>
      <c r="D2136">
        <v>26.782</v>
      </c>
      <c r="E2136">
        <v>27.170200000000001</v>
      </c>
      <c r="F2136">
        <v>37980</v>
      </c>
    </row>
    <row r="2137" spans="1:6" x14ac:dyDescent="0.25">
      <c r="A2137" s="4">
        <v>37448</v>
      </c>
      <c r="B2137">
        <v>26.588000000000001</v>
      </c>
      <c r="C2137">
        <v>26.588000000000001</v>
      </c>
      <c r="D2137">
        <v>26.005800000000001</v>
      </c>
      <c r="E2137">
        <v>26.1998</v>
      </c>
      <c r="F2137">
        <v>28587</v>
      </c>
    </row>
    <row r="2138" spans="1:6" x14ac:dyDescent="0.25">
      <c r="A2138" s="4">
        <v>37449</v>
      </c>
      <c r="B2138">
        <v>26.782</v>
      </c>
      <c r="C2138">
        <v>27.558299999999999</v>
      </c>
      <c r="D2138">
        <v>26.782</v>
      </c>
      <c r="E2138">
        <v>27.558299999999999</v>
      </c>
      <c r="F2138">
        <v>52606</v>
      </c>
    </row>
    <row r="2139" spans="1:6" x14ac:dyDescent="0.25">
      <c r="A2139" s="4">
        <v>37452</v>
      </c>
      <c r="B2139">
        <v>27.558299999999999</v>
      </c>
      <c r="C2139">
        <v>27.558299999999999</v>
      </c>
      <c r="D2139">
        <v>26.976099999999999</v>
      </c>
      <c r="E2139">
        <v>26.976099999999999</v>
      </c>
      <c r="F2139">
        <v>21081</v>
      </c>
    </row>
    <row r="2140" spans="1:6" x14ac:dyDescent="0.25">
      <c r="A2140" s="4">
        <v>37453</v>
      </c>
      <c r="B2140">
        <v>27.3643</v>
      </c>
      <c r="C2140">
        <v>27.558299999999999</v>
      </c>
      <c r="D2140">
        <v>26.588000000000001</v>
      </c>
      <c r="E2140">
        <v>26.782</v>
      </c>
      <c r="F2140">
        <v>27319</v>
      </c>
    </row>
    <row r="2141" spans="1:6" x14ac:dyDescent="0.25">
      <c r="A2141" s="4">
        <v>37454</v>
      </c>
      <c r="B2141">
        <v>26.393899999999999</v>
      </c>
      <c r="C2141">
        <v>26.588000000000001</v>
      </c>
      <c r="D2141">
        <v>25.811699999999998</v>
      </c>
      <c r="E2141">
        <v>26.005800000000001</v>
      </c>
      <c r="F2141">
        <v>38610</v>
      </c>
    </row>
    <row r="2142" spans="1:6" x14ac:dyDescent="0.25">
      <c r="A2142" s="4">
        <v>37455</v>
      </c>
      <c r="B2142">
        <v>25.811699999999998</v>
      </c>
      <c r="C2142">
        <v>25.811699999999998</v>
      </c>
      <c r="D2142">
        <v>24.8413</v>
      </c>
      <c r="E2142">
        <v>25.035399999999999</v>
      </c>
      <c r="F2142">
        <v>86777</v>
      </c>
    </row>
    <row r="2143" spans="1:6" x14ac:dyDescent="0.25">
      <c r="A2143" s="4">
        <v>37456</v>
      </c>
      <c r="B2143">
        <v>24.065000000000001</v>
      </c>
      <c r="C2143">
        <v>24.065000000000001</v>
      </c>
      <c r="D2143">
        <v>23.6769</v>
      </c>
      <c r="E2143">
        <v>23.870999999999999</v>
      </c>
      <c r="F2143">
        <v>109941</v>
      </c>
    </row>
    <row r="2144" spans="1:6" x14ac:dyDescent="0.25">
      <c r="A2144" s="4">
        <v>37459</v>
      </c>
      <c r="B2144">
        <v>23.0947</v>
      </c>
      <c r="C2144">
        <v>23.482800000000001</v>
      </c>
      <c r="D2144">
        <v>22.900600000000001</v>
      </c>
      <c r="E2144">
        <v>23.482800000000001</v>
      </c>
      <c r="F2144">
        <v>54093</v>
      </c>
    </row>
    <row r="2145" spans="1:6" x14ac:dyDescent="0.25">
      <c r="A2145" s="4">
        <v>37460</v>
      </c>
      <c r="B2145">
        <v>23.0947</v>
      </c>
      <c r="C2145">
        <v>24.065000000000001</v>
      </c>
      <c r="D2145">
        <v>23.0947</v>
      </c>
      <c r="E2145">
        <v>24.065000000000001</v>
      </c>
      <c r="F2145">
        <v>66588</v>
      </c>
    </row>
    <row r="2146" spans="1:6" x14ac:dyDescent="0.25">
      <c r="A2146" s="4">
        <v>37461</v>
      </c>
      <c r="B2146">
        <v>23.0947</v>
      </c>
      <c r="C2146">
        <v>23.288699999999999</v>
      </c>
      <c r="D2146">
        <v>22.706499999999998</v>
      </c>
      <c r="E2146">
        <v>22.706499999999998</v>
      </c>
      <c r="F2146">
        <v>67413</v>
      </c>
    </row>
    <row r="2147" spans="1:6" x14ac:dyDescent="0.25">
      <c r="A2147" s="4">
        <v>37462</v>
      </c>
      <c r="B2147">
        <v>23.482800000000001</v>
      </c>
      <c r="C2147">
        <v>23.6769</v>
      </c>
      <c r="D2147">
        <v>22.5124</v>
      </c>
      <c r="E2147">
        <v>22.5124</v>
      </c>
      <c r="F2147">
        <v>72534</v>
      </c>
    </row>
    <row r="2148" spans="1:6" x14ac:dyDescent="0.25">
      <c r="A2148" s="4">
        <v>37463</v>
      </c>
      <c r="B2148">
        <v>20.959900000000001</v>
      </c>
      <c r="C2148">
        <v>20.959900000000001</v>
      </c>
      <c r="D2148">
        <v>20.959900000000001</v>
      </c>
      <c r="E2148">
        <v>20.959900000000001</v>
      </c>
      <c r="F2148">
        <v>35931</v>
      </c>
    </row>
    <row r="2149" spans="1:6" x14ac:dyDescent="0.25">
      <c r="A2149" s="4">
        <v>37466</v>
      </c>
      <c r="B2149">
        <v>19.601299999999998</v>
      </c>
      <c r="C2149">
        <v>19.9895</v>
      </c>
      <c r="D2149">
        <v>19.601299999999998</v>
      </c>
      <c r="E2149">
        <v>19.601299999999998</v>
      </c>
      <c r="F2149">
        <v>182749</v>
      </c>
    </row>
    <row r="2150" spans="1:6" x14ac:dyDescent="0.25">
      <c r="A2150" s="4">
        <v>37467</v>
      </c>
      <c r="B2150">
        <v>20.183599999999998</v>
      </c>
      <c r="C2150">
        <v>20.377600000000001</v>
      </c>
      <c r="D2150">
        <v>19.795400000000001</v>
      </c>
      <c r="E2150">
        <v>20.183599999999998</v>
      </c>
      <c r="F2150">
        <v>122094</v>
      </c>
    </row>
    <row r="2151" spans="1:6" x14ac:dyDescent="0.25">
      <c r="A2151" s="4">
        <v>37468</v>
      </c>
      <c r="B2151">
        <v>19.9895</v>
      </c>
      <c r="C2151">
        <v>19.9895</v>
      </c>
      <c r="D2151">
        <v>19.407299999999999</v>
      </c>
      <c r="E2151">
        <v>19.601299999999998</v>
      </c>
      <c r="F2151">
        <v>49261</v>
      </c>
    </row>
    <row r="2152" spans="1:6" x14ac:dyDescent="0.25">
      <c r="A2152" s="4">
        <v>37469</v>
      </c>
      <c r="B2152">
        <v>19.407299999999999</v>
      </c>
      <c r="C2152">
        <v>19.795400000000001</v>
      </c>
      <c r="D2152">
        <v>19.407299999999999</v>
      </c>
      <c r="E2152">
        <v>19.407299999999999</v>
      </c>
      <c r="F2152">
        <v>43178</v>
      </c>
    </row>
    <row r="2153" spans="1:6" x14ac:dyDescent="0.25">
      <c r="A2153" s="4">
        <v>37470</v>
      </c>
      <c r="B2153">
        <v>19.019100000000002</v>
      </c>
      <c r="C2153">
        <v>19.368500000000001</v>
      </c>
      <c r="D2153">
        <v>18.825099999999999</v>
      </c>
      <c r="E2153">
        <v>19.368500000000001</v>
      </c>
      <c r="F2153">
        <v>65621</v>
      </c>
    </row>
    <row r="2154" spans="1:6" x14ac:dyDescent="0.25">
      <c r="A2154" s="4">
        <v>37473</v>
      </c>
      <c r="B2154">
        <v>18.242799999999999</v>
      </c>
      <c r="C2154">
        <v>18.514500000000002</v>
      </c>
      <c r="D2154">
        <v>18.0488</v>
      </c>
      <c r="E2154">
        <v>18.0488</v>
      </c>
      <c r="F2154">
        <v>70989</v>
      </c>
    </row>
    <row r="2155" spans="1:6" x14ac:dyDescent="0.25">
      <c r="A2155" s="4">
        <v>37474</v>
      </c>
      <c r="B2155">
        <v>16.962</v>
      </c>
      <c r="C2155">
        <v>18.359300000000001</v>
      </c>
      <c r="D2155">
        <v>16.962</v>
      </c>
      <c r="E2155">
        <v>17.8935</v>
      </c>
      <c r="F2155">
        <v>75658</v>
      </c>
    </row>
    <row r="2156" spans="1:6" x14ac:dyDescent="0.25">
      <c r="A2156" s="4">
        <v>37475</v>
      </c>
      <c r="B2156">
        <v>19.096800000000002</v>
      </c>
      <c r="C2156">
        <v>19.1356</v>
      </c>
      <c r="D2156">
        <v>18.786200000000001</v>
      </c>
      <c r="E2156">
        <v>19.1356</v>
      </c>
      <c r="F2156">
        <v>66947</v>
      </c>
    </row>
    <row r="2157" spans="1:6" x14ac:dyDescent="0.25">
      <c r="A2157" s="4">
        <v>37476</v>
      </c>
      <c r="B2157">
        <v>19.213200000000001</v>
      </c>
      <c r="C2157">
        <v>19.213200000000001</v>
      </c>
      <c r="D2157">
        <v>18.786200000000001</v>
      </c>
      <c r="E2157">
        <v>19.0579</v>
      </c>
      <c r="F2157">
        <v>52778</v>
      </c>
    </row>
    <row r="2158" spans="1:6" x14ac:dyDescent="0.25">
      <c r="A2158" s="4">
        <v>37477</v>
      </c>
      <c r="B2158">
        <v>19.407299999999999</v>
      </c>
      <c r="C2158">
        <v>19.795400000000001</v>
      </c>
      <c r="D2158">
        <v>19.407299999999999</v>
      </c>
      <c r="E2158">
        <v>19.795400000000001</v>
      </c>
      <c r="F2158">
        <v>44034</v>
      </c>
    </row>
    <row r="2159" spans="1:6" x14ac:dyDescent="0.25">
      <c r="A2159" s="4">
        <v>37480</v>
      </c>
      <c r="B2159">
        <v>19.795400000000001</v>
      </c>
      <c r="C2159">
        <v>19.795400000000001</v>
      </c>
      <c r="D2159">
        <v>19.407299999999999</v>
      </c>
      <c r="E2159">
        <v>19.601299999999998</v>
      </c>
      <c r="F2159">
        <v>35893</v>
      </c>
    </row>
    <row r="2160" spans="1:6" x14ac:dyDescent="0.25">
      <c r="A2160" s="4">
        <v>37481</v>
      </c>
      <c r="B2160">
        <v>19.407299999999999</v>
      </c>
      <c r="C2160">
        <v>19.601299999999998</v>
      </c>
      <c r="D2160">
        <v>19.329599999999999</v>
      </c>
      <c r="E2160">
        <v>19.407299999999999</v>
      </c>
      <c r="F2160">
        <v>17018</v>
      </c>
    </row>
    <row r="2161" spans="1:6" x14ac:dyDescent="0.25">
      <c r="A2161" s="4">
        <v>37482</v>
      </c>
      <c r="B2161">
        <v>19.407299999999999</v>
      </c>
      <c r="C2161">
        <v>19.795400000000001</v>
      </c>
      <c r="D2161">
        <v>19.407299999999999</v>
      </c>
      <c r="E2161">
        <v>19.795400000000001</v>
      </c>
      <c r="F2161">
        <v>34865</v>
      </c>
    </row>
    <row r="2162" spans="1:6" x14ac:dyDescent="0.25">
      <c r="A2162" s="4">
        <v>37483</v>
      </c>
      <c r="B2162">
        <v>20.377600000000001</v>
      </c>
      <c r="C2162">
        <v>20.959900000000001</v>
      </c>
      <c r="D2162">
        <v>20.377600000000001</v>
      </c>
      <c r="E2162">
        <v>20.5717</v>
      </c>
      <c r="F2162">
        <v>72071</v>
      </c>
    </row>
    <row r="2163" spans="1:6" x14ac:dyDescent="0.25">
      <c r="A2163" s="4">
        <v>37484</v>
      </c>
      <c r="B2163">
        <v>20.959900000000001</v>
      </c>
      <c r="C2163">
        <v>20.959900000000001</v>
      </c>
      <c r="D2163">
        <v>20.5717</v>
      </c>
      <c r="E2163">
        <v>20.765799999999999</v>
      </c>
      <c r="F2163">
        <v>36244</v>
      </c>
    </row>
    <row r="2164" spans="1:6" x14ac:dyDescent="0.25">
      <c r="A2164" s="4">
        <v>37487</v>
      </c>
      <c r="B2164">
        <v>20.765799999999999</v>
      </c>
      <c r="C2164">
        <v>21.1539</v>
      </c>
      <c r="D2164">
        <v>20.5717</v>
      </c>
      <c r="E2164">
        <v>20.765799999999999</v>
      </c>
      <c r="F2164">
        <v>31683</v>
      </c>
    </row>
    <row r="2165" spans="1:6" x14ac:dyDescent="0.25">
      <c r="A2165" s="4">
        <v>37488</v>
      </c>
      <c r="B2165">
        <v>20.959900000000001</v>
      </c>
      <c r="C2165">
        <v>21.542100000000001</v>
      </c>
      <c r="D2165">
        <v>20.959900000000001</v>
      </c>
      <c r="E2165">
        <v>21.1539</v>
      </c>
      <c r="F2165">
        <v>58199</v>
      </c>
    </row>
    <row r="2166" spans="1:6" x14ac:dyDescent="0.25">
      <c r="A2166" s="4">
        <v>37489</v>
      </c>
      <c r="B2166">
        <v>20.765799999999999</v>
      </c>
      <c r="C2166">
        <v>20.765799999999999</v>
      </c>
      <c r="D2166">
        <v>20.377600000000001</v>
      </c>
      <c r="E2166">
        <v>20.5717</v>
      </c>
      <c r="F2166">
        <v>37258</v>
      </c>
    </row>
    <row r="2167" spans="1:6" x14ac:dyDescent="0.25">
      <c r="A2167" s="4">
        <v>37490</v>
      </c>
      <c r="B2167">
        <v>20.765799999999999</v>
      </c>
      <c r="C2167">
        <v>20.959900000000001</v>
      </c>
      <c r="D2167">
        <v>20.5717</v>
      </c>
      <c r="E2167">
        <v>20.5717</v>
      </c>
      <c r="F2167">
        <v>52231</v>
      </c>
    </row>
    <row r="2168" spans="1:6" x14ac:dyDescent="0.25">
      <c r="A2168" s="4">
        <v>37491</v>
      </c>
      <c r="B2168">
        <v>20.765799999999999</v>
      </c>
      <c r="C2168">
        <v>21.347999999999999</v>
      </c>
      <c r="D2168">
        <v>20.765799999999999</v>
      </c>
      <c r="E2168">
        <v>20.959900000000001</v>
      </c>
      <c r="F2168">
        <v>53167</v>
      </c>
    </row>
    <row r="2169" spans="1:6" x14ac:dyDescent="0.25">
      <c r="A2169" s="4">
        <v>37494</v>
      </c>
      <c r="B2169">
        <v>20.5717</v>
      </c>
      <c r="C2169">
        <v>20.5717</v>
      </c>
      <c r="D2169">
        <v>20.183599999999998</v>
      </c>
      <c r="E2169">
        <v>20.377600000000001</v>
      </c>
      <c r="F2169">
        <v>33453</v>
      </c>
    </row>
    <row r="2170" spans="1:6" x14ac:dyDescent="0.25">
      <c r="A2170" s="4">
        <v>37495</v>
      </c>
      <c r="B2170">
        <v>20.377600000000001</v>
      </c>
      <c r="C2170">
        <v>20.5717</v>
      </c>
      <c r="D2170">
        <v>19.795400000000001</v>
      </c>
      <c r="E2170">
        <v>19.795400000000001</v>
      </c>
      <c r="F2170">
        <v>31812</v>
      </c>
    </row>
    <row r="2171" spans="1:6" x14ac:dyDescent="0.25">
      <c r="A2171" s="4">
        <v>37496</v>
      </c>
      <c r="B2171">
        <v>19.407299999999999</v>
      </c>
      <c r="C2171">
        <v>19.601299999999998</v>
      </c>
      <c r="D2171">
        <v>19.407299999999999</v>
      </c>
      <c r="E2171">
        <v>19.407299999999999</v>
      </c>
      <c r="F2171">
        <v>45408</v>
      </c>
    </row>
    <row r="2172" spans="1:6" x14ac:dyDescent="0.25">
      <c r="A2172" s="4">
        <v>37497</v>
      </c>
      <c r="B2172">
        <v>19.213200000000001</v>
      </c>
      <c r="C2172">
        <v>19.795400000000001</v>
      </c>
      <c r="D2172">
        <v>19.174399999999999</v>
      </c>
      <c r="E2172">
        <v>19.407299999999999</v>
      </c>
      <c r="F2172">
        <v>31650</v>
      </c>
    </row>
    <row r="2173" spans="1:6" x14ac:dyDescent="0.25">
      <c r="A2173" s="4">
        <v>37498</v>
      </c>
      <c r="B2173">
        <v>19.601299999999998</v>
      </c>
      <c r="C2173">
        <v>19.601299999999998</v>
      </c>
      <c r="D2173">
        <v>19.290800000000001</v>
      </c>
      <c r="E2173">
        <v>19.368500000000001</v>
      </c>
      <c r="F2173">
        <v>30172</v>
      </c>
    </row>
    <row r="2174" spans="1:6" x14ac:dyDescent="0.25">
      <c r="A2174" s="4">
        <v>37501</v>
      </c>
      <c r="B2174">
        <v>19.329599999999999</v>
      </c>
      <c r="C2174">
        <v>19.329599999999999</v>
      </c>
      <c r="D2174">
        <v>18.902699999999999</v>
      </c>
      <c r="E2174">
        <v>18.902699999999999</v>
      </c>
      <c r="F2174">
        <v>22379</v>
      </c>
    </row>
    <row r="2175" spans="1:6" x14ac:dyDescent="0.25">
      <c r="A2175" s="4">
        <v>37502</v>
      </c>
      <c r="B2175">
        <v>18.902699999999999</v>
      </c>
      <c r="C2175">
        <v>19.096800000000002</v>
      </c>
      <c r="D2175">
        <v>18.825099999999999</v>
      </c>
      <c r="E2175">
        <v>18.902699999999999</v>
      </c>
      <c r="F2175">
        <v>21597</v>
      </c>
    </row>
    <row r="2176" spans="1:6" x14ac:dyDescent="0.25">
      <c r="A2176" s="4">
        <v>37503</v>
      </c>
      <c r="B2176">
        <v>18.631</v>
      </c>
      <c r="C2176">
        <v>18.902699999999999</v>
      </c>
      <c r="D2176">
        <v>18.436900000000001</v>
      </c>
      <c r="E2176">
        <v>18.592199999999998</v>
      </c>
      <c r="F2176">
        <v>38868</v>
      </c>
    </row>
    <row r="2177" spans="1:6" x14ac:dyDescent="0.25">
      <c r="A2177" s="4">
        <v>37504</v>
      </c>
      <c r="B2177">
        <v>18.825099999999999</v>
      </c>
      <c r="C2177">
        <v>18.825099999999999</v>
      </c>
      <c r="D2177">
        <v>18.436900000000001</v>
      </c>
      <c r="E2177">
        <v>18.436900000000001</v>
      </c>
      <c r="F2177">
        <v>21736</v>
      </c>
    </row>
    <row r="2178" spans="1:6" x14ac:dyDescent="0.25">
      <c r="A2178" s="4">
        <v>37508</v>
      </c>
      <c r="B2178">
        <v>18.5534</v>
      </c>
      <c r="C2178">
        <v>18.902699999999999</v>
      </c>
      <c r="D2178">
        <v>18.4757</v>
      </c>
      <c r="E2178">
        <v>18.825099999999999</v>
      </c>
      <c r="F2178">
        <v>33158</v>
      </c>
    </row>
    <row r="2179" spans="1:6" x14ac:dyDescent="0.25">
      <c r="A2179" s="4">
        <v>37509</v>
      </c>
      <c r="B2179">
        <v>18.825099999999999</v>
      </c>
      <c r="C2179">
        <v>19.601299999999998</v>
      </c>
      <c r="D2179">
        <v>18.747399999999999</v>
      </c>
      <c r="E2179">
        <v>19.601299999999998</v>
      </c>
      <c r="F2179">
        <v>33708</v>
      </c>
    </row>
    <row r="2180" spans="1:6" x14ac:dyDescent="0.25">
      <c r="A2180" s="4">
        <v>37510</v>
      </c>
      <c r="B2180">
        <v>19.795400000000001</v>
      </c>
      <c r="C2180">
        <v>19.795400000000001</v>
      </c>
      <c r="D2180">
        <v>19.407299999999999</v>
      </c>
      <c r="E2180">
        <v>19.601299999999998</v>
      </c>
      <c r="F2180">
        <v>27880</v>
      </c>
    </row>
    <row r="2181" spans="1:6" x14ac:dyDescent="0.25">
      <c r="A2181" s="4">
        <v>37511</v>
      </c>
      <c r="B2181">
        <v>19.601299999999998</v>
      </c>
      <c r="C2181">
        <v>19.601299999999998</v>
      </c>
      <c r="D2181">
        <v>19.213200000000001</v>
      </c>
      <c r="E2181">
        <v>19.368500000000001</v>
      </c>
      <c r="F2181">
        <v>21965</v>
      </c>
    </row>
    <row r="2182" spans="1:6" x14ac:dyDescent="0.25">
      <c r="A2182" s="4">
        <v>37512</v>
      </c>
      <c r="B2182">
        <v>18.863900000000001</v>
      </c>
      <c r="C2182">
        <v>18.9803</v>
      </c>
      <c r="D2182">
        <v>18.631</v>
      </c>
      <c r="E2182">
        <v>18.669799999999999</v>
      </c>
      <c r="F2182">
        <v>26260</v>
      </c>
    </row>
    <row r="2183" spans="1:6" x14ac:dyDescent="0.25">
      <c r="A2183" s="4">
        <v>37515</v>
      </c>
      <c r="B2183">
        <v>18.4757</v>
      </c>
      <c r="C2183">
        <v>18.5534</v>
      </c>
      <c r="D2183">
        <v>18.165199999999999</v>
      </c>
      <c r="E2183">
        <v>18.320499999999999</v>
      </c>
      <c r="F2183">
        <v>33450</v>
      </c>
    </row>
    <row r="2184" spans="1:6" x14ac:dyDescent="0.25">
      <c r="A2184" s="4">
        <v>37516</v>
      </c>
      <c r="B2184">
        <v>18.204000000000001</v>
      </c>
      <c r="C2184">
        <v>19.019100000000002</v>
      </c>
      <c r="D2184">
        <v>18.204000000000001</v>
      </c>
      <c r="E2184">
        <v>19.019100000000002</v>
      </c>
      <c r="F2184">
        <v>41588</v>
      </c>
    </row>
    <row r="2185" spans="1:6" x14ac:dyDescent="0.25">
      <c r="A2185" s="4">
        <v>37517</v>
      </c>
      <c r="B2185">
        <v>18.0488</v>
      </c>
      <c r="C2185">
        <v>18.204000000000001</v>
      </c>
      <c r="D2185">
        <v>17.699400000000001</v>
      </c>
      <c r="E2185">
        <v>17.699400000000001</v>
      </c>
      <c r="F2185">
        <v>76837</v>
      </c>
    </row>
    <row r="2186" spans="1:6" x14ac:dyDescent="0.25">
      <c r="A2186" s="4">
        <v>37518</v>
      </c>
      <c r="B2186">
        <v>17.854700000000001</v>
      </c>
      <c r="C2186">
        <v>17.8935</v>
      </c>
      <c r="D2186">
        <v>17.4665</v>
      </c>
      <c r="E2186">
        <v>17.699400000000001</v>
      </c>
      <c r="F2186">
        <v>49969</v>
      </c>
    </row>
    <row r="2187" spans="1:6" x14ac:dyDescent="0.25">
      <c r="A2187" s="4">
        <v>37519</v>
      </c>
      <c r="B2187">
        <v>17.272500000000001</v>
      </c>
      <c r="C2187">
        <v>17.311299999999999</v>
      </c>
      <c r="D2187">
        <v>16.690300000000001</v>
      </c>
      <c r="E2187">
        <v>16.8843</v>
      </c>
      <c r="F2187">
        <v>86160</v>
      </c>
    </row>
    <row r="2188" spans="1:6" x14ac:dyDescent="0.25">
      <c r="A2188" s="4">
        <v>37522</v>
      </c>
      <c r="B2188">
        <v>16.690300000000001</v>
      </c>
      <c r="C2188">
        <v>16.962</v>
      </c>
      <c r="D2188">
        <v>16.302099999999999</v>
      </c>
      <c r="E2188">
        <v>16.340900000000001</v>
      </c>
      <c r="F2188">
        <v>51554</v>
      </c>
    </row>
    <row r="2189" spans="1:6" x14ac:dyDescent="0.25">
      <c r="A2189" s="4">
        <v>37523</v>
      </c>
      <c r="B2189">
        <v>16.108000000000001</v>
      </c>
      <c r="C2189">
        <v>16.651399999999999</v>
      </c>
      <c r="D2189">
        <v>16.108000000000001</v>
      </c>
      <c r="E2189">
        <v>16.418600000000001</v>
      </c>
      <c r="F2189">
        <v>72043</v>
      </c>
    </row>
    <row r="2190" spans="1:6" x14ac:dyDescent="0.25">
      <c r="A2190" s="4">
        <v>37524</v>
      </c>
      <c r="B2190">
        <v>16.496200000000002</v>
      </c>
      <c r="C2190">
        <v>16.6126</v>
      </c>
      <c r="D2190">
        <v>15.914</v>
      </c>
      <c r="E2190">
        <v>16.302099999999999</v>
      </c>
      <c r="F2190">
        <v>53724</v>
      </c>
    </row>
    <row r="2191" spans="1:6" x14ac:dyDescent="0.25">
      <c r="A2191" s="4">
        <v>37525</v>
      </c>
      <c r="B2191">
        <v>16.923100000000002</v>
      </c>
      <c r="C2191">
        <v>16.962</v>
      </c>
      <c r="D2191">
        <v>16.535</v>
      </c>
      <c r="E2191">
        <v>16.535</v>
      </c>
      <c r="F2191">
        <v>55826</v>
      </c>
    </row>
    <row r="2192" spans="1:6" x14ac:dyDescent="0.25">
      <c r="A2192" s="4">
        <v>37526</v>
      </c>
      <c r="B2192">
        <v>16.535</v>
      </c>
      <c r="C2192">
        <v>16.651399999999999</v>
      </c>
      <c r="D2192">
        <v>16.302099999999999</v>
      </c>
      <c r="E2192">
        <v>16.302099999999999</v>
      </c>
      <c r="F2192">
        <v>41877</v>
      </c>
    </row>
    <row r="2193" spans="1:6" x14ac:dyDescent="0.25">
      <c r="A2193" s="4">
        <v>37529</v>
      </c>
      <c r="B2193">
        <v>15.9528</v>
      </c>
      <c r="C2193">
        <v>15.9528</v>
      </c>
      <c r="D2193">
        <v>15.5258</v>
      </c>
      <c r="E2193">
        <v>15.9528</v>
      </c>
      <c r="F2193">
        <v>47310</v>
      </c>
    </row>
    <row r="2194" spans="1:6" x14ac:dyDescent="0.25">
      <c r="A2194" s="4">
        <v>37530</v>
      </c>
      <c r="B2194">
        <v>15.681100000000001</v>
      </c>
      <c r="C2194">
        <v>16.069199999999999</v>
      </c>
      <c r="D2194">
        <v>15.5258</v>
      </c>
      <c r="E2194">
        <v>15.5646</v>
      </c>
      <c r="F2194">
        <v>52648</v>
      </c>
    </row>
    <row r="2195" spans="1:6" x14ac:dyDescent="0.25">
      <c r="A2195" s="4">
        <v>37531</v>
      </c>
      <c r="B2195">
        <v>15.9528</v>
      </c>
      <c r="C2195">
        <v>16.108000000000001</v>
      </c>
      <c r="D2195">
        <v>15.5258</v>
      </c>
      <c r="E2195">
        <v>15.5258</v>
      </c>
      <c r="F2195">
        <v>59104</v>
      </c>
    </row>
    <row r="2196" spans="1:6" x14ac:dyDescent="0.25">
      <c r="A2196" s="4">
        <v>37532</v>
      </c>
      <c r="B2196">
        <v>15.254099999999999</v>
      </c>
      <c r="C2196">
        <v>15.254099999999999</v>
      </c>
      <c r="D2196">
        <v>14.633100000000001</v>
      </c>
      <c r="E2196">
        <v>14.633100000000001</v>
      </c>
      <c r="F2196">
        <v>67331</v>
      </c>
    </row>
    <row r="2197" spans="1:6" x14ac:dyDescent="0.25">
      <c r="A2197" s="4">
        <v>37533</v>
      </c>
      <c r="B2197">
        <v>14.283799999999999</v>
      </c>
      <c r="C2197">
        <v>14.9824</v>
      </c>
      <c r="D2197">
        <v>14.283799999999999</v>
      </c>
      <c r="E2197">
        <v>14.749499999999999</v>
      </c>
      <c r="F2197">
        <v>60891</v>
      </c>
    </row>
    <row r="2198" spans="1:6" x14ac:dyDescent="0.25">
      <c r="A2198" s="4">
        <v>37536</v>
      </c>
      <c r="B2198">
        <v>14.5555</v>
      </c>
      <c r="C2198">
        <v>14.5555</v>
      </c>
      <c r="D2198">
        <v>13.9732</v>
      </c>
      <c r="E2198">
        <v>13.9732</v>
      </c>
      <c r="F2198">
        <v>53418</v>
      </c>
    </row>
    <row r="2199" spans="1:6" x14ac:dyDescent="0.25">
      <c r="A2199" s="4">
        <v>37537</v>
      </c>
      <c r="B2199">
        <v>13.585100000000001</v>
      </c>
      <c r="C2199">
        <v>13.8956</v>
      </c>
      <c r="D2199">
        <v>13.5463</v>
      </c>
      <c r="E2199">
        <v>13.818</v>
      </c>
      <c r="F2199">
        <v>97276</v>
      </c>
    </row>
    <row r="2200" spans="1:6" x14ac:dyDescent="0.25">
      <c r="A2200" s="4">
        <v>37538</v>
      </c>
      <c r="B2200">
        <v>13.818</v>
      </c>
      <c r="C2200">
        <v>14.5943</v>
      </c>
      <c r="D2200">
        <v>13.701499999999999</v>
      </c>
      <c r="E2200">
        <v>13.9732</v>
      </c>
      <c r="F2200">
        <v>120263</v>
      </c>
    </row>
    <row r="2201" spans="1:6" x14ac:dyDescent="0.25">
      <c r="A2201" s="4">
        <v>37540</v>
      </c>
      <c r="B2201">
        <v>14.3614</v>
      </c>
      <c r="C2201">
        <v>14.439</v>
      </c>
      <c r="D2201">
        <v>13.779199999999999</v>
      </c>
      <c r="E2201">
        <v>13.8568</v>
      </c>
      <c r="F2201">
        <v>96790</v>
      </c>
    </row>
    <row r="2202" spans="1:6" x14ac:dyDescent="0.25">
      <c r="A2202" s="4">
        <v>37543</v>
      </c>
      <c r="B2202">
        <v>14.3226</v>
      </c>
      <c r="C2202">
        <v>14.749499999999999</v>
      </c>
      <c r="D2202">
        <v>14.206099999999999</v>
      </c>
      <c r="E2202">
        <v>14.749499999999999</v>
      </c>
      <c r="F2202">
        <v>97805</v>
      </c>
    </row>
    <row r="2203" spans="1:6" x14ac:dyDescent="0.25">
      <c r="A2203" s="4">
        <v>37544</v>
      </c>
      <c r="B2203">
        <v>15.3317</v>
      </c>
      <c r="C2203">
        <v>15.758699999999999</v>
      </c>
      <c r="D2203">
        <v>15.215299999999999</v>
      </c>
      <c r="E2203">
        <v>15.758699999999999</v>
      </c>
      <c r="F2203">
        <v>73297</v>
      </c>
    </row>
    <row r="2204" spans="1:6" x14ac:dyDescent="0.25">
      <c r="A2204" s="4">
        <v>37545</v>
      </c>
      <c r="B2204">
        <v>16.845500000000001</v>
      </c>
      <c r="C2204">
        <v>16.845500000000001</v>
      </c>
      <c r="D2204">
        <v>16.4574</v>
      </c>
      <c r="E2204">
        <v>16.845500000000001</v>
      </c>
      <c r="F2204">
        <v>137926</v>
      </c>
    </row>
    <row r="2205" spans="1:6" x14ac:dyDescent="0.25">
      <c r="A2205" s="4">
        <v>37546</v>
      </c>
      <c r="B2205">
        <v>16.651399999999999</v>
      </c>
      <c r="C2205">
        <v>17.0396</v>
      </c>
      <c r="D2205">
        <v>16.535</v>
      </c>
      <c r="E2205">
        <v>16.8843</v>
      </c>
      <c r="F2205">
        <v>77783</v>
      </c>
    </row>
    <row r="2206" spans="1:6" x14ac:dyDescent="0.25">
      <c r="A2206" s="4">
        <v>37547</v>
      </c>
      <c r="B2206">
        <v>17.6218</v>
      </c>
      <c r="C2206">
        <v>18.0488</v>
      </c>
      <c r="D2206">
        <v>17.311299999999999</v>
      </c>
      <c r="E2206">
        <v>18.0488</v>
      </c>
      <c r="F2206">
        <v>131705</v>
      </c>
    </row>
    <row r="2207" spans="1:6" x14ac:dyDescent="0.25">
      <c r="A2207" s="4">
        <v>37550</v>
      </c>
      <c r="B2207">
        <v>17.932300000000001</v>
      </c>
      <c r="C2207">
        <v>17.932300000000001</v>
      </c>
      <c r="D2207">
        <v>17.4665</v>
      </c>
      <c r="E2207">
        <v>17.660599999999999</v>
      </c>
      <c r="F2207">
        <v>64125</v>
      </c>
    </row>
    <row r="2208" spans="1:6" x14ac:dyDescent="0.25">
      <c r="A2208" s="4">
        <v>37551</v>
      </c>
      <c r="B2208">
        <v>17.699400000000001</v>
      </c>
      <c r="C2208">
        <v>17.854700000000001</v>
      </c>
      <c r="D2208">
        <v>16.535</v>
      </c>
      <c r="E2208">
        <v>16.8843</v>
      </c>
      <c r="F2208">
        <v>93073</v>
      </c>
    </row>
    <row r="2209" spans="1:6" x14ac:dyDescent="0.25">
      <c r="A2209" s="4">
        <v>37552</v>
      </c>
      <c r="B2209">
        <v>16.496200000000002</v>
      </c>
      <c r="C2209">
        <v>17.660599999999999</v>
      </c>
      <c r="D2209">
        <v>16.185700000000001</v>
      </c>
      <c r="E2209">
        <v>17.4665</v>
      </c>
      <c r="F2209">
        <v>140975</v>
      </c>
    </row>
    <row r="2210" spans="1:6" x14ac:dyDescent="0.25">
      <c r="A2210" s="4">
        <v>37553</v>
      </c>
      <c r="B2210">
        <v>17.777100000000001</v>
      </c>
      <c r="C2210">
        <v>17.777100000000001</v>
      </c>
      <c r="D2210">
        <v>17.311299999999999</v>
      </c>
      <c r="E2210">
        <v>17.4665</v>
      </c>
      <c r="F2210">
        <v>84342</v>
      </c>
    </row>
    <row r="2211" spans="1:6" x14ac:dyDescent="0.25">
      <c r="A2211" s="4">
        <v>37554</v>
      </c>
      <c r="B2211">
        <v>17.4665</v>
      </c>
      <c r="C2211">
        <v>18.010000000000002</v>
      </c>
      <c r="D2211">
        <v>17.311299999999999</v>
      </c>
      <c r="E2211">
        <v>17.854700000000001</v>
      </c>
      <c r="F2211">
        <v>85578</v>
      </c>
    </row>
    <row r="2212" spans="1:6" x14ac:dyDescent="0.25">
      <c r="A2212" s="4">
        <v>37557</v>
      </c>
      <c r="B2212">
        <v>18.398099999999999</v>
      </c>
      <c r="C2212">
        <v>18.4757</v>
      </c>
      <c r="D2212">
        <v>18.0488</v>
      </c>
      <c r="E2212">
        <v>18.087599999999998</v>
      </c>
      <c r="F2212">
        <v>89161</v>
      </c>
    </row>
    <row r="2213" spans="1:6" x14ac:dyDescent="0.25">
      <c r="A2213" s="4">
        <v>37558</v>
      </c>
      <c r="B2213">
        <v>18.087599999999998</v>
      </c>
      <c r="C2213">
        <v>18.204000000000001</v>
      </c>
      <c r="D2213">
        <v>17.854700000000001</v>
      </c>
      <c r="E2213">
        <v>18.165199999999999</v>
      </c>
      <c r="F2213">
        <v>40198</v>
      </c>
    </row>
    <row r="2214" spans="1:6" x14ac:dyDescent="0.25">
      <c r="A2214" s="4">
        <v>37559</v>
      </c>
      <c r="B2214">
        <v>17.777100000000001</v>
      </c>
      <c r="C2214">
        <v>17.9711</v>
      </c>
      <c r="D2214">
        <v>17.311299999999999</v>
      </c>
      <c r="E2214">
        <v>17.660599999999999</v>
      </c>
      <c r="F2214">
        <v>50385</v>
      </c>
    </row>
    <row r="2215" spans="1:6" x14ac:dyDescent="0.25">
      <c r="A2215" s="4">
        <v>37560</v>
      </c>
      <c r="B2215">
        <v>18.010000000000002</v>
      </c>
      <c r="C2215">
        <v>18.204000000000001</v>
      </c>
      <c r="D2215">
        <v>17.8935</v>
      </c>
      <c r="E2215">
        <v>18.0488</v>
      </c>
      <c r="F2215">
        <v>49142</v>
      </c>
    </row>
    <row r="2216" spans="1:6" x14ac:dyDescent="0.25">
      <c r="A2216" s="4">
        <v>37561</v>
      </c>
      <c r="B2216">
        <v>18.010000000000002</v>
      </c>
      <c r="C2216">
        <v>18.0488</v>
      </c>
      <c r="D2216">
        <v>17.4665</v>
      </c>
      <c r="E2216">
        <v>17.4665</v>
      </c>
      <c r="F2216">
        <v>38424</v>
      </c>
    </row>
    <row r="2217" spans="1:6" x14ac:dyDescent="0.25">
      <c r="A2217" s="4">
        <v>37564</v>
      </c>
      <c r="B2217">
        <v>18.0488</v>
      </c>
      <c r="C2217">
        <v>18.436900000000001</v>
      </c>
      <c r="D2217">
        <v>18.010000000000002</v>
      </c>
      <c r="E2217">
        <v>18.242799999999999</v>
      </c>
      <c r="F2217">
        <v>60127</v>
      </c>
    </row>
    <row r="2218" spans="1:6" x14ac:dyDescent="0.25">
      <c r="A2218" s="4">
        <v>37565</v>
      </c>
      <c r="B2218">
        <v>18.825099999999999</v>
      </c>
      <c r="C2218">
        <v>18.902699999999999</v>
      </c>
      <c r="D2218">
        <v>18.514500000000002</v>
      </c>
      <c r="E2218">
        <v>18.514500000000002</v>
      </c>
      <c r="F2218">
        <v>84518</v>
      </c>
    </row>
    <row r="2219" spans="1:6" x14ac:dyDescent="0.25">
      <c r="A2219" s="4">
        <v>37566</v>
      </c>
      <c r="B2219">
        <v>18.514500000000002</v>
      </c>
      <c r="C2219">
        <v>19.795400000000001</v>
      </c>
      <c r="D2219">
        <v>18.320499999999999</v>
      </c>
      <c r="E2219">
        <v>19.795400000000001</v>
      </c>
      <c r="F2219">
        <v>138851</v>
      </c>
    </row>
    <row r="2220" spans="1:6" x14ac:dyDescent="0.25">
      <c r="A2220" s="4">
        <v>37567</v>
      </c>
      <c r="B2220">
        <v>20.183599999999998</v>
      </c>
      <c r="C2220">
        <v>20.377600000000001</v>
      </c>
      <c r="D2220">
        <v>19.601299999999998</v>
      </c>
      <c r="E2220">
        <v>19.9895</v>
      </c>
      <c r="F2220">
        <v>103654</v>
      </c>
    </row>
    <row r="2221" spans="1:6" x14ac:dyDescent="0.25">
      <c r="A2221" s="4">
        <v>37568</v>
      </c>
      <c r="B2221">
        <v>19.407299999999999</v>
      </c>
      <c r="C2221">
        <v>19.795400000000001</v>
      </c>
      <c r="D2221">
        <v>19.407299999999999</v>
      </c>
      <c r="E2221">
        <v>19.795400000000001</v>
      </c>
      <c r="F2221">
        <v>73310</v>
      </c>
    </row>
    <row r="2222" spans="1:6" x14ac:dyDescent="0.25">
      <c r="A2222" s="4">
        <v>37571</v>
      </c>
      <c r="B2222">
        <v>19.407299999999999</v>
      </c>
      <c r="C2222">
        <v>19.407299999999999</v>
      </c>
      <c r="D2222">
        <v>18.4757</v>
      </c>
      <c r="E2222">
        <v>18.514500000000002</v>
      </c>
      <c r="F2222">
        <v>62569</v>
      </c>
    </row>
    <row r="2223" spans="1:6" x14ac:dyDescent="0.25">
      <c r="A2223" s="4">
        <v>37572</v>
      </c>
      <c r="B2223">
        <v>17.660599999999999</v>
      </c>
      <c r="C2223">
        <v>18.204000000000001</v>
      </c>
      <c r="D2223">
        <v>17.660599999999999</v>
      </c>
      <c r="E2223">
        <v>18.165199999999999</v>
      </c>
      <c r="F2223">
        <v>64846</v>
      </c>
    </row>
    <row r="2224" spans="1:6" x14ac:dyDescent="0.25">
      <c r="A2224" s="4">
        <v>37573</v>
      </c>
      <c r="B2224">
        <v>18.165199999999999</v>
      </c>
      <c r="C2224">
        <v>18.242799999999999</v>
      </c>
      <c r="D2224">
        <v>17.660599999999999</v>
      </c>
      <c r="E2224">
        <v>18.165199999999999</v>
      </c>
      <c r="F2224">
        <v>49341</v>
      </c>
    </row>
    <row r="2225" spans="1:6" x14ac:dyDescent="0.25">
      <c r="A2225" s="4">
        <v>37574</v>
      </c>
      <c r="B2225">
        <v>18.165199999999999</v>
      </c>
      <c r="C2225">
        <v>18.436900000000001</v>
      </c>
      <c r="D2225">
        <v>18.010000000000002</v>
      </c>
      <c r="E2225">
        <v>18.010000000000002</v>
      </c>
      <c r="F2225">
        <v>38988</v>
      </c>
    </row>
    <row r="2226" spans="1:6" x14ac:dyDescent="0.25">
      <c r="A2226" s="4">
        <v>37575</v>
      </c>
      <c r="B2226">
        <v>19.1356</v>
      </c>
      <c r="C2226">
        <v>19.1356</v>
      </c>
      <c r="D2226">
        <v>18.514500000000002</v>
      </c>
      <c r="E2226">
        <v>18.786200000000001</v>
      </c>
      <c r="F2226">
        <v>71542</v>
      </c>
    </row>
    <row r="2227" spans="1:6" x14ac:dyDescent="0.25">
      <c r="A2227" s="4">
        <v>37578</v>
      </c>
      <c r="B2227">
        <v>18.786200000000001</v>
      </c>
      <c r="C2227">
        <v>19.019100000000002</v>
      </c>
      <c r="D2227">
        <v>18.4757</v>
      </c>
      <c r="E2227">
        <v>18.708600000000001</v>
      </c>
      <c r="F2227">
        <v>28891</v>
      </c>
    </row>
    <row r="2228" spans="1:6" x14ac:dyDescent="0.25">
      <c r="A2228" s="4">
        <v>37579</v>
      </c>
      <c r="B2228">
        <v>18.631</v>
      </c>
      <c r="C2228">
        <v>18.747399999999999</v>
      </c>
      <c r="D2228">
        <v>18.4757</v>
      </c>
      <c r="E2228">
        <v>18.4757</v>
      </c>
      <c r="F2228">
        <v>31199</v>
      </c>
    </row>
    <row r="2229" spans="1:6" x14ac:dyDescent="0.25">
      <c r="A2229" s="4">
        <v>37580</v>
      </c>
      <c r="B2229">
        <v>18.087599999999998</v>
      </c>
      <c r="C2229">
        <v>18.281700000000001</v>
      </c>
      <c r="D2229">
        <v>17.815899999999999</v>
      </c>
      <c r="E2229">
        <v>17.8935</v>
      </c>
      <c r="F2229">
        <v>37873</v>
      </c>
    </row>
    <row r="2230" spans="1:6" x14ac:dyDescent="0.25">
      <c r="A2230" s="4">
        <v>37581</v>
      </c>
      <c r="B2230">
        <v>18.281700000000001</v>
      </c>
      <c r="C2230">
        <v>18.436900000000001</v>
      </c>
      <c r="D2230">
        <v>18.010000000000002</v>
      </c>
      <c r="E2230">
        <v>18.204000000000001</v>
      </c>
      <c r="F2230">
        <v>58169</v>
      </c>
    </row>
    <row r="2231" spans="1:6" x14ac:dyDescent="0.25">
      <c r="A2231" s="4">
        <v>37582</v>
      </c>
      <c r="B2231">
        <v>19.251999999999999</v>
      </c>
      <c r="C2231">
        <v>19.407299999999999</v>
      </c>
      <c r="D2231">
        <v>19.096800000000002</v>
      </c>
      <c r="E2231">
        <v>19.407299999999999</v>
      </c>
      <c r="F2231">
        <v>124919</v>
      </c>
    </row>
    <row r="2232" spans="1:6" x14ac:dyDescent="0.25">
      <c r="A2232" s="4">
        <v>37585</v>
      </c>
      <c r="B2232">
        <v>19.601299999999998</v>
      </c>
      <c r="C2232">
        <v>20.183599999999998</v>
      </c>
      <c r="D2232">
        <v>19.213200000000001</v>
      </c>
      <c r="E2232">
        <v>20.183599999999998</v>
      </c>
      <c r="F2232">
        <v>100588</v>
      </c>
    </row>
    <row r="2233" spans="1:6" x14ac:dyDescent="0.25">
      <c r="A2233" s="4">
        <v>37586</v>
      </c>
      <c r="B2233">
        <v>19.9895</v>
      </c>
      <c r="C2233">
        <v>20.183599999999998</v>
      </c>
      <c r="D2233">
        <v>19.601299999999998</v>
      </c>
      <c r="E2233">
        <v>19.601299999999998</v>
      </c>
      <c r="F2233">
        <v>69514</v>
      </c>
    </row>
    <row r="2234" spans="1:6" x14ac:dyDescent="0.25">
      <c r="A2234" s="4">
        <v>37587</v>
      </c>
      <c r="B2234">
        <v>19.213200000000001</v>
      </c>
      <c r="C2234">
        <v>19.407299999999999</v>
      </c>
      <c r="D2234">
        <v>19.0579</v>
      </c>
      <c r="E2234">
        <v>19.407299999999999</v>
      </c>
      <c r="F2234">
        <v>34114</v>
      </c>
    </row>
    <row r="2235" spans="1:6" x14ac:dyDescent="0.25">
      <c r="A2235" s="4">
        <v>37588</v>
      </c>
      <c r="B2235">
        <v>19.9895</v>
      </c>
      <c r="C2235">
        <v>19.9895</v>
      </c>
      <c r="D2235">
        <v>19.407299999999999</v>
      </c>
      <c r="E2235">
        <v>19.601299999999998</v>
      </c>
      <c r="F2235">
        <v>60412</v>
      </c>
    </row>
    <row r="2236" spans="1:6" x14ac:dyDescent="0.25">
      <c r="A2236" s="4">
        <v>37589</v>
      </c>
      <c r="B2236">
        <v>19.601299999999998</v>
      </c>
      <c r="C2236">
        <v>19.795400000000001</v>
      </c>
      <c r="D2236">
        <v>19.407299999999999</v>
      </c>
      <c r="E2236">
        <v>19.601299999999998</v>
      </c>
      <c r="F2236">
        <v>28751</v>
      </c>
    </row>
    <row r="2237" spans="1:6" x14ac:dyDescent="0.25">
      <c r="A2237" s="4">
        <v>37592</v>
      </c>
      <c r="B2237">
        <v>19.795400000000001</v>
      </c>
      <c r="C2237">
        <v>20.183599999999998</v>
      </c>
      <c r="D2237">
        <v>19.601299999999998</v>
      </c>
      <c r="E2237">
        <v>20.183599999999998</v>
      </c>
      <c r="F2237">
        <v>31980</v>
      </c>
    </row>
    <row r="2238" spans="1:6" x14ac:dyDescent="0.25">
      <c r="A2238" s="4">
        <v>37593</v>
      </c>
      <c r="B2238">
        <v>20.183599999999998</v>
      </c>
      <c r="C2238">
        <v>20.959900000000001</v>
      </c>
      <c r="D2238">
        <v>19.9895</v>
      </c>
      <c r="E2238">
        <v>20.765799999999999</v>
      </c>
      <c r="F2238">
        <v>85930</v>
      </c>
    </row>
    <row r="2239" spans="1:6" x14ac:dyDescent="0.25">
      <c r="A2239" s="4">
        <v>37594</v>
      </c>
      <c r="B2239">
        <v>20.377600000000001</v>
      </c>
      <c r="C2239">
        <v>20.5717</v>
      </c>
      <c r="D2239">
        <v>20.183599999999998</v>
      </c>
      <c r="E2239">
        <v>20.183599999999998</v>
      </c>
      <c r="F2239">
        <v>49915</v>
      </c>
    </row>
    <row r="2240" spans="1:6" x14ac:dyDescent="0.25">
      <c r="A2240" s="4">
        <v>37595</v>
      </c>
      <c r="B2240">
        <v>19.9895</v>
      </c>
      <c r="C2240">
        <v>20.377600000000001</v>
      </c>
      <c r="D2240">
        <v>19.795400000000001</v>
      </c>
      <c r="E2240">
        <v>20.377600000000001</v>
      </c>
      <c r="F2240">
        <v>32746</v>
      </c>
    </row>
    <row r="2241" spans="1:6" x14ac:dyDescent="0.25">
      <c r="A2241" s="4">
        <v>37596</v>
      </c>
      <c r="B2241">
        <v>19.9895</v>
      </c>
      <c r="C2241">
        <v>20.377600000000001</v>
      </c>
      <c r="D2241">
        <v>19.9895</v>
      </c>
      <c r="E2241">
        <v>19.9895</v>
      </c>
      <c r="F2241">
        <v>34728</v>
      </c>
    </row>
    <row r="2242" spans="1:6" x14ac:dyDescent="0.25">
      <c r="A2242" s="4">
        <v>37599</v>
      </c>
      <c r="B2242">
        <v>20.377600000000001</v>
      </c>
      <c r="C2242">
        <v>20.5717</v>
      </c>
      <c r="D2242">
        <v>19.9895</v>
      </c>
      <c r="E2242">
        <v>20.183599999999998</v>
      </c>
      <c r="F2242">
        <v>34071</v>
      </c>
    </row>
    <row r="2243" spans="1:6" x14ac:dyDescent="0.25">
      <c r="A2243" s="4">
        <v>37600</v>
      </c>
      <c r="B2243">
        <v>19.601299999999998</v>
      </c>
      <c r="C2243">
        <v>19.601299999999998</v>
      </c>
      <c r="D2243">
        <v>19.329599999999999</v>
      </c>
      <c r="E2243">
        <v>19.407299999999999</v>
      </c>
      <c r="F2243">
        <v>63424</v>
      </c>
    </row>
    <row r="2244" spans="1:6" x14ac:dyDescent="0.25">
      <c r="A2244" s="4">
        <v>37601</v>
      </c>
      <c r="B2244">
        <v>19.407299999999999</v>
      </c>
      <c r="C2244">
        <v>19.601299999999998</v>
      </c>
      <c r="D2244">
        <v>19.329599999999999</v>
      </c>
      <c r="E2244">
        <v>19.407299999999999</v>
      </c>
      <c r="F2244">
        <v>58699</v>
      </c>
    </row>
    <row r="2245" spans="1:6" x14ac:dyDescent="0.25">
      <c r="A2245" s="4">
        <v>37602</v>
      </c>
      <c r="B2245">
        <v>19.407299999999999</v>
      </c>
      <c r="C2245">
        <v>19.601299999999998</v>
      </c>
      <c r="D2245">
        <v>18.825099999999999</v>
      </c>
      <c r="E2245">
        <v>19.019100000000002</v>
      </c>
      <c r="F2245">
        <v>43261</v>
      </c>
    </row>
    <row r="2246" spans="1:6" x14ac:dyDescent="0.25">
      <c r="A2246" s="4">
        <v>37603</v>
      </c>
      <c r="B2246">
        <v>18.902699999999999</v>
      </c>
      <c r="C2246">
        <v>19.174399999999999</v>
      </c>
      <c r="D2246">
        <v>18.708600000000001</v>
      </c>
      <c r="E2246">
        <v>18.902699999999999</v>
      </c>
      <c r="F2246">
        <v>41666</v>
      </c>
    </row>
    <row r="2247" spans="1:6" x14ac:dyDescent="0.25">
      <c r="A2247" s="4">
        <v>37606</v>
      </c>
      <c r="B2247">
        <v>18.5534</v>
      </c>
      <c r="C2247">
        <v>18.747399999999999</v>
      </c>
      <c r="D2247">
        <v>18.359300000000001</v>
      </c>
      <c r="E2247">
        <v>18.592199999999998</v>
      </c>
      <c r="F2247">
        <v>41013</v>
      </c>
    </row>
    <row r="2248" spans="1:6" x14ac:dyDescent="0.25">
      <c r="A2248" s="4">
        <v>37607</v>
      </c>
      <c r="B2248">
        <v>18.825099999999999</v>
      </c>
      <c r="C2248">
        <v>19.019100000000002</v>
      </c>
      <c r="D2248">
        <v>18.5534</v>
      </c>
      <c r="E2248">
        <v>18.5534</v>
      </c>
      <c r="F2248">
        <v>29823</v>
      </c>
    </row>
    <row r="2249" spans="1:6" x14ac:dyDescent="0.25">
      <c r="A2249" s="4">
        <v>37608</v>
      </c>
      <c r="B2249">
        <v>18.5534</v>
      </c>
      <c r="C2249">
        <v>18.747399999999999</v>
      </c>
      <c r="D2249">
        <v>18.4757</v>
      </c>
      <c r="E2249">
        <v>18.631</v>
      </c>
      <c r="F2249">
        <v>30448</v>
      </c>
    </row>
    <row r="2250" spans="1:6" x14ac:dyDescent="0.25">
      <c r="A2250" s="4">
        <v>37609</v>
      </c>
      <c r="B2250">
        <v>17.5442</v>
      </c>
      <c r="C2250">
        <v>18.242799999999999</v>
      </c>
      <c r="D2250">
        <v>17.4665</v>
      </c>
      <c r="E2250">
        <v>17.815899999999999</v>
      </c>
      <c r="F2250">
        <v>74155</v>
      </c>
    </row>
    <row r="2251" spans="1:6" x14ac:dyDescent="0.25">
      <c r="A2251" s="4">
        <v>37610</v>
      </c>
      <c r="B2251">
        <v>17.815899999999999</v>
      </c>
      <c r="C2251">
        <v>18.165199999999999</v>
      </c>
      <c r="D2251">
        <v>17.272500000000001</v>
      </c>
      <c r="E2251">
        <v>17.854700000000001</v>
      </c>
      <c r="F2251">
        <v>63660</v>
      </c>
    </row>
    <row r="2252" spans="1:6" x14ac:dyDescent="0.25">
      <c r="A2252" s="4">
        <v>37613</v>
      </c>
      <c r="B2252">
        <v>17.854700000000001</v>
      </c>
      <c r="C2252">
        <v>17.854700000000001</v>
      </c>
      <c r="D2252">
        <v>17.0396</v>
      </c>
      <c r="E2252">
        <v>17.272500000000001</v>
      </c>
      <c r="F2252">
        <v>39133</v>
      </c>
    </row>
    <row r="2253" spans="1:6" x14ac:dyDescent="0.25">
      <c r="A2253" s="4">
        <v>37614</v>
      </c>
      <c r="B2253">
        <v>17.194800000000001</v>
      </c>
      <c r="C2253">
        <v>17.5442</v>
      </c>
      <c r="D2253">
        <v>17.1172</v>
      </c>
      <c r="E2253">
        <v>17.3889</v>
      </c>
      <c r="F2253">
        <v>23746</v>
      </c>
    </row>
    <row r="2254" spans="1:6" x14ac:dyDescent="0.25">
      <c r="A2254" s="4">
        <v>37615</v>
      </c>
      <c r="B2254">
        <v>17.350100000000001</v>
      </c>
      <c r="C2254">
        <v>17.427700000000002</v>
      </c>
      <c r="D2254">
        <v>17.078399999999998</v>
      </c>
      <c r="E2254">
        <v>17.350100000000001</v>
      </c>
      <c r="F2254">
        <v>10508</v>
      </c>
    </row>
    <row r="2255" spans="1:6" x14ac:dyDescent="0.25">
      <c r="A2255" s="4">
        <v>37616</v>
      </c>
      <c r="B2255">
        <v>17.4665</v>
      </c>
      <c r="C2255">
        <v>17.854700000000001</v>
      </c>
      <c r="D2255">
        <v>17.233699999999999</v>
      </c>
      <c r="E2255">
        <v>17.854700000000001</v>
      </c>
      <c r="F2255">
        <v>16227</v>
      </c>
    </row>
    <row r="2256" spans="1:6" x14ac:dyDescent="0.25">
      <c r="A2256" s="4">
        <v>37617</v>
      </c>
      <c r="B2256">
        <v>17.8935</v>
      </c>
      <c r="C2256">
        <v>17.8935</v>
      </c>
      <c r="D2256">
        <v>17.505400000000002</v>
      </c>
      <c r="E2256">
        <v>17.660599999999999</v>
      </c>
      <c r="F2256">
        <v>18675</v>
      </c>
    </row>
    <row r="2257" spans="1:6" x14ac:dyDescent="0.25">
      <c r="A2257" s="4">
        <v>37620</v>
      </c>
      <c r="B2257">
        <v>17.4665</v>
      </c>
      <c r="C2257">
        <v>17.4665</v>
      </c>
      <c r="D2257">
        <v>16.729099999999999</v>
      </c>
      <c r="E2257">
        <v>16.767900000000001</v>
      </c>
      <c r="F2257">
        <v>32167</v>
      </c>
    </row>
    <row r="2258" spans="1:6" x14ac:dyDescent="0.25">
      <c r="A2258" s="4">
        <v>37621</v>
      </c>
      <c r="B2258">
        <v>16.496200000000002</v>
      </c>
      <c r="C2258">
        <v>16.767900000000001</v>
      </c>
      <c r="D2258">
        <v>16.496200000000002</v>
      </c>
      <c r="E2258">
        <v>16.535</v>
      </c>
      <c r="F2258">
        <v>19137</v>
      </c>
    </row>
    <row r="2259" spans="1:6" x14ac:dyDescent="0.25">
      <c r="A2259" s="4">
        <v>37623</v>
      </c>
      <c r="B2259">
        <v>16.690300000000001</v>
      </c>
      <c r="C2259">
        <v>16.845500000000001</v>
      </c>
      <c r="D2259">
        <v>16.4574</v>
      </c>
      <c r="E2259">
        <v>16.496200000000002</v>
      </c>
      <c r="F2259">
        <v>20354</v>
      </c>
    </row>
    <row r="2260" spans="1:6" x14ac:dyDescent="0.25">
      <c r="A2260" s="4">
        <v>37624</v>
      </c>
      <c r="B2260">
        <v>17.078399999999998</v>
      </c>
      <c r="C2260">
        <v>17.4665</v>
      </c>
      <c r="D2260">
        <v>16.923100000000002</v>
      </c>
      <c r="E2260">
        <v>17.3889</v>
      </c>
      <c r="F2260">
        <v>35763</v>
      </c>
    </row>
    <row r="2261" spans="1:6" x14ac:dyDescent="0.25">
      <c r="A2261" s="4">
        <v>37627</v>
      </c>
      <c r="B2261">
        <v>17.3889</v>
      </c>
      <c r="C2261">
        <v>17.738299999999999</v>
      </c>
      <c r="D2261">
        <v>17.233699999999999</v>
      </c>
      <c r="E2261">
        <v>17.3889</v>
      </c>
      <c r="F2261">
        <v>33416</v>
      </c>
    </row>
    <row r="2262" spans="1:6" x14ac:dyDescent="0.25">
      <c r="A2262" s="4">
        <v>37628</v>
      </c>
      <c r="B2262">
        <v>17.738299999999999</v>
      </c>
      <c r="C2262">
        <v>18.204000000000001</v>
      </c>
      <c r="D2262">
        <v>17.6218</v>
      </c>
      <c r="E2262">
        <v>17.6218</v>
      </c>
      <c r="F2262">
        <v>41965</v>
      </c>
    </row>
    <row r="2263" spans="1:6" x14ac:dyDescent="0.25">
      <c r="A2263" s="4">
        <v>37629</v>
      </c>
      <c r="B2263">
        <v>17.660599999999999</v>
      </c>
      <c r="C2263">
        <v>18.398099999999999</v>
      </c>
      <c r="D2263">
        <v>17.6218</v>
      </c>
      <c r="E2263">
        <v>18.0488</v>
      </c>
      <c r="F2263">
        <v>45846</v>
      </c>
    </row>
    <row r="2264" spans="1:6" x14ac:dyDescent="0.25">
      <c r="A2264" s="4">
        <v>37630</v>
      </c>
      <c r="B2264">
        <v>17.854700000000001</v>
      </c>
      <c r="C2264">
        <v>18.010000000000002</v>
      </c>
      <c r="D2264">
        <v>17.660599999999999</v>
      </c>
      <c r="E2264">
        <v>17.854700000000001</v>
      </c>
      <c r="F2264">
        <v>33293</v>
      </c>
    </row>
    <row r="2265" spans="1:6" x14ac:dyDescent="0.25">
      <c r="A2265" s="4">
        <v>37631</v>
      </c>
      <c r="B2265">
        <v>18.320499999999999</v>
      </c>
      <c r="C2265">
        <v>18.359300000000001</v>
      </c>
      <c r="D2265">
        <v>18.204000000000001</v>
      </c>
      <c r="E2265">
        <v>18.320499999999999</v>
      </c>
      <c r="F2265">
        <v>38801</v>
      </c>
    </row>
    <row r="2266" spans="1:6" x14ac:dyDescent="0.25">
      <c r="A2266" s="4">
        <v>37634</v>
      </c>
      <c r="B2266">
        <v>18.631</v>
      </c>
      <c r="C2266">
        <v>19.601299999999998</v>
      </c>
      <c r="D2266">
        <v>18.631</v>
      </c>
      <c r="E2266">
        <v>19.601299999999998</v>
      </c>
      <c r="F2266">
        <v>93368</v>
      </c>
    </row>
    <row r="2267" spans="1:6" x14ac:dyDescent="0.25">
      <c r="A2267" s="4">
        <v>37635</v>
      </c>
      <c r="B2267">
        <v>19.795400000000001</v>
      </c>
      <c r="C2267">
        <v>19.795400000000001</v>
      </c>
      <c r="D2267">
        <v>19.407299999999999</v>
      </c>
      <c r="E2267">
        <v>19.601299999999998</v>
      </c>
      <c r="F2267">
        <v>65563</v>
      </c>
    </row>
    <row r="2268" spans="1:6" x14ac:dyDescent="0.25">
      <c r="A2268" s="4">
        <v>37636</v>
      </c>
      <c r="B2268">
        <v>19.601299999999998</v>
      </c>
      <c r="C2268">
        <v>19.795400000000001</v>
      </c>
      <c r="D2268">
        <v>19.251999999999999</v>
      </c>
      <c r="E2268">
        <v>19.601299999999998</v>
      </c>
      <c r="F2268">
        <v>59136</v>
      </c>
    </row>
    <row r="2269" spans="1:6" x14ac:dyDescent="0.25">
      <c r="A2269" s="4">
        <v>37637</v>
      </c>
      <c r="B2269">
        <v>19.601299999999998</v>
      </c>
      <c r="C2269">
        <v>19.601299999999998</v>
      </c>
      <c r="D2269">
        <v>18.863900000000001</v>
      </c>
      <c r="E2269">
        <v>18.863900000000001</v>
      </c>
      <c r="F2269">
        <v>40224</v>
      </c>
    </row>
    <row r="2270" spans="1:6" x14ac:dyDescent="0.25">
      <c r="A2270" s="4">
        <v>37638</v>
      </c>
      <c r="B2270">
        <v>18.631</v>
      </c>
      <c r="C2270">
        <v>19.096800000000002</v>
      </c>
      <c r="D2270">
        <v>18.436900000000001</v>
      </c>
      <c r="E2270">
        <v>18.941500000000001</v>
      </c>
      <c r="F2270">
        <v>53184</v>
      </c>
    </row>
    <row r="2271" spans="1:6" x14ac:dyDescent="0.25">
      <c r="A2271" s="4">
        <v>37641</v>
      </c>
      <c r="B2271">
        <v>18.4757</v>
      </c>
      <c r="C2271">
        <v>18.631</v>
      </c>
      <c r="D2271">
        <v>18.242799999999999</v>
      </c>
      <c r="E2271">
        <v>18.592199999999998</v>
      </c>
      <c r="F2271">
        <v>42925</v>
      </c>
    </row>
    <row r="2272" spans="1:6" x14ac:dyDescent="0.25">
      <c r="A2272" s="4">
        <v>37642</v>
      </c>
      <c r="B2272">
        <v>18.592199999999998</v>
      </c>
      <c r="C2272">
        <v>18.825099999999999</v>
      </c>
      <c r="D2272">
        <v>18.436900000000001</v>
      </c>
      <c r="E2272">
        <v>18.4757</v>
      </c>
      <c r="F2272">
        <v>37596</v>
      </c>
    </row>
    <row r="2273" spans="1:6" x14ac:dyDescent="0.25">
      <c r="A2273" s="4">
        <v>37643</v>
      </c>
      <c r="B2273">
        <v>18.4757</v>
      </c>
      <c r="C2273">
        <v>18.631</v>
      </c>
      <c r="D2273">
        <v>18.204000000000001</v>
      </c>
      <c r="E2273">
        <v>18.5534</v>
      </c>
      <c r="F2273">
        <v>26806</v>
      </c>
    </row>
    <row r="2274" spans="1:6" x14ac:dyDescent="0.25">
      <c r="A2274" s="4">
        <v>37644</v>
      </c>
      <c r="B2274">
        <v>18.941500000000001</v>
      </c>
      <c r="C2274">
        <v>19.795400000000001</v>
      </c>
      <c r="D2274">
        <v>18.941500000000001</v>
      </c>
      <c r="E2274">
        <v>19.601299999999998</v>
      </c>
      <c r="F2274">
        <v>68014</v>
      </c>
    </row>
    <row r="2275" spans="1:6" x14ac:dyDescent="0.25">
      <c r="A2275" s="4">
        <v>37645</v>
      </c>
      <c r="B2275">
        <v>19.795400000000001</v>
      </c>
      <c r="C2275">
        <v>19.9895</v>
      </c>
      <c r="D2275">
        <v>19.0579</v>
      </c>
      <c r="E2275">
        <v>19.174399999999999</v>
      </c>
      <c r="F2275">
        <v>51896</v>
      </c>
    </row>
    <row r="2276" spans="1:6" x14ac:dyDescent="0.25">
      <c r="A2276" s="4">
        <v>37648</v>
      </c>
      <c r="B2276">
        <v>18.902699999999999</v>
      </c>
      <c r="C2276">
        <v>18.9803</v>
      </c>
      <c r="D2276">
        <v>18.669799999999999</v>
      </c>
      <c r="E2276">
        <v>18.9803</v>
      </c>
      <c r="F2276">
        <v>35023</v>
      </c>
    </row>
    <row r="2277" spans="1:6" x14ac:dyDescent="0.25">
      <c r="A2277" s="4">
        <v>37649</v>
      </c>
      <c r="B2277">
        <v>17.932300000000001</v>
      </c>
      <c r="C2277">
        <v>18.786200000000001</v>
      </c>
      <c r="D2277">
        <v>17.854700000000001</v>
      </c>
      <c r="E2277">
        <v>18.514500000000002</v>
      </c>
      <c r="F2277">
        <v>50710</v>
      </c>
    </row>
    <row r="2278" spans="1:6" x14ac:dyDescent="0.25">
      <c r="A2278" s="4">
        <v>37658</v>
      </c>
      <c r="B2278">
        <v>17.272500000000001</v>
      </c>
      <c r="C2278">
        <v>17.4665</v>
      </c>
      <c r="D2278">
        <v>17.233699999999999</v>
      </c>
      <c r="E2278">
        <v>17.233699999999999</v>
      </c>
      <c r="F2278">
        <v>53265</v>
      </c>
    </row>
    <row r="2279" spans="1:6" x14ac:dyDescent="0.25">
      <c r="A2279" s="4">
        <v>37659</v>
      </c>
      <c r="B2279">
        <v>16.0304</v>
      </c>
      <c r="C2279">
        <v>16.573799999999999</v>
      </c>
      <c r="D2279">
        <v>16.0304</v>
      </c>
      <c r="E2279">
        <v>16.302099999999999</v>
      </c>
      <c r="F2279">
        <v>106407</v>
      </c>
    </row>
    <row r="2280" spans="1:6" x14ac:dyDescent="0.25">
      <c r="A2280" s="4">
        <v>37662</v>
      </c>
      <c r="B2280">
        <v>16.0304</v>
      </c>
      <c r="C2280">
        <v>16.0304</v>
      </c>
      <c r="D2280">
        <v>15.719900000000001</v>
      </c>
      <c r="E2280">
        <v>15.797499999999999</v>
      </c>
      <c r="F2280">
        <v>58773</v>
      </c>
    </row>
    <row r="2281" spans="1:6" x14ac:dyDescent="0.25">
      <c r="A2281" s="4">
        <v>37663</v>
      </c>
      <c r="B2281">
        <v>16.0304</v>
      </c>
      <c r="C2281">
        <v>16.302099999999999</v>
      </c>
      <c r="D2281">
        <v>15.9916</v>
      </c>
      <c r="E2281">
        <v>16.108000000000001</v>
      </c>
      <c r="F2281">
        <v>40025</v>
      </c>
    </row>
    <row r="2282" spans="1:6" x14ac:dyDescent="0.25">
      <c r="A2282" s="4">
        <v>37664</v>
      </c>
      <c r="B2282">
        <v>15.8752</v>
      </c>
      <c r="C2282">
        <v>15.9916</v>
      </c>
      <c r="D2282">
        <v>15.5646</v>
      </c>
      <c r="E2282">
        <v>15.681100000000001</v>
      </c>
      <c r="F2282">
        <v>49006</v>
      </c>
    </row>
    <row r="2283" spans="1:6" x14ac:dyDescent="0.25">
      <c r="A2283" s="4">
        <v>37665</v>
      </c>
      <c r="B2283">
        <v>15.681100000000001</v>
      </c>
      <c r="C2283">
        <v>15.9528</v>
      </c>
      <c r="D2283">
        <v>15.6035</v>
      </c>
      <c r="E2283">
        <v>15.6035</v>
      </c>
      <c r="F2283">
        <v>39758</v>
      </c>
    </row>
    <row r="2284" spans="1:6" x14ac:dyDescent="0.25">
      <c r="A2284" s="4">
        <v>37666</v>
      </c>
      <c r="B2284">
        <v>15.9528</v>
      </c>
      <c r="C2284">
        <v>16.0304</v>
      </c>
      <c r="D2284">
        <v>15.758699999999999</v>
      </c>
      <c r="E2284">
        <v>15.914</v>
      </c>
      <c r="F2284">
        <v>48911</v>
      </c>
    </row>
    <row r="2285" spans="1:6" x14ac:dyDescent="0.25">
      <c r="A2285" s="4">
        <v>37669</v>
      </c>
      <c r="B2285">
        <v>17.000800000000002</v>
      </c>
      <c r="C2285">
        <v>17.000800000000002</v>
      </c>
      <c r="D2285">
        <v>16.6126</v>
      </c>
      <c r="E2285">
        <v>17.000800000000002</v>
      </c>
      <c r="F2285">
        <v>52499</v>
      </c>
    </row>
    <row r="2286" spans="1:6" x14ac:dyDescent="0.25">
      <c r="A2286" s="4">
        <v>37670</v>
      </c>
      <c r="B2286">
        <v>17.000800000000002</v>
      </c>
      <c r="C2286">
        <v>17.000800000000002</v>
      </c>
      <c r="D2286">
        <v>16.6126</v>
      </c>
      <c r="E2286">
        <v>16.651399999999999</v>
      </c>
      <c r="F2286">
        <v>28993</v>
      </c>
    </row>
    <row r="2287" spans="1:6" x14ac:dyDescent="0.25">
      <c r="A2287" s="4">
        <v>37671</v>
      </c>
      <c r="B2287">
        <v>17.0396</v>
      </c>
      <c r="C2287">
        <v>17.0396</v>
      </c>
      <c r="D2287">
        <v>16.690300000000001</v>
      </c>
      <c r="E2287">
        <v>16.690300000000001</v>
      </c>
      <c r="F2287">
        <v>47043</v>
      </c>
    </row>
    <row r="2288" spans="1:6" x14ac:dyDescent="0.25">
      <c r="A2288" s="4">
        <v>37672</v>
      </c>
      <c r="B2288">
        <v>16.690300000000001</v>
      </c>
      <c r="C2288">
        <v>17.155999999999999</v>
      </c>
      <c r="D2288">
        <v>16.6126</v>
      </c>
      <c r="E2288">
        <v>17.1172</v>
      </c>
      <c r="F2288">
        <v>48316</v>
      </c>
    </row>
    <row r="2289" spans="1:6" x14ac:dyDescent="0.25">
      <c r="A2289" s="4">
        <v>37673</v>
      </c>
      <c r="B2289">
        <v>17.4665</v>
      </c>
      <c r="C2289">
        <v>17.815899999999999</v>
      </c>
      <c r="D2289">
        <v>17.350100000000001</v>
      </c>
      <c r="E2289">
        <v>17.427700000000002</v>
      </c>
      <c r="F2289">
        <v>63293</v>
      </c>
    </row>
    <row r="2290" spans="1:6" x14ac:dyDescent="0.25">
      <c r="A2290" s="4">
        <v>37676</v>
      </c>
      <c r="B2290">
        <v>17.5442</v>
      </c>
      <c r="C2290">
        <v>17.660599999999999</v>
      </c>
      <c r="D2290">
        <v>17.272500000000001</v>
      </c>
      <c r="E2290">
        <v>17.582999999999998</v>
      </c>
      <c r="F2290">
        <v>33162</v>
      </c>
    </row>
    <row r="2291" spans="1:6" x14ac:dyDescent="0.25">
      <c r="A2291" s="4">
        <v>37677</v>
      </c>
      <c r="B2291">
        <v>17.4665</v>
      </c>
      <c r="C2291">
        <v>17.4665</v>
      </c>
      <c r="D2291">
        <v>16.690300000000001</v>
      </c>
      <c r="E2291">
        <v>16.690300000000001</v>
      </c>
      <c r="F2291">
        <v>43434</v>
      </c>
    </row>
    <row r="2292" spans="1:6" x14ac:dyDescent="0.25">
      <c r="A2292" s="4">
        <v>37678</v>
      </c>
      <c r="B2292">
        <v>16.767900000000001</v>
      </c>
      <c r="C2292">
        <v>16.962</v>
      </c>
      <c r="D2292">
        <v>16.573799999999999</v>
      </c>
      <c r="E2292">
        <v>16.6126</v>
      </c>
      <c r="F2292">
        <v>33067</v>
      </c>
    </row>
    <row r="2293" spans="1:6" x14ac:dyDescent="0.25">
      <c r="A2293" s="4">
        <v>37679</v>
      </c>
      <c r="B2293">
        <v>16.340900000000001</v>
      </c>
      <c r="C2293">
        <v>16.6126</v>
      </c>
      <c r="D2293">
        <v>16.108000000000001</v>
      </c>
      <c r="E2293">
        <v>16.302099999999999</v>
      </c>
      <c r="F2293">
        <v>31212</v>
      </c>
    </row>
    <row r="2294" spans="1:6" x14ac:dyDescent="0.25">
      <c r="A2294" s="4">
        <v>37683</v>
      </c>
      <c r="B2294">
        <v>16.651399999999999</v>
      </c>
      <c r="C2294">
        <v>17.194800000000001</v>
      </c>
      <c r="D2294">
        <v>16.535</v>
      </c>
      <c r="E2294">
        <v>17.078399999999998</v>
      </c>
      <c r="F2294">
        <v>32787</v>
      </c>
    </row>
    <row r="2295" spans="1:6" x14ac:dyDescent="0.25">
      <c r="A2295" s="4">
        <v>37684</v>
      </c>
      <c r="B2295">
        <v>16.767900000000001</v>
      </c>
      <c r="C2295">
        <v>16.845500000000001</v>
      </c>
      <c r="D2295">
        <v>16.6126</v>
      </c>
      <c r="E2295">
        <v>16.845500000000001</v>
      </c>
      <c r="F2295">
        <v>21881</v>
      </c>
    </row>
    <row r="2296" spans="1:6" x14ac:dyDescent="0.25">
      <c r="A2296" s="4">
        <v>37685</v>
      </c>
      <c r="B2296">
        <v>16.302099999999999</v>
      </c>
      <c r="C2296">
        <v>16.418600000000001</v>
      </c>
      <c r="D2296">
        <v>16.108000000000001</v>
      </c>
      <c r="E2296">
        <v>16.146899999999999</v>
      </c>
      <c r="F2296">
        <v>41456</v>
      </c>
    </row>
    <row r="2297" spans="1:6" x14ac:dyDescent="0.25">
      <c r="A2297" s="4">
        <v>37686</v>
      </c>
      <c r="B2297">
        <v>16.146899999999999</v>
      </c>
      <c r="C2297">
        <v>16.263300000000001</v>
      </c>
      <c r="D2297">
        <v>16.0304</v>
      </c>
      <c r="E2297">
        <v>16.069199999999999</v>
      </c>
      <c r="F2297">
        <v>26241</v>
      </c>
    </row>
    <row r="2298" spans="1:6" x14ac:dyDescent="0.25">
      <c r="A2298" s="4">
        <v>37687</v>
      </c>
      <c r="B2298">
        <v>15.9916</v>
      </c>
      <c r="C2298">
        <v>16.535</v>
      </c>
      <c r="D2298">
        <v>15.914</v>
      </c>
      <c r="E2298">
        <v>16.146899999999999</v>
      </c>
      <c r="F2298">
        <v>33000</v>
      </c>
    </row>
    <row r="2299" spans="1:6" x14ac:dyDescent="0.25">
      <c r="A2299" s="4">
        <v>37690</v>
      </c>
      <c r="B2299">
        <v>16.418600000000001</v>
      </c>
      <c r="C2299">
        <v>16.651399999999999</v>
      </c>
      <c r="D2299">
        <v>16.302099999999999</v>
      </c>
      <c r="E2299">
        <v>16.535</v>
      </c>
      <c r="F2299">
        <v>36707</v>
      </c>
    </row>
    <row r="2300" spans="1:6" x14ac:dyDescent="0.25">
      <c r="A2300" s="4">
        <v>37691</v>
      </c>
      <c r="B2300">
        <v>16.302099999999999</v>
      </c>
      <c r="C2300">
        <v>16.806699999999999</v>
      </c>
      <c r="D2300">
        <v>16.302099999999999</v>
      </c>
      <c r="E2300">
        <v>16.496200000000002</v>
      </c>
      <c r="F2300">
        <v>31436</v>
      </c>
    </row>
    <row r="2301" spans="1:6" x14ac:dyDescent="0.25">
      <c r="A2301" s="4">
        <v>37692</v>
      </c>
      <c r="B2301">
        <v>16.535</v>
      </c>
      <c r="C2301">
        <v>16.690300000000001</v>
      </c>
      <c r="D2301">
        <v>16.496200000000002</v>
      </c>
      <c r="E2301">
        <v>16.690300000000001</v>
      </c>
      <c r="F2301">
        <v>21770</v>
      </c>
    </row>
    <row r="2302" spans="1:6" x14ac:dyDescent="0.25">
      <c r="A2302" s="4">
        <v>37693</v>
      </c>
      <c r="B2302">
        <v>16.690300000000001</v>
      </c>
      <c r="C2302">
        <v>17.233699999999999</v>
      </c>
      <c r="D2302">
        <v>16.6126</v>
      </c>
      <c r="E2302">
        <v>17.1172</v>
      </c>
      <c r="F2302">
        <v>46578</v>
      </c>
    </row>
    <row r="2303" spans="1:6" x14ac:dyDescent="0.25">
      <c r="A2303" s="4">
        <v>37694</v>
      </c>
      <c r="B2303">
        <v>18.165199999999999</v>
      </c>
      <c r="C2303">
        <v>18.165199999999999</v>
      </c>
      <c r="D2303">
        <v>17.582999999999998</v>
      </c>
      <c r="E2303">
        <v>17.660599999999999</v>
      </c>
      <c r="F2303">
        <v>102607</v>
      </c>
    </row>
    <row r="2304" spans="1:6" x14ac:dyDescent="0.25">
      <c r="A2304" s="4">
        <v>37697</v>
      </c>
      <c r="B2304">
        <v>17.4665</v>
      </c>
      <c r="C2304">
        <v>17.5442</v>
      </c>
      <c r="D2304">
        <v>17.078399999999998</v>
      </c>
      <c r="E2304">
        <v>17.078399999999998</v>
      </c>
      <c r="F2304">
        <v>41042</v>
      </c>
    </row>
    <row r="2305" spans="1:6" x14ac:dyDescent="0.25">
      <c r="A2305" s="4">
        <v>37698</v>
      </c>
      <c r="B2305">
        <v>18.010000000000002</v>
      </c>
      <c r="C2305">
        <v>18.242799999999999</v>
      </c>
      <c r="D2305">
        <v>17.854700000000001</v>
      </c>
      <c r="E2305">
        <v>18.242799999999999</v>
      </c>
      <c r="F2305">
        <v>96150</v>
      </c>
    </row>
    <row r="2306" spans="1:6" x14ac:dyDescent="0.25">
      <c r="A2306" s="4">
        <v>37699</v>
      </c>
      <c r="B2306">
        <v>18.398099999999999</v>
      </c>
      <c r="C2306">
        <v>18.708600000000001</v>
      </c>
      <c r="D2306">
        <v>18.242799999999999</v>
      </c>
      <c r="E2306">
        <v>18.592199999999998</v>
      </c>
      <c r="F2306">
        <v>85270</v>
      </c>
    </row>
    <row r="2307" spans="1:6" x14ac:dyDescent="0.25">
      <c r="A2307" s="4">
        <v>37700</v>
      </c>
      <c r="B2307">
        <v>19.019100000000002</v>
      </c>
      <c r="C2307">
        <v>19.290800000000001</v>
      </c>
      <c r="D2307">
        <v>18.631</v>
      </c>
      <c r="E2307">
        <v>18.863900000000001</v>
      </c>
      <c r="F2307">
        <v>97633</v>
      </c>
    </row>
    <row r="2308" spans="1:6" x14ac:dyDescent="0.25">
      <c r="A2308" s="4">
        <v>37701</v>
      </c>
      <c r="B2308">
        <v>18.941500000000001</v>
      </c>
      <c r="C2308">
        <v>18.941500000000001</v>
      </c>
      <c r="D2308">
        <v>18.592199999999998</v>
      </c>
      <c r="E2308">
        <v>18.825099999999999</v>
      </c>
      <c r="F2308">
        <v>37840</v>
      </c>
    </row>
    <row r="2309" spans="1:6" x14ac:dyDescent="0.25">
      <c r="A2309" s="4">
        <v>37704</v>
      </c>
      <c r="B2309">
        <v>18.9803</v>
      </c>
      <c r="C2309">
        <v>19.019100000000002</v>
      </c>
      <c r="D2309">
        <v>18.747399999999999</v>
      </c>
      <c r="E2309">
        <v>18.825099999999999</v>
      </c>
      <c r="F2309">
        <v>38607</v>
      </c>
    </row>
    <row r="2310" spans="1:6" x14ac:dyDescent="0.25">
      <c r="A2310" s="4">
        <v>37705</v>
      </c>
      <c r="B2310">
        <v>18.242799999999999</v>
      </c>
      <c r="C2310">
        <v>18.359300000000001</v>
      </c>
      <c r="D2310">
        <v>17.9711</v>
      </c>
      <c r="E2310">
        <v>18.087599999999998</v>
      </c>
      <c r="F2310">
        <v>44257</v>
      </c>
    </row>
    <row r="2311" spans="1:6" x14ac:dyDescent="0.25">
      <c r="A2311" s="4">
        <v>37706</v>
      </c>
      <c r="B2311">
        <v>18.320499999999999</v>
      </c>
      <c r="C2311">
        <v>18.4757</v>
      </c>
      <c r="D2311">
        <v>18.242799999999999</v>
      </c>
      <c r="E2311">
        <v>18.242799999999999</v>
      </c>
      <c r="F2311">
        <v>45403</v>
      </c>
    </row>
    <row r="2312" spans="1:6" x14ac:dyDescent="0.25">
      <c r="A2312" s="4">
        <v>37707</v>
      </c>
      <c r="B2312">
        <v>17.4665</v>
      </c>
      <c r="C2312">
        <v>17.699400000000001</v>
      </c>
      <c r="D2312">
        <v>17.078399999999998</v>
      </c>
      <c r="E2312">
        <v>17.427700000000002</v>
      </c>
      <c r="F2312">
        <v>103668</v>
      </c>
    </row>
    <row r="2313" spans="1:6" x14ac:dyDescent="0.25">
      <c r="A2313" s="4">
        <v>37708</v>
      </c>
      <c r="B2313">
        <v>17.350100000000001</v>
      </c>
      <c r="C2313">
        <v>17.4665</v>
      </c>
      <c r="D2313">
        <v>16.8843</v>
      </c>
      <c r="E2313">
        <v>17.233699999999999</v>
      </c>
      <c r="F2313">
        <v>56730</v>
      </c>
    </row>
    <row r="2314" spans="1:6" x14ac:dyDescent="0.25">
      <c r="A2314" s="4">
        <v>37711</v>
      </c>
      <c r="B2314">
        <v>16.8843</v>
      </c>
      <c r="C2314">
        <v>17.000800000000002</v>
      </c>
      <c r="D2314">
        <v>16.340900000000001</v>
      </c>
      <c r="E2314">
        <v>16.418600000000001</v>
      </c>
      <c r="F2314">
        <v>52742</v>
      </c>
    </row>
    <row r="2315" spans="1:6" x14ac:dyDescent="0.25">
      <c r="A2315" s="4">
        <v>37712</v>
      </c>
      <c r="B2315">
        <v>16.108000000000001</v>
      </c>
      <c r="C2315">
        <v>16.3797</v>
      </c>
      <c r="D2315">
        <v>16.069199999999999</v>
      </c>
      <c r="E2315">
        <v>16.3797</v>
      </c>
      <c r="F2315">
        <v>57908</v>
      </c>
    </row>
    <row r="2316" spans="1:6" x14ac:dyDescent="0.25">
      <c r="A2316" s="4">
        <v>37713</v>
      </c>
      <c r="B2316">
        <v>16.496200000000002</v>
      </c>
      <c r="C2316">
        <v>16.767900000000001</v>
      </c>
      <c r="D2316">
        <v>16.302099999999999</v>
      </c>
      <c r="E2316">
        <v>16.6126</v>
      </c>
      <c r="F2316">
        <v>30968</v>
      </c>
    </row>
    <row r="2317" spans="1:6" x14ac:dyDescent="0.25">
      <c r="A2317" s="4">
        <v>37714</v>
      </c>
      <c r="B2317">
        <v>17.272500000000001</v>
      </c>
      <c r="C2317">
        <v>17.3889</v>
      </c>
      <c r="D2317">
        <v>16.962</v>
      </c>
      <c r="E2317">
        <v>17.0396</v>
      </c>
      <c r="F2317">
        <v>56514</v>
      </c>
    </row>
    <row r="2318" spans="1:6" x14ac:dyDescent="0.25">
      <c r="A2318" s="4">
        <v>37715</v>
      </c>
      <c r="B2318">
        <v>17.0396</v>
      </c>
      <c r="C2318">
        <v>17.6218</v>
      </c>
      <c r="D2318">
        <v>16.923100000000002</v>
      </c>
      <c r="E2318">
        <v>17.5442</v>
      </c>
      <c r="F2318">
        <v>51124</v>
      </c>
    </row>
    <row r="2319" spans="1:6" x14ac:dyDescent="0.25">
      <c r="A2319" s="4">
        <v>37718</v>
      </c>
      <c r="B2319">
        <v>17.582999999999998</v>
      </c>
      <c r="C2319">
        <v>18.0488</v>
      </c>
      <c r="D2319">
        <v>17.427700000000002</v>
      </c>
      <c r="E2319">
        <v>17.932300000000001</v>
      </c>
      <c r="F2319">
        <v>54315</v>
      </c>
    </row>
    <row r="2320" spans="1:6" x14ac:dyDescent="0.25">
      <c r="A2320" s="4">
        <v>37719</v>
      </c>
      <c r="B2320">
        <v>17.854700000000001</v>
      </c>
      <c r="C2320">
        <v>18.0488</v>
      </c>
      <c r="D2320">
        <v>17.699400000000001</v>
      </c>
      <c r="E2320">
        <v>17.738299999999999</v>
      </c>
      <c r="F2320">
        <v>43103</v>
      </c>
    </row>
    <row r="2321" spans="1:6" x14ac:dyDescent="0.25">
      <c r="A2321" s="4">
        <v>37720</v>
      </c>
      <c r="B2321">
        <v>17.505400000000002</v>
      </c>
      <c r="C2321">
        <v>17.582999999999998</v>
      </c>
      <c r="D2321">
        <v>17.311299999999999</v>
      </c>
      <c r="E2321">
        <v>17.3889</v>
      </c>
      <c r="F2321">
        <v>33243</v>
      </c>
    </row>
    <row r="2322" spans="1:6" x14ac:dyDescent="0.25">
      <c r="A2322" s="4">
        <v>37721</v>
      </c>
      <c r="B2322">
        <v>17.350100000000001</v>
      </c>
      <c r="C2322">
        <v>17.582999999999998</v>
      </c>
      <c r="D2322">
        <v>17.194800000000001</v>
      </c>
      <c r="E2322">
        <v>17.272500000000001</v>
      </c>
      <c r="F2322">
        <v>33523</v>
      </c>
    </row>
    <row r="2323" spans="1:6" x14ac:dyDescent="0.25">
      <c r="A2323" s="4">
        <v>37722</v>
      </c>
      <c r="B2323">
        <v>17.311299999999999</v>
      </c>
      <c r="C2323">
        <v>17.427700000000002</v>
      </c>
      <c r="D2323">
        <v>17.233699999999999</v>
      </c>
      <c r="E2323">
        <v>17.3889</v>
      </c>
      <c r="F2323">
        <v>16690</v>
      </c>
    </row>
    <row r="2324" spans="1:6" x14ac:dyDescent="0.25">
      <c r="A2324" s="4">
        <v>37725</v>
      </c>
      <c r="B2324">
        <v>17.3889</v>
      </c>
      <c r="C2324">
        <v>17.582999999999998</v>
      </c>
      <c r="D2324">
        <v>16.923100000000002</v>
      </c>
      <c r="E2324">
        <v>16.923100000000002</v>
      </c>
      <c r="F2324">
        <v>26476</v>
      </c>
    </row>
    <row r="2325" spans="1:6" x14ac:dyDescent="0.25">
      <c r="A2325" s="4">
        <v>37726</v>
      </c>
      <c r="B2325">
        <v>17.233699999999999</v>
      </c>
      <c r="C2325">
        <v>17.350100000000001</v>
      </c>
      <c r="D2325">
        <v>17.0396</v>
      </c>
      <c r="E2325">
        <v>17.350100000000001</v>
      </c>
      <c r="F2325">
        <v>27462</v>
      </c>
    </row>
    <row r="2326" spans="1:6" x14ac:dyDescent="0.25">
      <c r="A2326" s="4">
        <v>37727</v>
      </c>
      <c r="B2326">
        <v>17.738299999999999</v>
      </c>
      <c r="C2326">
        <v>18.242799999999999</v>
      </c>
      <c r="D2326">
        <v>17.738299999999999</v>
      </c>
      <c r="E2326">
        <v>18.204000000000001</v>
      </c>
      <c r="F2326">
        <v>88094</v>
      </c>
    </row>
    <row r="2327" spans="1:6" x14ac:dyDescent="0.25">
      <c r="A2327" s="4">
        <v>37728</v>
      </c>
      <c r="B2327">
        <v>18.204000000000001</v>
      </c>
      <c r="C2327">
        <v>18.242799999999999</v>
      </c>
      <c r="D2327">
        <v>17.777100000000001</v>
      </c>
      <c r="E2327">
        <v>17.777100000000001</v>
      </c>
      <c r="F2327">
        <v>57077</v>
      </c>
    </row>
    <row r="2328" spans="1:6" x14ac:dyDescent="0.25">
      <c r="A2328" s="4">
        <v>37729</v>
      </c>
      <c r="B2328">
        <v>18.320499999999999</v>
      </c>
      <c r="C2328">
        <v>18.592199999999998</v>
      </c>
      <c r="D2328">
        <v>18.281700000000001</v>
      </c>
      <c r="E2328">
        <v>18.436900000000001</v>
      </c>
      <c r="F2328">
        <v>74378</v>
      </c>
    </row>
    <row r="2329" spans="1:6" x14ac:dyDescent="0.25">
      <c r="A2329" s="4">
        <v>37732</v>
      </c>
      <c r="B2329">
        <v>18.436900000000001</v>
      </c>
      <c r="C2329">
        <v>18.747399999999999</v>
      </c>
      <c r="D2329">
        <v>18.242799999999999</v>
      </c>
      <c r="E2329">
        <v>18.747399999999999</v>
      </c>
      <c r="F2329">
        <v>37850</v>
      </c>
    </row>
    <row r="2330" spans="1:6" x14ac:dyDescent="0.25">
      <c r="A2330" s="4">
        <v>37733</v>
      </c>
      <c r="B2330">
        <v>18.592199999999998</v>
      </c>
      <c r="C2330">
        <v>18.592199999999998</v>
      </c>
      <c r="D2330">
        <v>18.165199999999999</v>
      </c>
      <c r="E2330">
        <v>18.242799999999999</v>
      </c>
      <c r="F2330">
        <v>54549</v>
      </c>
    </row>
    <row r="2331" spans="1:6" x14ac:dyDescent="0.25">
      <c r="A2331" s="4">
        <v>37734</v>
      </c>
      <c r="B2331">
        <v>18.592199999999998</v>
      </c>
      <c r="C2331">
        <v>18.786200000000001</v>
      </c>
      <c r="D2331">
        <v>18.4757</v>
      </c>
      <c r="E2331">
        <v>18.747399999999999</v>
      </c>
      <c r="F2331">
        <v>86013</v>
      </c>
    </row>
    <row r="2332" spans="1:6" x14ac:dyDescent="0.25">
      <c r="A2332" s="4">
        <v>37735</v>
      </c>
      <c r="B2332">
        <v>18.631</v>
      </c>
      <c r="C2332">
        <v>18.631</v>
      </c>
      <c r="D2332">
        <v>18.165199999999999</v>
      </c>
      <c r="E2332">
        <v>18.359300000000001</v>
      </c>
      <c r="F2332">
        <v>66854</v>
      </c>
    </row>
    <row r="2333" spans="1:6" x14ac:dyDescent="0.25">
      <c r="A2333" s="4">
        <v>37736</v>
      </c>
      <c r="B2333">
        <v>17.854700000000001</v>
      </c>
      <c r="C2333">
        <v>18.204000000000001</v>
      </c>
      <c r="D2333">
        <v>17.5442</v>
      </c>
      <c r="E2333">
        <v>17.660599999999999</v>
      </c>
      <c r="F2333">
        <v>57626</v>
      </c>
    </row>
    <row r="2334" spans="1:6" x14ac:dyDescent="0.25">
      <c r="A2334" s="4">
        <v>37739</v>
      </c>
      <c r="B2334">
        <v>17.1172</v>
      </c>
      <c r="C2334">
        <v>17.194800000000001</v>
      </c>
      <c r="D2334">
        <v>16.690300000000001</v>
      </c>
      <c r="E2334">
        <v>17.078399999999998</v>
      </c>
      <c r="F2334">
        <v>67093</v>
      </c>
    </row>
    <row r="2335" spans="1:6" x14ac:dyDescent="0.25">
      <c r="A2335" s="4">
        <v>37740</v>
      </c>
      <c r="B2335">
        <v>17.427700000000002</v>
      </c>
      <c r="C2335">
        <v>17.660599999999999</v>
      </c>
      <c r="D2335">
        <v>17.233699999999999</v>
      </c>
      <c r="E2335">
        <v>17.505400000000002</v>
      </c>
      <c r="F2335">
        <v>80862</v>
      </c>
    </row>
    <row r="2336" spans="1:6" x14ac:dyDescent="0.25">
      <c r="A2336" s="4">
        <v>37741</v>
      </c>
      <c r="B2336">
        <v>18.708600000000001</v>
      </c>
      <c r="C2336">
        <v>18.708600000000001</v>
      </c>
      <c r="D2336">
        <v>18.398099999999999</v>
      </c>
      <c r="E2336">
        <v>18.5534</v>
      </c>
      <c r="F2336">
        <v>162683</v>
      </c>
    </row>
    <row r="2337" spans="1:6" x14ac:dyDescent="0.25">
      <c r="A2337" s="4">
        <v>37743</v>
      </c>
      <c r="B2337">
        <v>18.514500000000002</v>
      </c>
      <c r="C2337">
        <v>18.786200000000001</v>
      </c>
      <c r="D2337">
        <v>18.514500000000002</v>
      </c>
      <c r="E2337">
        <v>18.747399999999999</v>
      </c>
      <c r="F2337">
        <v>56921</v>
      </c>
    </row>
    <row r="2338" spans="1:6" x14ac:dyDescent="0.25">
      <c r="A2338" s="4">
        <v>37746</v>
      </c>
      <c r="B2338">
        <v>18.825099999999999</v>
      </c>
      <c r="C2338">
        <v>19.019100000000002</v>
      </c>
      <c r="D2338">
        <v>18.747399999999999</v>
      </c>
      <c r="E2338">
        <v>18.825099999999999</v>
      </c>
      <c r="F2338">
        <v>62005</v>
      </c>
    </row>
    <row r="2339" spans="1:6" x14ac:dyDescent="0.25">
      <c r="A2339" s="4">
        <v>37747</v>
      </c>
      <c r="B2339">
        <v>18.825099999999999</v>
      </c>
      <c r="C2339">
        <v>18.9803</v>
      </c>
      <c r="D2339">
        <v>18.4757</v>
      </c>
      <c r="E2339">
        <v>18.5534</v>
      </c>
      <c r="F2339">
        <v>48281</v>
      </c>
    </row>
    <row r="2340" spans="1:6" x14ac:dyDescent="0.25">
      <c r="A2340" s="4">
        <v>37748</v>
      </c>
      <c r="B2340">
        <v>18.631</v>
      </c>
      <c r="C2340">
        <v>18.669799999999999</v>
      </c>
      <c r="D2340">
        <v>18.359300000000001</v>
      </c>
      <c r="E2340">
        <v>18.514500000000002</v>
      </c>
      <c r="F2340">
        <v>41495</v>
      </c>
    </row>
    <row r="2341" spans="1:6" x14ac:dyDescent="0.25">
      <c r="A2341" s="4">
        <v>37749</v>
      </c>
      <c r="B2341">
        <v>18.436900000000001</v>
      </c>
      <c r="C2341">
        <v>18.436900000000001</v>
      </c>
      <c r="D2341">
        <v>18.1264</v>
      </c>
      <c r="E2341">
        <v>18.1264</v>
      </c>
      <c r="F2341">
        <v>28918</v>
      </c>
    </row>
    <row r="2342" spans="1:6" x14ac:dyDescent="0.25">
      <c r="A2342" s="4">
        <v>37750</v>
      </c>
      <c r="B2342">
        <v>18.165199999999999</v>
      </c>
      <c r="C2342">
        <v>18.5534</v>
      </c>
      <c r="D2342">
        <v>18.165199999999999</v>
      </c>
      <c r="E2342">
        <v>18.436900000000001</v>
      </c>
      <c r="F2342">
        <v>32235</v>
      </c>
    </row>
    <row r="2343" spans="1:6" x14ac:dyDescent="0.25">
      <c r="A2343" s="4">
        <v>37753</v>
      </c>
      <c r="B2343">
        <v>18.708600000000001</v>
      </c>
      <c r="C2343">
        <v>18.863900000000001</v>
      </c>
      <c r="D2343">
        <v>18.631</v>
      </c>
      <c r="E2343">
        <v>18.747399999999999</v>
      </c>
      <c r="F2343">
        <v>52580</v>
      </c>
    </row>
    <row r="2344" spans="1:6" x14ac:dyDescent="0.25">
      <c r="A2344" s="4">
        <v>37754</v>
      </c>
      <c r="B2344">
        <v>19.096800000000002</v>
      </c>
      <c r="C2344">
        <v>19.329599999999999</v>
      </c>
      <c r="D2344">
        <v>19.019100000000002</v>
      </c>
      <c r="E2344">
        <v>19.096800000000002</v>
      </c>
      <c r="F2344">
        <v>53341</v>
      </c>
    </row>
    <row r="2345" spans="1:6" x14ac:dyDescent="0.25">
      <c r="A2345" s="4">
        <v>37755</v>
      </c>
      <c r="B2345">
        <v>19.019100000000002</v>
      </c>
      <c r="C2345">
        <v>19.096800000000002</v>
      </c>
      <c r="D2345">
        <v>18.941500000000001</v>
      </c>
      <c r="E2345">
        <v>19.096800000000002</v>
      </c>
      <c r="F2345">
        <v>41687</v>
      </c>
    </row>
    <row r="2346" spans="1:6" x14ac:dyDescent="0.25">
      <c r="A2346" s="4">
        <v>37756</v>
      </c>
      <c r="B2346">
        <v>19.096800000000002</v>
      </c>
      <c r="C2346">
        <v>19.213200000000001</v>
      </c>
      <c r="D2346">
        <v>18.941500000000001</v>
      </c>
      <c r="E2346">
        <v>19.213200000000001</v>
      </c>
      <c r="F2346">
        <v>33622</v>
      </c>
    </row>
    <row r="2347" spans="1:6" x14ac:dyDescent="0.25">
      <c r="A2347" s="4">
        <v>37757</v>
      </c>
      <c r="B2347">
        <v>19.329599999999999</v>
      </c>
      <c r="C2347">
        <v>19.407299999999999</v>
      </c>
      <c r="D2347">
        <v>18.941500000000001</v>
      </c>
      <c r="E2347">
        <v>18.941500000000001</v>
      </c>
      <c r="F2347">
        <v>45599</v>
      </c>
    </row>
    <row r="2348" spans="1:6" x14ac:dyDescent="0.25">
      <c r="A2348" s="4">
        <v>37760</v>
      </c>
      <c r="B2348">
        <v>18.941500000000001</v>
      </c>
      <c r="C2348">
        <v>19.0579</v>
      </c>
      <c r="D2348">
        <v>18.708600000000001</v>
      </c>
      <c r="E2348">
        <v>18.9803</v>
      </c>
      <c r="F2348">
        <v>33331</v>
      </c>
    </row>
    <row r="2349" spans="1:6" x14ac:dyDescent="0.25">
      <c r="A2349" s="4">
        <v>37761</v>
      </c>
      <c r="B2349">
        <v>18.5534</v>
      </c>
      <c r="C2349">
        <v>18.747399999999999</v>
      </c>
      <c r="D2349">
        <v>18.4757</v>
      </c>
      <c r="E2349">
        <v>18.631</v>
      </c>
      <c r="F2349">
        <v>31283</v>
      </c>
    </row>
    <row r="2350" spans="1:6" x14ac:dyDescent="0.25">
      <c r="A2350" s="4">
        <v>37762</v>
      </c>
      <c r="B2350">
        <v>18.631</v>
      </c>
      <c r="C2350">
        <v>18.669799999999999</v>
      </c>
      <c r="D2350">
        <v>18.4757</v>
      </c>
      <c r="E2350">
        <v>18.631</v>
      </c>
      <c r="F2350">
        <v>49107</v>
      </c>
    </row>
    <row r="2351" spans="1:6" x14ac:dyDescent="0.25">
      <c r="A2351" s="4">
        <v>37763</v>
      </c>
      <c r="B2351">
        <v>18.514500000000002</v>
      </c>
      <c r="C2351">
        <v>18.786200000000001</v>
      </c>
      <c r="D2351">
        <v>18.398099999999999</v>
      </c>
      <c r="E2351">
        <v>18.631</v>
      </c>
      <c r="F2351">
        <v>47181</v>
      </c>
    </row>
    <row r="2352" spans="1:6" x14ac:dyDescent="0.25">
      <c r="A2352" s="4">
        <v>37764</v>
      </c>
      <c r="B2352">
        <v>18.786200000000001</v>
      </c>
      <c r="C2352">
        <v>19.1356</v>
      </c>
      <c r="D2352">
        <v>18.708600000000001</v>
      </c>
      <c r="E2352">
        <v>19.0579</v>
      </c>
      <c r="F2352">
        <v>52650</v>
      </c>
    </row>
    <row r="2353" spans="1:6" x14ac:dyDescent="0.25">
      <c r="A2353" s="4">
        <v>37767</v>
      </c>
      <c r="B2353">
        <v>19.213200000000001</v>
      </c>
      <c r="C2353">
        <v>19.368500000000001</v>
      </c>
      <c r="D2353">
        <v>19.213200000000001</v>
      </c>
      <c r="E2353">
        <v>19.329599999999999</v>
      </c>
      <c r="F2353">
        <v>35730</v>
      </c>
    </row>
    <row r="2354" spans="1:6" x14ac:dyDescent="0.25">
      <c r="A2354" s="4">
        <v>37768</v>
      </c>
      <c r="B2354">
        <v>19.329599999999999</v>
      </c>
      <c r="C2354">
        <v>19.368500000000001</v>
      </c>
      <c r="D2354">
        <v>19.1356</v>
      </c>
      <c r="E2354">
        <v>19.1356</v>
      </c>
      <c r="F2354">
        <v>31900</v>
      </c>
    </row>
    <row r="2355" spans="1:6" x14ac:dyDescent="0.25">
      <c r="A2355" s="4">
        <v>37769</v>
      </c>
      <c r="B2355">
        <v>19.601299999999998</v>
      </c>
      <c r="C2355">
        <v>19.9895</v>
      </c>
      <c r="D2355">
        <v>19.601299999999998</v>
      </c>
      <c r="E2355">
        <v>19.601299999999998</v>
      </c>
      <c r="F2355">
        <v>75902</v>
      </c>
    </row>
    <row r="2356" spans="1:6" x14ac:dyDescent="0.25">
      <c r="A2356" s="4">
        <v>37770</v>
      </c>
      <c r="B2356">
        <v>19.795400000000001</v>
      </c>
      <c r="C2356">
        <v>20.183599999999998</v>
      </c>
      <c r="D2356">
        <v>19.795400000000001</v>
      </c>
      <c r="E2356">
        <v>20.183599999999998</v>
      </c>
      <c r="F2356">
        <v>95569</v>
      </c>
    </row>
    <row r="2357" spans="1:6" x14ac:dyDescent="0.25">
      <c r="A2357" s="4">
        <v>37771</v>
      </c>
      <c r="B2357">
        <v>20.183599999999998</v>
      </c>
      <c r="C2357">
        <v>21.347999999999999</v>
      </c>
      <c r="D2357">
        <v>20.183599999999998</v>
      </c>
      <c r="E2357">
        <v>20.765799999999999</v>
      </c>
      <c r="F2357">
        <v>102158</v>
      </c>
    </row>
    <row r="2358" spans="1:6" x14ac:dyDescent="0.25">
      <c r="A2358" s="4">
        <v>37774</v>
      </c>
      <c r="B2358">
        <v>21.347999999999999</v>
      </c>
      <c r="C2358">
        <v>22.124300000000002</v>
      </c>
      <c r="D2358">
        <v>21.1539</v>
      </c>
      <c r="E2358">
        <v>21.930199999999999</v>
      </c>
      <c r="F2358">
        <v>96633</v>
      </c>
    </row>
    <row r="2359" spans="1:6" x14ac:dyDescent="0.25">
      <c r="A2359" s="4">
        <v>37775</v>
      </c>
      <c r="B2359">
        <v>21.7362</v>
      </c>
      <c r="C2359">
        <v>21.930199999999999</v>
      </c>
      <c r="D2359">
        <v>21.542100000000001</v>
      </c>
      <c r="E2359">
        <v>21.7362</v>
      </c>
      <c r="F2359">
        <v>52636</v>
      </c>
    </row>
    <row r="2360" spans="1:6" x14ac:dyDescent="0.25">
      <c r="A2360" s="4">
        <v>37777</v>
      </c>
      <c r="B2360">
        <v>21.930199999999999</v>
      </c>
      <c r="C2360">
        <v>22.706499999999998</v>
      </c>
      <c r="D2360">
        <v>21.930199999999999</v>
      </c>
      <c r="E2360">
        <v>22.3184</v>
      </c>
      <c r="F2360">
        <v>92066</v>
      </c>
    </row>
    <row r="2361" spans="1:6" x14ac:dyDescent="0.25">
      <c r="A2361" s="4">
        <v>37778</v>
      </c>
      <c r="B2361">
        <v>22.5124</v>
      </c>
      <c r="C2361">
        <v>22.706499999999998</v>
      </c>
      <c r="D2361">
        <v>22.3184</v>
      </c>
      <c r="E2361">
        <v>22.706499999999998</v>
      </c>
      <c r="F2361">
        <v>58784</v>
      </c>
    </row>
    <row r="2362" spans="1:6" x14ac:dyDescent="0.25">
      <c r="A2362" s="4">
        <v>37781</v>
      </c>
      <c r="B2362">
        <v>22.5124</v>
      </c>
      <c r="C2362">
        <v>23.288699999999999</v>
      </c>
      <c r="D2362">
        <v>22.3184</v>
      </c>
      <c r="E2362">
        <v>22.900600000000001</v>
      </c>
      <c r="F2362">
        <v>75709</v>
      </c>
    </row>
    <row r="2363" spans="1:6" x14ac:dyDescent="0.25">
      <c r="A2363" s="4">
        <v>37782</v>
      </c>
      <c r="B2363">
        <v>22.5124</v>
      </c>
      <c r="C2363">
        <v>22.706499999999998</v>
      </c>
      <c r="D2363">
        <v>22.124300000000002</v>
      </c>
      <c r="E2363">
        <v>22.3184</v>
      </c>
      <c r="F2363">
        <v>36168</v>
      </c>
    </row>
    <row r="2364" spans="1:6" x14ac:dyDescent="0.25">
      <c r="A2364" s="4">
        <v>37783</v>
      </c>
      <c r="B2364">
        <v>22.5124</v>
      </c>
      <c r="C2364">
        <v>22.5124</v>
      </c>
      <c r="D2364">
        <v>21.930199999999999</v>
      </c>
      <c r="E2364">
        <v>21.930199999999999</v>
      </c>
      <c r="F2364">
        <v>41373</v>
      </c>
    </row>
    <row r="2365" spans="1:6" x14ac:dyDescent="0.25">
      <c r="A2365" s="4">
        <v>37784</v>
      </c>
      <c r="B2365">
        <v>21.930199999999999</v>
      </c>
      <c r="C2365">
        <v>23.288699999999999</v>
      </c>
      <c r="D2365">
        <v>21.7362</v>
      </c>
      <c r="E2365">
        <v>22.706499999999998</v>
      </c>
      <c r="F2365">
        <v>92826</v>
      </c>
    </row>
    <row r="2366" spans="1:6" x14ac:dyDescent="0.25">
      <c r="A2366" s="4">
        <v>37785</v>
      </c>
      <c r="B2366">
        <v>22.3184</v>
      </c>
      <c r="C2366">
        <v>22.3184</v>
      </c>
      <c r="D2366">
        <v>21.930199999999999</v>
      </c>
      <c r="E2366">
        <v>22.124300000000002</v>
      </c>
      <c r="F2366">
        <v>45540</v>
      </c>
    </row>
    <row r="2367" spans="1:6" x14ac:dyDescent="0.25">
      <c r="A2367" s="4">
        <v>37788</v>
      </c>
      <c r="B2367">
        <v>21.7362</v>
      </c>
      <c r="C2367">
        <v>22.124300000000002</v>
      </c>
      <c r="D2367">
        <v>21.7362</v>
      </c>
      <c r="E2367">
        <v>21.7362</v>
      </c>
      <c r="F2367">
        <v>35228</v>
      </c>
    </row>
    <row r="2368" spans="1:6" x14ac:dyDescent="0.25">
      <c r="A2368" s="4">
        <v>37789</v>
      </c>
      <c r="B2368">
        <v>22.124300000000002</v>
      </c>
      <c r="C2368">
        <v>22.706499999999998</v>
      </c>
      <c r="D2368">
        <v>21.930199999999999</v>
      </c>
      <c r="E2368">
        <v>22.5124</v>
      </c>
      <c r="F2368">
        <v>68669</v>
      </c>
    </row>
    <row r="2369" spans="1:6" x14ac:dyDescent="0.25">
      <c r="A2369" s="4">
        <v>37790</v>
      </c>
      <c r="B2369">
        <v>22.900600000000001</v>
      </c>
      <c r="C2369">
        <v>23.0947</v>
      </c>
      <c r="D2369">
        <v>22.706499999999998</v>
      </c>
      <c r="E2369">
        <v>22.900600000000001</v>
      </c>
      <c r="F2369">
        <v>57282</v>
      </c>
    </row>
    <row r="2370" spans="1:6" x14ac:dyDescent="0.25">
      <c r="A2370" s="4">
        <v>37791</v>
      </c>
      <c r="B2370">
        <v>23.0947</v>
      </c>
      <c r="C2370">
        <v>23.0947</v>
      </c>
      <c r="D2370">
        <v>22.706499999999998</v>
      </c>
      <c r="E2370">
        <v>22.900600000000001</v>
      </c>
      <c r="F2370">
        <v>43742</v>
      </c>
    </row>
    <row r="2371" spans="1:6" x14ac:dyDescent="0.25">
      <c r="A2371" s="4">
        <v>37792</v>
      </c>
      <c r="B2371">
        <v>22.900600000000001</v>
      </c>
      <c r="C2371">
        <v>23.0947</v>
      </c>
      <c r="D2371">
        <v>22.5124</v>
      </c>
      <c r="E2371">
        <v>22.706499999999998</v>
      </c>
      <c r="F2371">
        <v>32646</v>
      </c>
    </row>
    <row r="2372" spans="1:6" x14ac:dyDescent="0.25">
      <c r="A2372" s="4">
        <v>37795</v>
      </c>
      <c r="B2372">
        <v>22.5124</v>
      </c>
      <c r="C2372">
        <v>22.900600000000001</v>
      </c>
      <c r="D2372">
        <v>22.3184</v>
      </c>
      <c r="E2372">
        <v>22.3184</v>
      </c>
      <c r="F2372">
        <v>27186</v>
      </c>
    </row>
    <row r="2373" spans="1:6" x14ac:dyDescent="0.25">
      <c r="A2373" s="4">
        <v>37796</v>
      </c>
      <c r="B2373">
        <v>21.930199999999999</v>
      </c>
      <c r="C2373">
        <v>22.124300000000002</v>
      </c>
      <c r="D2373">
        <v>21.7362</v>
      </c>
      <c r="E2373">
        <v>22.124300000000002</v>
      </c>
      <c r="F2373">
        <v>37880</v>
      </c>
    </row>
    <row r="2374" spans="1:6" x14ac:dyDescent="0.25">
      <c r="A2374" s="4">
        <v>37797</v>
      </c>
      <c r="B2374">
        <v>21.930199999999999</v>
      </c>
      <c r="C2374">
        <v>22.5124</v>
      </c>
      <c r="D2374">
        <v>21.7362</v>
      </c>
      <c r="E2374">
        <v>22.124300000000002</v>
      </c>
      <c r="F2374">
        <v>36186</v>
      </c>
    </row>
    <row r="2375" spans="1:6" x14ac:dyDescent="0.25">
      <c r="A2375" s="4">
        <v>37798</v>
      </c>
      <c r="B2375">
        <v>22.124300000000002</v>
      </c>
      <c r="C2375">
        <v>22.5124</v>
      </c>
      <c r="D2375">
        <v>21.930199999999999</v>
      </c>
      <c r="E2375">
        <v>22.124300000000002</v>
      </c>
      <c r="F2375">
        <v>21873</v>
      </c>
    </row>
    <row r="2376" spans="1:6" x14ac:dyDescent="0.25">
      <c r="A2376" s="4">
        <v>37799</v>
      </c>
      <c r="B2376">
        <v>22.3184</v>
      </c>
      <c r="C2376">
        <v>22.5124</v>
      </c>
      <c r="D2376">
        <v>21.930199999999999</v>
      </c>
      <c r="E2376">
        <v>22.124300000000002</v>
      </c>
      <c r="F2376">
        <v>31594</v>
      </c>
    </row>
    <row r="2377" spans="1:6" x14ac:dyDescent="0.25">
      <c r="A2377" s="4">
        <v>37802</v>
      </c>
      <c r="B2377">
        <v>21.930199999999999</v>
      </c>
      <c r="C2377">
        <v>22.3184</v>
      </c>
      <c r="D2377">
        <v>21.930199999999999</v>
      </c>
      <c r="E2377">
        <v>22.124300000000002</v>
      </c>
      <c r="F2377">
        <v>19321</v>
      </c>
    </row>
    <row r="2378" spans="1:6" x14ac:dyDescent="0.25">
      <c r="A2378" s="4">
        <v>37803</v>
      </c>
      <c r="B2378">
        <v>22.124300000000002</v>
      </c>
      <c r="C2378">
        <v>22.706499999999998</v>
      </c>
      <c r="D2378">
        <v>22.124300000000002</v>
      </c>
      <c r="E2378">
        <v>22.706499999999998</v>
      </c>
      <c r="F2378">
        <v>41166</v>
      </c>
    </row>
    <row r="2379" spans="1:6" x14ac:dyDescent="0.25">
      <c r="A2379" s="4">
        <v>37804</v>
      </c>
      <c r="B2379">
        <v>22.900600000000001</v>
      </c>
      <c r="C2379">
        <v>23.288699999999999</v>
      </c>
      <c r="D2379">
        <v>22.706499999999998</v>
      </c>
      <c r="E2379">
        <v>23.288699999999999</v>
      </c>
      <c r="F2379">
        <v>38982</v>
      </c>
    </row>
    <row r="2380" spans="1:6" x14ac:dyDescent="0.25">
      <c r="A2380" s="4">
        <v>37805</v>
      </c>
      <c r="B2380">
        <v>23.6769</v>
      </c>
      <c r="C2380">
        <v>24.453199999999999</v>
      </c>
      <c r="D2380">
        <v>23.6769</v>
      </c>
      <c r="E2380">
        <v>23.6769</v>
      </c>
      <c r="F2380">
        <v>58224</v>
      </c>
    </row>
    <row r="2381" spans="1:6" x14ac:dyDescent="0.25">
      <c r="A2381" s="4">
        <v>37806</v>
      </c>
      <c r="B2381">
        <v>23.870999999999999</v>
      </c>
      <c r="C2381">
        <v>24.065000000000001</v>
      </c>
      <c r="D2381">
        <v>23.6769</v>
      </c>
      <c r="E2381">
        <v>24.065000000000001</v>
      </c>
      <c r="F2381">
        <v>51926</v>
      </c>
    </row>
    <row r="2382" spans="1:6" x14ac:dyDescent="0.25">
      <c r="A2382" s="4">
        <v>37809</v>
      </c>
      <c r="B2382">
        <v>24.732600000000001</v>
      </c>
      <c r="C2382">
        <v>25.571000000000002</v>
      </c>
      <c r="D2382">
        <v>24.523</v>
      </c>
      <c r="E2382">
        <v>25.571000000000002</v>
      </c>
      <c r="F2382">
        <v>68705</v>
      </c>
    </row>
    <row r="2383" spans="1:6" x14ac:dyDescent="0.25">
      <c r="A2383" s="4">
        <v>37810</v>
      </c>
      <c r="B2383">
        <v>25.990200000000002</v>
      </c>
      <c r="C2383">
        <v>26.1998</v>
      </c>
      <c r="D2383">
        <v>25.571000000000002</v>
      </c>
      <c r="E2383">
        <v>25.990200000000002</v>
      </c>
      <c r="F2383">
        <v>73025</v>
      </c>
    </row>
    <row r="2384" spans="1:6" x14ac:dyDescent="0.25">
      <c r="A2384" s="4">
        <v>37811</v>
      </c>
      <c r="B2384">
        <v>25.151800000000001</v>
      </c>
      <c r="C2384">
        <v>25.571000000000002</v>
      </c>
      <c r="D2384">
        <v>24.9422</v>
      </c>
      <c r="E2384">
        <v>25.3614</v>
      </c>
      <c r="F2384">
        <v>51435</v>
      </c>
    </row>
    <row r="2385" spans="1:6" x14ac:dyDescent="0.25">
      <c r="A2385" s="4">
        <v>37812</v>
      </c>
      <c r="B2385">
        <v>25.3614</v>
      </c>
      <c r="C2385">
        <v>25.3614</v>
      </c>
      <c r="D2385">
        <v>24.1038</v>
      </c>
      <c r="E2385">
        <v>24.1038</v>
      </c>
      <c r="F2385">
        <v>44273</v>
      </c>
    </row>
    <row r="2386" spans="1:6" x14ac:dyDescent="0.25">
      <c r="A2386" s="4">
        <v>37813</v>
      </c>
      <c r="B2386">
        <v>23.6846</v>
      </c>
      <c r="C2386">
        <v>24.1038</v>
      </c>
      <c r="D2386">
        <v>23.475000000000001</v>
      </c>
      <c r="E2386">
        <v>24.1038</v>
      </c>
      <c r="F2386">
        <v>41143</v>
      </c>
    </row>
    <row r="2387" spans="1:6" x14ac:dyDescent="0.25">
      <c r="A2387" s="4">
        <v>37816</v>
      </c>
      <c r="B2387">
        <v>24.313400000000001</v>
      </c>
      <c r="C2387">
        <v>25.151800000000001</v>
      </c>
      <c r="D2387">
        <v>24.313400000000001</v>
      </c>
      <c r="E2387">
        <v>24.9422</v>
      </c>
      <c r="F2387">
        <v>48540</v>
      </c>
    </row>
    <row r="2388" spans="1:6" x14ac:dyDescent="0.25">
      <c r="A2388" s="4">
        <v>37817</v>
      </c>
      <c r="B2388">
        <v>25.151800000000001</v>
      </c>
      <c r="C2388">
        <v>25.3614</v>
      </c>
      <c r="D2388">
        <v>24.523</v>
      </c>
      <c r="E2388">
        <v>24.9422</v>
      </c>
      <c r="F2388">
        <v>31918</v>
      </c>
    </row>
    <row r="2389" spans="1:6" x14ac:dyDescent="0.25">
      <c r="A2389" s="4">
        <v>37818</v>
      </c>
      <c r="B2389">
        <v>24.9422</v>
      </c>
      <c r="C2389">
        <v>25.151800000000001</v>
      </c>
      <c r="D2389">
        <v>24.523</v>
      </c>
      <c r="E2389">
        <v>24.9422</v>
      </c>
      <c r="F2389">
        <v>27605</v>
      </c>
    </row>
    <row r="2390" spans="1:6" x14ac:dyDescent="0.25">
      <c r="A2390" s="4">
        <v>37819</v>
      </c>
      <c r="B2390">
        <v>24.732600000000001</v>
      </c>
      <c r="C2390">
        <v>24.9422</v>
      </c>
      <c r="D2390">
        <v>24.313400000000001</v>
      </c>
      <c r="E2390">
        <v>24.313400000000001</v>
      </c>
      <c r="F2390">
        <v>41637</v>
      </c>
    </row>
    <row r="2391" spans="1:6" x14ac:dyDescent="0.25">
      <c r="A2391" s="4">
        <v>37820</v>
      </c>
      <c r="B2391">
        <v>23.894200000000001</v>
      </c>
      <c r="C2391">
        <v>24.523</v>
      </c>
      <c r="D2391">
        <v>23.894200000000001</v>
      </c>
      <c r="E2391">
        <v>24.313400000000001</v>
      </c>
      <c r="F2391">
        <v>36627</v>
      </c>
    </row>
    <row r="2392" spans="1:6" x14ac:dyDescent="0.25">
      <c r="A2392" s="4">
        <v>37823</v>
      </c>
      <c r="B2392">
        <v>24.313400000000001</v>
      </c>
      <c r="C2392">
        <v>24.732600000000001</v>
      </c>
      <c r="D2392">
        <v>23.894200000000001</v>
      </c>
      <c r="E2392">
        <v>23.894200000000001</v>
      </c>
      <c r="F2392">
        <v>24944</v>
      </c>
    </row>
    <row r="2393" spans="1:6" x14ac:dyDescent="0.25">
      <c r="A2393" s="4">
        <v>37824</v>
      </c>
      <c r="B2393">
        <v>23.475000000000001</v>
      </c>
      <c r="C2393">
        <v>24.1038</v>
      </c>
      <c r="D2393">
        <v>23.475000000000001</v>
      </c>
      <c r="E2393">
        <v>23.6846</v>
      </c>
      <c r="F2393">
        <v>40855</v>
      </c>
    </row>
    <row r="2394" spans="1:6" x14ac:dyDescent="0.25">
      <c r="A2394" s="4">
        <v>37825</v>
      </c>
      <c r="B2394">
        <v>23.894200000000001</v>
      </c>
      <c r="C2394">
        <v>24.523</v>
      </c>
      <c r="D2394">
        <v>23.894200000000001</v>
      </c>
      <c r="E2394">
        <v>24.1038</v>
      </c>
      <c r="F2394">
        <v>46552</v>
      </c>
    </row>
    <row r="2395" spans="1:6" x14ac:dyDescent="0.25">
      <c r="A2395" s="4">
        <v>37826</v>
      </c>
      <c r="B2395">
        <v>24.313400000000001</v>
      </c>
      <c r="C2395">
        <v>24.523</v>
      </c>
      <c r="D2395">
        <v>24.1038</v>
      </c>
      <c r="E2395">
        <v>24.523</v>
      </c>
      <c r="F2395">
        <v>58572</v>
      </c>
    </row>
    <row r="2396" spans="1:6" x14ac:dyDescent="0.25">
      <c r="A2396" s="4">
        <v>37827</v>
      </c>
      <c r="B2396">
        <v>24.1038</v>
      </c>
      <c r="C2396">
        <v>24.313400000000001</v>
      </c>
      <c r="D2396">
        <v>23.894200000000001</v>
      </c>
      <c r="E2396">
        <v>23.894200000000001</v>
      </c>
      <c r="F2396">
        <v>42929</v>
      </c>
    </row>
    <row r="2397" spans="1:6" x14ac:dyDescent="0.25">
      <c r="A2397" s="4">
        <v>37830</v>
      </c>
      <c r="B2397">
        <v>24.313400000000001</v>
      </c>
      <c r="C2397">
        <v>24.523</v>
      </c>
      <c r="D2397">
        <v>24.1038</v>
      </c>
      <c r="E2397">
        <v>24.313400000000001</v>
      </c>
      <c r="F2397">
        <v>28958</v>
      </c>
    </row>
    <row r="2398" spans="1:6" x14ac:dyDescent="0.25">
      <c r="A2398" s="4">
        <v>37831</v>
      </c>
      <c r="B2398">
        <v>24.313400000000001</v>
      </c>
      <c r="C2398">
        <v>24.313400000000001</v>
      </c>
      <c r="D2398">
        <v>23.894200000000001</v>
      </c>
      <c r="E2398">
        <v>23.894200000000001</v>
      </c>
      <c r="F2398">
        <v>20204</v>
      </c>
    </row>
    <row r="2399" spans="1:6" x14ac:dyDescent="0.25">
      <c r="A2399" s="4">
        <v>37832</v>
      </c>
      <c r="B2399">
        <v>23.894200000000001</v>
      </c>
      <c r="C2399">
        <v>24.1038</v>
      </c>
      <c r="D2399">
        <v>23.475000000000001</v>
      </c>
      <c r="E2399">
        <v>23.894200000000001</v>
      </c>
      <c r="F2399">
        <v>39403</v>
      </c>
    </row>
    <row r="2400" spans="1:6" x14ac:dyDescent="0.25">
      <c r="A2400" s="4">
        <v>37833</v>
      </c>
      <c r="B2400">
        <v>23.475000000000001</v>
      </c>
      <c r="C2400">
        <v>24.732600000000001</v>
      </c>
      <c r="D2400">
        <v>23.475000000000001</v>
      </c>
      <c r="E2400">
        <v>24.732600000000001</v>
      </c>
      <c r="F2400">
        <v>83830</v>
      </c>
    </row>
    <row r="2401" spans="1:6" x14ac:dyDescent="0.25">
      <c r="A2401" s="4">
        <v>37834</v>
      </c>
      <c r="B2401">
        <v>24.9422</v>
      </c>
      <c r="C2401">
        <v>25.3614</v>
      </c>
      <c r="D2401">
        <v>24.732600000000001</v>
      </c>
      <c r="E2401">
        <v>25.151800000000001</v>
      </c>
      <c r="F2401">
        <v>68316</v>
      </c>
    </row>
    <row r="2402" spans="1:6" x14ac:dyDescent="0.25">
      <c r="A2402" s="4">
        <v>37837</v>
      </c>
      <c r="B2402">
        <v>25.151800000000001</v>
      </c>
      <c r="C2402">
        <v>25.3614</v>
      </c>
      <c r="D2402">
        <v>24.732600000000001</v>
      </c>
      <c r="E2402">
        <v>25.151800000000001</v>
      </c>
      <c r="F2402">
        <v>37958</v>
      </c>
    </row>
    <row r="2403" spans="1:6" x14ac:dyDescent="0.25">
      <c r="A2403" s="4">
        <v>37838</v>
      </c>
      <c r="B2403">
        <v>25.151800000000001</v>
      </c>
      <c r="C2403">
        <v>25.3614</v>
      </c>
      <c r="D2403">
        <v>24.523</v>
      </c>
      <c r="E2403">
        <v>24.523</v>
      </c>
      <c r="F2403">
        <v>42666</v>
      </c>
    </row>
    <row r="2404" spans="1:6" x14ac:dyDescent="0.25">
      <c r="A2404" s="4">
        <v>37839</v>
      </c>
      <c r="B2404">
        <v>24.313400000000001</v>
      </c>
      <c r="C2404">
        <v>24.732600000000001</v>
      </c>
      <c r="D2404">
        <v>24.313400000000001</v>
      </c>
      <c r="E2404">
        <v>24.523</v>
      </c>
      <c r="F2404">
        <v>24210</v>
      </c>
    </row>
    <row r="2405" spans="1:6" x14ac:dyDescent="0.25">
      <c r="A2405" s="4">
        <v>37840</v>
      </c>
      <c r="B2405">
        <v>24.523</v>
      </c>
      <c r="C2405">
        <v>25.151800000000001</v>
      </c>
      <c r="D2405">
        <v>24.313400000000001</v>
      </c>
      <c r="E2405">
        <v>25.151800000000001</v>
      </c>
      <c r="F2405">
        <v>38477</v>
      </c>
    </row>
    <row r="2406" spans="1:6" x14ac:dyDescent="0.25">
      <c r="A2406" s="4">
        <v>37841</v>
      </c>
      <c r="B2406">
        <v>24.9422</v>
      </c>
      <c r="C2406">
        <v>24.9422</v>
      </c>
      <c r="D2406">
        <v>24.313400000000001</v>
      </c>
      <c r="E2406">
        <v>24.313400000000001</v>
      </c>
      <c r="F2406">
        <v>33656</v>
      </c>
    </row>
    <row r="2407" spans="1:6" x14ac:dyDescent="0.25">
      <c r="A2407" s="4">
        <v>37844</v>
      </c>
      <c r="B2407">
        <v>23.894200000000001</v>
      </c>
      <c r="C2407">
        <v>24.1038</v>
      </c>
      <c r="D2407">
        <v>23.475000000000001</v>
      </c>
      <c r="E2407">
        <v>23.894200000000001</v>
      </c>
      <c r="F2407">
        <v>37285</v>
      </c>
    </row>
    <row r="2408" spans="1:6" x14ac:dyDescent="0.25">
      <c r="A2408" s="4">
        <v>37845</v>
      </c>
      <c r="B2408">
        <v>23.894200000000001</v>
      </c>
      <c r="C2408">
        <v>24.313400000000001</v>
      </c>
      <c r="D2408">
        <v>23.894200000000001</v>
      </c>
      <c r="E2408">
        <v>23.894200000000001</v>
      </c>
      <c r="F2408">
        <v>20724</v>
      </c>
    </row>
    <row r="2409" spans="1:6" x14ac:dyDescent="0.25">
      <c r="A2409" s="4">
        <v>37846</v>
      </c>
      <c r="B2409">
        <v>24.313400000000001</v>
      </c>
      <c r="C2409">
        <v>24.9422</v>
      </c>
      <c r="D2409">
        <v>24.313400000000001</v>
      </c>
      <c r="E2409">
        <v>24.732600000000001</v>
      </c>
      <c r="F2409">
        <v>43184</v>
      </c>
    </row>
    <row r="2410" spans="1:6" x14ac:dyDescent="0.25">
      <c r="A2410" s="4">
        <v>37847</v>
      </c>
      <c r="B2410">
        <v>24.9422</v>
      </c>
      <c r="C2410">
        <v>25.3614</v>
      </c>
      <c r="D2410">
        <v>24.732600000000001</v>
      </c>
      <c r="E2410">
        <v>24.9422</v>
      </c>
      <c r="F2410">
        <v>55355</v>
      </c>
    </row>
    <row r="2411" spans="1:6" x14ac:dyDescent="0.25">
      <c r="A2411" s="4">
        <v>37848</v>
      </c>
      <c r="B2411">
        <v>25.151800000000001</v>
      </c>
      <c r="C2411">
        <v>25.571000000000002</v>
      </c>
      <c r="D2411">
        <v>25.151800000000001</v>
      </c>
      <c r="E2411">
        <v>25.571000000000002</v>
      </c>
      <c r="F2411">
        <v>50856</v>
      </c>
    </row>
    <row r="2412" spans="1:6" x14ac:dyDescent="0.25">
      <c r="A2412" s="4">
        <v>37851</v>
      </c>
      <c r="B2412">
        <v>25.571000000000002</v>
      </c>
      <c r="C2412">
        <v>25.7806</v>
      </c>
      <c r="D2412">
        <v>25.151800000000001</v>
      </c>
      <c r="E2412">
        <v>25.7806</v>
      </c>
      <c r="F2412">
        <v>47233</v>
      </c>
    </row>
    <row r="2413" spans="1:6" x14ac:dyDescent="0.25">
      <c r="A2413" s="4">
        <v>37852</v>
      </c>
      <c r="B2413">
        <v>26.409400000000002</v>
      </c>
      <c r="C2413">
        <v>26.619</v>
      </c>
      <c r="D2413">
        <v>25.990200000000002</v>
      </c>
      <c r="E2413">
        <v>26.1998</v>
      </c>
      <c r="F2413">
        <v>79491</v>
      </c>
    </row>
    <row r="2414" spans="1:6" x14ac:dyDescent="0.25">
      <c r="A2414" s="4">
        <v>37853</v>
      </c>
      <c r="B2414">
        <v>26.409400000000002</v>
      </c>
      <c r="C2414">
        <v>26.619</v>
      </c>
      <c r="D2414">
        <v>26.1998</v>
      </c>
      <c r="E2414">
        <v>26.409400000000002</v>
      </c>
      <c r="F2414">
        <v>34042</v>
      </c>
    </row>
    <row r="2415" spans="1:6" x14ac:dyDescent="0.25">
      <c r="A2415" s="4">
        <v>37854</v>
      </c>
      <c r="B2415">
        <v>26.409400000000002</v>
      </c>
      <c r="C2415">
        <v>26.828600000000002</v>
      </c>
      <c r="D2415">
        <v>26.1998</v>
      </c>
      <c r="E2415">
        <v>26.828600000000002</v>
      </c>
      <c r="F2415">
        <v>43689</v>
      </c>
    </row>
    <row r="2416" spans="1:6" x14ac:dyDescent="0.25">
      <c r="A2416" s="4">
        <v>37855</v>
      </c>
      <c r="B2416">
        <v>26.828600000000002</v>
      </c>
      <c r="C2416">
        <v>27.0382</v>
      </c>
      <c r="D2416">
        <v>26.619</v>
      </c>
      <c r="E2416">
        <v>26.828600000000002</v>
      </c>
      <c r="F2416">
        <v>35609</v>
      </c>
    </row>
    <row r="2417" spans="1:6" x14ac:dyDescent="0.25">
      <c r="A2417" s="4">
        <v>37858</v>
      </c>
      <c r="B2417">
        <v>26.828600000000002</v>
      </c>
      <c r="C2417">
        <v>27.0382</v>
      </c>
      <c r="D2417">
        <v>26.619</v>
      </c>
      <c r="E2417">
        <v>27.0382</v>
      </c>
      <c r="F2417">
        <v>40520</v>
      </c>
    </row>
    <row r="2418" spans="1:6" x14ac:dyDescent="0.25">
      <c r="A2418" s="4">
        <v>37859</v>
      </c>
      <c r="B2418">
        <v>26.828600000000002</v>
      </c>
      <c r="C2418">
        <v>26.828600000000002</v>
      </c>
      <c r="D2418">
        <v>26.1998</v>
      </c>
      <c r="E2418">
        <v>26.409400000000002</v>
      </c>
      <c r="F2418">
        <v>34407</v>
      </c>
    </row>
    <row r="2419" spans="1:6" x14ac:dyDescent="0.25">
      <c r="A2419" s="4">
        <v>37860</v>
      </c>
      <c r="B2419">
        <v>26.409400000000002</v>
      </c>
      <c r="C2419">
        <v>27.247800000000002</v>
      </c>
      <c r="D2419">
        <v>26.409400000000002</v>
      </c>
      <c r="E2419">
        <v>26.828600000000002</v>
      </c>
      <c r="F2419">
        <v>50915</v>
      </c>
    </row>
    <row r="2420" spans="1:6" x14ac:dyDescent="0.25">
      <c r="A2420" s="4">
        <v>37861</v>
      </c>
      <c r="B2420">
        <v>27.247800000000002</v>
      </c>
      <c r="C2420">
        <v>27.8766</v>
      </c>
      <c r="D2420">
        <v>27.0382</v>
      </c>
      <c r="E2420">
        <v>27.4574</v>
      </c>
      <c r="F2420">
        <v>81435</v>
      </c>
    </row>
    <row r="2421" spans="1:6" x14ac:dyDescent="0.25">
      <c r="A2421" s="4">
        <v>37862</v>
      </c>
      <c r="B2421">
        <v>27.4574</v>
      </c>
      <c r="C2421">
        <v>28.2958</v>
      </c>
      <c r="D2421">
        <v>27.247800000000002</v>
      </c>
      <c r="E2421">
        <v>28.086200000000002</v>
      </c>
      <c r="F2421">
        <v>59175</v>
      </c>
    </row>
    <row r="2422" spans="1:6" x14ac:dyDescent="0.25">
      <c r="A2422" s="4">
        <v>37865</v>
      </c>
      <c r="B2422">
        <v>28.2958</v>
      </c>
      <c r="C2422">
        <v>28.505400000000002</v>
      </c>
      <c r="D2422">
        <v>27.8766</v>
      </c>
      <c r="E2422">
        <v>28.2958</v>
      </c>
      <c r="F2422">
        <v>31142</v>
      </c>
    </row>
    <row r="2423" spans="1:6" x14ac:dyDescent="0.25">
      <c r="A2423" s="4">
        <v>37866</v>
      </c>
      <c r="B2423">
        <v>28.086200000000002</v>
      </c>
      <c r="C2423">
        <v>28.2958</v>
      </c>
      <c r="D2423">
        <v>27.667000000000002</v>
      </c>
      <c r="E2423">
        <v>28.086200000000002</v>
      </c>
      <c r="F2423">
        <v>27359</v>
      </c>
    </row>
    <row r="2424" spans="1:6" x14ac:dyDescent="0.25">
      <c r="A2424" s="4">
        <v>37867</v>
      </c>
      <c r="B2424">
        <v>28.2958</v>
      </c>
      <c r="C2424">
        <v>28.2958</v>
      </c>
      <c r="D2424">
        <v>27.8766</v>
      </c>
      <c r="E2424">
        <v>27.8766</v>
      </c>
      <c r="F2424">
        <v>24821</v>
      </c>
    </row>
    <row r="2425" spans="1:6" x14ac:dyDescent="0.25">
      <c r="A2425" s="4">
        <v>37868</v>
      </c>
      <c r="B2425">
        <v>27.8766</v>
      </c>
      <c r="C2425">
        <v>28.086200000000002</v>
      </c>
      <c r="D2425">
        <v>27.667000000000002</v>
      </c>
      <c r="E2425">
        <v>27.667000000000002</v>
      </c>
      <c r="F2425">
        <v>25745</v>
      </c>
    </row>
    <row r="2426" spans="1:6" x14ac:dyDescent="0.25">
      <c r="A2426" s="4">
        <v>37869</v>
      </c>
      <c r="B2426">
        <v>28.2958</v>
      </c>
      <c r="C2426">
        <v>28.924600000000002</v>
      </c>
      <c r="D2426">
        <v>28.2958</v>
      </c>
      <c r="E2426">
        <v>28.505400000000002</v>
      </c>
      <c r="F2426">
        <v>34546</v>
      </c>
    </row>
    <row r="2427" spans="1:6" x14ac:dyDescent="0.25">
      <c r="A2427" s="4">
        <v>37872</v>
      </c>
      <c r="B2427">
        <v>28.715</v>
      </c>
      <c r="C2427">
        <v>29.763000000000002</v>
      </c>
      <c r="D2427">
        <v>28.505400000000002</v>
      </c>
      <c r="E2427">
        <v>29.763000000000002</v>
      </c>
      <c r="F2427">
        <v>54055</v>
      </c>
    </row>
    <row r="2428" spans="1:6" x14ac:dyDescent="0.25">
      <c r="A2428" s="4">
        <v>37873</v>
      </c>
      <c r="B2428">
        <v>30.3918</v>
      </c>
      <c r="C2428">
        <v>30.3918</v>
      </c>
      <c r="D2428">
        <v>29.5534</v>
      </c>
      <c r="E2428">
        <v>29.5534</v>
      </c>
      <c r="F2428">
        <v>55346</v>
      </c>
    </row>
    <row r="2429" spans="1:6" x14ac:dyDescent="0.25">
      <c r="A2429" s="4">
        <v>37874</v>
      </c>
      <c r="B2429">
        <v>29.343800000000002</v>
      </c>
      <c r="C2429">
        <v>29.5534</v>
      </c>
      <c r="D2429">
        <v>28.924600000000002</v>
      </c>
      <c r="E2429">
        <v>29.1342</v>
      </c>
      <c r="F2429">
        <v>44412</v>
      </c>
    </row>
    <row r="2430" spans="1:6" x14ac:dyDescent="0.25">
      <c r="A2430" s="4">
        <v>37876</v>
      </c>
      <c r="B2430">
        <v>28.715</v>
      </c>
      <c r="C2430">
        <v>28.924600000000002</v>
      </c>
      <c r="D2430">
        <v>28.505400000000002</v>
      </c>
      <c r="E2430">
        <v>28.505400000000002</v>
      </c>
      <c r="F2430">
        <v>38693</v>
      </c>
    </row>
    <row r="2431" spans="1:6" x14ac:dyDescent="0.25">
      <c r="A2431" s="4">
        <v>37879</v>
      </c>
      <c r="B2431">
        <v>28.505400000000002</v>
      </c>
      <c r="C2431">
        <v>28.505400000000002</v>
      </c>
      <c r="D2431">
        <v>27.8766</v>
      </c>
      <c r="E2431">
        <v>28.086200000000002</v>
      </c>
      <c r="F2431">
        <v>32404</v>
      </c>
    </row>
    <row r="2432" spans="1:6" x14ac:dyDescent="0.25">
      <c r="A2432" s="4">
        <v>37880</v>
      </c>
      <c r="B2432">
        <v>27.667000000000002</v>
      </c>
      <c r="C2432">
        <v>28.715</v>
      </c>
      <c r="D2432">
        <v>27.667000000000002</v>
      </c>
      <c r="E2432">
        <v>28.715</v>
      </c>
      <c r="F2432">
        <v>45552</v>
      </c>
    </row>
    <row r="2433" spans="1:6" x14ac:dyDescent="0.25">
      <c r="A2433" s="4">
        <v>37881</v>
      </c>
      <c r="B2433">
        <v>29.1342</v>
      </c>
      <c r="C2433">
        <v>30.182200000000002</v>
      </c>
      <c r="D2433">
        <v>29.1342</v>
      </c>
      <c r="E2433">
        <v>29.9726</v>
      </c>
      <c r="F2433">
        <v>78533</v>
      </c>
    </row>
    <row r="2434" spans="1:6" x14ac:dyDescent="0.25">
      <c r="A2434" s="4">
        <v>37882</v>
      </c>
      <c r="B2434">
        <v>29.763000000000002</v>
      </c>
      <c r="C2434">
        <v>29.9726</v>
      </c>
      <c r="D2434">
        <v>29.343800000000002</v>
      </c>
      <c r="E2434">
        <v>29.5534</v>
      </c>
      <c r="F2434">
        <v>36899</v>
      </c>
    </row>
    <row r="2435" spans="1:6" x14ac:dyDescent="0.25">
      <c r="A2435" s="4">
        <v>37883</v>
      </c>
      <c r="B2435">
        <v>29.5534</v>
      </c>
      <c r="C2435">
        <v>29.763000000000002</v>
      </c>
      <c r="D2435">
        <v>28.924600000000002</v>
      </c>
      <c r="E2435">
        <v>28.924600000000002</v>
      </c>
      <c r="F2435">
        <v>29459</v>
      </c>
    </row>
    <row r="2436" spans="1:6" x14ac:dyDescent="0.25">
      <c r="A2436" s="4">
        <v>37886</v>
      </c>
      <c r="B2436">
        <v>28.715</v>
      </c>
      <c r="C2436">
        <v>28.715</v>
      </c>
      <c r="D2436">
        <v>28.2958</v>
      </c>
      <c r="E2436">
        <v>28.2958</v>
      </c>
      <c r="F2436">
        <v>32394</v>
      </c>
    </row>
    <row r="2437" spans="1:6" x14ac:dyDescent="0.25">
      <c r="A2437" s="4">
        <v>37887</v>
      </c>
      <c r="B2437">
        <v>28.086200000000002</v>
      </c>
      <c r="C2437">
        <v>28.505400000000002</v>
      </c>
      <c r="D2437">
        <v>27.8766</v>
      </c>
      <c r="E2437">
        <v>28.505400000000002</v>
      </c>
      <c r="F2437">
        <v>29859</v>
      </c>
    </row>
    <row r="2438" spans="1:6" x14ac:dyDescent="0.25">
      <c r="A2438" s="4">
        <v>37888</v>
      </c>
      <c r="B2438">
        <v>28.505400000000002</v>
      </c>
      <c r="C2438">
        <v>28.505400000000002</v>
      </c>
      <c r="D2438">
        <v>28.086200000000002</v>
      </c>
      <c r="E2438">
        <v>28.505400000000002</v>
      </c>
      <c r="F2438">
        <v>28961</v>
      </c>
    </row>
    <row r="2439" spans="1:6" x14ac:dyDescent="0.25">
      <c r="A2439" s="4">
        <v>37889</v>
      </c>
      <c r="B2439">
        <v>27.8766</v>
      </c>
      <c r="C2439">
        <v>28.086200000000002</v>
      </c>
      <c r="D2439">
        <v>27.667000000000002</v>
      </c>
      <c r="E2439">
        <v>27.8766</v>
      </c>
      <c r="F2439">
        <v>33338</v>
      </c>
    </row>
    <row r="2440" spans="1:6" x14ac:dyDescent="0.25">
      <c r="A2440" s="4">
        <v>37890</v>
      </c>
      <c r="B2440">
        <v>27.8766</v>
      </c>
      <c r="C2440">
        <v>28.086200000000002</v>
      </c>
      <c r="D2440">
        <v>27.4574</v>
      </c>
      <c r="E2440">
        <v>27.667000000000002</v>
      </c>
      <c r="F2440">
        <v>36234</v>
      </c>
    </row>
    <row r="2441" spans="1:6" x14ac:dyDescent="0.25">
      <c r="A2441" s="4">
        <v>37893</v>
      </c>
      <c r="B2441">
        <v>27.667000000000002</v>
      </c>
      <c r="C2441">
        <v>28.2958</v>
      </c>
      <c r="D2441">
        <v>27.4574</v>
      </c>
      <c r="E2441">
        <v>27.8766</v>
      </c>
      <c r="F2441">
        <v>32491</v>
      </c>
    </row>
    <row r="2442" spans="1:6" x14ac:dyDescent="0.25">
      <c r="A2442" s="4">
        <v>37894</v>
      </c>
      <c r="B2442">
        <v>27.8766</v>
      </c>
      <c r="C2442">
        <v>28.2958</v>
      </c>
      <c r="D2442">
        <v>27.8766</v>
      </c>
      <c r="E2442">
        <v>27.8766</v>
      </c>
      <c r="F2442">
        <v>18664</v>
      </c>
    </row>
    <row r="2443" spans="1:6" x14ac:dyDescent="0.25">
      <c r="A2443" s="4">
        <v>37895</v>
      </c>
      <c r="B2443">
        <v>27.8766</v>
      </c>
      <c r="C2443">
        <v>28.086200000000002</v>
      </c>
      <c r="D2443">
        <v>27.667000000000002</v>
      </c>
      <c r="E2443">
        <v>27.8766</v>
      </c>
      <c r="F2443">
        <v>18123</v>
      </c>
    </row>
    <row r="2444" spans="1:6" x14ac:dyDescent="0.25">
      <c r="A2444" s="4">
        <v>37896</v>
      </c>
      <c r="B2444">
        <v>28.2958</v>
      </c>
      <c r="C2444">
        <v>28.715</v>
      </c>
      <c r="D2444">
        <v>28.086200000000002</v>
      </c>
      <c r="E2444">
        <v>28.715</v>
      </c>
      <c r="F2444">
        <v>29326</v>
      </c>
    </row>
    <row r="2445" spans="1:6" x14ac:dyDescent="0.25">
      <c r="A2445" s="4">
        <v>37897</v>
      </c>
      <c r="B2445">
        <v>28.924600000000002</v>
      </c>
      <c r="C2445">
        <v>29.343800000000002</v>
      </c>
      <c r="D2445">
        <v>28.505400000000002</v>
      </c>
      <c r="E2445">
        <v>29.343800000000002</v>
      </c>
      <c r="F2445">
        <v>38711</v>
      </c>
    </row>
    <row r="2446" spans="1:6" x14ac:dyDescent="0.25">
      <c r="A2446" s="4">
        <v>37900</v>
      </c>
      <c r="B2446">
        <v>29.9726</v>
      </c>
      <c r="C2446">
        <v>29.9726</v>
      </c>
      <c r="D2446">
        <v>29.343800000000002</v>
      </c>
      <c r="E2446">
        <v>29.763000000000002</v>
      </c>
      <c r="F2446">
        <v>46655</v>
      </c>
    </row>
    <row r="2447" spans="1:6" x14ac:dyDescent="0.25">
      <c r="A2447" s="4">
        <v>37901</v>
      </c>
      <c r="B2447">
        <v>29.763000000000002</v>
      </c>
      <c r="C2447">
        <v>29.763000000000002</v>
      </c>
      <c r="D2447">
        <v>28.924600000000002</v>
      </c>
      <c r="E2447">
        <v>29.343800000000002</v>
      </c>
      <c r="F2447">
        <v>41417</v>
      </c>
    </row>
    <row r="2448" spans="1:6" x14ac:dyDescent="0.25">
      <c r="A2448" s="4">
        <v>37902</v>
      </c>
      <c r="B2448">
        <v>29.343800000000002</v>
      </c>
      <c r="C2448">
        <v>29.5534</v>
      </c>
      <c r="D2448">
        <v>28.924600000000002</v>
      </c>
      <c r="E2448">
        <v>29.1342</v>
      </c>
      <c r="F2448">
        <v>31032</v>
      </c>
    </row>
    <row r="2449" spans="1:6" x14ac:dyDescent="0.25">
      <c r="A2449" s="4">
        <v>37903</v>
      </c>
      <c r="B2449">
        <v>28.715</v>
      </c>
      <c r="C2449">
        <v>29.1342</v>
      </c>
      <c r="D2449">
        <v>28.505400000000002</v>
      </c>
      <c r="E2449">
        <v>28.924600000000002</v>
      </c>
      <c r="F2449">
        <v>34134</v>
      </c>
    </row>
    <row r="2450" spans="1:6" x14ac:dyDescent="0.25">
      <c r="A2450" s="4">
        <v>37907</v>
      </c>
      <c r="B2450">
        <v>29.1342</v>
      </c>
      <c r="C2450">
        <v>29.5534</v>
      </c>
      <c r="D2450">
        <v>29.1342</v>
      </c>
      <c r="E2450">
        <v>29.343800000000002</v>
      </c>
      <c r="F2450">
        <v>41541</v>
      </c>
    </row>
    <row r="2451" spans="1:6" x14ac:dyDescent="0.25">
      <c r="A2451" s="4">
        <v>37908</v>
      </c>
      <c r="B2451">
        <v>29.5534</v>
      </c>
      <c r="C2451">
        <v>29.763000000000002</v>
      </c>
      <c r="D2451">
        <v>28.715</v>
      </c>
      <c r="E2451">
        <v>28.715</v>
      </c>
      <c r="F2451">
        <v>41883</v>
      </c>
    </row>
    <row r="2452" spans="1:6" x14ac:dyDescent="0.25">
      <c r="A2452" s="4">
        <v>37909</v>
      </c>
      <c r="B2452">
        <v>28.715</v>
      </c>
      <c r="C2452">
        <v>29.1342</v>
      </c>
      <c r="D2452">
        <v>28.505400000000002</v>
      </c>
      <c r="E2452">
        <v>28.505400000000002</v>
      </c>
      <c r="F2452">
        <v>39005</v>
      </c>
    </row>
    <row r="2453" spans="1:6" x14ac:dyDescent="0.25">
      <c r="A2453" s="4">
        <v>37910</v>
      </c>
      <c r="B2453">
        <v>28.505400000000002</v>
      </c>
      <c r="C2453">
        <v>29.1342</v>
      </c>
      <c r="D2453">
        <v>28.2958</v>
      </c>
      <c r="E2453">
        <v>29.1342</v>
      </c>
      <c r="F2453">
        <v>31867</v>
      </c>
    </row>
    <row r="2454" spans="1:6" x14ac:dyDescent="0.25">
      <c r="A2454" s="4">
        <v>37911</v>
      </c>
      <c r="B2454">
        <v>29.343800000000002</v>
      </c>
      <c r="C2454">
        <v>29.343800000000002</v>
      </c>
      <c r="D2454">
        <v>28.505400000000002</v>
      </c>
      <c r="E2454">
        <v>28.505400000000002</v>
      </c>
      <c r="F2454">
        <v>20935</v>
      </c>
    </row>
    <row r="2455" spans="1:6" x14ac:dyDescent="0.25">
      <c r="A2455" s="4">
        <v>37914</v>
      </c>
      <c r="B2455">
        <v>28.2958</v>
      </c>
      <c r="C2455">
        <v>28.715</v>
      </c>
      <c r="D2455">
        <v>28.086200000000002</v>
      </c>
      <c r="E2455">
        <v>28.505400000000002</v>
      </c>
      <c r="F2455">
        <v>39272</v>
      </c>
    </row>
    <row r="2456" spans="1:6" x14ac:dyDescent="0.25">
      <c r="A2456" s="4">
        <v>37915</v>
      </c>
      <c r="B2456">
        <v>28.715</v>
      </c>
      <c r="C2456">
        <v>28.715</v>
      </c>
      <c r="D2456">
        <v>27.667000000000002</v>
      </c>
      <c r="E2456">
        <v>28.086200000000002</v>
      </c>
      <c r="F2456">
        <v>91789</v>
      </c>
    </row>
    <row r="2457" spans="1:6" x14ac:dyDescent="0.25">
      <c r="A2457" s="4">
        <v>37916</v>
      </c>
      <c r="B2457">
        <v>27.4574</v>
      </c>
      <c r="C2457">
        <v>27.8766</v>
      </c>
      <c r="D2457">
        <v>27.4574</v>
      </c>
      <c r="E2457">
        <v>27.667000000000002</v>
      </c>
      <c r="F2457">
        <v>34591</v>
      </c>
    </row>
    <row r="2458" spans="1:6" x14ac:dyDescent="0.25">
      <c r="A2458" s="4">
        <v>37917</v>
      </c>
      <c r="B2458">
        <v>27.4574</v>
      </c>
      <c r="C2458">
        <v>27.4574</v>
      </c>
      <c r="D2458">
        <v>27.0382</v>
      </c>
      <c r="E2458">
        <v>27.0382</v>
      </c>
      <c r="F2458">
        <v>43658</v>
      </c>
    </row>
    <row r="2459" spans="1:6" x14ac:dyDescent="0.25">
      <c r="A2459" s="4">
        <v>37918</v>
      </c>
      <c r="B2459">
        <v>27.0382</v>
      </c>
      <c r="C2459">
        <v>27.247800000000002</v>
      </c>
      <c r="D2459">
        <v>27.0382</v>
      </c>
      <c r="E2459">
        <v>27.0382</v>
      </c>
      <c r="F2459">
        <v>37198</v>
      </c>
    </row>
    <row r="2460" spans="1:6" x14ac:dyDescent="0.25">
      <c r="A2460" s="4">
        <v>37921</v>
      </c>
      <c r="B2460">
        <v>27.247800000000002</v>
      </c>
      <c r="C2460">
        <v>27.667000000000002</v>
      </c>
      <c r="D2460">
        <v>27.247800000000002</v>
      </c>
      <c r="E2460">
        <v>27.4574</v>
      </c>
      <c r="F2460">
        <v>20530</v>
      </c>
    </row>
    <row r="2461" spans="1:6" x14ac:dyDescent="0.25">
      <c r="A2461" s="4">
        <v>37922</v>
      </c>
      <c r="B2461">
        <v>27.667000000000002</v>
      </c>
      <c r="C2461">
        <v>28.505400000000002</v>
      </c>
      <c r="D2461">
        <v>27.4574</v>
      </c>
      <c r="E2461">
        <v>28.505400000000002</v>
      </c>
      <c r="F2461">
        <v>50202</v>
      </c>
    </row>
    <row r="2462" spans="1:6" x14ac:dyDescent="0.25">
      <c r="A2462" s="4">
        <v>37923</v>
      </c>
      <c r="B2462">
        <v>29.763000000000002</v>
      </c>
      <c r="C2462">
        <v>29.763000000000002</v>
      </c>
      <c r="D2462">
        <v>28.924600000000002</v>
      </c>
      <c r="E2462">
        <v>29.1342</v>
      </c>
      <c r="F2462">
        <v>63433</v>
      </c>
    </row>
    <row r="2463" spans="1:6" x14ac:dyDescent="0.25">
      <c r="A2463" s="4">
        <v>37924</v>
      </c>
      <c r="B2463">
        <v>29.1342</v>
      </c>
      <c r="C2463">
        <v>29.1342</v>
      </c>
      <c r="D2463">
        <v>28.715</v>
      </c>
      <c r="E2463">
        <v>29.1342</v>
      </c>
      <c r="F2463">
        <v>34340</v>
      </c>
    </row>
    <row r="2464" spans="1:6" x14ac:dyDescent="0.25">
      <c r="A2464" s="4">
        <v>37925</v>
      </c>
      <c r="B2464">
        <v>29.1342</v>
      </c>
      <c r="C2464">
        <v>29.1342</v>
      </c>
      <c r="D2464">
        <v>28.086200000000002</v>
      </c>
      <c r="E2464">
        <v>28.086200000000002</v>
      </c>
      <c r="F2464">
        <v>26443</v>
      </c>
    </row>
    <row r="2465" spans="1:6" x14ac:dyDescent="0.25">
      <c r="A2465" s="4">
        <v>37928</v>
      </c>
      <c r="B2465">
        <v>28.086200000000002</v>
      </c>
      <c r="C2465">
        <v>28.505400000000002</v>
      </c>
      <c r="D2465">
        <v>28.086200000000002</v>
      </c>
      <c r="E2465">
        <v>28.086200000000002</v>
      </c>
      <c r="F2465">
        <v>23711</v>
      </c>
    </row>
    <row r="2466" spans="1:6" x14ac:dyDescent="0.25">
      <c r="A2466" s="4">
        <v>37929</v>
      </c>
      <c r="B2466">
        <v>28.505400000000002</v>
      </c>
      <c r="C2466">
        <v>28.924600000000002</v>
      </c>
      <c r="D2466">
        <v>28.505400000000002</v>
      </c>
      <c r="E2466">
        <v>28.715</v>
      </c>
      <c r="F2466">
        <v>28997</v>
      </c>
    </row>
    <row r="2467" spans="1:6" x14ac:dyDescent="0.25">
      <c r="A2467" s="4">
        <v>37930</v>
      </c>
      <c r="B2467">
        <v>28.715</v>
      </c>
      <c r="C2467">
        <v>29.1342</v>
      </c>
      <c r="D2467">
        <v>28.715</v>
      </c>
      <c r="E2467">
        <v>29.1342</v>
      </c>
      <c r="F2467">
        <v>36212</v>
      </c>
    </row>
    <row r="2468" spans="1:6" x14ac:dyDescent="0.25">
      <c r="A2468" s="4">
        <v>37931</v>
      </c>
      <c r="B2468">
        <v>29.343800000000002</v>
      </c>
      <c r="C2468">
        <v>29.343800000000002</v>
      </c>
      <c r="D2468">
        <v>28.2958</v>
      </c>
      <c r="E2468">
        <v>28.924600000000002</v>
      </c>
      <c r="F2468">
        <v>46122</v>
      </c>
    </row>
    <row r="2469" spans="1:6" x14ac:dyDescent="0.25">
      <c r="A2469" s="4">
        <v>37932</v>
      </c>
      <c r="B2469">
        <v>29.1342</v>
      </c>
      <c r="C2469">
        <v>29.1342</v>
      </c>
      <c r="D2469">
        <v>28.505400000000002</v>
      </c>
      <c r="E2469">
        <v>28.924600000000002</v>
      </c>
      <c r="F2469">
        <v>27462</v>
      </c>
    </row>
    <row r="2470" spans="1:6" x14ac:dyDescent="0.25">
      <c r="A2470" s="4">
        <v>37935</v>
      </c>
      <c r="B2470">
        <v>28.924600000000002</v>
      </c>
      <c r="C2470">
        <v>28.924600000000002</v>
      </c>
      <c r="D2470">
        <v>28.2958</v>
      </c>
      <c r="E2470">
        <v>28.505400000000002</v>
      </c>
      <c r="F2470">
        <v>27123</v>
      </c>
    </row>
    <row r="2471" spans="1:6" x14ac:dyDescent="0.25">
      <c r="A2471" s="4">
        <v>37936</v>
      </c>
      <c r="B2471">
        <v>27.667000000000002</v>
      </c>
      <c r="C2471">
        <v>27.8766</v>
      </c>
      <c r="D2471">
        <v>27.247800000000002</v>
      </c>
      <c r="E2471">
        <v>27.667000000000002</v>
      </c>
      <c r="F2471">
        <v>77341</v>
      </c>
    </row>
    <row r="2472" spans="1:6" x14ac:dyDescent="0.25">
      <c r="A2472" s="4">
        <v>37937</v>
      </c>
      <c r="B2472">
        <v>27.667000000000002</v>
      </c>
      <c r="C2472">
        <v>28.086200000000002</v>
      </c>
      <c r="D2472">
        <v>27.4574</v>
      </c>
      <c r="E2472">
        <v>27.8766</v>
      </c>
      <c r="F2472">
        <v>54510</v>
      </c>
    </row>
    <row r="2473" spans="1:6" x14ac:dyDescent="0.25">
      <c r="A2473" s="4">
        <v>37938</v>
      </c>
      <c r="B2473">
        <v>28.2958</v>
      </c>
      <c r="C2473">
        <v>28.505400000000002</v>
      </c>
      <c r="D2473">
        <v>28.086200000000002</v>
      </c>
      <c r="E2473">
        <v>28.2958</v>
      </c>
      <c r="F2473">
        <v>25479</v>
      </c>
    </row>
    <row r="2474" spans="1:6" x14ac:dyDescent="0.25">
      <c r="A2474" s="4">
        <v>37939</v>
      </c>
      <c r="B2474">
        <v>28.2958</v>
      </c>
      <c r="C2474">
        <v>28.505400000000002</v>
      </c>
      <c r="D2474">
        <v>28.086200000000002</v>
      </c>
      <c r="E2474">
        <v>28.2958</v>
      </c>
      <c r="F2474">
        <v>22396</v>
      </c>
    </row>
    <row r="2475" spans="1:6" x14ac:dyDescent="0.25">
      <c r="A2475" s="4">
        <v>37942</v>
      </c>
      <c r="B2475">
        <v>28.086200000000002</v>
      </c>
      <c r="C2475">
        <v>28.086200000000002</v>
      </c>
      <c r="D2475">
        <v>27.4574</v>
      </c>
      <c r="E2475">
        <v>27.8766</v>
      </c>
      <c r="F2475">
        <v>24972</v>
      </c>
    </row>
    <row r="2476" spans="1:6" x14ac:dyDescent="0.25">
      <c r="A2476" s="4">
        <v>37943</v>
      </c>
      <c r="B2476">
        <v>27.4574</v>
      </c>
      <c r="C2476">
        <v>28.086200000000002</v>
      </c>
      <c r="D2476">
        <v>27.4574</v>
      </c>
      <c r="E2476">
        <v>28.086200000000002</v>
      </c>
      <c r="F2476">
        <v>33041</v>
      </c>
    </row>
    <row r="2477" spans="1:6" x14ac:dyDescent="0.25">
      <c r="A2477" s="4">
        <v>37944</v>
      </c>
      <c r="B2477">
        <v>27.667000000000002</v>
      </c>
      <c r="C2477">
        <v>27.8766</v>
      </c>
      <c r="D2477">
        <v>27.4574</v>
      </c>
      <c r="E2477">
        <v>27.667000000000002</v>
      </c>
      <c r="F2477">
        <v>25690</v>
      </c>
    </row>
    <row r="2478" spans="1:6" x14ac:dyDescent="0.25">
      <c r="A2478" s="4">
        <v>37945</v>
      </c>
      <c r="B2478">
        <v>27.4574</v>
      </c>
      <c r="C2478">
        <v>27.667000000000002</v>
      </c>
      <c r="D2478">
        <v>27.0382</v>
      </c>
      <c r="E2478">
        <v>27.4574</v>
      </c>
      <c r="F2478">
        <v>41680</v>
      </c>
    </row>
    <row r="2479" spans="1:6" x14ac:dyDescent="0.25">
      <c r="A2479" s="4">
        <v>37946</v>
      </c>
      <c r="B2479">
        <v>27.247800000000002</v>
      </c>
      <c r="C2479">
        <v>27.247800000000002</v>
      </c>
      <c r="D2479">
        <v>26.828600000000002</v>
      </c>
      <c r="E2479">
        <v>27.247800000000002</v>
      </c>
      <c r="F2479">
        <v>47820</v>
      </c>
    </row>
    <row r="2480" spans="1:6" x14ac:dyDescent="0.25">
      <c r="A2480" s="4">
        <v>37949</v>
      </c>
      <c r="B2480">
        <v>27.247800000000002</v>
      </c>
      <c r="C2480">
        <v>27.4574</v>
      </c>
      <c r="D2480">
        <v>26.828600000000002</v>
      </c>
      <c r="E2480">
        <v>26.828600000000002</v>
      </c>
      <c r="F2480">
        <v>24312</v>
      </c>
    </row>
    <row r="2481" spans="1:6" x14ac:dyDescent="0.25">
      <c r="A2481" s="4">
        <v>37950</v>
      </c>
      <c r="B2481">
        <v>27.4574</v>
      </c>
      <c r="C2481">
        <v>27.667000000000002</v>
      </c>
      <c r="D2481">
        <v>27.247800000000002</v>
      </c>
      <c r="E2481">
        <v>27.4574</v>
      </c>
      <c r="F2481">
        <v>23254</v>
      </c>
    </row>
    <row r="2482" spans="1:6" x14ac:dyDescent="0.25">
      <c r="A2482" s="4">
        <v>37951</v>
      </c>
      <c r="B2482">
        <v>27.4574</v>
      </c>
      <c r="C2482">
        <v>27.667000000000002</v>
      </c>
      <c r="D2482">
        <v>27.0382</v>
      </c>
      <c r="E2482">
        <v>27.247800000000002</v>
      </c>
      <c r="F2482">
        <v>22629</v>
      </c>
    </row>
    <row r="2483" spans="1:6" x14ac:dyDescent="0.25">
      <c r="A2483" s="4">
        <v>37952</v>
      </c>
      <c r="B2483">
        <v>27.0382</v>
      </c>
      <c r="C2483">
        <v>27.247800000000002</v>
      </c>
      <c r="D2483">
        <v>26.409400000000002</v>
      </c>
      <c r="E2483">
        <v>26.409400000000002</v>
      </c>
      <c r="F2483">
        <v>39358</v>
      </c>
    </row>
    <row r="2484" spans="1:6" x14ac:dyDescent="0.25">
      <c r="A2484" s="4">
        <v>37953</v>
      </c>
      <c r="B2484">
        <v>26.619</v>
      </c>
      <c r="C2484">
        <v>27.0382</v>
      </c>
      <c r="D2484">
        <v>26.619</v>
      </c>
      <c r="E2484">
        <v>26.619</v>
      </c>
      <c r="F2484">
        <v>24505</v>
      </c>
    </row>
    <row r="2485" spans="1:6" x14ac:dyDescent="0.25">
      <c r="A2485" s="4">
        <v>37956</v>
      </c>
      <c r="B2485">
        <v>26.409400000000002</v>
      </c>
      <c r="C2485">
        <v>27.0382</v>
      </c>
      <c r="D2485">
        <v>26.1998</v>
      </c>
      <c r="E2485">
        <v>26.828600000000002</v>
      </c>
      <c r="F2485">
        <v>20555</v>
      </c>
    </row>
    <row r="2486" spans="1:6" x14ac:dyDescent="0.25">
      <c r="A2486" s="4">
        <v>37957</v>
      </c>
      <c r="B2486">
        <v>27.247800000000002</v>
      </c>
      <c r="C2486">
        <v>27.667000000000002</v>
      </c>
      <c r="D2486">
        <v>27.0382</v>
      </c>
      <c r="E2486">
        <v>27.667000000000002</v>
      </c>
      <c r="F2486">
        <v>33120</v>
      </c>
    </row>
    <row r="2487" spans="1:6" x14ac:dyDescent="0.25">
      <c r="A2487" s="4">
        <v>37958</v>
      </c>
      <c r="B2487">
        <v>27.8766</v>
      </c>
      <c r="C2487">
        <v>27.8766</v>
      </c>
      <c r="D2487">
        <v>27.667000000000002</v>
      </c>
      <c r="E2487">
        <v>27.8766</v>
      </c>
      <c r="F2487">
        <v>28204</v>
      </c>
    </row>
    <row r="2488" spans="1:6" x14ac:dyDescent="0.25">
      <c r="A2488" s="4">
        <v>37959</v>
      </c>
      <c r="B2488">
        <v>27.667000000000002</v>
      </c>
      <c r="C2488">
        <v>28.086200000000002</v>
      </c>
      <c r="D2488">
        <v>27.667000000000002</v>
      </c>
      <c r="E2488">
        <v>28.086200000000002</v>
      </c>
      <c r="F2488">
        <v>28078</v>
      </c>
    </row>
    <row r="2489" spans="1:6" x14ac:dyDescent="0.25">
      <c r="A2489" s="4">
        <v>37960</v>
      </c>
      <c r="B2489">
        <v>27.8766</v>
      </c>
      <c r="C2489">
        <v>27.8766</v>
      </c>
      <c r="D2489">
        <v>27.247800000000002</v>
      </c>
      <c r="E2489">
        <v>27.247800000000002</v>
      </c>
      <c r="F2489">
        <v>28624</v>
      </c>
    </row>
    <row r="2490" spans="1:6" x14ac:dyDescent="0.25">
      <c r="A2490" s="4">
        <v>37963</v>
      </c>
      <c r="B2490">
        <v>27.0382</v>
      </c>
      <c r="C2490">
        <v>27.0382</v>
      </c>
      <c r="D2490">
        <v>26.619</v>
      </c>
      <c r="E2490">
        <v>26.619</v>
      </c>
      <c r="F2490">
        <v>27661</v>
      </c>
    </row>
    <row r="2491" spans="1:6" x14ac:dyDescent="0.25">
      <c r="A2491" s="4">
        <v>37964</v>
      </c>
      <c r="B2491">
        <v>26.828600000000002</v>
      </c>
      <c r="C2491">
        <v>27.0382</v>
      </c>
      <c r="D2491">
        <v>26.619</v>
      </c>
      <c r="E2491">
        <v>27.0382</v>
      </c>
      <c r="F2491">
        <v>28134</v>
      </c>
    </row>
    <row r="2492" spans="1:6" x14ac:dyDescent="0.25">
      <c r="A2492" s="4">
        <v>37965</v>
      </c>
      <c r="B2492">
        <v>26.1998</v>
      </c>
      <c r="C2492">
        <v>26.1998</v>
      </c>
      <c r="D2492">
        <v>25.571000000000002</v>
      </c>
      <c r="E2492">
        <v>25.990200000000002</v>
      </c>
      <c r="F2492">
        <v>100970</v>
      </c>
    </row>
    <row r="2493" spans="1:6" x14ac:dyDescent="0.25">
      <c r="A2493" s="4">
        <v>37966</v>
      </c>
      <c r="B2493">
        <v>25.7806</v>
      </c>
      <c r="C2493">
        <v>26.1998</v>
      </c>
      <c r="D2493">
        <v>25.7806</v>
      </c>
      <c r="E2493">
        <v>26.1998</v>
      </c>
      <c r="F2493">
        <v>61955</v>
      </c>
    </row>
    <row r="2494" spans="1:6" x14ac:dyDescent="0.25">
      <c r="A2494" s="4">
        <v>37967</v>
      </c>
      <c r="B2494">
        <v>26.619</v>
      </c>
      <c r="C2494">
        <v>26.619</v>
      </c>
      <c r="D2494">
        <v>25.7806</v>
      </c>
      <c r="E2494">
        <v>25.990200000000002</v>
      </c>
      <c r="F2494">
        <v>42932</v>
      </c>
    </row>
    <row r="2495" spans="1:6" x14ac:dyDescent="0.25">
      <c r="A2495" s="4">
        <v>37970</v>
      </c>
      <c r="B2495">
        <v>26.1998</v>
      </c>
      <c r="C2495">
        <v>26.409400000000002</v>
      </c>
      <c r="D2495">
        <v>25.990200000000002</v>
      </c>
      <c r="E2495">
        <v>26.409400000000002</v>
      </c>
      <c r="F2495">
        <v>32753</v>
      </c>
    </row>
    <row r="2496" spans="1:6" x14ac:dyDescent="0.25">
      <c r="A2496" s="4">
        <v>37971</v>
      </c>
      <c r="B2496">
        <v>25.990200000000002</v>
      </c>
      <c r="C2496">
        <v>25.990200000000002</v>
      </c>
      <c r="D2496">
        <v>25.571000000000002</v>
      </c>
      <c r="E2496">
        <v>25.571000000000002</v>
      </c>
      <c r="F2496">
        <v>45888</v>
      </c>
    </row>
    <row r="2497" spans="1:6" x14ac:dyDescent="0.25">
      <c r="A2497" s="4">
        <v>37972</v>
      </c>
      <c r="B2497">
        <v>25.571000000000002</v>
      </c>
      <c r="C2497">
        <v>25.571000000000002</v>
      </c>
      <c r="D2497">
        <v>24.732600000000001</v>
      </c>
      <c r="E2497">
        <v>24.9422</v>
      </c>
      <c r="F2497">
        <v>77188</v>
      </c>
    </row>
    <row r="2498" spans="1:6" x14ac:dyDescent="0.25">
      <c r="A2498" s="4">
        <v>37973</v>
      </c>
      <c r="B2498">
        <v>24.732600000000001</v>
      </c>
      <c r="C2498">
        <v>25.3614</v>
      </c>
      <c r="D2498">
        <v>24.523</v>
      </c>
      <c r="E2498">
        <v>25.151800000000001</v>
      </c>
      <c r="F2498">
        <v>38968</v>
      </c>
    </row>
    <row r="2499" spans="1:6" x14ac:dyDescent="0.25">
      <c r="A2499" s="4">
        <v>37974</v>
      </c>
      <c r="B2499">
        <v>25.7806</v>
      </c>
      <c r="C2499">
        <v>25.7806</v>
      </c>
      <c r="D2499">
        <v>25.151800000000001</v>
      </c>
      <c r="E2499">
        <v>25.151800000000001</v>
      </c>
      <c r="F2499">
        <v>28331</v>
      </c>
    </row>
    <row r="2500" spans="1:6" x14ac:dyDescent="0.25">
      <c r="A2500" s="4">
        <v>37977</v>
      </c>
      <c r="B2500">
        <v>25.3614</v>
      </c>
      <c r="C2500">
        <v>25.990200000000002</v>
      </c>
      <c r="D2500">
        <v>25.151800000000001</v>
      </c>
      <c r="E2500">
        <v>25.7806</v>
      </c>
      <c r="F2500">
        <v>35596</v>
      </c>
    </row>
    <row r="2501" spans="1:6" x14ac:dyDescent="0.25">
      <c r="A2501" s="4">
        <v>37978</v>
      </c>
      <c r="B2501">
        <v>25.7806</v>
      </c>
      <c r="C2501">
        <v>26.1998</v>
      </c>
      <c r="D2501">
        <v>25.7806</v>
      </c>
      <c r="E2501">
        <v>25.990200000000002</v>
      </c>
      <c r="F2501">
        <v>26204</v>
      </c>
    </row>
    <row r="2502" spans="1:6" x14ac:dyDescent="0.25">
      <c r="A2502" s="4">
        <v>37979</v>
      </c>
      <c r="B2502">
        <v>25.990200000000002</v>
      </c>
      <c r="C2502">
        <v>25.990200000000002</v>
      </c>
      <c r="D2502">
        <v>25.571000000000002</v>
      </c>
      <c r="E2502">
        <v>25.7806</v>
      </c>
      <c r="F2502">
        <v>18574</v>
      </c>
    </row>
    <row r="2503" spans="1:6" x14ac:dyDescent="0.25">
      <c r="A2503" s="4">
        <v>37980</v>
      </c>
      <c r="B2503">
        <v>25.7806</v>
      </c>
      <c r="C2503">
        <v>25.990200000000002</v>
      </c>
      <c r="D2503">
        <v>25.571000000000002</v>
      </c>
      <c r="E2503">
        <v>25.990200000000002</v>
      </c>
      <c r="F2503">
        <v>5297</v>
      </c>
    </row>
    <row r="2504" spans="1:6" x14ac:dyDescent="0.25">
      <c r="A2504" s="4">
        <v>37981</v>
      </c>
      <c r="B2504">
        <v>25.990200000000002</v>
      </c>
      <c r="C2504">
        <v>26.1998</v>
      </c>
      <c r="D2504">
        <v>25.7806</v>
      </c>
      <c r="E2504">
        <v>25.990200000000002</v>
      </c>
      <c r="F2504">
        <v>10799</v>
      </c>
    </row>
    <row r="2505" spans="1:6" x14ac:dyDescent="0.25">
      <c r="A2505" s="4">
        <v>37984</v>
      </c>
      <c r="B2505">
        <v>25.990200000000002</v>
      </c>
      <c r="C2505">
        <v>26.1998</v>
      </c>
      <c r="D2505">
        <v>25.7806</v>
      </c>
      <c r="E2505">
        <v>25.990200000000002</v>
      </c>
      <c r="F2505">
        <v>15688</v>
      </c>
    </row>
    <row r="2506" spans="1:6" x14ac:dyDescent="0.25">
      <c r="A2506" s="4">
        <v>37985</v>
      </c>
      <c r="B2506">
        <v>26.1998</v>
      </c>
      <c r="C2506">
        <v>26.619</v>
      </c>
      <c r="D2506">
        <v>25.990200000000002</v>
      </c>
      <c r="E2506">
        <v>26.409400000000002</v>
      </c>
      <c r="F2506">
        <v>68087</v>
      </c>
    </row>
    <row r="2507" spans="1:6" x14ac:dyDescent="0.25">
      <c r="A2507" s="4">
        <v>37986</v>
      </c>
      <c r="B2507">
        <v>26.409400000000002</v>
      </c>
      <c r="C2507">
        <v>26.619</v>
      </c>
      <c r="D2507">
        <v>26.1998</v>
      </c>
      <c r="E2507">
        <v>26.619</v>
      </c>
      <c r="F2507">
        <v>14589</v>
      </c>
    </row>
    <row r="2508" spans="1:6" x14ac:dyDescent="0.25">
      <c r="A2508" s="4">
        <v>37988</v>
      </c>
      <c r="B2508">
        <v>26.619</v>
      </c>
      <c r="C2508">
        <v>27.4574</v>
      </c>
      <c r="D2508">
        <v>26.619</v>
      </c>
      <c r="E2508">
        <v>27.4574</v>
      </c>
      <c r="F2508">
        <v>55164</v>
      </c>
    </row>
    <row r="2509" spans="1:6" x14ac:dyDescent="0.25">
      <c r="A2509" s="4">
        <v>37991</v>
      </c>
      <c r="B2509">
        <v>27.4574</v>
      </c>
      <c r="C2509">
        <v>27.667000000000002</v>
      </c>
      <c r="D2509">
        <v>27.247800000000002</v>
      </c>
      <c r="E2509">
        <v>27.667000000000002</v>
      </c>
      <c r="F2509">
        <v>29584</v>
      </c>
    </row>
    <row r="2510" spans="1:6" x14ac:dyDescent="0.25">
      <c r="A2510" s="4">
        <v>37992</v>
      </c>
      <c r="B2510">
        <v>27.667000000000002</v>
      </c>
      <c r="C2510">
        <v>27.8766</v>
      </c>
      <c r="D2510">
        <v>27.247800000000002</v>
      </c>
      <c r="E2510">
        <v>27.667000000000002</v>
      </c>
      <c r="F2510">
        <v>31033</v>
      </c>
    </row>
    <row r="2511" spans="1:6" x14ac:dyDescent="0.25">
      <c r="A2511" s="4">
        <v>37993</v>
      </c>
      <c r="B2511">
        <v>27.667000000000002</v>
      </c>
      <c r="C2511">
        <v>27.8766</v>
      </c>
      <c r="D2511">
        <v>27.247800000000002</v>
      </c>
      <c r="E2511">
        <v>27.4574</v>
      </c>
      <c r="F2511">
        <v>42421</v>
      </c>
    </row>
    <row r="2512" spans="1:6" x14ac:dyDescent="0.25">
      <c r="A2512" s="4">
        <v>37994</v>
      </c>
      <c r="B2512">
        <v>27.667000000000002</v>
      </c>
      <c r="C2512">
        <v>27.8766</v>
      </c>
      <c r="D2512">
        <v>27.4574</v>
      </c>
      <c r="E2512">
        <v>27.4574</v>
      </c>
      <c r="F2512">
        <v>26177</v>
      </c>
    </row>
    <row r="2513" spans="1:6" x14ac:dyDescent="0.25">
      <c r="A2513" s="4">
        <v>37995</v>
      </c>
      <c r="B2513">
        <v>28.086200000000002</v>
      </c>
      <c r="C2513">
        <v>28.2958</v>
      </c>
      <c r="D2513">
        <v>27.8766</v>
      </c>
      <c r="E2513">
        <v>28.2958</v>
      </c>
      <c r="F2513">
        <v>53204</v>
      </c>
    </row>
    <row r="2514" spans="1:6" x14ac:dyDescent="0.25">
      <c r="A2514" s="4">
        <v>37998</v>
      </c>
      <c r="B2514">
        <v>28.2958</v>
      </c>
      <c r="C2514">
        <v>28.505400000000002</v>
      </c>
      <c r="D2514">
        <v>27.8766</v>
      </c>
      <c r="E2514">
        <v>28.2958</v>
      </c>
      <c r="F2514">
        <v>23775</v>
      </c>
    </row>
    <row r="2515" spans="1:6" x14ac:dyDescent="0.25">
      <c r="A2515" s="4">
        <v>37999</v>
      </c>
      <c r="B2515">
        <v>28.505400000000002</v>
      </c>
      <c r="C2515">
        <v>28.505400000000002</v>
      </c>
      <c r="D2515">
        <v>28.086200000000002</v>
      </c>
      <c r="E2515">
        <v>28.2958</v>
      </c>
      <c r="F2515">
        <v>22813</v>
      </c>
    </row>
    <row r="2516" spans="1:6" x14ac:dyDescent="0.25">
      <c r="A2516" s="4">
        <v>38000</v>
      </c>
      <c r="B2516">
        <v>28.086200000000002</v>
      </c>
      <c r="C2516">
        <v>28.505400000000002</v>
      </c>
      <c r="D2516">
        <v>27.8766</v>
      </c>
      <c r="E2516">
        <v>28.086200000000002</v>
      </c>
      <c r="F2516">
        <v>29111</v>
      </c>
    </row>
    <row r="2517" spans="1:6" x14ac:dyDescent="0.25">
      <c r="A2517" s="4">
        <v>38001</v>
      </c>
      <c r="B2517">
        <v>28.2958</v>
      </c>
      <c r="C2517">
        <v>28.2958</v>
      </c>
      <c r="D2517">
        <v>27.667000000000002</v>
      </c>
      <c r="E2517">
        <v>28.086200000000002</v>
      </c>
      <c r="F2517">
        <v>31854</v>
      </c>
    </row>
    <row r="2518" spans="1:6" x14ac:dyDescent="0.25">
      <c r="A2518" s="4">
        <v>38002</v>
      </c>
      <c r="B2518">
        <v>28.086200000000002</v>
      </c>
      <c r="C2518">
        <v>28.2958</v>
      </c>
      <c r="D2518">
        <v>27.8766</v>
      </c>
      <c r="E2518">
        <v>27.8766</v>
      </c>
      <c r="F2518">
        <v>23814</v>
      </c>
    </row>
    <row r="2519" spans="1:6" x14ac:dyDescent="0.25">
      <c r="A2519" s="4">
        <v>38013</v>
      </c>
      <c r="B2519">
        <v>28.505400000000002</v>
      </c>
      <c r="C2519">
        <v>28.715</v>
      </c>
      <c r="D2519">
        <v>28.2958</v>
      </c>
      <c r="E2519">
        <v>28.715</v>
      </c>
      <c r="F2519">
        <v>59837</v>
      </c>
    </row>
    <row r="2520" spans="1:6" x14ac:dyDescent="0.25">
      <c r="A2520" s="4">
        <v>38014</v>
      </c>
      <c r="B2520">
        <v>28.2958</v>
      </c>
      <c r="C2520">
        <v>28.505400000000002</v>
      </c>
      <c r="D2520">
        <v>28.086200000000002</v>
      </c>
      <c r="E2520">
        <v>28.2958</v>
      </c>
      <c r="F2520">
        <v>30318</v>
      </c>
    </row>
    <row r="2521" spans="1:6" x14ac:dyDescent="0.25">
      <c r="A2521" s="4">
        <v>38015</v>
      </c>
      <c r="B2521">
        <v>27.8766</v>
      </c>
      <c r="C2521">
        <v>28.505400000000002</v>
      </c>
      <c r="D2521">
        <v>27.8766</v>
      </c>
      <c r="E2521">
        <v>27.8766</v>
      </c>
      <c r="F2521">
        <v>63815</v>
      </c>
    </row>
    <row r="2522" spans="1:6" x14ac:dyDescent="0.25">
      <c r="A2522" s="4">
        <v>38016</v>
      </c>
      <c r="B2522">
        <v>27.8766</v>
      </c>
      <c r="C2522">
        <v>28.086200000000002</v>
      </c>
      <c r="D2522">
        <v>27.4574</v>
      </c>
      <c r="E2522">
        <v>27.667000000000002</v>
      </c>
      <c r="F2522">
        <v>38863</v>
      </c>
    </row>
    <row r="2523" spans="1:6" x14ac:dyDescent="0.25">
      <c r="A2523" s="4">
        <v>38019</v>
      </c>
      <c r="B2523">
        <v>27.667000000000002</v>
      </c>
      <c r="C2523">
        <v>27.8766</v>
      </c>
      <c r="D2523">
        <v>27.247800000000002</v>
      </c>
      <c r="E2523">
        <v>27.247800000000002</v>
      </c>
      <c r="F2523">
        <v>23228</v>
      </c>
    </row>
    <row r="2524" spans="1:6" x14ac:dyDescent="0.25">
      <c r="A2524" s="4">
        <v>38020</v>
      </c>
      <c r="B2524">
        <v>26.828600000000002</v>
      </c>
      <c r="C2524">
        <v>27.0382</v>
      </c>
      <c r="D2524">
        <v>26.409400000000002</v>
      </c>
      <c r="E2524">
        <v>26.619</v>
      </c>
      <c r="F2524">
        <v>57391</v>
      </c>
    </row>
    <row r="2525" spans="1:6" x14ac:dyDescent="0.25">
      <c r="A2525" s="4">
        <v>38021</v>
      </c>
      <c r="B2525">
        <v>26.619</v>
      </c>
      <c r="C2525">
        <v>26.619</v>
      </c>
      <c r="D2525">
        <v>26.1998</v>
      </c>
      <c r="E2525">
        <v>26.1998</v>
      </c>
      <c r="F2525">
        <v>32646</v>
      </c>
    </row>
    <row r="2526" spans="1:6" x14ac:dyDescent="0.25">
      <c r="A2526" s="4">
        <v>38022</v>
      </c>
      <c r="B2526">
        <v>26.1998</v>
      </c>
      <c r="C2526">
        <v>26.619</v>
      </c>
      <c r="D2526">
        <v>25.990200000000002</v>
      </c>
      <c r="E2526">
        <v>26.1998</v>
      </c>
      <c r="F2526">
        <v>35313</v>
      </c>
    </row>
    <row r="2527" spans="1:6" x14ac:dyDescent="0.25">
      <c r="A2527" s="4">
        <v>38023</v>
      </c>
      <c r="B2527">
        <v>26.409400000000002</v>
      </c>
      <c r="C2527">
        <v>26.828600000000002</v>
      </c>
      <c r="D2527">
        <v>26.409400000000002</v>
      </c>
      <c r="E2527">
        <v>26.409400000000002</v>
      </c>
      <c r="F2527">
        <v>25554</v>
      </c>
    </row>
    <row r="2528" spans="1:6" x14ac:dyDescent="0.25">
      <c r="A2528" s="4">
        <v>38026</v>
      </c>
      <c r="B2528">
        <v>26.828600000000002</v>
      </c>
      <c r="C2528">
        <v>27.4574</v>
      </c>
      <c r="D2528">
        <v>26.828600000000002</v>
      </c>
      <c r="E2528">
        <v>27.247800000000002</v>
      </c>
      <c r="F2528">
        <v>34121</v>
      </c>
    </row>
    <row r="2529" spans="1:6" x14ac:dyDescent="0.25">
      <c r="A2529" s="4">
        <v>38027</v>
      </c>
      <c r="B2529">
        <v>27.247800000000002</v>
      </c>
      <c r="C2529">
        <v>27.4574</v>
      </c>
      <c r="D2529">
        <v>26.828600000000002</v>
      </c>
      <c r="E2529">
        <v>26.828600000000002</v>
      </c>
      <c r="F2529">
        <v>26834</v>
      </c>
    </row>
    <row r="2530" spans="1:6" x14ac:dyDescent="0.25">
      <c r="A2530" s="4">
        <v>38028</v>
      </c>
      <c r="B2530">
        <v>27.0382</v>
      </c>
      <c r="C2530">
        <v>27.0382</v>
      </c>
      <c r="D2530">
        <v>26.619</v>
      </c>
      <c r="E2530">
        <v>26.828600000000002</v>
      </c>
      <c r="F2530">
        <v>18590</v>
      </c>
    </row>
    <row r="2531" spans="1:6" x14ac:dyDescent="0.25">
      <c r="A2531" s="4">
        <v>38029</v>
      </c>
      <c r="B2531">
        <v>26.828600000000002</v>
      </c>
      <c r="C2531">
        <v>27.247800000000002</v>
      </c>
      <c r="D2531">
        <v>26.828600000000002</v>
      </c>
      <c r="E2531">
        <v>27.0382</v>
      </c>
      <c r="F2531">
        <v>48649</v>
      </c>
    </row>
    <row r="2532" spans="1:6" x14ac:dyDescent="0.25">
      <c r="A2532" s="4">
        <v>38030</v>
      </c>
      <c r="B2532">
        <v>27.0382</v>
      </c>
      <c r="C2532">
        <v>27.0382</v>
      </c>
      <c r="D2532">
        <v>26.619</v>
      </c>
      <c r="E2532">
        <v>26.828600000000002</v>
      </c>
      <c r="F2532">
        <v>28300</v>
      </c>
    </row>
    <row r="2533" spans="1:6" x14ac:dyDescent="0.25">
      <c r="A2533" s="4">
        <v>38033</v>
      </c>
      <c r="B2533">
        <v>26.828600000000002</v>
      </c>
      <c r="C2533">
        <v>26.828600000000002</v>
      </c>
      <c r="D2533">
        <v>26.1998</v>
      </c>
      <c r="E2533">
        <v>26.1998</v>
      </c>
      <c r="F2533">
        <v>43882</v>
      </c>
    </row>
    <row r="2534" spans="1:6" x14ac:dyDescent="0.25">
      <c r="A2534" s="4">
        <v>38034</v>
      </c>
      <c r="B2534">
        <v>26.1998</v>
      </c>
      <c r="C2534">
        <v>26.619</v>
      </c>
      <c r="D2534">
        <v>26.1998</v>
      </c>
      <c r="E2534">
        <v>26.1998</v>
      </c>
      <c r="F2534">
        <v>31506</v>
      </c>
    </row>
    <row r="2535" spans="1:6" x14ac:dyDescent="0.25">
      <c r="A2535" s="4">
        <v>38035</v>
      </c>
      <c r="B2535">
        <v>26.619</v>
      </c>
      <c r="C2535">
        <v>26.828600000000002</v>
      </c>
      <c r="D2535">
        <v>26.409400000000002</v>
      </c>
      <c r="E2535">
        <v>26.409400000000002</v>
      </c>
      <c r="F2535">
        <v>49333</v>
      </c>
    </row>
    <row r="2536" spans="1:6" x14ac:dyDescent="0.25">
      <c r="A2536" s="4">
        <v>38036</v>
      </c>
      <c r="B2536">
        <v>26.619</v>
      </c>
      <c r="C2536">
        <v>26.828600000000002</v>
      </c>
      <c r="D2536">
        <v>26.409400000000002</v>
      </c>
      <c r="E2536">
        <v>26.619</v>
      </c>
      <c r="F2536">
        <v>43717</v>
      </c>
    </row>
    <row r="2537" spans="1:6" x14ac:dyDescent="0.25">
      <c r="A2537" s="4">
        <v>38037</v>
      </c>
      <c r="B2537">
        <v>26.619</v>
      </c>
      <c r="C2537">
        <v>26.828600000000002</v>
      </c>
      <c r="D2537">
        <v>26.409400000000002</v>
      </c>
      <c r="E2537">
        <v>26.619</v>
      </c>
      <c r="F2537">
        <v>52627</v>
      </c>
    </row>
    <row r="2538" spans="1:6" x14ac:dyDescent="0.25">
      <c r="A2538" s="4">
        <v>38040</v>
      </c>
      <c r="B2538">
        <v>26.409400000000002</v>
      </c>
      <c r="C2538">
        <v>26.619</v>
      </c>
      <c r="D2538">
        <v>25.990200000000002</v>
      </c>
      <c r="E2538">
        <v>26.1998</v>
      </c>
      <c r="F2538">
        <v>47834</v>
      </c>
    </row>
    <row r="2539" spans="1:6" x14ac:dyDescent="0.25">
      <c r="A2539" s="4">
        <v>38041</v>
      </c>
      <c r="B2539">
        <v>25.990200000000002</v>
      </c>
      <c r="C2539">
        <v>26.1998</v>
      </c>
      <c r="D2539">
        <v>25.7806</v>
      </c>
      <c r="E2539">
        <v>25.7806</v>
      </c>
      <c r="F2539">
        <v>41912</v>
      </c>
    </row>
    <row r="2540" spans="1:6" x14ac:dyDescent="0.25">
      <c r="A2540" s="4">
        <v>38042</v>
      </c>
      <c r="B2540">
        <v>25.990200000000002</v>
      </c>
      <c r="C2540">
        <v>26.1998</v>
      </c>
      <c r="D2540">
        <v>25.7806</v>
      </c>
      <c r="E2540">
        <v>25.7806</v>
      </c>
      <c r="F2540">
        <v>40959</v>
      </c>
    </row>
    <row r="2541" spans="1:6" x14ac:dyDescent="0.25">
      <c r="A2541" s="4">
        <v>38043</v>
      </c>
      <c r="B2541">
        <v>26.1998</v>
      </c>
      <c r="C2541">
        <v>26.619</v>
      </c>
      <c r="D2541">
        <v>25.990200000000002</v>
      </c>
      <c r="E2541">
        <v>26.619</v>
      </c>
      <c r="F2541">
        <v>43758</v>
      </c>
    </row>
    <row r="2542" spans="1:6" x14ac:dyDescent="0.25">
      <c r="A2542" s="4">
        <v>38044</v>
      </c>
      <c r="B2542">
        <v>26.619</v>
      </c>
      <c r="C2542">
        <v>26.619</v>
      </c>
      <c r="D2542">
        <v>26.1998</v>
      </c>
      <c r="E2542">
        <v>26.619</v>
      </c>
      <c r="F2542">
        <v>36982</v>
      </c>
    </row>
    <row r="2543" spans="1:6" x14ac:dyDescent="0.25">
      <c r="A2543" s="4">
        <v>38047</v>
      </c>
      <c r="B2543">
        <v>26.619</v>
      </c>
      <c r="C2543">
        <v>27.0382</v>
      </c>
      <c r="D2543">
        <v>26.409400000000002</v>
      </c>
      <c r="E2543">
        <v>27.0382</v>
      </c>
      <c r="F2543">
        <v>51923</v>
      </c>
    </row>
    <row r="2544" spans="1:6" x14ac:dyDescent="0.25">
      <c r="A2544" s="4">
        <v>38048</v>
      </c>
      <c r="B2544">
        <v>27.4574</v>
      </c>
      <c r="C2544">
        <v>28.086200000000002</v>
      </c>
      <c r="D2544">
        <v>27.247800000000002</v>
      </c>
      <c r="E2544">
        <v>28.086200000000002</v>
      </c>
      <c r="F2544">
        <v>99499</v>
      </c>
    </row>
    <row r="2545" spans="1:6" x14ac:dyDescent="0.25">
      <c r="A2545" s="4">
        <v>38049</v>
      </c>
      <c r="B2545">
        <v>28.086200000000002</v>
      </c>
      <c r="C2545">
        <v>28.2958</v>
      </c>
      <c r="D2545">
        <v>27.4574</v>
      </c>
      <c r="E2545">
        <v>27.667000000000002</v>
      </c>
      <c r="F2545">
        <v>57896</v>
      </c>
    </row>
    <row r="2546" spans="1:6" x14ac:dyDescent="0.25">
      <c r="A2546" s="4">
        <v>38050</v>
      </c>
      <c r="B2546">
        <v>27.667000000000002</v>
      </c>
      <c r="C2546">
        <v>28.2958</v>
      </c>
      <c r="D2546">
        <v>27.4574</v>
      </c>
      <c r="E2546">
        <v>28.086200000000002</v>
      </c>
      <c r="F2546">
        <v>74938</v>
      </c>
    </row>
    <row r="2547" spans="1:6" x14ac:dyDescent="0.25">
      <c r="A2547" s="4">
        <v>38051</v>
      </c>
      <c r="B2547">
        <v>28.505400000000002</v>
      </c>
      <c r="C2547">
        <v>28.715</v>
      </c>
      <c r="D2547">
        <v>28.086200000000002</v>
      </c>
      <c r="E2547">
        <v>28.086200000000002</v>
      </c>
      <c r="F2547">
        <v>85572</v>
      </c>
    </row>
    <row r="2548" spans="1:6" x14ac:dyDescent="0.25">
      <c r="A2548" s="4">
        <v>38054</v>
      </c>
      <c r="B2548">
        <v>27.667000000000002</v>
      </c>
      <c r="C2548">
        <v>28.2958</v>
      </c>
      <c r="D2548">
        <v>27.667000000000002</v>
      </c>
      <c r="E2548">
        <v>27.667000000000002</v>
      </c>
      <c r="F2548">
        <v>40894</v>
      </c>
    </row>
    <row r="2549" spans="1:6" x14ac:dyDescent="0.25">
      <c r="A2549" s="4">
        <v>38055</v>
      </c>
      <c r="B2549">
        <v>27.247800000000002</v>
      </c>
      <c r="C2549">
        <v>27.667000000000002</v>
      </c>
      <c r="D2549">
        <v>27.0382</v>
      </c>
      <c r="E2549">
        <v>27.4574</v>
      </c>
      <c r="F2549">
        <v>36685</v>
      </c>
    </row>
    <row r="2550" spans="1:6" x14ac:dyDescent="0.25">
      <c r="A2550" s="4">
        <v>38056</v>
      </c>
      <c r="B2550">
        <v>27.247800000000002</v>
      </c>
      <c r="C2550">
        <v>27.247800000000002</v>
      </c>
      <c r="D2550">
        <v>26.409400000000002</v>
      </c>
      <c r="E2550">
        <v>26.409400000000002</v>
      </c>
      <c r="F2550">
        <v>87607</v>
      </c>
    </row>
    <row r="2551" spans="1:6" x14ac:dyDescent="0.25">
      <c r="A2551" s="4">
        <v>38057</v>
      </c>
      <c r="B2551">
        <v>25.990200000000002</v>
      </c>
      <c r="C2551">
        <v>26.828600000000002</v>
      </c>
      <c r="D2551">
        <v>25.990200000000002</v>
      </c>
      <c r="E2551">
        <v>26.619</v>
      </c>
      <c r="F2551">
        <v>49806</v>
      </c>
    </row>
    <row r="2552" spans="1:6" x14ac:dyDescent="0.25">
      <c r="A2552" s="4">
        <v>38058</v>
      </c>
      <c r="B2552">
        <v>26.1998</v>
      </c>
      <c r="C2552">
        <v>26.409400000000002</v>
      </c>
      <c r="D2552">
        <v>25.990200000000002</v>
      </c>
      <c r="E2552">
        <v>25.990200000000002</v>
      </c>
      <c r="F2552">
        <v>83702</v>
      </c>
    </row>
    <row r="2553" spans="1:6" x14ac:dyDescent="0.25">
      <c r="A2553" s="4">
        <v>38061</v>
      </c>
      <c r="B2553">
        <v>26.409400000000002</v>
      </c>
      <c r="C2553">
        <v>26.619</v>
      </c>
      <c r="D2553">
        <v>25.571000000000002</v>
      </c>
      <c r="E2553">
        <v>25.571000000000002</v>
      </c>
      <c r="F2553">
        <v>44374</v>
      </c>
    </row>
    <row r="2554" spans="1:6" x14ac:dyDescent="0.25">
      <c r="A2554" s="4">
        <v>38062</v>
      </c>
      <c r="B2554">
        <v>25.7806</v>
      </c>
      <c r="C2554">
        <v>25.7806</v>
      </c>
      <c r="D2554">
        <v>25.151800000000001</v>
      </c>
      <c r="E2554">
        <v>25.3614</v>
      </c>
      <c r="F2554">
        <v>62170</v>
      </c>
    </row>
    <row r="2555" spans="1:6" x14ac:dyDescent="0.25">
      <c r="A2555" s="4">
        <v>38063</v>
      </c>
      <c r="B2555">
        <v>25.571000000000002</v>
      </c>
      <c r="C2555">
        <v>25.7806</v>
      </c>
      <c r="D2555">
        <v>25.151800000000001</v>
      </c>
      <c r="E2555">
        <v>25.3614</v>
      </c>
      <c r="F2555">
        <v>65711</v>
      </c>
    </row>
    <row r="2556" spans="1:6" x14ac:dyDescent="0.25">
      <c r="A2556" s="4">
        <v>38064</v>
      </c>
      <c r="B2556">
        <v>25.151800000000001</v>
      </c>
      <c r="C2556">
        <v>26.1998</v>
      </c>
      <c r="D2556">
        <v>25.151800000000001</v>
      </c>
      <c r="E2556">
        <v>25.990200000000002</v>
      </c>
      <c r="F2556">
        <v>112049</v>
      </c>
    </row>
    <row r="2557" spans="1:6" x14ac:dyDescent="0.25">
      <c r="A2557" s="4">
        <v>38065</v>
      </c>
      <c r="B2557">
        <v>25.990200000000002</v>
      </c>
      <c r="C2557">
        <v>26.409400000000002</v>
      </c>
      <c r="D2557">
        <v>25.7806</v>
      </c>
      <c r="E2557">
        <v>26.409400000000002</v>
      </c>
      <c r="F2557">
        <v>36938</v>
      </c>
    </row>
    <row r="2558" spans="1:6" x14ac:dyDescent="0.25">
      <c r="A2558" s="4">
        <v>38068</v>
      </c>
      <c r="B2558">
        <v>24.732600000000001</v>
      </c>
      <c r="C2558">
        <v>24.732600000000001</v>
      </c>
      <c r="D2558">
        <v>24.732600000000001</v>
      </c>
      <c r="E2558">
        <v>24.732600000000001</v>
      </c>
      <c r="F2558">
        <v>10805</v>
      </c>
    </row>
    <row r="2559" spans="1:6" x14ac:dyDescent="0.25">
      <c r="A2559" s="4">
        <v>38069</v>
      </c>
      <c r="B2559">
        <v>23.055800000000001</v>
      </c>
      <c r="C2559">
        <v>23.894200000000001</v>
      </c>
      <c r="D2559">
        <v>23.055800000000001</v>
      </c>
      <c r="E2559">
        <v>23.055800000000001</v>
      </c>
      <c r="F2559">
        <v>248568</v>
      </c>
    </row>
    <row r="2560" spans="1:6" x14ac:dyDescent="0.25">
      <c r="A2560" s="4">
        <v>38070</v>
      </c>
      <c r="B2560">
        <v>24.523</v>
      </c>
      <c r="C2560">
        <v>24.523</v>
      </c>
      <c r="D2560">
        <v>23.894200000000001</v>
      </c>
      <c r="E2560">
        <v>24.313400000000001</v>
      </c>
      <c r="F2560">
        <v>140895</v>
      </c>
    </row>
    <row r="2561" spans="1:6" x14ac:dyDescent="0.25">
      <c r="A2561" s="4">
        <v>38071</v>
      </c>
      <c r="B2561">
        <v>24.732600000000001</v>
      </c>
      <c r="C2561">
        <v>24.732600000000001</v>
      </c>
      <c r="D2561">
        <v>24.1038</v>
      </c>
      <c r="E2561">
        <v>24.313400000000001</v>
      </c>
      <c r="F2561">
        <v>73067</v>
      </c>
    </row>
    <row r="2562" spans="1:6" x14ac:dyDescent="0.25">
      <c r="A2562" s="4">
        <v>38072</v>
      </c>
      <c r="B2562">
        <v>24.732600000000001</v>
      </c>
      <c r="C2562">
        <v>24.9422</v>
      </c>
      <c r="D2562">
        <v>24.313400000000001</v>
      </c>
      <c r="E2562">
        <v>24.523</v>
      </c>
      <c r="F2562">
        <v>47083</v>
      </c>
    </row>
    <row r="2563" spans="1:6" x14ac:dyDescent="0.25">
      <c r="A2563" s="4">
        <v>38075</v>
      </c>
      <c r="B2563">
        <v>25.151800000000001</v>
      </c>
      <c r="C2563">
        <v>25.7806</v>
      </c>
      <c r="D2563">
        <v>24.9422</v>
      </c>
      <c r="E2563">
        <v>25.7806</v>
      </c>
      <c r="F2563">
        <v>46398</v>
      </c>
    </row>
    <row r="2564" spans="1:6" x14ac:dyDescent="0.25">
      <c r="A2564" s="4">
        <v>38076</v>
      </c>
      <c r="B2564">
        <v>25.571000000000002</v>
      </c>
      <c r="C2564">
        <v>25.7806</v>
      </c>
      <c r="D2564">
        <v>25.151800000000001</v>
      </c>
      <c r="E2564">
        <v>25.151800000000001</v>
      </c>
      <c r="F2564">
        <v>43253</v>
      </c>
    </row>
    <row r="2565" spans="1:6" x14ac:dyDescent="0.25">
      <c r="A2565" s="4">
        <v>38077</v>
      </c>
      <c r="B2565">
        <v>25.3614</v>
      </c>
      <c r="C2565">
        <v>25.571000000000002</v>
      </c>
      <c r="D2565">
        <v>24.9422</v>
      </c>
      <c r="E2565">
        <v>25.151800000000001</v>
      </c>
      <c r="F2565">
        <v>33574</v>
      </c>
    </row>
    <row r="2566" spans="1:6" x14ac:dyDescent="0.25">
      <c r="A2566" s="4">
        <v>38078</v>
      </c>
      <c r="B2566">
        <v>24.9422</v>
      </c>
      <c r="C2566">
        <v>25.151800000000001</v>
      </c>
      <c r="D2566">
        <v>24.732600000000001</v>
      </c>
      <c r="E2566">
        <v>24.9422</v>
      </c>
      <c r="F2566">
        <v>37887</v>
      </c>
    </row>
    <row r="2567" spans="1:6" x14ac:dyDescent="0.25">
      <c r="A2567" s="4">
        <v>38079</v>
      </c>
      <c r="B2567">
        <v>24.9422</v>
      </c>
      <c r="C2567">
        <v>25.151800000000001</v>
      </c>
      <c r="D2567">
        <v>24.523</v>
      </c>
      <c r="E2567">
        <v>24.9422</v>
      </c>
      <c r="F2567">
        <v>33976</v>
      </c>
    </row>
    <row r="2568" spans="1:6" x14ac:dyDescent="0.25">
      <c r="A2568" s="4">
        <v>38082</v>
      </c>
      <c r="B2568">
        <v>25.571000000000002</v>
      </c>
      <c r="C2568">
        <v>25.990200000000002</v>
      </c>
      <c r="D2568">
        <v>25.151800000000001</v>
      </c>
      <c r="E2568">
        <v>25.990200000000002</v>
      </c>
      <c r="F2568">
        <v>59968</v>
      </c>
    </row>
    <row r="2569" spans="1:6" x14ac:dyDescent="0.25">
      <c r="A2569" s="4">
        <v>38083</v>
      </c>
      <c r="B2569">
        <v>26.1998</v>
      </c>
      <c r="C2569">
        <v>26.1998</v>
      </c>
      <c r="D2569">
        <v>25.571000000000002</v>
      </c>
      <c r="E2569">
        <v>25.990200000000002</v>
      </c>
      <c r="F2569">
        <v>47068</v>
      </c>
    </row>
    <row r="2570" spans="1:6" x14ac:dyDescent="0.25">
      <c r="A2570" s="4">
        <v>38084</v>
      </c>
      <c r="B2570">
        <v>25.7806</v>
      </c>
      <c r="C2570">
        <v>25.990200000000002</v>
      </c>
      <c r="D2570">
        <v>25.571000000000002</v>
      </c>
      <c r="E2570">
        <v>25.7806</v>
      </c>
      <c r="F2570">
        <v>15852</v>
      </c>
    </row>
    <row r="2571" spans="1:6" x14ac:dyDescent="0.25">
      <c r="A2571" s="4">
        <v>38085</v>
      </c>
      <c r="B2571">
        <v>25.571000000000002</v>
      </c>
      <c r="C2571">
        <v>25.7806</v>
      </c>
      <c r="D2571">
        <v>25.3614</v>
      </c>
      <c r="E2571">
        <v>25.571000000000002</v>
      </c>
      <c r="F2571">
        <v>28086</v>
      </c>
    </row>
    <row r="2572" spans="1:6" x14ac:dyDescent="0.25">
      <c r="A2572" s="4">
        <v>38086</v>
      </c>
      <c r="B2572">
        <v>25.3614</v>
      </c>
      <c r="C2572">
        <v>25.571000000000002</v>
      </c>
      <c r="D2572">
        <v>25.151800000000001</v>
      </c>
      <c r="E2572">
        <v>25.151800000000001</v>
      </c>
      <c r="F2572">
        <v>18475</v>
      </c>
    </row>
    <row r="2573" spans="1:6" x14ac:dyDescent="0.25">
      <c r="A2573" s="4">
        <v>38089</v>
      </c>
      <c r="B2573">
        <v>25.3614</v>
      </c>
      <c r="C2573">
        <v>25.990200000000002</v>
      </c>
      <c r="D2573">
        <v>25.3614</v>
      </c>
      <c r="E2573">
        <v>25.571000000000002</v>
      </c>
      <c r="F2573">
        <v>30548</v>
      </c>
    </row>
    <row r="2574" spans="1:6" x14ac:dyDescent="0.25">
      <c r="A2574" s="4">
        <v>38090</v>
      </c>
      <c r="B2574">
        <v>25.7806</v>
      </c>
      <c r="C2574">
        <v>25.990200000000002</v>
      </c>
      <c r="D2574">
        <v>25.151800000000001</v>
      </c>
      <c r="E2574">
        <v>25.3614</v>
      </c>
      <c r="F2574">
        <v>29976</v>
      </c>
    </row>
    <row r="2575" spans="1:6" x14ac:dyDescent="0.25">
      <c r="A2575" s="4">
        <v>38091</v>
      </c>
      <c r="B2575">
        <v>25.3614</v>
      </c>
      <c r="C2575">
        <v>26.619</v>
      </c>
      <c r="D2575">
        <v>25.151800000000001</v>
      </c>
      <c r="E2575">
        <v>26.409400000000002</v>
      </c>
      <c r="F2575">
        <v>63266</v>
      </c>
    </row>
    <row r="2576" spans="1:6" x14ac:dyDescent="0.25">
      <c r="A2576" s="4">
        <v>38092</v>
      </c>
      <c r="B2576">
        <v>26.409400000000002</v>
      </c>
      <c r="C2576">
        <v>26.409400000000002</v>
      </c>
      <c r="D2576">
        <v>25.571000000000002</v>
      </c>
      <c r="E2576">
        <v>25.571000000000002</v>
      </c>
      <c r="F2576">
        <v>42203</v>
      </c>
    </row>
    <row r="2577" spans="1:6" x14ac:dyDescent="0.25">
      <c r="A2577" s="4">
        <v>38093</v>
      </c>
      <c r="B2577">
        <v>25.3614</v>
      </c>
      <c r="C2577">
        <v>25.7806</v>
      </c>
      <c r="D2577">
        <v>25.151800000000001</v>
      </c>
      <c r="E2577">
        <v>25.571000000000002</v>
      </c>
      <c r="F2577">
        <v>60404</v>
      </c>
    </row>
    <row r="2578" spans="1:6" x14ac:dyDescent="0.25">
      <c r="A2578" s="4">
        <v>38096</v>
      </c>
      <c r="B2578">
        <v>25.3614</v>
      </c>
      <c r="C2578">
        <v>25.571000000000002</v>
      </c>
      <c r="D2578">
        <v>24.9422</v>
      </c>
      <c r="E2578">
        <v>24.9422</v>
      </c>
      <c r="F2578">
        <v>50155</v>
      </c>
    </row>
    <row r="2579" spans="1:6" x14ac:dyDescent="0.25">
      <c r="A2579" s="4">
        <v>38097</v>
      </c>
      <c r="B2579">
        <v>25.151800000000001</v>
      </c>
      <c r="C2579">
        <v>25.7806</v>
      </c>
      <c r="D2579">
        <v>25.151800000000001</v>
      </c>
      <c r="E2579">
        <v>25.571000000000002</v>
      </c>
      <c r="F2579">
        <v>38040</v>
      </c>
    </row>
    <row r="2580" spans="1:6" x14ac:dyDescent="0.25">
      <c r="A2580" s="4">
        <v>38098</v>
      </c>
      <c r="B2580">
        <v>25.571000000000002</v>
      </c>
      <c r="C2580">
        <v>25.7806</v>
      </c>
      <c r="D2580">
        <v>25.571000000000002</v>
      </c>
      <c r="E2580">
        <v>25.7806</v>
      </c>
      <c r="F2580">
        <v>42594</v>
      </c>
    </row>
    <row r="2581" spans="1:6" x14ac:dyDescent="0.25">
      <c r="A2581" s="4">
        <v>38099</v>
      </c>
      <c r="B2581">
        <v>26.1998</v>
      </c>
      <c r="C2581">
        <v>26.828600000000002</v>
      </c>
      <c r="D2581">
        <v>25.571000000000002</v>
      </c>
      <c r="E2581">
        <v>25.990200000000002</v>
      </c>
      <c r="F2581">
        <v>124125</v>
      </c>
    </row>
    <row r="2582" spans="1:6" x14ac:dyDescent="0.25">
      <c r="A2582" s="4">
        <v>38100</v>
      </c>
      <c r="B2582">
        <v>26.409400000000002</v>
      </c>
      <c r="C2582">
        <v>26.828600000000002</v>
      </c>
      <c r="D2582">
        <v>26.1998</v>
      </c>
      <c r="E2582">
        <v>26.828600000000002</v>
      </c>
      <c r="F2582">
        <v>90836</v>
      </c>
    </row>
    <row r="2583" spans="1:6" x14ac:dyDescent="0.25">
      <c r="A2583" s="4">
        <v>38103</v>
      </c>
      <c r="B2583">
        <v>26.828600000000002</v>
      </c>
      <c r="C2583">
        <v>27.0382</v>
      </c>
      <c r="D2583">
        <v>26.619</v>
      </c>
      <c r="E2583">
        <v>26.619</v>
      </c>
      <c r="F2583">
        <v>55125</v>
      </c>
    </row>
    <row r="2584" spans="1:6" x14ac:dyDescent="0.25">
      <c r="A2584" s="4">
        <v>38104</v>
      </c>
      <c r="B2584">
        <v>26.619</v>
      </c>
      <c r="C2584">
        <v>26.619</v>
      </c>
      <c r="D2584">
        <v>25.990200000000002</v>
      </c>
      <c r="E2584">
        <v>26.619</v>
      </c>
      <c r="F2584">
        <v>45437</v>
      </c>
    </row>
    <row r="2585" spans="1:6" x14ac:dyDescent="0.25">
      <c r="A2585" s="4">
        <v>38105</v>
      </c>
      <c r="B2585">
        <v>26.409400000000002</v>
      </c>
      <c r="C2585">
        <v>26.619</v>
      </c>
      <c r="D2585">
        <v>25.990200000000002</v>
      </c>
      <c r="E2585">
        <v>25.990200000000002</v>
      </c>
      <c r="F2585">
        <v>31146</v>
      </c>
    </row>
    <row r="2586" spans="1:6" x14ac:dyDescent="0.25">
      <c r="A2586" s="4">
        <v>38106</v>
      </c>
      <c r="B2586">
        <v>25.151800000000001</v>
      </c>
      <c r="C2586">
        <v>25.571000000000002</v>
      </c>
      <c r="D2586">
        <v>24.9422</v>
      </c>
      <c r="E2586">
        <v>25.3614</v>
      </c>
      <c r="F2586">
        <v>85575</v>
      </c>
    </row>
    <row r="2587" spans="1:6" x14ac:dyDescent="0.25">
      <c r="A2587" s="4">
        <v>38107</v>
      </c>
      <c r="B2587">
        <v>25.151800000000001</v>
      </c>
      <c r="C2587">
        <v>25.151800000000001</v>
      </c>
      <c r="D2587">
        <v>23.6846</v>
      </c>
      <c r="E2587">
        <v>24.1038</v>
      </c>
      <c r="F2587">
        <v>86620</v>
      </c>
    </row>
    <row r="2588" spans="1:6" x14ac:dyDescent="0.25">
      <c r="A2588" s="4">
        <v>38110</v>
      </c>
      <c r="B2588">
        <v>24.1038</v>
      </c>
      <c r="C2588">
        <v>24.523</v>
      </c>
      <c r="D2588">
        <v>23.894200000000001</v>
      </c>
      <c r="E2588">
        <v>24.313400000000001</v>
      </c>
      <c r="F2588">
        <v>33094</v>
      </c>
    </row>
    <row r="2589" spans="1:6" x14ac:dyDescent="0.25">
      <c r="A2589" s="4">
        <v>38111</v>
      </c>
      <c r="B2589">
        <v>24.732600000000001</v>
      </c>
      <c r="C2589">
        <v>24.9422</v>
      </c>
      <c r="D2589">
        <v>24.523</v>
      </c>
      <c r="E2589">
        <v>24.732600000000001</v>
      </c>
      <c r="F2589">
        <v>29516</v>
      </c>
    </row>
    <row r="2590" spans="1:6" x14ac:dyDescent="0.25">
      <c r="A2590" s="4">
        <v>38112</v>
      </c>
      <c r="B2590">
        <v>24.732600000000001</v>
      </c>
      <c r="C2590">
        <v>24.732600000000001</v>
      </c>
      <c r="D2590">
        <v>23.055800000000001</v>
      </c>
      <c r="E2590">
        <v>23.055800000000001</v>
      </c>
      <c r="F2590">
        <v>73760</v>
      </c>
    </row>
    <row r="2591" spans="1:6" x14ac:dyDescent="0.25">
      <c r="A2591" s="4">
        <v>38113</v>
      </c>
      <c r="B2591">
        <v>23.475000000000001</v>
      </c>
      <c r="C2591">
        <v>23.894200000000001</v>
      </c>
      <c r="D2591">
        <v>23.2654</v>
      </c>
      <c r="E2591">
        <v>23.2654</v>
      </c>
      <c r="F2591">
        <v>78663</v>
      </c>
    </row>
    <row r="2592" spans="1:6" x14ac:dyDescent="0.25">
      <c r="A2592" s="4">
        <v>38114</v>
      </c>
      <c r="B2592">
        <v>23.055800000000001</v>
      </c>
      <c r="C2592">
        <v>23.894200000000001</v>
      </c>
      <c r="D2592">
        <v>23.055800000000001</v>
      </c>
      <c r="E2592">
        <v>23.894200000000001</v>
      </c>
      <c r="F2592">
        <v>58535</v>
      </c>
    </row>
    <row r="2593" spans="1:6" x14ac:dyDescent="0.25">
      <c r="A2593" s="4">
        <v>38117</v>
      </c>
      <c r="B2593">
        <v>23.475000000000001</v>
      </c>
      <c r="C2593">
        <v>23.475000000000001</v>
      </c>
      <c r="D2593">
        <v>22.636600000000001</v>
      </c>
      <c r="E2593">
        <v>23.055800000000001</v>
      </c>
      <c r="F2593">
        <v>54300</v>
      </c>
    </row>
    <row r="2594" spans="1:6" x14ac:dyDescent="0.25">
      <c r="A2594" s="4">
        <v>38118</v>
      </c>
      <c r="B2594">
        <v>23.2654</v>
      </c>
      <c r="C2594">
        <v>24.1038</v>
      </c>
      <c r="D2594">
        <v>22.427</v>
      </c>
      <c r="E2594">
        <v>24.1038</v>
      </c>
      <c r="F2594">
        <v>49403</v>
      </c>
    </row>
    <row r="2595" spans="1:6" x14ac:dyDescent="0.25">
      <c r="A2595" s="4">
        <v>38119</v>
      </c>
      <c r="B2595">
        <v>24.313400000000001</v>
      </c>
      <c r="C2595">
        <v>24.523</v>
      </c>
      <c r="D2595">
        <v>23.894200000000001</v>
      </c>
      <c r="E2595">
        <v>24.1038</v>
      </c>
      <c r="F2595">
        <v>48572</v>
      </c>
    </row>
    <row r="2596" spans="1:6" x14ac:dyDescent="0.25">
      <c r="A2596" s="4">
        <v>38120</v>
      </c>
      <c r="B2596">
        <v>23.894200000000001</v>
      </c>
      <c r="C2596">
        <v>23.894200000000001</v>
      </c>
      <c r="D2596">
        <v>23.055800000000001</v>
      </c>
      <c r="E2596">
        <v>23.894200000000001</v>
      </c>
      <c r="F2596">
        <v>48909</v>
      </c>
    </row>
    <row r="2597" spans="1:6" x14ac:dyDescent="0.25">
      <c r="A2597" s="4">
        <v>38121</v>
      </c>
      <c r="B2597">
        <v>23.6846</v>
      </c>
      <c r="C2597">
        <v>23.894200000000001</v>
      </c>
      <c r="D2597">
        <v>22.8462</v>
      </c>
      <c r="E2597">
        <v>23.055800000000001</v>
      </c>
      <c r="F2597">
        <v>57848</v>
      </c>
    </row>
    <row r="2598" spans="1:6" x14ac:dyDescent="0.25">
      <c r="A2598" s="4">
        <v>38124</v>
      </c>
      <c r="B2598">
        <v>22.427</v>
      </c>
      <c r="C2598">
        <v>22.427</v>
      </c>
      <c r="D2598">
        <v>21.588699999999999</v>
      </c>
      <c r="E2598">
        <v>21.588699999999999</v>
      </c>
      <c r="F2598">
        <v>63410</v>
      </c>
    </row>
    <row r="2599" spans="1:6" x14ac:dyDescent="0.25">
      <c r="A2599" s="4">
        <v>38125</v>
      </c>
      <c r="B2599">
        <v>21.798300000000001</v>
      </c>
      <c r="C2599">
        <v>22.217500000000001</v>
      </c>
      <c r="D2599">
        <v>21.588699999999999</v>
      </c>
      <c r="E2599">
        <v>21.798300000000001</v>
      </c>
      <c r="F2599">
        <v>41932</v>
      </c>
    </row>
    <row r="2600" spans="1:6" x14ac:dyDescent="0.25">
      <c r="A2600" s="4">
        <v>38126</v>
      </c>
      <c r="B2600">
        <v>22.636600000000001</v>
      </c>
      <c r="C2600">
        <v>23.2654</v>
      </c>
      <c r="D2600">
        <v>22.427</v>
      </c>
      <c r="E2600">
        <v>23.2654</v>
      </c>
      <c r="F2600">
        <v>59653</v>
      </c>
    </row>
    <row r="2601" spans="1:6" x14ac:dyDescent="0.25">
      <c r="A2601" s="4">
        <v>38127</v>
      </c>
      <c r="B2601">
        <v>22.636600000000001</v>
      </c>
      <c r="C2601">
        <v>23.055800000000001</v>
      </c>
      <c r="D2601">
        <v>22.217500000000001</v>
      </c>
      <c r="E2601">
        <v>23.055800000000001</v>
      </c>
      <c r="F2601">
        <v>66591</v>
      </c>
    </row>
    <row r="2602" spans="1:6" x14ac:dyDescent="0.25">
      <c r="A2602" s="4">
        <v>38128</v>
      </c>
      <c r="B2602">
        <v>22.8462</v>
      </c>
      <c r="C2602">
        <v>23.475000000000001</v>
      </c>
      <c r="D2602">
        <v>22.636600000000001</v>
      </c>
      <c r="E2602">
        <v>23.055800000000001</v>
      </c>
      <c r="F2602">
        <v>54153</v>
      </c>
    </row>
    <row r="2603" spans="1:6" x14ac:dyDescent="0.25">
      <c r="A2603" s="4">
        <v>38131</v>
      </c>
      <c r="B2603">
        <v>23.055800000000001</v>
      </c>
      <c r="C2603">
        <v>23.055800000000001</v>
      </c>
      <c r="D2603">
        <v>22.427</v>
      </c>
      <c r="E2603">
        <v>22.636600000000001</v>
      </c>
      <c r="F2603">
        <v>28355</v>
      </c>
    </row>
    <row r="2604" spans="1:6" x14ac:dyDescent="0.25">
      <c r="A2604" s="4">
        <v>38132</v>
      </c>
      <c r="B2604">
        <v>22.636600000000001</v>
      </c>
      <c r="C2604">
        <v>23.2654</v>
      </c>
      <c r="D2604">
        <v>22.427</v>
      </c>
      <c r="E2604">
        <v>22.8462</v>
      </c>
      <c r="F2604">
        <v>28777</v>
      </c>
    </row>
    <row r="2605" spans="1:6" x14ac:dyDescent="0.25">
      <c r="A2605" s="4">
        <v>38133</v>
      </c>
      <c r="B2605">
        <v>23.6846</v>
      </c>
      <c r="C2605">
        <v>23.894200000000001</v>
      </c>
      <c r="D2605">
        <v>23.475000000000001</v>
      </c>
      <c r="E2605">
        <v>23.475000000000001</v>
      </c>
      <c r="F2605">
        <v>44897</v>
      </c>
    </row>
    <row r="2606" spans="1:6" x14ac:dyDescent="0.25">
      <c r="A2606" s="4">
        <v>38134</v>
      </c>
      <c r="B2606">
        <v>23.894200000000001</v>
      </c>
      <c r="C2606">
        <v>23.894200000000001</v>
      </c>
      <c r="D2606">
        <v>23.475000000000001</v>
      </c>
      <c r="E2606">
        <v>23.894200000000001</v>
      </c>
      <c r="F2606">
        <v>35343</v>
      </c>
    </row>
    <row r="2607" spans="1:6" x14ac:dyDescent="0.25">
      <c r="A2607" s="4">
        <v>38135</v>
      </c>
      <c r="B2607">
        <v>24.1038</v>
      </c>
      <c r="C2607">
        <v>24.313400000000001</v>
      </c>
      <c r="D2607">
        <v>23.894200000000001</v>
      </c>
      <c r="E2607">
        <v>24.313400000000001</v>
      </c>
      <c r="F2607">
        <v>51382</v>
      </c>
    </row>
    <row r="2608" spans="1:6" x14ac:dyDescent="0.25">
      <c r="A2608" s="4">
        <v>38138</v>
      </c>
      <c r="B2608">
        <v>24.1038</v>
      </c>
      <c r="C2608">
        <v>24.1038</v>
      </c>
      <c r="D2608">
        <v>23.475000000000001</v>
      </c>
      <c r="E2608">
        <v>23.475000000000001</v>
      </c>
      <c r="F2608">
        <v>24319</v>
      </c>
    </row>
    <row r="2609" spans="1:6" x14ac:dyDescent="0.25">
      <c r="A2609" s="4">
        <v>38139</v>
      </c>
      <c r="B2609">
        <v>23.475000000000001</v>
      </c>
      <c r="C2609">
        <v>23.894200000000001</v>
      </c>
      <c r="D2609">
        <v>23.2654</v>
      </c>
      <c r="E2609">
        <v>23.6846</v>
      </c>
      <c r="F2609">
        <v>22208</v>
      </c>
    </row>
    <row r="2610" spans="1:6" x14ac:dyDescent="0.25">
      <c r="A2610" s="4">
        <v>38140</v>
      </c>
      <c r="B2610">
        <v>23.475000000000001</v>
      </c>
      <c r="C2610">
        <v>23.6846</v>
      </c>
      <c r="D2610">
        <v>22.8462</v>
      </c>
      <c r="E2610">
        <v>23.2654</v>
      </c>
      <c r="F2610">
        <v>37065</v>
      </c>
    </row>
    <row r="2611" spans="1:6" x14ac:dyDescent="0.25">
      <c r="A2611" s="4">
        <v>38141</v>
      </c>
      <c r="B2611">
        <v>23.2654</v>
      </c>
      <c r="C2611">
        <v>23.475000000000001</v>
      </c>
      <c r="D2611">
        <v>22.217500000000001</v>
      </c>
      <c r="E2611">
        <v>22.217500000000001</v>
      </c>
      <c r="F2611">
        <v>51706</v>
      </c>
    </row>
    <row r="2612" spans="1:6" x14ac:dyDescent="0.25">
      <c r="A2612" s="4">
        <v>38142</v>
      </c>
      <c r="B2612">
        <v>22.217500000000001</v>
      </c>
      <c r="C2612">
        <v>22.636600000000001</v>
      </c>
      <c r="D2612">
        <v>22.007899999999999</v>
      </c>
      <c r="E2612">
        <v>22.217500000000001</v>
      </c>
      <c r="F2612">
        <v>43150</v>
      </c>
    </row>
    <row r="2613" spans="1:6" x14ac:dyDescent="0.25">
      <c r="A2613" s="4">
        <v>38145</v>
      </c>
      <c r="B2613">
        <v>22.8462</v>
      </c>
      <c r="C2613">
        <v>23.055800000000001</v>
      </c>
      <c r="D2613">
        <v>22.636600000000001</v>
      </c>
      <c r="E2613">
        <v>23.055800000000001</v>
      </c>
      <c r="F2613">
        <v>31779</v>
      </c>
    </row>
    <row r="2614" spans="1:6" x14ac:dyDescent="0.25">
      <c r="A2614" s="4">
        <v>38146</v>
      </c>
      <c r="B2614">
        <v>23.2654</v>
      </c>
      <c r="C2614">
        <v>23.6846</v>
      </c>
      <c r="D2614">
        <v>23.055800000000001</v>
      </c>
      <c r="E2614">
        <v>23.6846</v>
      </c>
      <c r="F2614">
        <v>38469</v>
      </c>
    </row>
    <row r="2615" spans="1:6" x14ac:dyDescent="0.25">
      <c r="A2615" s="4">
        <v>38147</v>
      </c>
      <c r="B2615">
        <v>23.2654</v>
      </c>
      <c r="C2615">
        <v>23.475000000000001</v>
      </c>
      <c r="D2615">
        <v>23.055800000000001</v>
      </c>
      <c r="E2615">
        <v>23.055800000000001</v>
      </c>
      <c r="F2615">
        <v>27924</v>
      </c>
    </row>
    <row r="2616" spans="1:6" x14ac:dyDescent="0.25">
      <c r="A2616" s="4">
        <v>38148</v>
      </c>
      <c r="B2616">
        <v>22.636600000000001</v>
      </c>
      <c r="C2616">
        <v>22.8462</v>
      </c>
      <c r="D2616">
        <v>22.217500000000001</v>
      </c>
      <c r="E2616">
        <v>22.217500000000001</v>
      </c>
      <c r="F2616">
        <v>44848</v>
      </c>
    </row>
    <row r="2617" spans="1:6" x14ac:dyDescent="0.25">
      <c r="A2617" s="4">
        <v>38149</v>
      </c>
      <c r="B2617">
        <v>21.798300000000001</v>
      </c>
      <c r="C2617">
        <v>21.798300000000001</v>
      </c>
      <c r="D2617">
        <v>20.959900000000001</v>
      </c>
      <c r="E2617">
        <v>21.169499999999999</v>
      </c>
      <c r="F2617">
        <v>79256</v>
      </c>
    </row>
    <row r="2618" spans="1:6" x14ac:dyDescent="0.25">
      <c r="A2618" s="4">
        <v>38152</v>
      </c>
      <c r="B2618">
        <v>21.297499999999999</v>
      </c>
      <c r="C2618">
        <v>21.975200000000001</v>
      </c>
      <c r="D2618">
        <v>20.910299999999999</v>
      </c>
      <c r="E2618">
        <v>20.9587</v>
      </c>
      <c r="F2618">
        <v>94965</v>
      </c>
    </row>
    <row r="2619" spans="1:6" x14ac:dyDescent="0.25">
      <c r="A2619" s="4">
        <v>38153</v>
      </c>
      <c r="B2619">
        <v>20.9587</v>
      </c>
      <c r="C2619">
        <v>20.9587</v>
      </c>
      <c r="D2619">
        <v>20.5715</v>
      </c>
      <c r="E2619">
        <v>20.813500000000001</v>
      </c>
      <c r="F2619">
        <v>82159</v>
      </c>
    </row>
    <row r="2620" spans="1:6" x14ac:dyDescent="0.25">
      <c r="A2620" s="4">
        <v>38154</v>
      </c>
      <c r="B2620">
        <v>21.7332</v>
      </c>
      <c r="C2620">
        <v>21.7332</v>
      </c>
      <c r="D2620">
        <v>20.813500000000001</v>
      </c>
      <c r="E2620">
        <v>21.055499999999999</v>
      </c>
      <c r="F2620">
        <v>70448</v>
      </c>
    </row>
    <row r="2621" spans="1:6" x14ac:dyDescent="0.25">
      <c r="A2621" s="4">
        <v>38155</v>
      </c>
      <c r="B2621">
        <v>20.9587</v>
      </c>
      <c r="C2621">
        <v>21.781600000000001</v>
      </c>
      <c r="D2621">
        <v>20.9587</v>
      </c>
      <c r="E2621">
        <v>21.442699999999999</v>
      </c>
      <c r="F2621">
        <v>86737</v>
      </c>
    </row>
    <row r="2622" spans="1:6" x14ac:dyDescent="0.25">
      <c r="A2622" s="4">
        <v>38156</v>
      </c>
      <c r="B2622">
        <v>21.103899999999999</v>
      </c>
      <c r="C2622">
        <v>21.103899999999999</v>
      </c>
      <c r="D2622">
        <v>20.474699999999999</v>
      </c>
      <c r="E2622">
        <v>20.716699999999999</v>
      </c>
      <c r="F2622">
        <v>58955</v>
      </c>
    </row>
    <row r="2623" spans="1:6" x14ac:dyDescent="0.25">
      <c r="A2623" s="4">
        <v>38159</v>
      </c>
      <c r="B2623">
        <v>21.442699999999999</v>
      </c>
      <c r="C2623">
        <v>21.442699999999999</v>
      </c>
      <c r="D2623">
        <v>20.910299999999999</v>
      </c>
      <c r="E2623">
        <v>21.055499999999999</v>
      </c>
      <c r="F2623">
        <v>42737</v>
      </c>
    </row>
    <row r="2624" spans="1:6" x14ac:dyDescent="0.25">
      <c r="A2624" s="4">
        <v>38161</v>
      </c>
      <c r="B2624">
        <v>21.103899999999999</v>
      </c>
      <c r="C2624">
        <v>22.265599999999999</v>
      </c>
      <c r="D2624">
        <v>21.103899999999999</v>
      </c>
      <c r="E2624">
        <v>22.1204</v>
      </c>
      <c r="F2624">
        <v>91896</v>
      </c>
    </row>
    <row r="2625" spans="1:6" x14ac:dyDescent="0.25">
      <c r="A2625" s="4">
        <v>38162</v>
      </c>
      <c r="B2625">
        <v>22.410799999999998</v>
      </c>
      <c r="C2625">
        <v>22.410799999999998</v>
      </c>
      <c r="D2625">
        <v>22.1204</v>
      </c>
      <c r="E2625">
        <v>22.168800000000001</v>
      </c>
      <c r="F2625">
        <v>39178</v>
      </c>
    </row>
    <row r="2626" spans="1:6" x14ac:dyDescent="0.25">
      <c r="A2626" s="4">
        <v>38163</v>
      </c>
      <c r="B2626">
        <v>22.168800000000001</v>
      </c>
      <c r="C2626">
        <v>22.410799999999998</v>
      </c>
      <c r="D2626">
        <v>22.071999999999999</v>
      </c>
      <c r="E2626">
        <v>22.362400000000001</v>
      </c>
      <c r="F2626">
        <v>29595</v>
      </c>
    </row>
    <row r="2627" spans="1:6" x14ac:dyDescent="0.25">
      <c r="A2627" s="4">
        <v>38166</v>
      </c>
      <c r="B2627">
        <v>22.314</v>
      </c>
      <c r="C2627">
        <v>22.410799999999998</v>
      </c>
      <c r="D2627">
        <v>21.781600000000001</v>
      </c>
      <c r="E2627">
        <v>22.217199999999998</v>
      </c>
      <c r="F2627">
        <v>28624</v>
      </c>
    </row>
    <row r="2628" spans="1:6" x14ac:dyDescent="0.25">
      <c r="A2628" s="4">
        <v>38167</v>
      </c>
      <c r="B2628">
        <v>22.023599999999998</v>
      </c>
      <c r="C2628">
        <v>22.314</v>
      </c>
      <c r="D2628">
        <v>21.9268</v>
      </c>
      <c r="E2628">
        <v>22.314</v>
      </c>
      <c r="F2628">
        <v>26807</v>
      </c>
    </row>
    <row r="2629" spans="1:6" x14ac:dyDescent="0.25">
      <c r="A2629" s="4">
        <v>38168</v>
      </c>
      <c r="B2629">
        <v>22.749600000000001</v>
      </c>
      <c r="C2629">
        <v>23.427299999999999</v>
      </c>
      <c r="D2629">
        <v>22.749600000000001</v>
      </c>
      <c r="E2629">
        <v>23.427299999999999</v>
      </c>
      <c r="F2629">
        <v>70838</v>
      </c>
    </row>
    <row r="2630" spans="1:6" x14ac:dyDescent="0.25">
      <c r="A2630" s="4">
        <v>38169</v>
      </c>
      <c r="B2630">
        <v>23.4757</v>
      </c>
      <c r="C2630">
        <v>23.620899999999999</v>
      </c>
      <c r="D2630">
        <v>23.2821</v>
      </c>
      <c r="E2630">
        <v>23.427299999999999</v>
      </c>
      <c r="F2630">
        <v>33761</v>
      </c>
    </row>
    <row r="2631" spans="1:6" x14ac:dyDescent="0.25">
      <c r="A2631" s="4">
        <v>38170</v>
      </c>
      <c r="B2631">
        <v>22.410799999999998</v>
      </c>
      <c r="C2631">
        <v>22.652799999999999</v>
      </c>
      <c r="D2631">
        <v>22.265599999999999</v>
      </c>
      <c r="E2631">
        <v>22.362400000000001</v>
      </c>
      <c r="F2631">
        <v>59277</v>
      </c>
    </row>
    <row r="2632" spans="1:6" x14ac:dyDescent="0.25">
      <c r="A2632" s="4">
        <v>38173</v>
      </c>
      <c r="B2632">
        <v>21.781600000000001</v>
      </c>
      <c r="C2632">
        <v>22.023599999999998</v>
      </c>
      <c r="D2632">
        <v>21.587900000000001</v>
      </c>
      <c r="E2632">
        <v>21.684799999999999</v>
      </c>
      <c r="F2632">
        <v>30249</v>
      </c>
    </row>
    <row r="2633" spans="1:6" x14ac:dyDescent="0.25">
      <c r="A2633" s="4">
        <v>38174</v>
      </c>
      <c r="B2633">
        <v>21.684799999999999</v>
      </c>
      <c r="C2633">
        <v>22.265599999999999</v>
      </c>
      <c r="D2633">
        <v>21.684799999999999</v>
      </c>
      <c r="E2633">
        <v>22.265599999999999</v>
      </c>
      <c r="F2633">
        <v>21249</v>
      </c>
    </row>
    <row r="2634" spans="1:6" x14ac:dyDescent="0.25">
      <c r="A2634" s="4">
        <v>38175</v>
      </c>
      <c r="B2634">
        <v>21.5395</v>
      </c>
      <c r="C2634">
        <v>21.781600000000001</v>
      </c>
      <c r="D2634">
        <v>21.442699999999999</v>
      </c>
      <c r="E2634">
        <v>21.636299999999999</v>
      </c>
      <c r="F2634">
        <v>42815</v>
      </c>
    </row>
    <row r="2635" spans="1:6" x14ac:dyDescent="0.25">
      <c r="A2635" s="4">
        <v>38176</v>
      </c>
      <c r="B2635">
        <v>21.781600000000001</v>
      </c>
      <c r="C2635">
        <v>22.168800000000001</v>
      </c>
      <c r="D2635">
        <v>21.7332</v>
      </c>
      <c r="E2635">
        <v>21.781600000000001</v>
      </c>
      <c r="F2635">
        <v>36065</v>
      </c>
    </row>
    <row r="2636" spans="1:6" x14ac:dyDescent="0.25">
      <c r="A2636" s="4">
        <v>38177</v>
      </c>
      <c r="B2636">
        <v>21.9268</v>
      </c>
      <c r="C2636">
        <v>22.314</v>
      </c>
      <c r="D2636">
        <v>21.7332</v>
      </c>
      <c r="E2636">
        <v>22.265599999999999</v>
      </c>
      <c r="F2636">
        <v>34960</v>
      </c>
    </row>
    <row r="2637" spans="1:6" x14ac:dyDescent="0.25">
      <c r="A2637" s="4">
        <v>38180</v>
      </c>
      <c r="B2637">
        <v>22.265599999999999</v>
      </c>
      <c r="C2637">
        <v>22.265599999999999</v>
      </c>
      <c r="D2637">
        <v>21.5395</v>
      </c>
      <c r="E2637">
        <v>21.684799999999999</v>
      </c>
      <c r="F2637">
        <v>42607</v>
      </c>
    </row>
    <row r="2638" spans="1:6" x14ac:dyDescent="0.25">
      <c r="A2638" s="4">
        <v>38181</v>
      </c>
      <c r="B2638">
        <v>21.394300000000001</v>
      </c>
      <c r="C2638">
        <v>21.5395</v>
      </c>
      <c r="D2638">
        <v>21.297499999999999</v>
      </c>
      <c r="E2638">
        <v>21.394300000000001</v>
      </c>
      <c r="F2638">
        <v>40907</v>
      </c>
    </row>
    <row r="2639" spans="1:6" x14ac:dyDescent="0.25">
      <c r="A2639" s="4">
        <v>38182</v>
      </c>
      <c r="B2639">
        <v>21.5395</v>
      </c>
      <c r="C2639">
        <v>21.684799999999999</v>
      </c>
      <c r="D2639">
        <v>21.3459</v>
      </c>
      <c r="E2639">
        <v>21.394300000000001</v>
      </c>
      <c r="F2639">
        <v>36234</v>
      </c>
    </row>
    <row r="2640" spans="1:6" x14ac:dyDescent="0.25">
      <c r="A2640" s="4">
        <v>38183</v>
      </c>
      <c r="B2640">
        <v>20.910299999999999</v>
      </c>
      <c r="C2640">
        <v>21.007100000000001</v>
      </c>
      <c r="D2640">
        <v>20.474699999999999</v>
      </c>
      <c r="E2640">
        <v>20.813500000000001</v>
      </c>
      <c r="F2640">
        <v>78085</v>
      </c>
    </row>
    <row r="2641" spans="1:6" x14ac:dyDescent="0.25">
      <c r="A2641" s="4">
        <v>38184</v>
      </c>
      <c r="B2641">
        <v>20.329499999999999</v>
      </c>
      <c r="C2641">
        <v>20.910299999999999</v>
      </c>
      <c r="D2641">
        <v>20.329499999999999</v>
      </c>
      <c r="E2641">
        <v>20.5715</v>
      </c>
      <c r="F2641">
        <v>52659</v>
      </c>
    </row>
    <row r="2642" spans="1:6" x14ac:dyDescent="0.25">
      <c r="A2642" s="4">
        <v>38187</v>
      </c>
      <c r="B2642">
        <v>20.474699999999999</v>
      </c>
      <c r="C2642">
        <v>20.5715</v>
      </c>
      <c r="D2642">
        <v>20.232600000000001</v>
      </c>
      <c r="E2642">
        <v>20.426300000000001</v>
      </c>
      <c r="F2642">
        <v>41092</v>
      </c>
    </row>
    <row r="2643" spans="1:6" x14ac:dyDescent="0.25">
      <c r="A2643" s="4">
        <v>38188</v>
      </c>
      <c r="B2643">
        <v>20.184200000000001</v>
      </c>
      <c r="C2643">
        <v>20.3779</v>
      </c>
      <c r="D2643">
        <v>20.087399999999999</v>
      </c>
      <c r="E2643">
        <v>20.087399999999999</v>
      </c>
      <c r="F2643">
        <v>55389</v>
      </c>
    </row>
    <row r="2644" spans="1:6" x14ac:dyDescent="0.25">
      <c r="A2644" s="4">
        <v>38189</v>
      </c>
      <c r="B2644">
        <v>20.474699999999999</v>
      </c>
      <c r="C2644">
        <v>21.249099999999999</v>
      </c>
      <c r="D2644">
        <v>20.3779</v>
      </c>
      <c r="E2644">
        <v>21.007100000000001</v>
      </c>
      <c r="F2644">
        <v>64939</v>
      </c>
    </row>
    <row r="2645" spans="1:6" x14ac:dyDescent="0.25">
      <c r="A2645" s="4">
        <v>38190</v>
      </c>
      <c r="B2645">
        <v>20.329499999999999</v>
      </c>
      <c r="C2645">
        <v>21.055499999999999</v>
      </c>
      <c r="D2645">
        <v>20.329499999999999</v>
      </c>
      <c r="E2645">
        <v>20.9587</v>
      </c>
      <c r="F2645">
        <v>72995</v>
      </c>
    </row>
    <row r="2646" spans="1:6" x14ac:dyDescent="0.25">
      <c r="A2646" s="4">
        <v>38191</v>
      </c>
      <c r="B2646">
        <v>20.813500000000001</v>
      </c>
      <c r="C2646">
        <v>21.103899999999999</v>
      </c>
      <c r="D2646">
        <v>20.668299999999999</v>
      </c>
      <c r="E2646">
        <v>20.716699999999999</v>
      </c>
      <c r="F2646">
        <v>33474</v>
      </c>
    </row>
    <row r="2647" spans="1:6" x14ac:dyDescent="0.25">
      <c r="A2647" s="4">
        <v>38194</v>
      </c>
      <c r="B2647">
        <v>20.087399999999999</v>
      </c>
      <c r="C2647">
        <v>20.184200000000001</v>
      </c>
      <c r="D2647">
        <v>19.797000000000001</v>
      </c>
      <c r="E2647">
        <v>19.797000000000001</v>
      </c>
      <c r="F2647">
        <v>63483</v>
      </c>
    </row>
    <row r="2648" spans="1:6" x14ac:dyDescent="0.25">
      <c r="A2648" s="4">
        <v>38195</v>
      </c>
      <c r="B2648">
        <v>19.797000000000001</v>
      </c>
      <c r="C2648">
        <v>20.474699999999999</v>
      </c>
      <c r="D2648">
        <v>19.700199999999999</v>
      </c>
      <c r="E2648">
        <v>20.184200000000001</v>
      </c>
      <c r="F2648">
        <v>58756</v>
      </c>
    </row>
    <row r="2649" spans="1:6" x14ac:dyDescent="0.25">
      <c r="A2649" s="4">
        <v>38196</v>
      </c>
      <c r="B2649">
        <v>20.329499999999999</v>
      </c>
      <c r="C2649">
        <v>20.5715</v>
      </c>
      <c r="D2649">
        <v>20.1358</v>
      </c>
      <c r="E2649">
        <v>20.184200000000001</v>
      </c>
      <c r="F2649">
        <v>55667</v>
      </c>
    </row>
    <row r="2650" spans="1:6" x14ac:dyDescent="0.25">
      <c r="A2650" s="4">
        <v>38197</v>
      </c>
      <c r="B2650">
        <v>20.184200000000001</v>
      </c>
      <c r="C2650">
        <v>20.281099999999999</v>
      </c>
      <c r="D2650">
        <v>19.845400000000001</v>
      </c>
      <c r="E2650">
        <v>19.845400000000001</v>
      </c>
      <c r="F2650">
        <v>47870</v>
      </c>
    </row>
    <row r="2651" spans="1:6" x14ac:dyDescent="0.25">
      <c r="A2651" s="4">
        <v>38198</v>
      </c>
      <c r="B2651">
        <v>20.668299999999999</v>
      </c>
      <c r="C2651">
        <v>20.9587</v>
      </c>
      <c r="D2651">
        <v>20.474699999999999</v>
      </c>
      <c r="E2651">
        <v>20.7651</v>
      </c>
      <c r="F2651">
        <v>94795</v>
      </c>
    </row>
    <row r="2652" spans="1:6" x14ac:dyDescent="0.25">
      <c r="A2652" s="4">
        <v>38201</v>
      </c>
      <c r="B2652">
        <v>20.7651</v>
      </c>
      <c r="C2652">
        <v>20.813500000000001</v>
      </c>
      <c r="D2652">
        <v>20.523099999999999</v>
      </c>
      <c r="E2652">
        <v>20.716699999999999</v>
      </c>
      <c r="F2652">
        <v>44069</v>
      </c>
    </row>
    <row r="2653" spans="1:6" x14ac:dyDescent="0.25">
      <c r="A2653" s="4">
        <v>38202</v>
      </c>
      <c r="B2653">
        <v>20.813500000000001</v>
      </c>
      <c r="C2653">
        <v>21.3459</v>
      </c>
      <c r="D2653">
        <v>20.7651</v>
      </c>
      <c r="E2653">
        <v>21.297499999999999</v>
      </c>
      <c r="F2653">
        <v>60078</v>
      </c>
    </row>
    <row r="2654" spans="1:6" x14ac:dyDescent="0.25">
      <c r="A2654" s="4">
        <v>38203</v>
      </c>
      <c r="B2654">
        <v>21.103899999999999</v>
      </c>
      <c r="C2654">
        <v>21.297499999999999</v>
      </c>
      <c r="D2654">
        <v>20.9587</v>
      </c>
      <c r="E2654">
        <v>21.200700000000001</v>
      </c>
      <c r="F2654">
        <v>42585</v>
      </c>
    </row>
    <row r="2655" spans="1:6" x14ac:dyDescent="0.25">
      <c r="A2655" s="4">
        <v>38204</v>
      </c>
      <c r="B2655">
        <v>21.297499999999999</v>
      </c>
      <c r="C2655">
        <v>21.9268</v>
      </c>
      <c r="D2655">
        <v>20.9587</v>
      </c>
      <c r="E2655">
        <v>21.781600000000001</v>
      </c>
      <c r="F2655">
        <v>62157</v>
      </c>
    </row>
    <row r="2656" spans="1:6" x14ac:dyDescent="0.25">
      <c r="A2656" s="4">
        <v>38205</v>
      </c>
      <c r="B2656">
        <v>21.5395</v>
      </c>
      <c r="C2656">
        <v>21.781600000000001</v>
      </c>
      <c r="D2656">
        <v>21.200700000000001</v>
      </c>
      <c r="E2656">
        <v>21.297499999999999</v>
      </c>
      <c r="F2656">
        <v>49130</v>
      </c>
    </row>
    <row r="2657" spans="1:6" x14ac:dyDescent="0.25">
      <c r="A2657" s="4">
        <v>38208</v>
      </c>
      <c r="B2657">
        <v>20.813500000000001</v>
      </c>
      <c r="C2657">
        <v>21.200700000000001</v>
      </c>
      <c r="D2657">
        <v>20.7651</v>
      </c>
      <c r="E2657">
        <v>20.9587</v>
      </c>
      <c r="F2657">
        <v>51432</v>
      </c>
    </row>
    <row r="2658" spans="1:6" x14ac:dyDescent="0.25">
      <c r="A2658" s="4">
        <v>38209</v>
      </c>
      <c r="B2658">
        <v>20.9587</v>
      </c>
      <c r="C2658">
        <v>21.103899999999999</v>
      </c>
      <c r="D2658">
        <v>20.861899999999999</v>
      </c>
      <c r="E2658">
        <v>20.9587</v>
      </c>
      <c r="F2658">
        <v>18266</v>
      </c>
    </row>
    <row r="2659" spans="1:6" x14ac:dyDescent="0.25">
      <c r="A2659" s="4">
        <v>38210</v>
      </c>
      <c r="B2659">
        <v>21.200700000000001</v>
      </c>
      <c r="C2659">
        <v>21.491099999999999</v>
      </c>
      <c r="D2659">
        <v>21.200700000000001</v>
      </c>
      <c r="E2659">
        <v>21.200700000000001</v>
      </c>
      <c r="F2659">
        <v>51060</v>
      </c>
    </row>
    <row r="2660" spans="1:6" x14ac:dyDescent="0.25">
      <c r="A2660" s="4">
        <v>38211</v>
      </c>
      <c r="B2660">
        <v>21.007100000000001</v>
      </c>
      <c r="C2660">
        <v>21.200700000000001</v>
      </c>
      <c r="D2660">
        <v>20.861899999999999</v>
      </c>
      <c r="E2660">
        <v>21.200700000000001</v>
      </c>
      <c r="F2660">
        <v>27230</v>
      </c>
    </row>
    <row r="2661" spans="1:6" x14ac:dyDescent="0.25">
      <c r="A2661" s="4">
        <v>38212</v>
      </c>
      <c r="B2661">
        <v>20.910299999999999</v>
      </c>
      <c r="C2661">
        <v>21.3459</v>
      </c>
      <c r="D2661">
        <v>20.910299999999999</v>
      </c>
      <c r="E2661">
        <v>21.200700000000001</v>
      </c>
      <c r="F2661">
        <v>30660</v>
      </c>
    </row>
    <row r="2662" spans="1:6" x14ac:dyDescent="0.25">
      <c r="A2662" s="4">
        <v>38215</v>
      </c>
      <c r="B2662">
        <v>21.1523</v>
      </c>
      <c r="C2662">
        <v>21.1523</v>
      </c>
      <c r="D2662">
        <v>21.007100000000001</v>
      </c>
      <c r="E2662">
        <v>21.007100000000001</v>
      </c>
      <c r="F2662">
        <v>21420</v>
      </c>
    </row>
    <row r="2663" spans="1:6" x14ac:dyDescent="0.25">
      <c r="A2663" s="4">
        <v>38216</v>
      </c>
      <c r="B2663">
        <v>21.103899999999999</v>
      </c>
      <c r="C2663">
        <v>21.249099999999999</v>
      </c>
      <c r="D2663">
        <v>21.103899999999999</v>
      </c>
      <c r="E2663">
        <v>21.200700000000001</v>
      </c>
      <c r="F2663">
        <v>15427</v>
      </c>
    </row>
    <row r="2664" spans="1:6" x14ac:dyDescent="0.25">
      <c r="A2664" s="4">
        <v>38217</v>
      </c>
      <c r="B2664">
        <v>21.200700000000001</v>
      </c>
      <c r="C2664">
        <v>21.878399999999999</v>
      </c>
      <c r="D2664">
        <v>21.103899999999999</v>
      </c>
      <c r="E2664">
        <v>21.684799999999999</v>
      </c>
      <c r="F2664">
        <v>64632</v>
      </c>
    </row>
    <row r="2665" spans="1:6" x14ac:dyDescent="0.25">
      <c r="A2665" s="4">
        <v>38218</v>
      </c>
      <c r="B2665">
        <v>22.071999999999999</v>
      </c>
      <c r="C2665">
        <v>22.7012</v>
      </c>
      <c r="D2665">
        <v>22.071999999999999</v>
      </c>
      <c r="E2665">
        <v>22.652799999999999</v>
      </c>
      <c r="F2665">
        <v>84316</v>
      </c>
    </row>
    <row r="2666" spans="1:6" x14ac:dyDescent="0.25">
      <c r="A2666" s="4">
        <v>38219</v>
      </c>
      <c r="B2666">
        <v>22.5076</v>
      </c>
      <c r="C2666">
        <v>22.652799999999999</v>
      </c>
      <c r="D2666">
        <v>22.410799999999998</v>
      </c>
      <c r="E2666">
        <v>22.459199999999999</v>
      </c>
      <c r="F2666">
        <v>43498</v>
      </c>
    </row>
    <row r="2667" spans="1:6" x14ac:dyDescent="0.25">
      <c r="A2667" s="4">
        <v>38222</v>
      </c>
      <c r="B2667">
        <v>22.459199999999999</v>
      </c>
      <c r="C2667">
        <v>22.8948</v>
      </c>
      <c r="D2667">
        <v>22.459199999999999</v>
      </c>
      <c r="E2667">
        <v>22.749600000000001</v>
      </c>
      <c r="F2667">
        <v>37374</v>
      </c>
    </row>
    <row r="2668" spans="1:6" x14ac:dyDescent="0.25">
      <c r="A2668" s="4">
        <v>38225</v>
      </c>
      <c r="B2668">
        <v>23.136900000000001</v>
      </c>
      <c r="C2668">
        <v>23.620899999999999</v>
      </c>
      <c r="D2668">
        <v>23.136900000000001</v>
      </c>
      <c r="E2668">
        <v>23.524100000000001</v>
      </c>
      <c r="F2668">
        <v>114869</v>
      </c>
    </row>
    <row r="2669" spans="1:6" x14ac:dyDescent="0.25">
      <c r="A2669" s="4">
        <v>38226</v>
      </c>
      <c r="B2669">
        <v>23.4757</v>
      </c>
      <c r="C2669">
        <v>23.4757</v>
      </c>
      <c r="D2669">
        <v>23.233699999999999</v>
      </c>
      <c r="E2669">
        <v>23.233699999999999</v>
      </c>
      <c r="F2669">
        <v>38790</v>
      </c>
    </row>
    <row r="2670" spans="1:6" x14ac:dyDescent="0.25">
      <c r="A2670" s="4">
        <v>38229</v>
      </c>
      <c r="B2670">
        <v>23.233699999999999</v>
      </c>
      <c r="C2670">
        <v>23.378900000000002</v>
      </c>
      <c r="D2670">
        <v>23.136900000000001</v>
      </c>
      <c r="E2670">
        <v>23.2821</v>
      </c>
      <c r="F2670">
        <v>44673</v>
      </c>
    </row>
    <row r="2671" spans="1:6" x14ac:dyDescent="0.25">
      <c r="A2671" s="4">
        <v>38230</v>
      </c>
      <c r="B2671">
        <v>23.136900000000001</v>
      </c>
      <c r="C2671">
        <v>23.2821</v>
      </c>
      <c r="D2671">
        <v>22.652799999999999</v>
      </c>
      <c r="E2671">
        <v>22.749600000000001</v>
      </c>
      <c r="F2671">
        <v>49070</v>
      </c>
    </row>
    <row r="2672" spans="1:6" x14ac:dyDescent="0.25">
      <c r="A2672" s="4">
        <v>38231</v>
      </c>
      <c r="B2672">
        <v>22.749600000000001</v>
      </c>
      <c r="C2672">
        <v>22.991599999999998</v>
      </c>
      <c r="D2672">
        <v>22.7012</v>
      </c>
      <c r="E2672">
        <v>22.797999999999998</v>
      </c>
      <c r="F2672">
        <v>45259</v>
      </c>
    </row>
    <row r="2673" spans="1:6" x14ac:dyDescent="0.25">
      <c r="A2673" s="4">
        <v>38232</v>
      </c>
      <c r="B2673">
        <v>22.5076</v>
      </c>
      <c r="C2673">
        <v>22.7012</v>
      </c>
      <c r="D2673">
        <v>21.975200000000001</v>
      </c>
      <c r="E2673">
        <v>22.217199999999998</v>
      </c>
      <c r="F2673">
        <v>53567</v>
      </c>
    </row>
    <row r="2674" spans="1:6" x14ac:dyDescent="0.25">
      <c r="A2674" s="4">
        <v>38233</v>
      </c>
      <c r="B2674">
        <v>21.878399999999999</v>
      </c>
      <c r="C2674">
        <v>21.9268</v>
      </c>
      <c r="D2674">
        <v>21.297499999999999</v>
      </c>
      <c r="E2674">
        <v>21.491099999999999</v>
      </c>
      <c r="F2674">
        <v>106205</v>
      </c>
    </row>
    <row r="2675" spans="1:6" x14ac:dyDescent="0.25">
      <c r="A2675" s="4">
        <v>38236</v>
      </c>
      <c r="B2675">
        <v>21.200700000000001</v>
      </c>
      <c r="C2675">
        <v>21.394300000000001</v>
      </c>
      <c r="D2675">
        <v>20.9587</v>
      </c>
      <c r="E2675">
        <v>21.297499999999999</v>
      </c>
      <c r="F2675">
        <v>57569</v>
      </c>
    </row>
    <row r="2676" spans="1:6" x14ac:dyDescent="0.25">
      <c r="A2676" s="4">
        <v>38237</v>
      </c>
      <c r="B2676">
        <v>21.297499999999999</v>
      </c>
      <c r="C2676">
        <v>21.491099999999999</v>
      </c>
      <c r="D2676">
        <v>21.200700000000001</v>
      </c>
      <c r="E2676">
        <v>21.491099999999999</v>
      </c>
      <c r="F2676">
        <v>28521</v>
      </c>
    </row>
    <row r="2677" spans="1:6" x14ac:dyDescent="0.25">
      <c r="A2677" s="4">
        <v>38238</v>
      </c>
      <c r="B2677">
        <v>21.442699999999999</v>
      </c>
      <c r="C2677">
        <v>21.442699999999999</v>
      </c>
      <c r="D2677">
        <v>21.200700000000001</v>
      </c>
      <c r="E2677">
        <v>21.249099999999999</v>
      </c>
      <c r="F2677">
        <v>29570</v>
      </c>
    </row>
    <row r="2678" spans="1:6" x14ac:dyDescent="0.25">
      <c r="A2678" s="4">
        <v>38239</v>
      </c>
      <c r="B2678">
        <v>21.249099999999999</v>
      </c>
      <c r="C2678">
        <v>21.3459</v>
      </c>
      <c r="D2678">
        <v>21.055499999999999</v>
      </c>
      <c r="E2678">
        <v>21.1523</v>
      </c>
      <c r="F2678">
        <v>35937</v>
      </c>
    </row>
    <row r="2679" spans="1:6" x14ac:dyDescent="0.25">
      <c r="A2679" s="4">
        <v>38240</v>
      </c>
      <c r="B2679">
        <v>21.7332</v>
      </c>
      <c r="C2679">
        <v>21.7332</v>
      </c>
      <c r="D2679">
        <v>21.442699999999999</v>
      </c>
      <c r="E2679">
        <v>21.587900000000001</v>
      </c>
      <c r="F2679">
        <v>43990</v>
      </c>
    </row>
    <row r="2680" spans="1:6" x14ac:dyDescent="0.25">
      <c r="A2680" s="4">
        <v>38243</v>
      </c>
      <c r="B2680">
        <v>22.217199999999998</v>
      </c>
      <c r="C2680">
        <v>22.265599999999999</v>
      </c>
      <c r="D2680">
        <v>21.9268</v>
      </c>
      <c r="E2680">
        <v>22.217199999999998</v>
      </c>
      <c r="F2680">
        <v>69330</v>
      </c>
    </row>
    <row r="2681" spans="1:6" x14ac:dyDescent="0.25">
      <c r="A2681" s="4">
        <v>38244</v>
      </c>
      <c r="B2681">
        <v>22.265599999999999</v>
      </c>
      <c r="C2681">
        <v>22.314</v>
      </c>
      <c r="D2681">
        <v>21.975200000000001</v>
      </c>
      <c r="E2681">
        <v>22.023599999999998</v>
      </c>
      <c r="F2681">
        <v>48405</v>
      </c>
    </row>
    <row r="2682" spans="1:6" x14ac:dyDescent="0.25">
      <c r="A2682" s="4">
        <v>38245</v>
      </c>
      <c r="B2682">
        <v>21.975200000000001</v>
      </c>
      <c r="C2682">
        <v>22.071999999999999</v>
      </c>
      <c r="D2682">
        <v>21.878399999999999</v>
      </c>
      <c r="E2682">
        <v>21.975200000000001</v>
      </c>
      <c r="F2682">
        <v>24175</v>
      </c>
    </row>
    <row r="2683" spans="1:6" x14ac:dyDescent="0.25">
      <c r="A2683" s="4">
        <v>38246</v>
      </c>
      <c r="B2683">
        <v>21.5395</v>
      </c>
      <c r="C2683">
        <v>21.975200000000001</v>
      </c>
      <c r="D2683">
        <v>21.491099999999999</v>
      </c>
      <c r="E2683">
        <v>21.975200000000001</v>
      </c>
      <c r="F2683">
        <v>32325</v>
      </c>
    </row>
    <row r="2684" spans="1:6" x14ac:dyDescent="0.25">
      <c r="A2684" s="4">
        <v>38247</v>
      </c>
      <c r="B2684">
        <v>21.781600000000001</v>
      </c>
      <c r="C2684">
        <v>21.878399999999999</v>
      </c>
      <c r="D2684">
        <v>21.5395</v>
      </c>
      <c r="E2684">
        <v>21.684799999999999</v>
      </c>
      <c r="F2684">
        <v>29706</v>
      </c>
    </row>
    <row r="2685" spans="1:6" x14ac:dyDescent="0.25">
      <c r="A2685" s="4">
        <v>38250</v>
      </c>
      <c r="B2685">
        <v>21.83</v>
      </c>
      <c r="C2685">
        <v>21.975200000000001</v>
      </c>
      <c r="D2685">
        <v>21.684799999999999</v>
      </c>
      <c r="E2685">
        <v>21.878399999999999</v>
      </c>
      <c r="F2685">
        <v>24095</v>
      </c>
    </row>
    <row r="2686" spans="1:6" x14ac:dyDescent="0.25">
      <c r="A2686" s="4">
        <v>38251</v>
      </c>
      <c r="B2686">
        <v>22.265599999999999</v>
      </c>
      <c r="C2686">
        <v>22.265599999999999</v>
      </c>
      <c r="D2686">
        <v>21.975200000000001</v>
      </c>
      <c r="E2686">
        <v>22.265599999999999</v>
      </c>
      <c r="F2686">
        <v>42125</v>
      </c>
    </row>
    <row r="2687" spans="1:6" x14ac:dyDescent="0.25">
      <c r="A2687" s="4">
        <v>38252</v>
      </c>
      <c r="B2687">
        <v>22.265599999999999</v>
      </c>
      <c r="C2687">
        <v>22.265599999999999</v>
      </c>
      <c r="D2687">
        <v>21.9268</v>
      </c>
      <c r="E2687">
        <v>22.168800000000001</v>
      </c>
      <c r="F2687">
        <v>28177</v>
      </c>
    </row>
    <row r="2688" spans="1:6" x14ac:dyDescent="0.25">
      <c r="A2688" s="4">
        <v>38253</v>
      </c>
      <c r="B2688">
        <v>21.684799999999999</v>
      </c>
      <c r="C2688">
        <v>21.83</v>
      </c>
      <c r="D2688">
        <v>21.684799999999999</v>
      </c>
      <c r="E2688">
        <v>21.7332</v>
      </c>
      <c r="F2688">
        <v>34976</v>
      </c>
    </row>
    <row r="2689" spans="1:6" x14ac:dyDescent="0.25">
      <c r="A2689" s="4">
        <v>38254</v>
      </c>
      <c r="B2689">
        <v>21.781600000000001</v>
      </c>
      <c r="C2689">
        <v>21.781600000000001</v>
      </c>
      <c r="D2689">
        <v>21.1523</v>
      </c>
      <c r="E2689">
        <v>21.1523</v>
      </c>
      <c r="F2689">
        <v>64557</v>
      </c>
    </row>
    <row r="2690" spans="1:6" x14ac:dyDescent="0.25">
      <c r="A2690" s="4">
        <v>38257</v>
      </c>
      <c r="B2690">
        <v>21.007100000000001</v>
      </c>
      <c r="C2690">
        <v>21.007100000000001</v>
      </c>
      <c r="D2690">
        <v>20.619900000000001</v>
      </c>
      <c r="E2690">
        <v>20.813500000000001</v>
      </c>
      <c r="F2690">
        <v>63427</v>
      </c>
    </row>
    <row r="2691" spans="1:6" x14ac:dyDescent="0.25">
      <c r="A2691" s="4">
        <v>38259</v>
      </c>
      <c r="B2691">
        <v>20.5715</v>
      </c>
      <c r="C2691">
        <v>21.055499999999999</v>
      </c>
      <c r="D2691">
        <v>20.5715</v>
      </c>
      <c r="E2691">
        <v>20.668299999999999</v>
      </c>
      <c r="F2691">
        <v>33825</v>
      </c>
    </row>
    <row r="2692" spans="1:6" x14ac:dyDescent="0.25">
      <c r="A2692" s="4">
        <v>38260</v>
      </c>
      <c r="B2692">
        <v>20.861899999999999</v>
      </c>
      <c r="C2692">
        <v>21.1523</v>
      </c>
      <c r="D2692">
        <v>20.861899999999999</v>
      </c>
      <c r="E2692">
        <v>20.9587</v>
      </c>
      <c r="F2692">
        <v>37687</v>
      </c>
    </row>
    <row r="2693" spans="1:6" x14ac:dyDescent="0.25">
      <c r="A2693" s="4">
        <v>38261</v>
      </c>
      <c r="B2693">
        <v>21.249099999999999</v>
      </c>
      <c r="C2693">
        <v>21.5395</v>
      </c>
      <c r="D2693">
        <v>21.103899999999999</v>
      </c>
      <c r="E2693">
        <v>21.5395</v>
      </c>
      <c r="F2693">
        <v>36911</v>
      </c>
    </row>
    <row r="2694" spans="1:6" x14ac:dyDescent="0.25">
      <c r="A2694" s="4">
        <v>38264</v>
      </c>
      <c r="B2694">
        <v>21.781600000000001</v>
      </c>
      <c r="C2694">
        <v>22.023599999999998</v>
      </c>
      <c r="D2694">
        <v>21.7332</v>
      </c>
      <c r="E2694">
        <v>22.023599999999998</v>
      </c>
      <c r="F2694">
        <v>72671</v>
      </c>
    </row>
    <row r="2695" spans="1:6" x14ac:dyDescent="0.25">
      <c r="A2695" s="4">
        <v>38265</v>
      </c>
      <c r="B2695">
        <v>22.023599999999998</v>
      </c>
      <c r="C2695">
        <v>22.023599999999998</v>
      </c>
      <c r="D2695">
        <v>21.83</v>
      </c>
      <c r="E2695">
        <v>21.9268</v>
      </c>
      <c r="F2695">
        <v>39707</v>
      </c>
    </row>
    <row r="2696" spans="1:6" x14ac:dyDescent="0.25">
      <c r="A2696" s="4">
        <v>38266</v>
      </c>
      <c r="B2696">
        <v>21.9268</v>
      </c>
      <c r="C2696">
        <v>22.023599999999998</v>
      </c>
      <c r="D2696">
        <v>21.5395</v>
      </c>
      <c r="E2696">
        <v>21.781600000000001</v>
      </c>
      <c r="F2696">
        <v>42933</v>
      </c>
    </row>
    <row r="2697" spans="1:6" x14ac:dyDescent="0.25">
      <c r="A2697" s="4">
        <v>38267</v>
      </c>
      <c r="B2697">
        <v>21.9268</v>
      </c>
      <c r="C2697">
        <v>21.9268</v>
      </c>
      <c r="D2697">
        <v>21.3459</v>
      </c>
      <c r="E2697">
        <v>21.781600000000001</v>
      </c>
      <c r="F2697">
        <v>40020</v>
      </c>
    </row>
    <row r="2698" spans="1:6" x14ac:dyDescent="0.25">
      <c r="A2698" s="4">
        <v>38268</v>
      </c>
      <c r="B2698">
        <v>21.1523</v>
      </c>
      <c r="C2698">
        <v>21.3459</v>
      </c>
      <c r="D2698">
        <v>20.7651</v>
      </c>
      <c r="E2698">
        <v>20.9587</v>
      </c>
      <c r="F2698">
        <v>82767</v>
      </c>
    </row>
    <row r="2699" spans="1:6" x14ac:dyDescent="0.25">
      <c r="A2699" s="4">
        <v>38271</v>
      </c>
      <c r="B2699">
        <v>20.716699999999999</v>
      </c>
      <c r="C2699">
        <v>20.910299999999999</v>
      </c>
      <c r="D2699">
        <v>20.619900000000001</v>
      </c>
      <c r="E2699">
        <v>20.716699999999999</v>
      </c>
      <c r="F2699">
        <v>32634</v>
      </c>
    </row>
    <row r="2700" spans="1:6" x14ac:dyDescent="0.25">
      <c r="A2700" s="4">
        <v>38272</v>
      </c>
      <c r="B2700">
        <v>20.716699999999999</v>
      </c>
      <c r="C2700">
        <v>20.910299999999999</v>
      </c>
      <c r="D2700">
        <v>20.619900000000001</v>
      </c>
      <c r="E2700">
        <v>20.619900000000001</v>
      </c>
      <c r="F2700">
        <v>46230</v>
      </c>
    </row>
    <row r="2701" spans="1:6" x14ac:dyDescent="0.25">
      <c r="A2701" s="4">
        <v>38273</v>
      </c>
      <c r="B2701">
        <v>20.716699999999999</v>
      </c>
      <c r="C2701">
        <v>20.7651</v>
      </c>
      <c r="D2701">
        <v>20.5715</v>
      </c>
      <c r="E2701">
        <v>20.619900000000001</v>
      </c>
      <c r="F2701">
        <v>26679</v>
      </c>
    </row>
    <row r="2702" spans="1:6" x14ac:dyDescent="0.25">
      <c r="A2702" s="4">
        <v>38274</v>
      </c>
      <c r="B2702">
        <v>20.5715</v>
      </c>
      <c r="C2702">
        <v>20.861899999999999</v>
      </c>
      <c r="D2702">
        <v>20.474699999999999</v>
      </c>
      <c r="E2702">
        <v>20.668299999999999</v>
      </c>
      <c r="F2702">
        <v>40057</v>
      </c>
    </row>
    <row r="2703" spans="1:6" x14ac:dyDescent="0.25">
      <c r="A2703" s="4">
        <v>38275</v>
      </c>
      <c r="B2703">
        <v>20.5715</v>
      </c>
      <c r="C2703">
        <v>20.668299999999999</v>
      </c>
      <c r="D2703">
        <v>20.426300000000001</v>
      </c>
      <c r="E2703">
        <v>20.5715</v>
      </c>
      <c r="F2703">
        <v>35218</v>
      </c>
    </row>
    <row r="2704" spans="1:6" x14ac:dyDescent="0.25">
      <c r="A2704" s="4">
        <v>38278</v>
      </c>
      <c r="B2704">
        <v>20.668299999999999</v>
      </c>
      <c r="C2704">
        <v>20.716699999999999</v>
      </c>
      <c r="D2704">
        <v>20.426300000000001</v>
      </c>
      <c r="E2704">
        <v>20.426300000000001</v>
      </c>
      <c r="F2704">
        <v>21264</v>
      </c>
    </row>
    <row r="2705" spans="1:6" x14ac:dyDescent="0.25">
      <c r="A2705" s="4">
        <v>38279</v>
      </c>
      <c r="B2705">
        <v>20.668299999999999</v>
      </c>
      <c r="C2705">
        <v>20.910299999999999</v>
      </c>
      <c r="D2705">
        <v>20.619900000000001</v>
      </c>
      <c r="E2705">
        <v>20.813500000000001</v>
      </c>
      <c r="F2705">
        <v>30228</v>
      </c>
    </row>
    <row r="2706" spans="1:6" x14ac:dyDescent="0.25">
      <c r="A2706" s="4">
        <v>38280</v>
      </c>
      <c r="B2706">
        <v>20.813500000000001</v>
      </c>
      <c r="C2706">
        <v>20.9587</v>
      </c>
      <c r="D2706">
        <v>20.716699999999999</v>
      </c>
      <c r="E2706">
        <v>20.716699999999999</v>
      </c>
      <c r="F2706">
        <v>38520</v>
      </c>
    </row>
    <row r="2707" spans="1:6" x14ac:dyDescent="0.25">
      <c r="A2707" s="4">
        <v>38281</v>
      </c>
      <c r="B2707">
        <v>20.5715</v>
      </c>
      <c r="C2707">
        <v>21.055499999999999</v>
      </c>
      <c r="D2707">
        <v>20.5715</v>
      </c>
      <c r="E2707">
        <v>20.910299999999999</v>
      </c>
      <c r="F2707">
        <v>36490</v>
      </c>
    </row>
    <row r="2708" spans="1:6" x14ac:dyDescent="0.25">
      <c r="A2708" s="4">
        <v>38282</v>
      </c>
      <c r="B2708">
        <v>21.297499999999999</v>
      </c>
      <c r="C2708">
        <v>21.297499999999999</v>
      </c>
      <c r="D2708">
        <v>20.910299999999999</v>
      </c>
      <c r="E2708">
        <v>20.910299999999999</v>
      </c>
      <c r="F2708">
        <v>39928</v>
      </c>
    </row>
    <row r="2709" spans="1:6" x14ac:dyDescent="0.25">
      <c r="A2709" s="4">
        <v>38286</v>
      </c>
      <c r="B2709">
        <v>20.668299999999999</v>
      </c>
      <c r="C2709">
        <v>20.668299999999999</v>
      </c>
      <c r="D2709">
        <v>20.426300000000001</v>
      </c>
      <c r="E2709">
        <v>20.426300000000001</v>
      </c>
      <c r="F2709">
        <v>30889</v>
      </c>
    </row>
    <row r="2710" spans="1:6" x14ac:dyDescent="0.25">
      <c r="A2710" s="4">
        <v>38287</v>
      </c>
      <c r="B2710">
        <v>20.329499999999999</v>
      </c>
      <c r="C2710">
        <v>20.426300000000001</v>
      </c>
      <c r="D2710">
        <v>19.990600000000001</v>
      </c>
      <c r="E2710">
        <v>20.281099999999999</v>
      </c>
      <c r="F2710">
        <v>35458</v>
      </c>
    </row>
    <row r="2711" spans="1:6" x14ac:dyDescent="0.25">
      <c r="A2711" s="4">
        <v>38288</v>
      </c>
      <c r="B2711">
        <v>20.861899999999999</v>
      </c>
      <c r="C2711">
        <v>21.1523</v>
      </c>
      <c r="D2711">
        <v>20.716699999999999</v>
      </c>
      <c r="E2711">
        <v>20.813500000000001</v>
      </c>
      <c r="F2711">
        <v>86040</v>
      </c>
    </row>
    <row r="2712" spans="1:6" x14ac:dyDescent="0.25">
      <c r="A2712" s="4">
        <v>38289</v>
      </c>
      <c r="B2712">
        <v>21.055499999999999</v>
      </c>
      <c r="C2712">
        <v>21.297499999999999</v>
      </c>
      <c r="D2712">
        <v>20.9587</v>
      </c>
      <c r="E2712">
        <v>21.200700000000001</v>
      </c>
      <c r="F2712">
        <v>60954</v>
      </c>
    </row>
    <row r="2713" spans="1:6" x14ac:dyDescent="0.25">
      <c r="A2713" s="4">
        <v>38292</v>
      </c>
      <c r="B2713">
        <v>21.3459</v>
      </c>
      <c r="C2713">
        <v>21.491099999999999</v>
      </c>
      <c r="D2713">
        <v>21.055499999999999</v>
      </c>
      <c r="E2713">
        <v>21.249099999999999</v>
      </c>
      <c r="F2713">
        <v>53145</v>
      </c>
    </row>
    <row r="2714" spans="1:6" x14ac:dyDescent="0.25">
      <c r="A2714" s="4">
        <v>38293</v>
      </c>
      <c r="B2714">
        <v>21.491099999999999</v>
      </c>
      <c r="C2714">
        <v>21.878399999999999</v>
      </c>
      <c r="D2714">
        <v>21.394300000000001</v>
      </c>
      <c r="E2714">
        <v>21.781600000000001</v>
      </c>
      <c r="F2714">
        <v>76459</v>
      </c>
    </row>
    <row r="2715" spans="1:6" x14ac:dyDescent="0.25">
      <c r="A2715" s="4">
        <v>38294</v>
      </c>
      <c r="B2715">
        <v>22.023599999999998</v>
      </c>
      <c r="C2715">
        <v>22.749600000000001</v>
      </c>
      <c r="D2715">
        <v>22.023599999999998</v>
      </c>
      <c r="E2715">
        <v>22.7012</v>
      </c>
      <c r="F2715">
        <v>143647</v>
      </c>
    </row>
    <row r="2716" spans="1:6" x14ac:dyDescent="0.25">
      <c r="A2716" s="4">
        <v>38295</v>
      </c>
      <c r="B2716">
        <v>22.797999999999998</v>
      </c>
      <c r="C2716">
        <v>23.185300000000002</v>
      </c>
      <c r="D2716">
        <v>22.459199999999999</v>
      </c>
      <c r="E2716">
        <v>22.991599999999998</v>
      </c>
      <c r="F2716">
        <v>144704</v>
      </c>
    </row>
    <row r="2717" spans="1:6" x14ac:dyDescent="0.25">
      <c r="A2717" s="4">
        <v>38296</v>
      </c>
      <c r="B2717">
        <v>23.233699999999999</v>
      </c>
      <c r="C2717">
        <v>23.4757</v>
      </c>
      <c r="D2717">
        <v>22.8948</v>
      </c>
      <c r="E2717">
        <v>23.0885</v>
      </c>
      <c r="F2717">
        <v>106128</v>
      </c>
    </row>
    <row r="2718" spans="1:6" x14ac:dyDescent="0.25">
      <c r="A2718" s="4">
        <v>38299</v>
      </c>
      <c r="B2718">
        <v>23.233699999999999</v>
      </c>
      <c r="C2718">
        <v>23.233699999999999</v>
      </c>
      <c r="D2718">
        <v>22.943200000000001</v>
      </c>
      <c r="E2718">
        <v>23.185300000000002</v>
      </c>
      <c r="F2718">
        <v>46029</v>
      </c>
    </row>
    <row r="2719" spans="1:6" x14ac:dyDescent="0.25">
      <c r="A2719" s="4">
        <v>38300</v>
      </c>
      <c r="B2719">
        <v>23.0885</v>
      </c>
      <c r="C2719">
        <v>23.185300000000002</v>
      </c>
      <c r="D2719">
        <v>22.991599999999998</v>
      </c>
      <c r="E2719">
        <v>23.136900000000001</v>
      </c>
      <c r="F2719">
        <v>53003</v>
      </c>
    </row>
    <row r="2720" spans="1:6" x14ac:dyDescent="0.25">
      <c r="A2720" s="4">
        <v>38301</v>
      </c>
      <c r="B2720">
        <v>23.136900000000001</v>
      </c>
      <c r="C2720">
        <v>23.233699999999999</v>
      </c>
      <c r="D2720">
        <v>23.04</v>
      </c>
      <c r="E2720">
        <v>23.233699999999999</v>
      </c>
      <c r="F2720">
        <v>68239</v>
      </c>
    </row>
    <row r="2721" spans="1:6" x14ac:dyDescent="0.25">
      <c r="A2721" s="4">
        <v>38302</v>
      </c>
      <c r="B2721">
        <v>22.846399999999999</v>
      </c>
      <c r="C2721">
        <v>22.991599999999998</v>
      </c>
      <c r="D2721">
        <v>22.362400000000001</v>
      </c>
      <c r="E2721">
        <v>22.410799999999998</v>
      </c>
      <c r="F2721">
        <v>50872</v>
      </c>
    </row>
    <row r="2722" spans="1:6" x14ac:dyDescent="0.25">
      <c r="A2722" s="4">
        <v>38303</v>
      </c>
      <c r="B2722">
        <v>22.5076</v>
      </c>
      <c r="C2722">
        <v>23.0885</v>
      </c>
      <c r="D2722">
        <v>22.5076</v>
      </c>
      <c r="E2722">
        <v>22.749600000000001</v>
      </c>
      <c r="F2722">
        <v>33276</v>
      </c>
    </row>
    <row r="2723" spans="1:6" x14ac:dyDescent="0.25">
      <c r="A2723" s="4">
        <v>38306</v>
      </c>
      <c r="B2723">
        <v>23.185300000000002</v>
      </c>
      <c r="C2723">
        <v>23.330500000000001</v>
      </c>
      <c r="D2723">
        <v>22.991599999999998</v>
      </c>
      <c r="E2723">
        <v>22.991599999999998</v>
      </c>
      <c r="F2723">
        <v>46532</v>
      </c>
    </row>
    <row r="2724" spans="1:6" x14ac:dyDescent="0.25">
      <c r="A2724" s="4">
        <v>38307</v>
      </c>
      <c r="B2724">
        <v>23.136900000000001</v>
      </c>
      <c r="C2724">
        <v>23.4757</v>
      </c>
      <c r="D2724">
        <v>23.0885</v>
      </c>
      <c r="E2724">
        <v>23.427299999999999</v>
      </c>
      <c r="F2724">
        <v>69166</v>
      </c>
    </row>
    <row r="2725" spans="1:6" x14ac:dyDescent="0.25">
      <c r="A2725" s="4">
        <v>38308</v>
      </c>
      <c r="B2725">
        <v>23.378900000000002</v>
      </c>
      <c r="C2725">
        <v>24.0565</v>
      </c>
      <c r="D2725">
        <v>23.2821</v>
      </c>
      <c r="E2725">
        <v>24.0565</v>
      </c>
      <c r="F2725">
        <v>122313</v>
      </c>
    </row>
    <row r="2726" spans="1:6" x14ac:dyDescent="0.25">
      <c r="A2726" s="4">
        <v>38309</v>
      </c>
      <c r="B2726">
        <v>24.201699999999999</v>
      </c>
      <c r="C2726">
        <v>24.6858</v>
      </c>
      <c r="D2726">
        <v>24.104900000000001</v>
      </c>
      <c r="E2726">
        <v>24.4437</v>
      </c>
      <c r="F2726">
        <v>113726</v>
      </c>
    </row>
    <row r="2727" spans="1:6" x14ac:dyDescent="0.25">
      <c r="A2727" s="4">
        <v>38310</v>
      </c>
      <c r="B2727">
        <v>24.4437</v>
      </c>
      <c r="C2727">
        <v>24.6858</v>
      </c>
      <c r="D2727">
        <v>24.153300000000002</v>
      </c>
      <c r="E2727">
        <v>24.4437</v>
      </c>
      <c r="F2727">
        <v>79106</v>
      </c>
    </row>
    <row r="2728" spans="1:6" x14ac:dyDescent="0.25">
      <c r="A2728" s="4">
        <v>38313</v>
      </c>
      <c r="B2728">
        <v>23.717700000000001</v>
      </c>
      <c r="C2728">
        <v>23.911300000000001</v>
      </c>
      <c r="D2728">
        <v>23.330500000000001</v>
      </c>
      <c r="E2728">
        <v>23.330500000000001</v>
      </c>
      <c r="F2728">
        <v>61926</v>
      </c>
    </row>
    <row r="2729" spans="1:6" x14ac:dyDescent="0.25">
      <c r="A2729" s="4">
        <v>38314</v>
      </c>
      <c r="B2729">
        <v>23.427299999999999</v>
      </c>
      <c r="C2729">
        <v>23.572500000000002</v>
      </c>
      <c r="D2729">
        <v>22.991599999999998</v>
      </c>
      <c r="E2729">
        <v>23.427299999999999</v>
      </c>
      <c r="F2729">
        <v>48715</v>
      </c>
    </row>
    <row r="2730" spans="1:6" x14ac:dyDescent="0.25">
      <c r="A2730" s="4">
        <v>38315</v>
      </c>
      <c r="B2730">
        <v>23.427299999999999</v>
      </c>
      <c r="C2730">
        <v>23.8629</v>
      </c>
      <c r="D2730">
        <v>23.2821</v>
      </c>
      <c r="E2730">
        <v>23.6693</v>
      </c>
      <c r="F2730">
        <v>39057</v>
      </c>
    </row>
    <row r="2731" spans="1:6" x14ac:dyDescent="0.25">
      <c r="A2731" s="4">
        <v>38316</v>
      </c>
      <c r="B2731">
        <v>23.766100000000002</v>
      </c>
      <c r="C2731">
        <v>23.814499999999999</v>
      </c>
      <c r="D2731">
        <v>23.378900000000002</v>
      </c>
      <c r="E2731">
        <v>23.378900000000002</v>
      </c>
      <c r="F2731">
        <v>37225</v>
      </c>
    </row>
    <row r="2732" spans="1:6" x14ac:dyDescent="0.25">
      <c r="A2732" s="4">
        <v>38317</v>
      </c>
      <c r="B2732">
        <v>23.4757</v>
      </c>
      <c r="C2732">
        <v>23.911300000000001</v>
      </c>
      <c r="D2732">
        <v>22.5076</v>
      </c>
      <c r="E2732">
        <v>22.846399999999999</v>
      </c>
      <c r="F2732">
        <v>35391</v>
      </c>
    </row>
    <row r="2733" spans="1:6" x14ac:dyDescent="0.25">
      <c r="A2733" s="4">
        <v>38320</v>
      </c>
      <c r="B2733">
        <v>22.749600000000001</v>
      </c>
      <c r="C2733">
        <v>23.0885</v>
      </c>
      <c r="D2733">
        <v>22.604399999999998</v>
      </c>
      <c r="E2733">
        <v>22.7012</v>
      </c>
      <c r="F2733">
        <v>36947</v>
      </c>
    </row>
    <row r="2734" spans="1:6" x14ac:dyDescent="0.25">
      <c r="A2734" s="4">
        <v>38321</v>
      </c>
      <c r="B2734">
        <v>22.943200000000001</v>
      </c>
      <c r="C2734">
        <v>22.943200000000001</v>
      </c>
      <c r="D2734">
        <v>22.410799999999998</v>
      </c>
      <c r="E2734">
        <v>22.8948</v>
      </c>
      <c r="F2734">
        <v>77756</v>
      </c>
    </row>
    <row r="2735" spans="1:6" x14ac:dyDescent="0.25">
      <c r="A2735" s="4">
        <v>38322</v>
      </c>
      <c r="B2735">
        <v>22.410799999999998</v>
      </c>
      <c r="C2735">
        <v>22.604399999999998</v>
      </c>
      <c r="D2735">
        <v>22.362400000000001</v>
      </c>
      <c r="E2735">
        <v>22.459199999999999</v>
      </c>
      <c r="F2735">
        <v>39791</v>
      </c>
    </row>
    <row r="2736" spans="1:6" x14ac:dyDescent="0.25">
      <c r="A2736" s="4">
        <v>38323</v>
      </c>
      <c r="B2736">
        <v>22.8948</v>
      </c>
      <c r="C2736">
        <v>23.233699999999999</v>
      </c>
      <c r="D2736">
        <v>22.749600000000001</v>
      </c>
      <c r="E2736">
        <v>23.233699999999999</v>
      </c>
      <c r="F2736">
        <v>54155</v>
      </c>
    </row>
    <row r="2737" spans="1:6" x14ac:dyDescent="0.25">
      <c r="A2737" s="4">
        <v>38324</v>
      </c>
      <c r="B2737">
        <v>23.524100000000001</v>
      </c>
      <c r="C2737">
        <v>23.717700000000001</v>
      </c>
      <c r="D2737">
        <v>23.378900000000002</v>
      </c>
      <c r="E2737">
        <v>23.6693</v>
      </c>
      <c r="F2737">
        <v>61116</v>
      </c>
    </row>
    <row r="2738" spans="1:6" x14ac:dyDescent="0.25">
      <c r="A2738" s="4">
        <v>38327</v>
      </c>
      <c r="B2738">
        <v>23.427299999999999</v>
      </c>
      <c r="C2738">
        <v>23.717700000000001</v>
      </c>
      <c r="D2738">
        <v>23.2821</v>
      </c>
      <c r="E2738">
        <v>23.6693</v>
      </c>
      <c r="F2738">
        <v>48055</v>
      </c>
    </row>
    <row r="2739" spans="1:6" x14ac:dyDescent="0.25">
      <c r="A2739" s="4">
        <v>38328</v>
      </c>
      <c r="B2739">
        <v>23.620899999999999</v>
      </c>
      <c r="C2739">
        <v>23.8629</v>
      </c>
      <c r="D2739">
        <v>23.427299999999999</v>
      </c>
      <c r="E2739">
        <v>23.814499999999999</v>
      </c>
      <c r="F2739">
        <v>57739</v>
      </c>
    </row>
    <row r="2740" spans="1:6" x14ac:dyDescent="0.25">
      <c r="A2740" s="4">
        <v>38329</v>
      </c>
      <c r="B2740">
        <v>23.717700000000001</v>
      </c>
      <c r="C2740">
        <v>23.717700000000001</v>
      </c>
      <c r="D2740">
        <v>23.427299999999999</v>
      </c>
      <c r="E2740">
        <v>23.620899999999999</v>
      </c>
      <c r="F2740">
        <v>39898</v>
      </c>
    </row>
    <row r="2741" spans="1:6" x14ac:dyDescent="0.25">
      <c r="A2741" s="4">
        <v>38330</v>
      </c>
      <c r="B2741">
        <v>23.2821</v>
      </c>
      <c r="C2741">
        <v>23.4757</v>
      </c>
      <c r="D2741">
        <v>22.991599999999998</v>
      </c>
      <c r="E2741">
        <v>23.330500000000001</v>
      </c>
      <c r="F2741">
        <v>52974</v>
      </c>
    </row>
    <row r="2742" spans="1:6" x14ac:dyDescent="0.25">
      <c r="A2742" s="4">
        <v>38331</v>
      </c>
      <c r="B2742">
        <v>23.0885</v>
      </c>
      <c r="C2742">
        <v>23.330500000000001</v>
      </c>
      <c r="D2742">
        <v>22.749600000000001</v>
      </c>
      <c r="E2742">
        <v>23.330500000000001</v>
      </c>
      <c r="F2742">
        <v>67862</v>
      </c>
    </row>
    <row r="2743" spans="1:6" x14ac:dyDescent="0.25">
      <c r="A2743" s="4">
        <v>38334</v>
      </c>
      <c r="B2743">
        <v>22.846399999999999</v>
      </c>
      <c r="C2743">
        <v>23.572500000000002</v>
      </c>
      <c r="D2743">
        <v>22.652799999999999</v>
      </c>
      <c r="E2743">
        <v>23.04</v>
      </c>
      <c r="F2743">
        <v>55785</v>
      </c>
    </row>
    <row r="2744" spans="1:6" x14ac:dyDescent="0.25">
      <c r="A2744" s="4">
        <v>38335</v>
      </c>
      <c r="B2744">
        <v>23.233699999999999</v>
      </c>
      <c r="C2744">
        <v>23.330500000000001</v>
      </c>
      <c r="D2744">
        <v>23.0885</v>
      </c>
      <c r="E2744">
        <v>23.2821</v>
      </c>
      <c r="F2744">
        <v>31795</v>
      </c>
    </row>
    <row r="2745" spans="1:6" x14ac:dyDescent="0.25">
      <c r="A2745" s="4">
        <v>38336</v>
      </c>
      <c r="B2745">
        <v>23.427299999999999</v>
      </c>
      <c r="C2745">
        <v>24.201699999999999</v>
      </c>
      <c r="D2745">
        <v>23.378900000000002</v>
      </c>
      <c r="E2745">
        <v>24.104900000000001</v>
      </c>
      <c r="F2745">
        <v>72308</v>
      </c>
    </row>
    <row r="2746" spans="1:6" x14ac:dyDescent="0.25">
      <c r="A2746" s="4">
        <v>38337</v>
      </c>
      <c r="B2746">
        <v>24.104900000000001</v>
      </c>
      <c r="C2746">
        <v>24.201699999999999</v>
      </c>
      <c r="D2746">
        <v>23.911300000000001</v>
      </c>
      <c r="E2746">
        <v>24.201699999999999</v>
      </c>
      <c r="F2746">
        <v>49078</v>
      </c>
    </row>
    <row r="2747" spans="1:6" x14ac:dyDescent="0.25">
      <c r="A2747" s="4">
        <v>38338</v>
      </c>
      <c r="B2747">
        <v>24.153300000000002</v>
      </c>
      <c r="C2747">
        <v>24.4437</v>
      </c>
      <c r="D2747">
        <v>24.104900000000001</v>
      </c>
      <c r="E2747">
        <v>24.104900000000001</v>
      </c>
      <c r="F2747">
        <v>35753</v>
      </c>
    </row>
    <row r="2748" spans="1:6" x14ac:dyDescent="0.25">
      <c r="A2748" s="4">
        <v>38341</v>
      </c>
      <c r="B2748">
        <v>23.717700000000001</v>
      </c>
      <c r="C2748">
        <v>24.201699999999999</v>
      </c>
      <c r="D2748">
        <v>23.717700000000001</v>
      </c>
      <c r="E2748">
        <v>24.201699999999999</v>
      </c>
      <c r="F2748">
        <v>50915</v>
      </c>
    </row>
    <row r="2749" spans="1:6" x14ac:dyDescent="0.25">
      <c r="A2749" s="4">
        <v>38342</v>
      </c>
      <c r="B2749">
        <v>24.0565</v>
      </c>
      <c r="C2749">
        <v>24.153300000000002</v>
      </c>
      <c r="D2749">
        <v>23.8629</v>
      </c>
      <c r="E2749">
        <v>23.8629</v>
      </c>
      <c r="F2749">
        <v>47579</v>
      </c>
    </row>
    <row r="2750" spans="1:6" x14ac:dyDescent="0.25">
      <c r="A2750" s="4">
        <v>38343</v>
      </c>
      <c r="B2750">
        <v>24.008099999999999</v>
      </c>
      <c r="C2750">
        <v>24.4437</v>
      </c>
      <c r="D2750">
        <v>23.959700000000002</v>
      </c>
      <c r="E2750">
        <v>24.104900000000001</v>
      </c>
      <c r="F2750">
        <v>81146</v>
      </c>
    </row>
    <row r="2751" spans="1:6" x14ac:dyDescent="0.25">
      <c r="A2751" s="4">
        <v>38344</v>
      </c>
      <c r="B2751">
        <v>23.959700000000002</v>
      </c>
      <c r="C2751">
        <v>24.201699999999999</v>
      </c>
      <c r="D2751">
        <v>23.911300000000001</v>
      </c>
      <c r="E2751">
        <v>24.201699999999999</v>
      </c>
      <c r="F2751">
        <v>35016</v>
      </c>
    </row>
    <row r="2752" spans="1:6" x14ac:dyDescent="0.25">
      <c r="A2752" s="4">
        <v>38345</v>
      </c>
      <c r="B2752">
        <v>24.201699999999999</v>
      </c>
      <c r="C2752">
        <v>24.4437</v>
      </c>
      <c r="D2752">
        <v>24.104900000000001</v>
      </c>
      <c r="E2752">
        <v>24.201699999999999</v>
      </c>
      <c r="F2752">
        <v>21848</v>
      </c>
    </row>
    <row r="2753" spans="1:6" x14ac:dyDescent="0.25">
      <c r="A2753" s="4">
        <v>38348</v>
      </c>
      <c r="B2753">
        <v>24.201699999999999</v>
      </c>
      <c r="C2753">
        <v>24.201699999999999</v>
      </c>
      <c r="D2753">
        <v>24.008099999999999</v>
      </c>
      <c r="E2753">
        <v>24.153300000000002</v>
      </c>
      <c r="F2753">
        <v>7050</v>
      </c>
    </row>
    <row r="2754" spans="1:6" x14ac:dyDescent="0.25">
      <c r="A2754" s="4">
        <v>38349</v>
      </c>
      <c r="B2754">
        <v>24.153300000000002</v>
      </c>
      <c r="C2754">
        <v>24.4437</v>
      </c>
      <c r="D2754">
        <v>24.153300000000002</v>
      </c>
      <c r="E2754">
        <v>24.201699999999999</v>
      </c>
      <c r="F2754">
        <v>26379</v>
      </c>
    </row>
    <row r="2755" spans="1:6" x14ac:dyDescent="0.25">
      <c r="A2755" s="4">
        <v>38350</v>
      </c>
      <c r="B2755">
        <v>24.4437</v>
      </c>
      <c r="C2755">
        <v>24.6858</v>
      </c>
      <c r="D2755">
        <v>24.201699999999999</v>
      </c>
      <c r="E2755">
        <v>24.4437</v>
      </c>
      <c r="F2755">
        <v>40412</v>
      </c>
    </row>
    <row r="2756" spans="1:6" x14ac:dyDescent="0.25">
      <c r="A2756" s="4">
        <v>38351</v>
      </c>
      <c r="B2756">
        <v>24.4437</v>
      </c>
      <c r="C2756">
        <v>24.6858</v>
      </c>
      <c r="D2756">
        <v>24.4437</v>
      </c>
      <c r="E2756">
        <v>24.4437</v>
      </c>
      <c r="F2756">
        <v>42509</v>
      </c>
    </row>
    <row r="2757" spans="1:6" x14ac:dyDescent="0.25">
      <c r="A2757" s="4">
        <v>38352</v>
      </c>
      <c r="B2757">
        <v>24.4437</v>
      </c>
      <c r="C2757">
        <v>24.927800000000001</v>
      </c>
      <c r="D2757">
        <v>24.4437</v>
      </c>
      <c r="E2757">
        <v>24.4437</v>
      </c>
      <c r="F2757">
        <v>37953</v>
      </c>
    </row>
    <row r="2758" spans="1:6" x14ac:dyDescent="0.25">
      <c r="A2758" s="4">
        <v>38355</v>
      </c>
      <c r="B2758">
        <v>24.6858</v>
      </c>
      <c r="C2758">
        <v>24.927800000000001</v>
      </c>
      <c r="D2758">
        <v>24.4437</v>
      </c>
      <c r="E2758">
        <v>24.6858</v>
      </c>
      <c r="F2758">
        <v>26097</v>
      </c>
    </row>
    <row r="2759" spans="1:6" x14ac:dyDescent="0.25">
      <c r="A2759" s="4">
        <v>38356</v>
      </c>
      <c r="B2759">
        <v>24.201699999999999</v>
      </c>
      <c r="C2759">
        <v>24.4437</v>
      </c>
      <c r="D2759">
        <v>24.008099999999999</v>
      </c>
      <c r="E2759">
        <v>24.008099999999999</v>
      </c>
      <c r="F2759">
        <v>27821</v>
      </c>
    </row>
    <row r="2760" spans="1:6" x14ac:dyDescent="0.25">
      <c r="A2760" s="4">
        <v>38357</v>
      </c>
      <c r="B2760">
        <v>23.620899999999999</v>
      </c>
      <c r="C2760">
        <v>23.620899999999999</v>
      </c>
      <c r="D2760">
        <v>23.4757</v>
      </c>
      <c r="E2760">
        <v>23.4757</v>
      </c>
      <c r="F2760">
        <v>38000</v>
      </c>
    </row>
    <row r="2761" spans="1:6" x14ac:dyDescent="0.25">
      <c r="A2761" s="4">
        <v>38358</v>
      </c>
      <c r="B2761">
        <v>23.2821</v>
      </c>
      <c r="C2761">
        <v>23.427299999999999</v>
      </c>
      <c r="D2761">
        <v>23.185300000000002</v>
      </c>
      <c r="E2761">
        <v>23.233699999999999</v>
      </c>
      <c r="F2761">
        <v>43601</v>
      </c>
    </row>
    <row r="2762" spans="1:6" x14ac:dyDescent="0.25">
      <c r="A2762" s="4">
        <v>38359</v>
      </c>
      <c r="B2762">
        <v>23.136900000000001</v>
      </c>
      <c r="C2762">
        <v>23.185300000000002</v>
      </c>
      <c r="D2762">
        <v>22.991599999999998</v>
      </c>
      <c r="E2762">
        <v>23.136900000000001</v>
      </c>
      <c r="F2762">
        <v>43700</v>
      </c>
    </row>
    <row r="2763" spans="1:6" x14ac:dyDescent="0.25">
      <c r="A2763" s="4">
        <v>38362</v>
      </c>
      <c r="B2763">
        <v>23.136900000000001</v>
      </c>
      <c r="C2763">
        <v>23.620899999999999</v>
      </c>
      <c r="D2763">
        <v>23.136900000000001</v>
      </c>
      <c r="E2763">
        <v>23.4757</v>
      </c>
      <c r="F2763">
        <v>35253</v>
      </c>
    </row>
    <row r="2764" spans="1:6" x14ac:dyDescent="0.25">
      <c r="A2764" s="4">
        <v>38363</v>
      </c>
      <c r="B2764">
        <v>23.378900000000002</v>
      </c>
      <c r="C2764">
        <v>23.524100000000001</v>
      </c>
      <c r="D2764">
        <v>23.233699999999999</v>
      </c>
      <c r="E2764">
        <v>23.330500000000001</v>
      </c>
      <c r="F2764">
        <v>32803</v>
      </c>
    </row>
    <row r="2765" spans="1:6" x14ac:dyDescent="0.25">
      <c r="A2765" s="4">
        <v>38364</v>
      </c>
      <c r="B2765">
        <v>23.136900000000001</v>
      </c>
      <c r="C2765">
        <v>23.2821</v>
      </c>
      <c r="D2765">
        <v>22.749600000000001</v>
      </c>
      <c r="E2765">
        <v>22.749600000000001</v>
      </c>
      <c r="F2765">
        <v>41124</v>
      </c>
    </row>
    <row r="2766" spans="1:6" x14ac:dyDescent="0.25">
      <c r="A2766" s="4">
        <v>38365</v>
      </c>
      <c r="B2766">
        <v>22.8948</v>
      </c>
      <c r="C2766">
        <v>23.136900000000001</v>
      </c>
      <c r="D2766">
        <v>22.5076</v>
      </c>
      <c r="E2766">
        <v>22.652799999999999</v>
      </c>
      <c r="F2766">
        <v>35956</v>
      </c>
    </row>
    <row r="2767" spans="1:6" x14ac:dyDescent="0.25">
      <c r="A2767" s="4">
        <v>38366</v>
      </c>
      <c r="B2767">
        <v>22.5076</v>
      </c>
      <c r="C2767">
        <v>22.797999999999998</v>
      </c>
      <c r="D2767">
        <v>22.362400000000001</v>
      </c>
      <c r="E2767">
        <v>22.749600000000001</v>
      </c>
      <c r="F2767">
        <v>48926</v>
      </c>
    </row>
    <row r="2768" spans="1:6" x14ac:dyDescent="0.25">
      <c r="A2768" s="4">
        <v>38369</v>
      </c>
      <c r="B2768">
        <v>23.136900000000001</v>
      </c>
      <c r="C2768">
        <v>23.6693</v>
      </c>
      <c r="D2768">
        <v>23.04</v>
      </c>
      <c r="E2768">
        <v>23.6693</v>
      </c>
      <c r="F2768">
        <v>41588</v>
      </c>
    </row>
    <row r="2769" spans="1:6" x14ac:dyDescent="0.25">
      <c r="A2769" s="4">
        <v>38370</v>
      </c>
      <c r="B2769">
        <v>23.6693</v>
      </c>
      <c r="C2769">
        <v>23.814499999999999</v>
      </c>
      <c r="D2769">
        <v>23.524100000000001</v>
      </c>
      <c r="E2769">
        <v>23.766100000000002</v>
      </c>
      <c r="F2769">
        <v>42294</v>
      </c>
    </row>
    <row r="2770" spans="1:6" x14ac:dyDescent="0.25">
      <c r="A2770" s="4">
        <v>38371</v>
      </c>
      <c r="B2770">
        <v>23.766100000000002</v>
      </c>
      <c r="C2770">
        <v>23.8629</v>
      </c>
      <c r="D2770">
        <v>23.0885</v>
      </c>
      <c r="E2770">
        <v>23.0885</v>
      </c>
      <c r="F2770">
        <v>31281</v>
      </c>
    </row>
    <row r="2771" spans="1:6" x14ac:dyDescent="0.25">
      <c r="A2771" s="4">
        <v>38372</v>
      </c>
      <c r="B2771">
        <v>22.943200000000001</v>
      </c>
      <c r="C2771">
        <v>23.4757</v>
      </c>
      <c r="D2771">
        <v>22.943200000000001</v>
      </c>
      <c r="E2771">
        <v>23.233699999999999</v>
      </c>
      <c r="F2771">
        <v>39516</v>
      </c>
    </row>
    <row r="2772" spans="1:6" x14ac:dyDescent="0.25">
      <c r="A2772" s="4">
        <v>38373</v>
      </c>
      <c r="B2772">
        <v>23.0885</v>
      </c>
      <c r="C2772">
        <v>23.233699999999999</v>
      </c>
      <c r="D2772">
        <v>22.991599999999998</v>
      </c>
      <c r="E2772">
        <v>22.991599999999998</v>
      </c>
      <c r="F2772">
        <v>28725</v>
      </c>
    </row>
    <row r="2773" spans="1:6" x14ac:dyDescent="0.25">
      <c r="A2773" s="4">
        <v>38376</v>
      </c>
      <c r="B2773">
        <v>22.991599999999998</v>
      </c>
      <c r="C2773">
        <v>23.04</v>
      </c>
      <c r="D2773">
        <v>22.7012</v>
      </c>
      <c r="E2773">
        <v>22.749600000000001</v>
      </c>
      <c r="F2773">
        <v>23761</v>
      </c>
    </row>
    <row r="2774" spans="1:6" x14ac:dyDescent="0.25">
      <c r="A2774" s="4">
        <v>38377</v>
      </c>
      <c r="B2774">
        <v>22.604399999999998</v>
      </c>
      <c r="C2774">
        <v>23.0885</v>
      </c>
      <c r="D2774">
        <v>22.604399999999998</v>
      </c>
      <c r="E2774">
        <v>23.04</v>
      </c>
      <c r="F2774">
        <v>37084</v>
      </c>
    </row>
    <row r="2775" spans="1:6" x14ac:dyDescent="0.25">
      <c r="A2775" s="4">
        <v>38378</v>
      </c>
      <c r="B2775">
        <v>23.233699999999999</v>
      </c>
      <c r="C2775">
        <v>23.911300000000001</v>
      </c>
      <c r="D2775">
        <v>23.185300000000002</v>
      </c>
      <c r="E2775">
        <v>23.814499999999999</v>
      </c>
      <c r="F2775">
        <v>70887</v>
      </c>
    </row>
    <row r="2776" spans="1:6" x14ac:dyDescent="0.25">
      <c r="A2776" s="4">
        <v>38379</v>
      </c>
      <c r="B2776">
        <v>23.814499999999999</v>
      </c>
      <c r="C2776">
        <v>23.959700000000002</v>
      </c>
      <c r="D2776">
        <v>23.6693</v>
      </c>
      <c r="E2776">
        <v>23.911300000000001</v>
      </c>
      <c r="F2776">
        <v>43795</v>
      </c>
    </row>
    <row r="2777" spans="1:6" x14ac:dyDescent="0.25">
      <c r="A2777" s="4">
        <v>38380</v>
      </c>
      <c r="B2777">
        <v>24.008099999999999</v>
      </c>
      <c r="C2777">
        <v>24.6858</v>
      </c>
      <c r="D2777">
        <v>24.008099999999999</v>
      </c>
      <c r="E2777">
        <v>24.201699999999999</v>
      </c>
      <c r="F2777">
        <v>81134</v>
      </c>
    </row>
    <row r="2778" spans="1:6" x14ac:dyDescent="0.25">
      <c r="A2778" s="4">
        <v>38383</v>
      </c>
      <c r="B2778">
        <v>24.4437</v>
      </c>
      <c r="C2778">
        <v>25.411799999999999</v>
      </c>
      <c r="D2778">
        <v>24.4437</v>
      </c>
      <c r="E2778">
        <v>25.169799999999999</v>
      </c>
      <c r="F2778">
        <v>127695</v>
      </c>
    </row>
    <row r="2779" spans="1:6" x14ac:dyDescent="0.25">
      <c r="A2779" s="4">
        <v>38384</v>
      </c>
      <c r="B2779">
        <v>25.411799999999999</v>
      </c>
      <c r="C2779">
        <v>25.6538</v>
      </c>
      <c r="D2779">
        <v>25.169799999999999</v>
      </c>
      <c r="E2779">
        <v>25.411799999999999</v>
      </c>
      <c r="F2779">
        <v>105803</v>
      </c>
    </row>
    <row r="2780" spans="1:6" x14ac:dyDescent="0.25">
      <c r="A2780" s="4">
        <v>38385</v>
      </c>
      <c r="B2780">
        <v>25.6538</v>
      </c>
      <c r="C2780">
        <v>26.137899999999998</v>
      </c>
      <c r="D2780">
        <v>25.6538</v>
      </c>
      <c r="E2780">
        <v>25.895900000000001</v>
      </c>
      <c r="F2780">
        <v>106977</v>
      </c>
    </row>
    <row r="2781" spans="1:6" x14ac:dyDescent="0.25">
      <c r="A2781" s="4">
        <v>38386</v>
      </c>
      <c r="B2781">
        <v>25.895900000000001</v>
      </c>
      <c r="C2781">
        <v>26.137899999999998</v>
      </c>
      <c r="D2781">
        <v>25.411799999999999</v>
      </c>
      <c r="E2781">
        <v>25.895900000000001</v>
      </c>
      <c r="F2781">
        <v>89138</v>
      </c>
    </row>
    <row r="2782" spans="1:6" x14ac:dyDescent="0.25">
      <c r="A2782" s="4">
        <v>38397</v>
      </c>
      <c r="B2782">
        <v>26.379899999999999</v>
      </c>
      <c r="C2782">
        <v>26.863900000000001</v>
      </c>
      <c r="D2782">
        <v>26.137899999999998</v>
      </c>
      <c r="E2782">
        <v>26.379899999999999</v>
      </c>
      <c r="F2782">
        <v>139791</v>
      </c>
    </row>
    <row r="2783" spans="1:6" x14ac:dyDescent="0.25">
      <c r="A2783" s="4">
        <v>38398</v>
      </c>
      <c r="B2783">
        <v>26.379899999999999</v>
      </c>
      <c r="C2783">
        <v>26.863900000000001</v>
      </c>
      <c r="D2783">
        <v>26.379899999999999</v>
      </c>
      <c r="E2783">
        <v>26.6219</v>
      </c>
      <c r="F2783">
        <v>60536</v>
      </c>
    </row>
    <row r="2784" spans="1:6" x14ac:dyDescent="0.25">
      <c r="A2784" s="4">
        <v>38399</v>
      </c>
      <c r="B2784">
        <v>26.6219</v>
      </c>
      <c r="C2784">
        <v>26.6219</v>
      </c>
      <c r="D2784">
        <v>25.895900000000001</v>
      </c>
      <c r="E2784">
        <v>26.379899999999999</v>
      </c>
      <c r="F2784">
        <v>38293</v>
      </c>
    </row>
    <row r="2785" spans="1:6" x14ac:dyDescent="0.25">
      <c r="A2785" s="4">
        <v>38400</v>
      </c>
      <c r="B2785">
        <v>26.379899999999999</v>
      </c>
      <c r="C2785">
        <v>26.379899999999999</v>
      </c>
      <c r="D2785">
        <v>25.6538</v>
      </c>
      <c r="E2785">
        <v>25.895900000000001</v>
      </c>
      <c r="F2785">
        <v>42977</v>
      </c>
    </row>
    <row r="2786" spans="1:6" x14ac:dyDescent="0.25">
      <c r="A2786" s="4">
        <v>38401</v>
      </c>
      <c r="B2786">
        <v>25.895900000000001</v>
      </c>
      <c r="C2786">
        <v>26.379899999999999</v>
      </c>
      <c r="D2786">
        <v>25.6538</v>
      </c>
      <c r="E2786">
        <v>26.137899999999998</v>
      </c>
      <c r="F2786">
        <v>60423</v>
      </c>
    </row>
    <row r="2787" spans="1:6" x14ac:dyDescent="0.25">
      <c r="A2787" s="4">
        <v>38404</v>
      </c>
      <c r="B2787">
        <v>26.137899999999998</v>
      </c>
      <c r="C2787">
        <v>26.379899999999999</v>
      </c>
      <c r="D2787">
        <v>25.895900000000001</v>
      </c>
      <c r="E2787">
        <v>26.379899999999999</v>
      </c>
      <c r="F2787">
        <v>27899</v>
      </c>
    </row>
    <row r="2788" spans="1:6" x14ac:dyDescent="0.25">
      <c r="A2788" s="4">
        <v>38405</v>
      </c>
      <c r="B2788">
        <v>26.137899999999998</v>
      </c>
      <c r="C2788">
        <v>26.379899999999999</v>
      </c>
      <c r="D2788">
        <v>25.895900000000001</v>
      </c>
      <c r="E2788">
        <v>26.137899999999998</v>
      </c>
      <c r="F2788">
        <v>25373</v>
      </c>
    </row>
    <row r="2789" spans="1:6" x14ac:dyDescent="0.25">
      <c r="A2789" s="4">
        <v>38406</v>
      </c>
      <c r="B2789">
        <v>25.895900000000001</v>
      </c>
      <c r="C2789">
        <v>26.137899999999998</v>
      </c>
      <c r="D2789">
        <v>25.411799999999999</v>
      </c>
      <c r="E2789">
        <v>25.895900000000001</v>
      </c>
      <c r="F2789">
        <v>53202</v>
      </c>
    </row>
    <row r="2790" spans="1:6" x14ac:dyDescent="0.25">
      <c r="A2790" s="4">
        <v>38407</v>
      </c>
      <c r="B2790">
        <v>25.6538</v>
      </c>
      <c r="C2790">
        <v>25.895900000000001</v>
      </c>
      <c r="D2790">
        <v>25.411799999999999</v>
      </c>
      <c r="E2790">
        <v>25.6538</v>
      </c>
      <c r="F2790">
        <v>38313</v>
      </c>
    </row>
    <row r="2791" spans="1:6" x14ac:dyDescent="0.25">
      <c r="A2791" s="4">
        <v>38408</v>
      </c>
      <c r="B2791">
        <v>26.137899999999998</v>
      </c>
      <c r="C2791">
        <v>26.6219</v>
      </c>
      <c r="D2791">
        <v>26.137899999999998</v>
      </c>
      <c r="E2791">
        <v>26.6219</v>
      </c>
      <c r="F2791">
        <v>84167</v>
      </c>
    </row>
    <row r="2792" spans="1:6" x14ac:dyDescent="0.25">
      <c r="A2792" s="4">
        <v>38412</v>
      </c>
      <c r="B2792">
        <v>26.379899999999999</v>
      </c>
      <c r="C2792">
        <v>26.573499999999999</v>
      </c>
      <c r="D2792">
        <v>26.137899999999998</v>
      </c>
      <c r="E2792">
        <v>26.283100000000001</v>
      </c>
      <c r="F2792">
        <v>38225</v>
      </c>
    </row>
    <row r="2793" spans="1:6" x14ac:dyDescent="0.25">
      <c r="A2793" s="4">
        <v>38413</v>
      </c>
      <c r="B2793">
        <v>26.283100000000001</v>
      </c>
      <c r="C2793">
        <v>26.476700000000001</v>
      </c>
      <c r="D2793">
        <v>26.137899999999998</v>
      </c>
      <c r="E2793">
        <v>26.186299999999999</v>
      </c>
      <c r="F2793">
        <v>45735</v>
      </c>
    </row>
    <row r="2794" spans="1:6" x14ac:dyDescent="0.25">
      <c r="A2794" s="4">
        <v>38414</v>
      </c>
      <c r="B2794">
        <v>26.137899999999998</v>
      </c>
      <c r="C2794">
        <v>26.137899999999998</v>
      </c>
      <c r="D2794">
        <v>25.750599999999999</v>
      </c>
      <c r="E2794">
        <v>25.895900000000001</v>
      </c>
      <c r="F2794">
        <v>64315</v>
      </c>
    </row>
    <row r="2795" spans="1:6" x14ac:dyDescent="0.25">
      <c r="A2795" s="4">
        <v>38415</v>
      </c>
      <c r="B2795">
        <v>25.6538</v>
      </c>
      <c r="C2795">
        <v>25.702200000000001</v>
      </c>
      <c r="D2795">
        <v>25.2182</v>
      </c>
      <c r="E2795">
        <v>25.411799999999999</v>
      </c>
      <c r="F2795">
        <v>66781</v>
      </c>
    </row>
    <row r="2796" spans="1:6" x14ac:dyDescent="0.25">
      <c r="A2796" s="4">
        <v>38418</v>
      </c>
      <c r="B2796">
        <v>25.411799999999999</v>
      </c>
      <c r="C2796">
        <v>25.702200000000001</v>
      </c>
      <c r="D2796">
        <v>25.315000000000001</v>
      </c>
      <c r="E2796">
        <v>25.556999999999999</v>
      </c>
      <c r="F2796">
        <v>34805</v>
      </c>
    </row>
    <row r="2797" spans="1:6" x14ac:dyDescent="0.25">
      <c r="A2797" s="4">
        <v>38419</v>
      </c>
      <c r="B2797">
        <v>25.895900000000001</v>
      </c>
      <c r="C2797">
        <v>26.2347</v>
      </c>
      <c r="D2797">
        <v>25.556999999999999</v>
      </c>
      <c r="E2797">
        <v>25.992699999999999</v>
      </c>
      <c r="F2797">
        <v>33012</v>
      </c>
    </row>
    <row r="2798" spans="1:6" x14ac:dyDescent="0.25">
      <c r="A2798" s="4">
        <v>38420</v>
      </c>
      <c r="B2798">
        <v>25.508600000000001</v>
      </c>
      <c r="C2798">
        <v>25.8474</v>
      </c>
      <c r="D2798">
        <v>25.508600000000001</v>
      </c>
      <c r="E2798">
        <v>25.6538</v>
      </c>
      <c r="F2798">
        <v>26794</v>
      </c>
    </row>
    <row r="2799" spans="1:6" x14ac:dyDescent="0.25">
      <c r="A2799" s="4">
        <v>38421</v>
      </c>
      <c r="B2799">
        <v>25.556999999999999</v>
      </c>
      <c r="C2799">
        <v>25.556999999999999</v>
      </c>
      <c r="D2799">
        <v>25.0246</v>
      </c>
      <c r="E2799">
        <v>25.169799999999999</v>
      </c>
      <c r="F2799">
        <v>44221</v>
      </c>
    </row>
    <row r="2800" spans="1:6" x14ac:dyDescent="0.25">
      <c r="A2800" s="4">
        <v>38422</v>
      </c>
      <c r="B2800">
        <v>25.2182</v>
      </c>
      <c r="C2800">
        <v>25.605399999999999</v>
      </c>
      <c r="D2800">
        <v>25.2182</v>
      </c>
      <c r="E2800">
        <v>25.411799999999999</v>
      </c>
      <c r="F2800">
        <v>27266</v>
      </c>
    </row>
    <row r="2801" spans="1:6" x14ac:dyDescent="0.25">
      <c r="A2801" s="4">
        <v>38425</v>
      </c>
      <c r="B2801">
        <v>25.121400000000001</v>
      </c>
      <c r="C2801">
        <v>25.169799999999999</v>
      </c>
      <c r="D2801">
        <v>24.831</v>
      </c>
      <c r="E2801">
        <v>24.927800000000001</v>
      </c>
      <c r="F2801">
        <v>32036</v>
      </c>
    </row>
    <row r="2802" spans="1:6" x14ac:dyDescent="0.25">
      <c r="A2802" s="4">
        <v>38426</v>
      </c>
      <c r="B2802">
        <v>24.8794</v>
      </c>
      <c r="C2802">
        <v>24.927800000000001</v>
      </c>
      <c r="D2802">
        <v>24.6858</v>
      </c>
      <c r="E2802">
        <v>24.734200000000001</v>
      </c>
      <c r="F2802">
        <v>30323</v>
      </c>
    </row>
    <row r="2803" spans="1:6" x14ac:dyDescent="0.25">
      <c r="A2803" s="4">
        <v>38427</v>
      </c>
      <c r="B2803">
        <v>24.6858</v>
      </c>
      <c r="C2803">
        <v>25.169799999999999</v>
      </c>
      <c r="D2803">
        <v>24.6858</v>
      </c>
      <c r="E2803">
        <v>25.169799999999999</v>
      </c>
      <c r="F2803">
        <v>42834</v>
      </c>
    </row>
    <row r="2804" spans="1:6" x14ac:dyDescent="0.25">
      <c r="A2804" s="4">
        <v>38428</v>
      </c>
      <c r="B2804">
        <v>24.6858</v>
      </c>
      <c r="C2804">
        <v>24.927800000000001</v>
      </c>
      <c r="D2804">
        <v>24.540600000000001</v>
      </c>
      <c r="E2804">
        <v>24.6374</v>
      </c>
      <c r="F2804">
        <v>52154</v>
      </c>
    </row>
    <row r="2805" spans="1:6" x14ac:dyDescent="0.25">
      <c r="A2805" s="4">
        <v>38429</v>
      </c>
      <c r="B2805">
        <v>24.6858</v>
      </c>
      <c r="C2805">
        <v>24.8794</v>
      </c>
      <c r="D2805">
        <v>24.540600000000001</v>
      </c>
      <c r="E2805">
        <v>24.6374</v>
      </c>
      <c r="F2805">
        <v>29417</v>
      </c>
    </row>
    <row r="2806" spans="1:6" x14ac:dyDescent="0.25">
      <c r="A2806" s="4">
        <v>38432</v>
      </c>
      <c r="B2806">
        <v>24.588999999999999</v>
      </c>
      <c r="C2806">
        <v>24.588999999999999</v>
      </c>
      <c r="D2806">
        <v>24.346900000000002</v>
      </c>
      <c r="E2806">
        <v>24.4922</v>
      </c>
      <c r="F2806">
        <v>44379</v>
      </c>
    </row>
    <row r="2807" spans="1:6" x14ac:dyDescent="0.25">
      <c r="A2807" s="4">
        <v>38433</v>
      </c>
      <c r="B2807">
        <v>24.346900000000002</v>
      </c>
      <c r="C2807">
        <v>24.588999999999999</v>
      </c>
      <c r="D2807">
        <v>24.153300000000002</v>
      </c>
      <c r="E2807">
        <v>24.4437</v>
      </c>
      <c r="F2807">
        <v>36884</v>
      </c>
    </row>
    <row r="2808" spans="1:6" x14ac:dyDescent="0.25">
      <c r="A2808" s="4">
        <v>38434</v>
      </c>
      <c r="B2808">
        <v>24.153300000000002</v>
      </c>
      <c r="C2808">
        <v>24.4437</v>
      </c>
      <c r="D2808">
        <v>24.104900000000001</v>
      </c>
      <c r="E2808">
        <v>24.346900000000002</v>
      </c>
      <c r="F2808">
        <v>40548</v>
      </c>
    </row>
    <row r="2809" spans="1:6" x14ac:dyDescent="0.25">
      <c r="A2809" s="4">
        <v>38435</v>
      </c>
      <c r="B2809">
        <v>24.298500000000001</v>
      </c>
      <c r="C2809">
        <v>24.8794</v>
      </c>
      <c r="D2809">
        <v>24.2501</v>
      </c>
      <c r="E2809">
        <v>24.4922</v>
      </c>
      <c r="F2809">
        <v>37467</v>
      </c>
    </row>
    <row r="2810" spans="1:6" x14ac:dyDescent="0.25">
      <c r="A2810" s="4">
        <v>38436</v>
      </c>
      <c r="B2810">
        <v>24.6374</v>
      </c>
      <c r="C2810">
        <v>24.927800000000001</v>
      </c>
      <c r="D2810">
        <v>24.6374</v>
      </c>
      <c r="E2810">
        <v>24.927800000000001</v>
      </c>
      <c r="F2810">
        <v>24769</v>
      </c>
    </row>
    <row r="2811" spans="1:6" x14ac:dyDescent="0.25">
      <c r="A2811" s="4">
        <v>38439</v>
      </c>
      <c r="B2811">
        <v>24.976199999999999</v>
      </c>
      <c r="C2811">
        <v>25.0246</v>
      </c>
      <c r="D2811">
        <v>24.782599999999999</v>
      </c>
      <c r="E2811">
        <v>24.927800000000001</v>
      </c>
      <c r="F2811">
        <v>18084</v>
      </c>
    </row>
    <row r="2812" spans="1:6" x14ac:dyDescent="0.25">
      <c r="A2812" s="4">
        <v>38440</v>
      </c>
      <c r="B2812">
        <v>24.927800000000001</v>
      </c>
      <c r="C2812">
        <v>24.927800000000001</v>
      </c>
      <c r="D2812">
        <v>24.588999999999999</v>
      </c>
      <c r="E2812">
        <v>24.734200000000001</v>
      </c>
      <c r="F2812">
        <v>21192</v>
      </c>
    </row>
    <row r="2813" spans="1:6" x14ac:dyDescent="0.25">
      <c r="A2813" s="4">
        <v>38441</v>
      </c>
      <c r="B2813">
        <v>24.4437</v>
      </c>
      <c r="C2813">
        <v>24.6858</v>
      </c>
      <c r="D2813">
        <v>24.4437</v>
      </c>
      <c r="E2813">
        <v>24.4922</v>
      </c>
      <c r="F2813">
        <v>48374</v>
      </c>
    </row>
    <row r="2814" spans="1:6" x14ac:dyDescent="0.25">
      <c r="A2814" s="4">
        <v>38442</v>
      </c>
      <c r="B2814">
        <v>24.782599999999999</v>
      </c>
      <c r="C2814">
        <v>24.976199999999999</v>
      </c>
      <c r="D2814">
        <v>24.588999999999999</v>
      </c>
      <c r="E2814">
        <v>24.927800000000001</v>
      </c>
      <c r="F2814">
        <v>27060</v>
      </c>
    </row>
    <row r="2815" spans="1:6" x14ac:dyDescent="0.25">
      <c r="A2815" s="4">
        <v>38443</v>
      </c>
      <c r="B2815">
        <v>24.927800000000001</v>
      </c>
      <c r="C2815">
        <v>25.508600000000001</v>
      </c>
      <c r="D2815">
        <v>24.734200000000001</v>
      </c>
      <c r="E2815">
        <v>25.4602</v>
      </c>
      <c r="F2815">
        <v>37605</v>
      </c>
    </row>
    <row r="2816" spans="1:6" x14ac:dyDescent="0.25">
      <c r="A2816" s="4">
        <v>38446</v>
      </c>
      <c r="B2816">
        <v>25.2182</v>
      </c>
      <c r="C2816">
        <v>25.556999999999999</v>
      </c>
      <c r="D2816">
        <v>25.2182</v>
      </c>
      <c r="E2816">
        <v>25.2666</v>
      </c>
      <c r="F2816">
        <v>24189</v>
      </c>
    </row>
    <row r="2817" spans="1:6" x14ac:dyDescent="0.25">
      <c r="A2817" s="4">
        <v>38448</v>
      </c>
      <c r="B2817">
        <v>25.073</v>
      </c>
      <c r="C2817">
        <v>25.315000000000001</v>
      </c>
      <c r="D2817">
        <v>24.927800000000001</v>
      </c>
      <c r="E2817">
        <v>24.927800000000001</v>
      </c>
      <c r="F2817">
        <v>27418</v>
      </c>
    </row>
    <row r="2818" spans="1:6" x14ac:dyDescent="0.25">
      <c r="A2818" s="4">
        <v>38449</v>
      </c>
      <c r="B2818">
        <v>24.927800000000001</v>
      </c>
      <c r="C2818">
        <v>25.2182</v>
      </c>
      <c r="D2818">
        <v>24.8794</v>
      </c>
      <c r="E2818">
        <v>24.8794</v>
      </c>
      <c r="F2818">
        <v>42241</v>
      </c>
    </row>
    <row r="2819" spans="1:6" x14ac:dyDescent="0.25">
      <c r="A2819" s="4">
        <v>38450</v>
      </c>
      <c r="B2819">
        <v>25.169799999999999</v>
      </c>
      <c r="C2819">
        <v>25.315000000000001</v>
      </c>
      <c r="D2819">
        <v>24.976199999999999</v>
      </c>
      <c r="E2819">
        <v>25.315000000000001</v>
      </c>
      <c r="F2819">
        <v>32159</v>
      </c>
    </row>
    <row r="2820" spans="1:6" x14ac:dyDescent="0.25">
      <c r="A2820" s="4">
        <v>38453</v>
      </c>
      <c r="B2820">
        <v>25.411799999999999</v>
      </c>
      <c r="C2820">
        <v>25.411799999999999</v>
      </c>
      <c r="D2820">
        <v>25.121400000000001</v>
      </c>
      <c r="E2820">
        <v>25.121400000000001</v>
      </c>
      <c r="F2820">
        <v>25710</v>
      </c>
    </row>
    <row r="2821" spans="1:6" x14ac:dyDescent="0.25">
      <c r="A2821" s="4">
        <v>38454</v>
      </c>
      <c r="B2821">
        <v>24.927800000000001</v>
      </c>
      <c r="C2821">
        <v>25.363399999999999</v>
      </c>
      <c r="D2821">
        <v>24.927800000000001</v>
      </c>
      <c r="E2821">
        <v>25.315000000000001</v>
      </c>
      <c r="F2821">
        <v>16534</v>
      </c>
    </row>
    <row r="2822" spans="1:6" x14ac:dyDescent="0.25">
      <c r="A2822" s="4">
        <v>38455</v>
      </c>
      <c r="B2822">
        <v>25.315000000000001</v>
      </c>
      <c r="C2822">
        <v>25.4602</v>
      </c>
      <c r="D2822">
        <v>25.169799999999999</v>
      </c>
      <c r="E2822">
        <v>25.411799999999999</v>
      </c>
      <c r="F2822">
        <v>18007</v>
      </c>
    </row>
    <row r="2823" spans="1:6" x14ac:dyDescent="0.25">
      <c r="A2823" s="4">
        <v>38456</v>
      </c>
      <c r="B2823">
        <v>25.0246</v>
      </c>
      <c r="C2823">
        <v>25.0246</v>
      </c>
      <c r="D2823">
        <v>24.782599999999999</v>
      </c>
      <c r="E2823">
        <v>24.831</v>
      </c>
      <c r="F2823">
        <v>41842</v>
      </c>
    </row>
    <row r="2824" spans="1:6" x14ac:dyDescent="0.25">
      <c r="A2824" s="4">
        <v>38457</v>
      </c>
      <c r="B2824">
        <v>24.588999999999999</v>
      </c>
      <c r="C2824">
        <v>25.121400000000001</v>
      </c>
      <c r="D2824">
        <v>24.4437</v>
      </c>
      <c r="E2824">
        <v>24.831</v>
      </c>
      <c r="F2824">
        <v>43911</v>
      </c>
    </row>
    <row r="2825" spans="1:6" x14ac:dyDescent="0.25">
      <c r="A2825" s="4">
        <v>38460</v>
      </c>
      <c r="B2825">
        <v>24.4437</v>
      </c>
      <c r="C2825">
        <v>24.4437</v>
      </c>
      <c r="D2825">
        <v>24.201699999999999</v>
      </c>
      <c r="E2825">
        <v>24.346900000000002</v>
      </c>
      <c r="F2825">
        <v>69139</v>
      </c>
    </row>
    <row r="2826" spans="1:6" x14ac:dyDescent="0.25">
      <c r="A2826" s="4">
        <v>38461</v>
      </c>
      <c r="B2826">
        <v>24.2501</v>
      </c>
      <c r="C2826">
        <v>24.4437</v>
      </c>
      <c r="D2826">
        <v>24.153300000000002</v>
      </c>
      <c r="E2826">
        <v>24.2501</v>
      </c>
      <c r="F2826">
        <v>44680</v>
      </c>
    </row>
    <row r="2827" spans="1:6" x14ac:dyDescent="0.25">
      <c r="A2827" s="4">
        <v>38462</v>
      </c>
      <c r="B2827">
        <v>24.6858</v>
      </c>
      <c r="C2827">
        <v>24.6858</v>
      </c>
      <c r="D2827">
        <v>24.153300000000002</v>
      </c>
      <c r="E2827">
        <v>24.2501</v>
      </c>
      <c r="F2827">
        <v>30559</v>
      </c>
    </row>
    <row r="2828" spans="1:6" x14ac:dyDescent="0.25">
      <c r="A2828" s="4">
        <v>38463</v>
      </c>
      <c r="B2828">
        <v>23.814499999999999</v>
      </c>
      <c r="C2828">
        <v>24.298500000000001</v>
      </c>
      <c r="D2828">
        <v>23.766100000000002</v>
      </c>
      <c r="E2828">
        <v>24.008099999999999</v>
      </c>
      <c r="F2828">
        <v>58209</v>
      </c>
    </row>
    <row r="2829" spans="1:6" x14ac:dyDescent="0.25">
      <c r="A2829" s="4">
        <v>38464</v>
      </c>
      <c r="B2829">
        <v>24.2501</v>
      </c>
      <c r="C2829">
        <v>24.346900000000002</v>
      </c>
      <c r="D2829">
        <v>24.008099999999999</v>
      </c>
      <c r="E2829">
        <v>24.008099999999999</v>
      </c>
      <c r="F2829">
        <v>39862</v>
      </c>
    </row>
    <row r="2830" spans="1:6" x14ac:dyDescent="0.25">
      <c r="A2830" s="4">
        <v>38467</v>
      </c>
      <c r="B2830">
        <v>24.008099999999999</v>
      </c>
      <c r="C2830">
        <v>24.153300000000002</v>
      </c>
      <c r="D2830">
        <v>23.8871</v>
      </c>
      <c r="E2830">
        <v>24.104900000000001</v>
      </c>
      <c r="F2830">
        <v>21850</v>
      </c>
    </row>
    <row r="2831" spans="1:6" x14ac:dyDescent="0.25">
      <c r="A2831" s="4">
        <v>38468</v>
      </c>
      <c r="B2831">
        <v>24.201699999999999</v>
      </c>
      <c r="C2831">
        <v>25.073</v>
      </c>
      <c r="D2831">
        <v>24.177499999999998</v>
      </c>
      <c r="E2831">
        <v>24.976199999999999</v>
      </c>
      <c r="F2831">
        <v>51604</v>
      </c>
    </row>
    <row r="2832" spans="1:6" x14ac:dyDescent="0.25">
      <c r="A2832" s="4">
        <v>38469</v>
      </c>
      <c r="B2832">
        <v>25.2182</v>
      </c>
      <c r="C2832">
        <v>25.2666</v>
      </c>
      <c r="D2832">
        <v>24.831</v>
      </c>
      <c r="E2832">
        <v>25.2666</v>
      </c>
      <c r="F2832">
        <v>54694</v>
      </c>
    </row>
    <row r="2833" spans="1:6" x14ac:dyDescent="0.25">
      <c r="A2833" s="4">
        <v>38470</v>
      </c>
      <c r="B2833">
        <v>25.169799999999999</v>
      </c>
      <c r="C2833">
        <v>25.6538</v>
      </c>
      <c r="D2833">
        <v>24.927800000000001</v>
      </c>
      <c r="E2833">
        <v>25.6538</v>
      </c>
      <c r="F2833">
        <v>42200</v>
      </c>
    </row>
    <row r="2834" spans="1:6" x14ac:dyDescent="0.25">
      <c r="A2834" s="4">
        <v>38471</v>
      </c>
      <c r="B2834">
        <v>25.2666</v>
      </c>
      <c r="C2834">
        <v>25.2666</v>
      </c>
      <c r="D2834">
        <v>25.0246</v>
      </c>
      <c r="E2834">
        <v>25.121400000000001</v>
      </c>
      <c r="F2834">
        <v>28513</v>
      </c>
    </row>
    <row r="2835" spans="1:6" x14ac:dyDescent="0.25">
      <c r="A2835" s="4">
        <v>38475</v>
      </c>
      <c r="B2835">
        <v>25.2666</v>
      </c>
      <c r="C2835">
        <v>25.702200000000001</v>
      </c>
      <c r="D2835">
        <v>25.2666</v>
      </c>
      <c r="E2835">
        <v>25.315000000000001</v>
      </c>
      <c r="F2835">
        <v>40449</v>
      </c>
    </row>
    <row r="2836" spans="1:6" x14ac:dyDescent="0.25">
      <c r="A2836" s="4">
        <v>38476</v>
      </c>
      <c r="B2836">
        <v>25.315000000000001</v>
      </c>
      <c r="C2836">
        <v>25.6538</v>
      </c>
      <c r="D2836">
        <v>25.315000000000001</v>
      </c>
      <c r="E2836">
        <v>25.411799999999999</v>
      </c>
      <c r="F2836">
        <v>26165</v>
      </c>
    </row>
    <row r="2837" spans="1:6" x14ac:dyDescent="0.25">
      <c r="A2837" s="4">
        <v>38477</v>
      </c>
      <c r="B2837">
        <v>25.702200000000001</v>
      </c>
      <c r="C2837">
        <v>26.331499999999998</v>
      </c>
      <c r="D2837">
        <v>25.702200000000001</v>
      </c>
      <c r="E2837">
        <v>26.089500000000001</v>
      </c>
      <c r="F2837">
        <v>57892</v>
      </c>
    </row>
    <row r="2838" spans="1:6" x14ac:dyDescent="0.25">
      <c r="A2838" s="4">
        <v>38478</v>
      </c>
      <c r="B2838">
        <v>26.089500000000001</v>
      </c>
      <c r="C2838">
        <v>26.476700000000001</v>
      </c>
      <c r="D2838">
        <v>25.992699999999999</v>
      </c>
      <c r="E2838">
        <v>26.4283</v>
      </c>
      <c r="F2838">
        <v>48639</v>
      </c>
    </row>
    <row r="2839" spans="1:6" x14ac:dyDescent="0.25">
      <c r="A2839" s="4">
        <v>38481</v>
      </c>
      <c r="B2839">
        <v>26.4283</v>
      </c>
      <c r="C2839">
        <v>26.476700000000001</v>
      </c>
      <c r="D2839">
        <v>26.089500000000001</v>
      </c>
      <c r="E2839">
        <v>26.476700000000001</v>
      </c>
      <c r="F2839">
        <v>43527</v>
      </c>
    </row>
    <row r="2840" spans="1:6" x14ac:dyDescent="0.25">
      <c r="A2840" s="4">
        <v>38482</v>
      </c>
      <c r="B2840">
        <v>26.476700000000001</v>
      </c>
      <c r="C2840">
        <v>26.6219</v>
      </c>
      <c r="D2840">
        <v>26.2347</v>
      </c>
      <c r="E2840">
        <v>26.476700000000001</v>
      </c>
      <c r="F2840">
        <v>35166</v>
      </c>
    </row>
    <row r="2841" spans="1:6" x14ac:dyDescent="0.25">
      <c r="A2841" s="4">
        <v>38483</v>
      </c>
      <c r="B2841">
        <v>25.895900000000001</v>
      </c>
      <c r="C2841">
        <v>26.0411</v>
      </c>
      <c r="D2841">
        <v>25.556999999999999</v>
      </c>
      <c r="E2841">
        <v>25.944299999999998</v>
      </c>
      <c r="F2841">
        <v>44540</v>
      </c>
    </row>
    <row r="2842" spans="1:6" x14ac:dyDescent="0.25">
      <c r="A2842" s="4">
        <v>38484</v>
      </c>
      <c r="B2842">
        <v>26.0411</v>
      </c>
      <c r="C2842">
        <v>26.379899999999999</v>
      </c>
      <c r="D2842">
        <v>25.992699999999999</v>
      </c>
      <c r="E2842">
        <v>26.379899999999999</v>
      </c>
      <c r="F2842">
        <v>47587</v>
      </c>
    </row>
    <row r="2843" spans="1:6" x14ac:dyDescent="0.25">
      <c r="A2843" s="4">
        <v>38485</v>
      </c>
      <c r="B2843">
        <v>26.283100000000001</v>
      </c>
      <c r="C2843">
        <v>26.718699999999998</v>
      </c>
      <c r="D2843">
        <v>26.2347</v>
      </c>
      <c r="E2843">
        <v>26.525099999999998</v>
      </c>
      <c r="F2843">
        <v>54312</v>
      </c>
    </row>
    <row r="2844" spans="1:6" x14ac:dyDescent="0.25">
      <c r="A2844" s="4">
        <v>38488</v>
      </c>
      <c r="B2844">
        <v>26.6219</v>
      </c>
      <c r="C2844">
        <v>26.670300000000001</v>
      </c>
      <c r="D2844">
        <v>26.379899999999999</v>
      </c>
      <c r="E2844">
        <v>26.525099999999998</v>
      </c>
      <c r="F2844">
        <v>30445</v>
      </c>
    </row>
    <row r="2845" spans="1:6" x14ac:dyDescent="0.25">
      <c r="A2845" s="4">
        <v>38489</v>
      </c>
      <c r="B2845">
        <v>26.525099999999998</v>
      </c>
      <c r="C2845">
        <v>26.6219</v>
      </c>
      <c r="D2845">
        <v>26.2347</v>
      </c>
      <c r="E2845">
        <v>26.283100000000001</v>
      </c>
      <c r="F2845">
        <v>28689</v>
      </c>
    </row>
    <row r="2846" spans="1:6" x14ac:dyDescent="0.25">
      <c r="A2846" s="4">
        <v>38490</v>
      </c>
      <c r="B2846">
        <v>26.283100000000001</v>
      </c>
      <c r="C2846">
        <v>26.6219</v>
      </c>
      <c r="D2846">
        <v>26.186299999999999</v>
      </c>
      <c r="E2846">
        <v>26.573499999999999</v>
      </c>
      <c r="F2846">
        <v>35267</v>
      </c>
    </row>
    <row r="2847" spans="1:6" x14ac:dyDescent="0.25">
      <c r="A2847" s="4">
        <v>38491</v>
      </c>
      <c r="B2847">
        <v>26.863900000000001</v>
      </c>
      <c r="C2847">
        <v>27.347999999999999</v>
      </c>
      <c r="D2847">
        <v>26.863900000000001</v>
      </c>
      <c r="E2847">
        <v>27.299600000000002</v>
      </c>
      <c r="F2847">
        <v>93419</v>
      </c>
    </row>
    <row r="2848" spans="1:6" x14ac:dyDescent="0.25">
      <c r="A2848" s="4">
        <v>38492</v>
      </c>
      <c r="B2848">
        <v>27.105899999999998</v>
      </c>
      <c r="C2848">
        <v>27.444800000000001</v>
      </c>
      <c r="D2848">
        <v>27.105899999999998</v>
      </c>
      <c r="E2848">
        <v>27.347999999999999</v>
      </c>
      <c r="F2848">
        <v>41226</v>
      </c>
    </row>
    <row r="2849" spans="1:6" x14ac:dyDescent="0.25">
      <c r="A2849" s="4">
        <v>38495</v>
      </c>
      <c r="B2849">
        <v>27.251100000000001</v>
      </c>
      <c r="C2849">
        <v>27.251100000000001</v>
      </c>
      <c r="D2849">
        <v>26.573499999999999</v>
      </c>
      <c r="E2849">
        <v>26.718699999999998</v>
      </c>
      <c r="F2849">
        <v>22445</v>
      </c>
    </row>
    <row r="2850" spans="1:6" x14ac:dyDescent="0.25">
      <c r="A2850" s="4">
        <v>38496</v>
      </c>
      <c r="B2850">
        <v>26.718699999999998</v>
      </c>
      <c r="C2850">
        <v>27.444800000000001</v>
      </c>
      <c r="D2850">
        <v>26.670300000000001</v>
      </c>
      <c r="E2850">
        <v>27.299600000000002</v>
      </c>
      <c r="F2850">
        <v>48951</v>
      </c>
    </row>
    <row r="2851" spans="1:6" x14ac:dyDescent="0.25">
      <c r="A2851" s="4">
        <v>38497</v>
      </c>
      <c r="B2851">
        <v>27.299600000000002</v>
      </c>
      <c r="C2851">
        <v>27.541599999999999</v>
      </c>
      <c r="D2851">
        <v>26.912299999999998</v>
      </c>
      <c r="E2851">
        <v>27.0091</v>
      </c>
      <c r="F2851">
        <v>47803</v>
      </c>
    </row>
    <row r="2852" spans="1:6" x14ac:dyDescent="0.25">
      <c r="A2852" s="4">
        <v>38498</v>
      </c>
      <c r="B2852">
        <v>27.0091</v>
      </c>
      <c r="C2852">
        <v>27.154299999999999</v>
      </c>
      <c r="D2852">
        <v>26.767099999999999</v>
      </c>
      <c r="E2852">
        <v>27.105899999999998</v>
      </c>
      <c r="F2852">
        <v>37763</v>
      </c>
    </row>
    <row r="2853" spans="1:6" x14ac:dyDescent="0.25">
      <c r="A2853" s="4">
        <v>38499</v>
      </c>
      <c r="B2853">
        <v>27.154299999999999</v>
      </c>
      <c r="C2853">
        <v>27.541599999999999</v>
      </c>
      <c r="D2853">
        <v>27.154299999999999</v>
      </c>
      <c r="E2853">
        <v>27.493200000000002</v>
      </c>
      <c r="F2853">
        <v>37432</v>
      </c>
    </row>
    <row r="2854" spans="1:6" x14ac:dyDescent="0.25">
      <c r="A2854" s="4">
        <v>38502</v>
      </c>
      <c r="B2854">
        <v>27.347999999999999</v>
      </c>
      <c r="C2854">
        <v>27.444800000000001</v>
      </c>
      <c r="D2854">
        <v>27.2027</v>
      </c>
      <c r="E2854">
        <v>27.444800000000001</v>
      </c>
      <c r="F2854">
        <v>24262</v>
      </c>
    </row>
    <row r="2855" spans="1:6" x14ac:dyDescent="0.25">
      <c r="A2855" s="4">
        <v>38503</v>
      </c>
      <c r="B2855">
        <v>27.3964</v>
      </c>
      <c r="C2855">
        <v>27.638400000000001</v>
      </c>
      <c r="D2855">
        <v>27.2027</v>
      </c>
      <c r="E2855">
        <v>27.541599999999999</v>
      </c>
      <c r="F2855">
        <v>66097</v>
      </c>
    </row>
    <row r="2856" spans="1:6" x14ac:dyDescent="0.25">
      <c r="A2856" s="4">
        <v>38504</v>
      </c>
      <c r="B2856">
        <v>27.251100000000001</v>
      </c>
      <c r="C2856">
        <v>27.444800000000001</v>
      </c>
      <c r="D2856">
        <v>27.0091</v>
      </c>
      <c r="E2856">
        <v>27.057500000000001</v>
      </c>
      <c r="F2856">
        <v>48491</v>
      </c>
    </row>
    <row r="2857" spans="1:6" x14ac:dyDescent="0.25">
      <c r="A2857" s="4">
        <v>38505</v>
      </c>
      <c r="B2857">
        <v>27.299600000000002</v>
      </c>
      <c r="C2857">
        <v>27.59</v>
      </c>
      <c r="D2857">
        <v>27.299600000000002</v>
      </c>
      <c r="E2857">
        <v>27.541599999999999</v>
      </c>
      <c r="F2857">
        <v>56313</v>
      </c>
    </row>
    <row r="2858" spans="1:6" x14ac:dyDescent="0.25">
      <c r="A2858" s="4">
        <v>38506</v>
      </c>
      <c r="B2858">
        <v>27.638400000000001</v>
      </c>
      <c r="C2858">
        <v>27.9772</v>
      </c>
      <c r="D2858">
        <v>27.541599999999999</v>
      </c>
      <c r="E2858">
        <v>27.928799999999999</v>
      </c>
      <c r="F2858">
        <v>54487</v>
      </c>
    </row>
    <row r="2859" spans="1:6" x14ac:dyDescent="0.25">
      <c r="A2859" s="4">
        <v>38509</v>
      </c>
      <c r="B2859">
        <v>27.832000000000001</v>
      </c>
      <c r="C2859">
        <v>28.122399999999999</v>
      </c>
      <c r="D2859">
        <v>27.735199999999999</v>
      </c>
      <c r="E2859">
        <v>28.122399999999999</v>
      </c>
      <c r="F2859">
        <v>50153</v>
      </c>
    </row>
    <row r="2860" spans="1:6" x14ac:dyDescent="0.25">
      <c r="A2860" s="4">
        <v>38510</v>
      </c>
      <c r="B2860">
        <v>28.074000000000002</v>
      </c>
      <c r="C2860">
        <v>28.074000000000002</v>
      </c>
      <c r="D2860">
        <v>27.686800000000002</v>
      </c>
      <c r="E2860">
        <v>27.832000000000001</v>
      </c>
      <c r="F2860">
        <v>63208</v>
      </c>
    </row>
    <row r="2861" spans="1:6" x14ac:dyDescent="0.25">
      <c r="A2861" s="4">
        <v>38511</v>
      </c>
      <c r="B2861">
        <v>27.928799999999999</v>
      </c>
      <c r="C2861">
        <v>28.315999999999999</v>
      </c>
      <c r="D2861">
        <v>27.928799999999999</v>
      </c>
      <c r="E2861">
        <v>28.1708</v>
      </c>
      <c r="F2861">
        <v>71191</v>
      </c>
    </row>
    <row r="2862" spans="1:6" x14ac:dyDescent="0.25">
      <c r="A2862" s="4">
        <v>38512</v>
      </c>
      <c r="B2862">
        <v>28.315999999999999</v>
      </c>
      <c r="C2862">
        <v>28.315999999999999</v>
      </c>
      <c r="D2862">
        <v>27.735199999999999</v>
      </c>
      <c r="E2862">
        <v>28.074000000000002</v>
      </c>
      <c r="F2862">
        <v>47510</v>
      </c>
    </row>
    <row r="2863" spans="1:6" x14ac:dyDescent="0.25">
      <c r="A2863" s="4">
        <v>38513</v>
      </c>
      <c r="B2863">
        <v>28.219200000000001</v>
      </c>
      <c r="C2863">
        <v>28.315999999999999</v>
      </c>
      <c r="D2863">
        <v>27.9772</v>
      </c>
      <c r="E2863">
        <v>28.122399999999999</v>
      </c>
      <c r="F2863">
        <v>88120</v>
      </c>
    </row>
    <row r="2864" spans="1:6" x14ac:dyDescent="0.25">
      <c r="A2864" s="4">
        <v>38516</v>
      </c>
      <c r="B2864">
        <v>28.422999999999998</v>
      </c>
      <c r="C2864">
        <v>28.844100000000001</v>
      </c>
      <c r="D2864">
        <v>28.159800000000001</v>
      </c>
      <c r="E2864">
        <v>28.686199999999999</v>
      </c>
      <c r="F2864">
        <v>64207</v>
      </c>
    </row>
    <row r="2865" spans="1:6" x14ac:dyDescent="0.25">
      <c r="A2865" s="4">
        <v>38517</v>
      </c>
      <c r="B2865">
        <v>28.791399999999999</v>
      </c>
      <c r="C2865">
        <v>28.949400000000001</v>
      </c>
      <c r="D2865">
        <v>28.633500000000002</v>
      </c>
      <c r="E2865">
        <v>28.686199999999999</v>
      </c>
      <c r="F2865">
        <v>41498</v>
      </c>
    </row>
    <row r="2866" spans="1:6" x14ac:dyDescent="0.25">
      <c r="A2866" s="4">
        <v>38518</v>
      </c>
      <c r="B2866">
        <v>28.686199999999999</v>
      </c>
      <c r="C2866">
        <v>28.949400000000001</v>
      </c>
      <c r="D2866">
        <v>28.633500000000002</v>
      </c>
      <c r="E2866">
        <v>28.949400000000001</v>
      </c>
      <c r="F2866">
        <v>41673</v>
      </c>
    </row>
    <row r="2867" spans="1:6" x14ac:dyDescent="0.25">
      <c r="A2867" s="4">
        <v>38519</v>
      </c>
      <c r="B2867">
        <v>29.1599</v>
      </c>
      <c r="C2867">
        <v>29.4757</v>
      </c>
      <c r="D2867">
        <v>28.949400000000001</v>
      </c>
      <c r="E2867">
        <v>29.423100000000002</v>
      </c>
      <c r="F2867">
        <v>45728</v>
      </c>
    </row>
    <row r="2868" spans="1:6" x14ac:dyDescent="0.25">
      <c r="A2868" s="4">
        <v>38520</v>
      </c>
      <c r="B2868">
        <v>29.4757</v>
      </c>
      <c r="C2868">
        <v>30.2652</v>
      </c>
      <c r="D2868">
        <v>29.423100000000002</v>
      </c>
      <c r="E2868">
        <v>29.896799999999999</v>
      </c>
      <c r="F2868">
        <v>49526</v>
      </c>
    </row>
    <row r="2869" spans="1:6" x14ac:dyDescent="0.25">
      <c r="A2869" s="4">
        <v>38523</v>
      </c>
      <c r="B2869">
        <v>29.896799999999999</v>
      </c>
      <c r="C2869">
        <v>30.002099999999999</v>
      </c>
      <c r="D2869">
        <v>29.581</v>
      </c>
      <c r="E2869">
        <v>29.949400000000001</v>
      </c>
      <c r="F2869">
        <v>40445</v>
      </c>
    </row>
    <row r="2870" spans="1:6" x14ac:dyDescent="0.25">
      <c r="A2870" s="4">
        <v>38524</v>
      </c>
      <c r="B2870">
        <v>29.949400000000001</v>
      </c>
      <c r="C2870">
        <v>29.949400000000001</v>
      </c>
      <c r="D2870">
        <v>29.3704</v>
      </c>
      <c r="E2870">
        <v>29.3704</v>
      </c>
      <c r="F2870">
        <v>27179</v>
      </c>
    </row>
    <row r="2871" spans="1:6" x14ac:dyDescent="0.25">
      <c r="A2871" s="4">
        <v>38525</v>
      </c>
      <c r="B2871">
        <v>29.4757</v>
      </c>
      <c r="C2871">
        <v>30.107299999999999</v>
      </c>
      <c r="D2871">
        <v>29.4757</v>
      </c>
      <c r="E2871">
        <v>29.949400000000001</v>
      </c>
      <c r="F2871">
        <v>38387</v>
      </c>
    </row>
    <row r="2872" spans="1:6" x14ac:dyDescent="0.25">
      <c r="A2872" s="4">
        <v>38526</v>
      </c>
      <c r="B2872">
        <v>30.16</v>
      </c>
      <c r="C2872">
        <v>30.2652</v>
      </c>
      <c r="D2872">
        <v>30.002099999999999</v>
      </c>
      <c r="E2872">
        <v>30.107299999999999</v>
      </c>
      <c r="F2872">
        <v>45651</v>
      </c>
    </row>
    <row r="2873" spans="1:6" x14ac:dyDescent="0.25">
      <c r="A2873" s="4">
        <v>38527</v>
      </c>
      <c r="B2873">
        <v>30.002099999999999</v>
      </c>
      <c r="C2873">
        <v>30.0547</v>
      </c>
      <c r="D2873">
        <v>29.686199999999999</v>
      </c>
      <c r="E2873">
        <v>29.791499999999999</v>
      </c>
      <c r="F2873">
        <v>34539</v>
      </c>
    </row>
    <row r="2874" spans="1:6" x14ac:dyDescent="0.25">
      <c r="A2874" s="4">
        <v>38530</v>
      </c>
      <c r="B2874">
        <v>29.581</v>
      </c>
      <c r="C2874">
        <v>29.738900000000001</v>
      </c>
      <c r="D2874">
        <v>29.2652</v>
      </c>
      <c r="E2874">
        <v>29.738900000000001</v>
      </c>
      <c r="F2874">
        <v>30574</v>
      </c>
    </row>
    <row r="2875" spans="1:6" x14ac:dyDescent="0.25">
      <c r="A2875" s="4">
        <v>38531</v>
      </c>
      <c r="B2875">
        <v>29.633600000000001</v>
      </c>
      <c r="C2875">
        <v>29.738900000000001</v>
      </c>
      <c r="D2875">
        <v>29.3704</v>
      </c>
      <c r="E2875">
        <v>29.686199999999999</v>
      </c>
      <c r="F2875">
        <v>30175</v>
      </c>
    </row>
    <row r="2876" spans="1:6" x14ac:dyDescent="0.25">
      <c r="A2876" s="4">
        <v>38532</v>
      </c>
      <c r="B2876">
        <v>29.949400000000001</v>
      </c>
      <c r="C2876">
        <v>29.949400000000001</v>
      </c>
      <c r="D2876">
        <v>28.844100000000001</v>
      </c>
      <c r="E2876">
        <v>28.896699999999999</v>
      </c>
      <c r="F2876">
        <v>110213</v>
      </c>
    </row>
    <row r="2877" spans="1:6" x14ac:dyDescent="0.25">
      <c r="A2877" s="4">
        <v>38533</v>
      </c>
      <c r="B2877">
        <v>29.212499999999999</v>
      </c>
      <c r="C2877">
        <v>29.317799999999998</v>
      </c>
      <c r="D2877">
        <v>28.844100000000001</v>
      </c>
      <c r="E2877">
        <v>29.001999999999999</v>
      </c>
      <c r="F2877">
        <v>39090</v>
      </c>
    </row>
    <row r="2878" spans="1:6" x14ac:dyDescent="0.25">
      <c r="A2878" s="4">
        <v>38534</v>
      </c>
      <c r="B2878">
        <v>29.001999999999999</v>
      </c>
      <c r="C2878">
        <v>29.317799999999998</v>
      </c>
      <c r="D2878">
        <v>28.686199999999999</v>
      </c>
      <c r="E2878">
        <v>29.317799999999998</v>
      </c>
      <c r="F2878">
        <v>18871</v>
      </c>
    </row>
    <row r="2879" spans="1:6" x14ac:dyDescent="0.25">
      <c r="A2879" s="4">
        <v>38537</v>
      </c>
      <c r="B2879">
        <v>29.1599</v>
      </c>
      <c r="C2879">
        <v>29.423100000000002</v>
      </c>
      <c r="D2879">
        <v>28.949400000000001</v>
      </c>
      <c r="E2879">
        <v>29.001999999999999</v>
      </c>
      <c r="F2879">
        <v>18038</v>
      </c>
    </row>
    <row r="2880" spans="1:6" x14ac:dyDescent="0.25">
      <c r="A2880" s="4">
        <v>38538</v>
      </c>
      <c r="B2880">
        <v>29.001999999999999</v>
      </c>
      <c r="C2880">
        <v>29.001999999999999</v>
      </c>
      <c r="D2880">
        <v>28.633500000000002</v>
      </c>
      <c r="E2880">
        <v>28.633500000000002</v>
      </c>
      <c r="F2880">
        <v>18987</v>
      </c>
    </row>
    <row r="2881" spans="1:6" x14ac:dyDescent="0.25">
      <c r="A2881" s="4">
        <v>38539</v>
      </c>
      <c r="B2881">
        <v>28.738800000000001</v>
      </c>
      <c r="C2881">
        <v>28.844100000000001</v>
      </c>
      <c r="D2881">
        <v>28.528300000000002</v>
      </c>
      <c r="E2881">
        <v>28.738800000000001</v>
      </c>
      <c r="F2881">
        <v>49307</v>
      </c>
    </row>
    <row r="2882" spans="1:6" x14ac:dyDescent="0.25">
      <c r="A2882" s="4">
        <v>38540</v>
      </c>
      <c r="B2882">
        <v>28.738800000000001</v>
      </c>
      <c r="C2882">
        <v>28.844100000000001</v>
      </c>
      <c r="D2882">
        <v>28.159800000000001</v>
      </c>
      <c r="E2882">
        <v>28.738800000000001</v>
      </c>
      <c r="F2882">
        <v>56006</v>
      </c>
    </row>
    <row r="2883" spans="1:6" x14ac:dyDescent="0.25">
      <c r="A2883" s="4">
        <v>38541</v>
      </c>
      <c r="B2883">
        <v>28.528300000000002</v>
      </c>
      <c r="C2883">
        <v>28.5809</v>
      </c>
      <c r="D2883">
        <v>28.2651</v>
      </c>
      <c r="E2883">
        <v>28.317699999999999</v>
      </c>
      <c r="F2883">
        <v>67367</v>
      </c>
    </row>
    <row r="2884" spans="1:6" x14ac:dyDescent="0.25">
      <c r="A2884" s="4">
        <v>38544</v>
      </c>
      <c r="B2884">
        <v>28.686199999999999</v>
      </c>
      <c r="C2884">
        <v>29.896799999999999</v>
      </c>
      <c r="D2884">
        <v>28.686199999999999</v>
      </c>
      <c r="E2884">
        <v>29.896799999999999</v>
      </c>
      <c r="F2884">
        <v>100415</v>
      </c>
    </row>
    <row r="2885" spans="1:6" x14ac:dyDescent="0.25">
      <c r="A2885" s="4">
        <v>38545</v>
      </c>
      <c r="B2885">
        <v>30.002099999999999</v>
      </c>
      <c r="C2885">
        <v>30.423100000000002</v>
      </c>
      <c r="D2885">
        <v>30.002099999999999</v>
      </c>
      <c r="E2885">
        <v>30.0547</v>
      </c>
      <c r="F2885">
        <v>70328</v>
      </c>
    </row>
    <row r="2886" spans="1:6" x14ac:dyDescent="0.25">
      <c r="A2886" s="4">
        <v>38546</v>
      </c>
      <c r="B2886">
        <v>30.002099999999999</v>
      </c>
      <c r="C2886">
        <v>30.16</v>
      </c>
      <c r="D2886">
        <v>29.791499999999999</v>
      </c>
      <c r="E2886">
        <v>29.896799999999999</v>
      </c>
      <c r="F2886">
        <v>43966</v>
      </c>
    </row>
    <row r="2887" spans="1:6" x14ac:dyDescent="0.25">
      <c r="A2887" s="4">
        <v>38547</v>
      </c>
      <c r="B2887">
        <v>30.002099999999999</v>
      </c>
      <c r="C2887">
        <v>30.0547</v>
      </c>
      <c r="D2887">
        <v>29.581</v>
      </c>
      <c r="E2887">
        <v>30.002099999999999</v>
      </c>
      <c r="F2887">
        <v>28012</v>
      </c>
    </row>
    <row r="2888" spans="1:6" x14ac:dyDescent="0.25">
      <c r="A2888" s="4">
        <v>38548</v>
      </c>
      <c r="B2888">
        <v>30.0547</v>
      </c>
      <c r="C2888">
        <v>30.107299999999999</v>
      </c>
      <c r="D2888">
        <v>29.738900000000001</v>
      </c>
      <c r="E2888">
        <v>29.791499999999999</v>
      </c>
      <c r="F2888">
        <v>25142</v>
      </c>
    </row>
    <row r="2889" spans="1:6" x14ac:dyDescent="0.25">
      <c r="A2889" s="4">
        <v>38552</v>
      </c>
      <c r="B2889">
        <v>29.686199999999999</v>
      </c>
      <c r="C2889">
        <v>29.791499999999999</v>
      </c>
      <c r="D2889">
        <v>29.4757</v>
      </c>
      <c r="E2889">
        <v>29.581</v>
      </c>
      <c r="F2889">
        <v>28880</v>
      </c>
    </row>
    <row r="2890" spans="1:6" x14ac:dyDescent="0.25">
      <c r="A2890" s="4">
        <v>38553</v>
      </c>
      <c r="B2890">
        <v>29.633600000000001</v>
      </c>
      <c r="C2890">
        <v>30.16</v>
      </c>
      <c r="D2890">
        <v>29.581</v>
      </c>
      <c r="E2890">
        <v>29.686199999999999</v>
      </c>
      <c r="F2890">
        <v>60500</v>
      </c>
    </row>
    <row r="2891" spans="1:6" x14ac:dyDescent="0.25">
      <c r="A2891" s="4">
        <v>38554</v>
      </c>
      <c r="B2891">
        <v>29.317799999999998</v>
      </c>
      <c r="C2891">
        <v>30.212599999999998</v>
      </c>
      <c r="D2891">
        <v>29.317799999999998</v>
      </c>
      <c r="E2891">
        <v>29.686199999999999</v>
      </c>
      <c r="F2891">
        <v>58601</v>
      </c>
    </row>
    <row r="2892" spans="1:6" x14ac:dyDescent="0.25">
      <c r="A2892" s="4">
        <v>38555</v>
      </c>
      <c r="B2892">
        <v>29.686199999999999</v>
      </c>
      <c r="C2892">
        <v>29.949400000000001</v>
      </c>
      <c r="D2892">
        <v>29.2652</v>
      </c>
      <c r="E2892">
        <v>29.949400000000001</v>
      </c>
      <c r="F2892">
        <v>40422</v>
      </c>
    </row>
    <row r="2893" spans="1:6" x14ac:dyDescent="0.25">
      <c r="A2893" s="4">
        <v>38558</v>
      </c>
      <c r="B2893">
        <v>29.738900000000001</v>
      </c>
      <c r="C2893">
        <v>29.738900000000001</v>
      </c>
      <c r="D2893">
        <v>29.4757</v>
      </c>
      <c r="E2893">
        <v>29.528300000000002</v>
      </c>
      <c r="F2893">
        <v>22730</v>
      </c>
    </row>
    <row r="2894" spans="1:6" x14ac:dyDescent="0.25">
      <c r="A2894" s="4">
        <v>38559</v>
      </c>
      <c r="B2894">
        <v>29.4757</v>
      </c>
      <c r="C2894">
        <v>30.002099999999999</v>
      </c>
      <c r="D2894">
        <v>29.2652</v>
      </c>
      <c r="E2894">
        <v>29.2652</v>
      </c>
      <c r="F2894">
        <v>61743</v>
      </c>
    </row>
    <row r="2895" spans="1:6" x14ac:dyDescent="0.25">
      <c r="A2895" s="4">
        <v>38560</v>
      </c>
      <c r="B2895">
        <v>28.422999999999998</v>
      </c>
      <c r="C2895">
        <v>28.791399999999999</v>
      </c>
      <c r="D2895">
        <v>27.896699999999999</v>
      </c>
      <c r="E2895">
        <v>27.949300000000001</v>
      </c>
      <c r="F2895">
        <v>112968</v>
      </c>
    </row>
    <row r="2896" spans="1:6" x14ac:dyDescent="0.25">
      <c r="A2896" s="4">
        <v>38561</v>
      </c>
      <c r="B2896">
        <v>28.001899999999999</v>
      </c>
      <c r="C2896">
        <v>28.3704</v>
      </c>
      <c r="D2896">
        <v>27.791399999999999</v>
      </c>
      <c r="E2896">
        <v>28.3704</v>
      </c>
      <c r="F2896">
        <v>70682</v>
      </c>
    </row>
    <row r="2897" spans="1:6" x14ac:dyDescent="0.25">
      <c r="A2897" s="4">
        <v>38562</v>
      </c>
      <c r="B2897">
        <v>28.422999999999998</v>
      </c>
      <c r="C2897">
        <v>28.686199999999999</v>
      </c>
      <c r="D2897">
        <v>28.001899999999999</v>
      </c>
      <c r="E2897">
        <v>28.001899999999999</v>
      </c>
      <c r="F2897">
        <v>38745</v>
      </c>
    </row>
    <row r="2898" spans="1:6" x14ac:dyDescent="0.25">
      <c r="A2898" s="4">
        <v>38565</v>
      </c>
      <c r="B2898">
        <v>28.001899999999999</v>
      </c>
      <c r="C2898">
        <v>28.3704</v>
      </c>
      <c r="D2898">
        <v>27.949300000000001</v>
      </c>
      <c r="E2898">
        <v>28.054600000000001</v>
      </c>
      <c r="F2898">
        <v>17146</v>
      </c>
    </row>
    <row r="2899" spans="1:6" x14ac:dyDescent="0.25">
      <c r="A2899" s="4">
        <v>38566</v>
      </c>
      <c r="B2899">
        <v>28.3704</v>
      </c>
      <c r="C2899">
        <v>28.896699999999999</v>
      </c>
      <c r="D2899">
        <v>28.212499999999999</v>
      </c>
      <c r="E2899">
        <v>28.896699999999999</v>
      </c>
      <c r="F2899">
        <v>41635</v>
      </c>
    </row>
    <row r="2900" spans="1:6" x14ac:dyDescent="0.25">
      <c r="A2900" s="4">
        <v>38567</v>
      </c>
      <c r="B2900">
        <v>29.212499999999999</v>
      </c>
      <c r="C2900">
        <v>29.528300000000002</v>
      </c>
      <c r="D2900">
        <v>29.001999999999999</v>
      </c>
      <c r="E2900">
        <v>29.423100000000002</v>
      </c>
      <c r="F2900">
        <v>55188</v>
      </c>
    </row>
    <row r="2901" spans="1:6" x14ac:dyDescent="0.25">
      <c r="A2901" s="4">
        <v>38568</v>
      </c>
      <c r="B2901">
        <v>29.423100000000002</v>
      </c>
      <c r="C2901">
        <v>29.423100000000002</v>
      </c>
      <c r="D2901">
        <v>28.791399999999999</v>
      </c>
      <c r="E2901">
        <v>28.791399999999999</v>
      </c>
      <c r="F2901">
        <v>33600</v>
      </c>
    </row>
    <row r="2902" spans="1:6" x14ac:dyDescent="0.25">
      <c r="A2902" s="4">
        <v>38572</v>
      </c>
      <c r="B2902">
        <v>28.212499999999999</v>
      </c>
      <c r="C2902">
        <v>28.3704</v>
      </c>
      <c r="D2902">
        <v>28.054600000000001</v>
      </c>
      <c r="E2902">
        <v>28.107199999999999</v>
      </c>
      <c r="F2902">
        <v>65312</v>
      </c>
    </row>
    <row r="2903" spans="1:6" x14ac:dyDescent="0.25">
      <c r="A2903" s="4">
        <v>38573</v>
      </c>
      <c r="B2903">
        <v>28.001899999999999</v>
      </c>
      <c r="C2903">
        <v>28.212499999999999</v>
      </c>
      <c r="D2903">
        <v>27.791399999999999</v>
      </c>
      <c r="E2903">
        <v>27.896699999999999</v>
      </c>
      <c r="F2903">
        <v>56102</v>
      </c>
    </row>
    <row r="2904" spans="1:6" x14ac:dyDescent="0.25">
      <c r="A2904" s="4">
        <v>38574</v>
      </c>
      <c r="B2904">
        <v>28.107199999999999</v>
      </c>
      <c r="C2904">
        <v>28.317699999999999</v>
      </c>
      <c r="D2904">
        <v>27.6861</v>
      </c>
      <c r="E2904">
        <v>27.791399999999999</v>
      </c>
      <c r="F2904">
        <v>45507</v>
      </c>
    </row>
    <row r="2905" spans="1:6" x14ac:dyDescent="0.25">
      <c r="A2905" s="4">
        <v>38575</v>
      </c>
      <c r="B2905">
        <v>27.896699999999999</v>
      </c>
      <c r="C2905">
        <v>28.212499999999999</v>
      </c>
      <c r="D2905">
        <v>27.844000000000001</v>
      </c>
      <c r="E2905">
        <v>28.212499999999999</v>
      </c>
      <c r="F2905">
        <v>31279</v>
      </c>
    </row>
    <row r="2906" spans="1:6" x14ac:dyDescent="0.25">
      <c r="A2906" s="4">
        <v>38576</v>
      </c>
      <c r="B2906">
        <v>28.2651</v>
      </c>
      <c r="C2906">
        <v>28.5809</v>
      </c>
      <c r="D2906">
        <v>28.159800000000001</v>
      </c>
      <c r="E2906">
        <v>28.212499999999999</v>
      </c>
      <c r="F2906">
        <v>35579</v>
      </c>
    </row>
    <row r="2907" spans="1:6" x14ac:dyDescent="0.25">
      <c r="A2907" s="4">
        <v>38579</v>
      </c>
      <c r="B2907">
        <v>28.054600000000001</v>
      </c>
      <c r="C2907">
        <v>28.107199999999999</v>
      </c>
      <c r="D2907">
        <v>27.3703</v>
      </c>
      <c r="E2907">
        <v>27.896699999999999</v>
      </c>
      <c r="F2907">
        <v>47616</v>
      </c>
    </row>
    <row r="2908" spans="1:6" x14ac:dyDescent="0.25">
      <c r="A2908" s="4">
        <v>38580</v>
      </c>
      <c r="B2908">
        <v>28.107199999999999</v>
      </c>
      <c r="C2908">
        <v>28.107199999999999</v>
      </c>
      <c r="D2908">
        <v>27.6861</v>
      </c>
      <c r="E2908">
        <v>27.896699999999999</v>
      </c>
      <c r="F2908">
        <v>28841</v>
      </c>
    </row>
    <row r="2909" spans="1:6" x14ac:dyDescent="0.25">
      <c r="A2909" s="4">
        <v>38581</v>
      </c>
      <c r="B2909">
        <v>27.633500000000002</v>
      </c>
      <c r="C2909">
        <v>27.896699999999999</v>
      </c>
      <c r="D2909">
        <v>27.528199999999998</v>
      </c>
      <c r="E2909">
        <v>27.738700000000001</v>
      </c>
      <c r="F2909">
        <v>37031</v>
      </c>
    </row>
    <row r="2910" spans="1:6" x14ac:dyDescent="0.25">
      <c r="A2910" s="4">
        <v>38582</v>
      </c>
      <c r="B2910">
        <v>27.738700000000001</v>
      </c>
      <c r="C2910">
        <v>27.896699999999999</v>
      </c>
      <c r="D2910">
        <v>27.3703</v>
      </c>
      <c r="E2910">
        <v>27.3703</v>
      </c>
      <c r="F2910">
        <v>35585</v>
      </c>
    </row>
    <row r="2911" spans="1:6" x14ac:dyDescent="0.25">
      <c r="A2911" s="4">
        <v>38583</v>
      </c>
      <c r="B2911">
        <v>27.265000000000001</v>
      </c>
      <c r="C2911">
        <v>27.265000000000001</v>
      </c>
      <c r="D2911">
        <v>26.896599999999999</v>
      </c>
      <c r="E2911">
        <v>27.159800000000001</v>
      </c>
      <c r="F2911">
        <v>39632</v>
      </c>
    </row>
    <row r="2912" spans="1:6" x14ac:dyDescent="0.25">
      <c r="A2912" s="4">
        <v>38586</v>
      </c>
      <c r="B2912">
        <v>27.317699999999999</v>
      </c>
      <c r="C2912">
        <v>27.4756</v>
      </c>
      <c r="D2912">
        <v>27.212399999999999</v>
      </c>
      <c r="E2912">
        <v>27.3703</v>
      </c>
      <c r="F2912">
        <v>20143</v>
      </c>
    </row>
    <row r="2913" spans="1:6" x14ac:dyDescent="0.25">
      <c r="A2913" s="4">
        <v>38587</v>
      </c>
      <c r="B2913">
        <v>27.3703</v>
      </c>
      <c r="C2913">
        <v>27.5808</v>
      </c>
      <c r="D2913">
        <v>27.317699999999999</v>
      </c>
      <c r="E2913">
        <v>27.3703</v>
      </c>
      <c r="F2913">
        <v>26615</v>
      </c>
    </row>
    <row r="2914" spans="1:6" x14ac:dyDescent="0.25">
      <c r="A2914" s="4">
        <v>38588</v>
      </c>
      <c r="B2914">
        <v>27.265000000000001</v>
      </c>
      <c r="C2914">
        <v>27.265000000000001</v>
      </c>
      <c r="D2914">
        <v>27.001899999999999</v>
      </c>
      <c r="E2914">
        <v>27.107099999999999</v>
      </c>
      <c r="F2914">
        <v>25405</v>
      </c>
    </row>
    <row r="2915" spans="1:6" x14ac:dyDescent="0.25">
      <c r="A2915" s="4">
        <v>38589</v>
      </c>
      <c r="B2915">
        <v>26.949200000000001</v>
      </c>
      <c r="C2915">
        <v>27.422899999999998</v>
      </c>
      <c r="D2915">
        <v>26.896599999999999</v>
      </c>
      <c r="E2915">
        <v>27.265000000000001</v>
      </c>
      <c r="F2915">
        <v>21543</v>
      </c>
    </row>
    <row r="2916" spans="1:6" x14ac:dyDescent="0.25">
      <c r="A2916" s="4">
        <v>38590</v>
      </c>
      <c r="B2916">
        <v>27.265000000000001</v>
      </c>
      <c r="C2916">
        <v>28.001899999999999</v>
      </c>
      <c r="D2916">
        <v>27.212399999999999</v>
      </c>
      <c r="E2916">
        <v>27.791399999999999</v>
      </c>
      <c r="F2916">
        <v>34693</v>
      </c>
    </row>
    <row r="2917" spans="1:6" x14ac:dyDescent="0.25">
      <c r="A2917" s="4">
        <v>38593</v>
      </c>
      <c r="B2917">
        <v>27.528199999999998</v>
      </c>
      <c r="C2917">
        <v>27.633500000000002</v>
      </c>
      <c r="D2917">
        <v>26.896599999999999</v>
      </c>
      <c r="E2917">
        <v>27.001899999999999</v>
      </c>
      <c r="F2917">
        <v>35641</v>
      </c>
    </row>
    <row r="2918" spans="1:6" x14ac:dyDescent="0.25">
      <c r="A2918" s="4">
        <v>38594</v>
      </c>
      <c r="B2918">
        <v>27.317699999999999</v>
      </c>
      <c r="C2918">
        <v>27.317699999999999</v>
      </c>
      <c r="D2918">
        <v>26.896599999999999</v>
      </c>
      <c r="E2918">
        <v>26.896599999999999</v>
      </c>
      <c r="F2918">
        <v>44047</v>
      </c>
    </row>
    <row r="2919" spans="1:6" x14ac:dyDescent="0.25">
      <c r="A2919" s="4">
        <v>38595</v>
      </c>
      <c r="B2919">
        <v>26.896599999999999</v>
      </c>
      <c r="C2919">
        <v>28.422999999999998</v>
      </c>
      <c r="D2919">
        <v>26.896599999999999</v>
      </c>
      <c r="E2919">
        <v>28.422999999999998</v>
      </c>
      <c r="F2919">
        <v>55789</v>
      </c>
    </row>
    <row r="2920" spans="1:6" x14ac:dyDescent="0.25">
      <c r="A2920" s="4">
        <v>38597</v>
      </c>
      <c r="B2920">
        <v>27.896699999999999</v>
      </c>
      <c r="C2920">
        <v>28.001899999999999</v>
      </c>
      <c r="D2920">
        <v>27.528199999999998</v>
      </c>
      <c r="E2920">
        <v>27.6861</v>
      </c>
      <c r="F2920">
        <v>55651</v>
      </c>
    </row>
    <row r="2921" spans="1:6" x14ac:dyDescent="0.25">
      <c r="A2921" s="4">
        <v>38600</v>
      </c>
      <c r="B2921">
        <v>27.5808</v>
      </c>
      <c r="C2921">
        <v>27.6861</v>
      </c>
      <c r="D2921">
        <v>27.422899999999998</v>
      </c>
      <c r="E2921">
        <v>27.422899999999998</v>
      </c>
      <c r="F2921">
        <v>22508</v>
      </c>
    </row>
    <row r="2922" spans="1:6" x14ac:dyDescent="0.25">
      <c r="A2922" s="4">
        <v>38601</v>
      </c>
      <c r="B2922">
        <v>27.633500000000002</v>
      </c>
      <c r="C2922">
        <v>27.738700000000001</v>
      </c>
      <c r="D2922">
        <v>27.422899999999998</v>
      </c>
      <c r="E2922">
        <v>27.4756</v>
      </c>
      <c r="F2922">
        <v>18248</v>
      </c>
    </row>
    <row r="2923" spans="1:6" x14ac:dyDescent="0.25">
      <c r="A2923" s="4">
        <v>38602</v>
      </c>
      <c r="B2923">
        <v>27.422899999999998</v>
      </c>
      <c r="C2923">
        <v>27.528199999999998</v>
      </c>
      <c r="D2923">
        <v>27.317699999999999</v>
      </c>
      <c r="E2923">
        <v>27.3703</v>
      </c>
      <c r="F2923">
        <v>14987</v>
      </c>
    </row>
    <row r="2924" spans="1:6" x14ac:dyDescent="0.25">
      <c r="A2924" s="4">
        <v>38603</v>
      </c>
      <c r="B2924">
        <v>27.3703</v>
      </c>
      <c r="C2924">
        <v>27.5808</v>
      </c>
      <c r="D2924">
        <v>27.265000000000001</v>
      </c>
      <c r="E2924">
        <v>27.317699999999999</v>
      </c>
      <c r="F2924">
        <v>21068</v>
      </c>
    </row>
    <row r="2925" spans="1:6" x14ac:dyDescent="0.25">
      <c r="A2925" s="4">
        <v>38604</v>
      </c>
      <c r="B2925">
        <v>27.422899999999998</v>
      </c>
      <c r="C2925">
        <v>27.5808</v>
      </c>
      <c r="D2925">
        <v>27.107099999999999</v>
      </c>
      <c r="E2925">
        <v>27.159800000000001</v>
      </c>
      <c r="F2925">
        <v>26116</v>
      </c>
    </row>
    <row r="2926" spans="1:6" x14ac:dyDescent="0.25">
      <c r="A2926" s="4">
        <v>38607</v>
      </c>
      <c r="B2926">
        <v>27.633500000000002</v>
      </c>
      <c r="C2926">
        <v>27.896699999999999</v>
      </c>
      <c r="D2926">
        <v>27.528199999999998</v>
      </c>
      <c r="E2926">
        <v>27.738700000000001</v>
      </c>
      <c r="F2926">
        <v>44476</v>
      </c>
    </row>
    <row r="2927" spans="1:6" x14ac:dyDescent="0.25">
      <c r="A2927" s="4">
        <v>38608</v>
      </c>
      <c r="B2927">
        <v>27.738700000000001</v>
      </c>
      <c r="C2927">
        <v>28.212499999999999</v>
      </c>
      <c r="D2927">
        <v>27.738700000000001</v>
      </c>
      <c r="E2927">
        <v>28.159800000000001</v>
      </c>
      <c r="F2927">
        <v>74054</v>
      </c>
    </row>
    <row r="2928" spans="1:6" x14ac:dyDescent="0.25">
      <c r="A2928" s="4">
        <v>38609</v>
      </c>
      <c r="B2928">
        <v>28.159800000000001</v>
      </c>
      <c r="C2928">
        <v>28.3704</v>
      </c>
      <c r="D2928">
        <v>28.107199999999999</v>
      </c>
      <c r="E2928">
        <v>28.3704</v>
      </c>
      <c r="F2928">
        <v>43514</v>
      </c>
    </row>
    <row r="2929" spans="1:6" x14ac:dyDescent="0.25">
      <c r="A2929" s="4">
        <v>38610</v>
      </c>
      <c r="B2929">
        <v>28.317699999999999</v>
      </c>
      <c r="C2929">
        <v>28.422999999999998</v>
      </c>
      <c r="D2929">
        <v>28.054600000000001</v>
      </c>
      <c r="E2929">
        <v>28.3704</v>
      </c>
      <c r="F2929">
        <v>33131</v>
      </c>
    </row>
    <row r="2930" spans="1:6" x14ac:dyDescent="0.25">
      <c r="A2930" s="4">
        <v>38611</v>
      </c>
      <c r="B2930">
        <v>28.3704</v>
      </c>
      <c r="C2930">
        <v>28.4756</v>
      </c>
      <c r="D2930">
        <v>27.6861</v>
      </c>
      <c r="E2930">
        <v>27.6861</v>
      </c>
      <c r="F2930">
        <v>44726</v>
      </c>
    </row>
    <row r="2931" spans="1:6" x14ac:dyDescent="0.25">
      <c r="A2931" s="4">
        <v>38614</v>
      </c>
      <c r="B2931">
        <v>27.6861</v>
      </c>
      <c r="C2931">
        <v>28.159800000000001</v>
      </c>
      <c r="D2931">
        <v>27.528199999999998</v>
      </c>
      <c r="E2931">
        <v>28.001899999999999</v>
      </c>
      <c r="F2931">
        <v>35673</v>
      </c>
    </row>
    <row r="2932" spans="1:6" x14ac:dyDescent="0.25">
      <c r="A2932" s="4">
        <v>38615</v>
      </c>
      <c r="B2932">
        <v>27.791399999999999</v>
      </c>
      <c r="C2932">
        <v>28.422999999999998</v>
      </c>
      <c r="D2932">
        <v>27.633500000000002</v>
      </c>
      <c r="E2932">
        <v>28.212499999999999</v>
      </c>
      <c r="F2932">
        <v>44858</v>
      </c>
    </row>
    <row r="2933" spans="1:6" x14ac:dyDescent="0.25">
      <c r="A2933" s="4">
        <v>38616</v>
      </c>
      <c r="B2933">
        <v>28.212499999999999</v>
      </c>
      <c r="C2933">
        <v>28.212499999999999</v>
      </c>
      <c r="D2933">
        <v>27.949300000000001</v>
      </c>
      <c r="E2933">
        <v>28.212499999999999</v>
      </c>
      <c r="F2933">
        <v>16212</v>
      </c>
    </row>
    <row r="2934" spans="1:6" x14ac:dyDescent="0.25">
      <c r="A2934" s="4">
        <v>38617</v>
      </c>
      <c r="B2934">
        <v>27.791399999999999</v>
      </c>
      <c r="C2934">
        <v>27.844000000000001</v>
      </c>
      <c r="D2934">
        <v>27.317699999999999</v>
      </c>
      <c r="E2934">
        <v>27.422899999999998</v>
      </c>
      <c r="F2934">
        <v>61143</v>
      </c>
    </row>
    <row r="2935" spans="1:6" x14ac:dyDescent="0.25">
      <c r="A2935" s="4">
        <v>38618</v>
      </c>
      <c r="B2935">
        <v>27.159800000000001</v>
      </c>
      <c r="C2935">
        <v>27.3703</v>
      </c>
      <c r="D2935">
        <v>26.7913</v>
      </c>
      <c r="E2935">
        <v>27.054500000000001</v>
      </c>
      <c r="F2935">
        <v>35390</v>
      </c>
    </row>
    <row r="2936" spans="1:6" x14ac:dyDescent="0.25">
      <c r="A2936" s="4">
        <v>38621</v>
      </c>
      <c r="B2936">
        <v>27.107099999999999</v>
      </c>
      <c r="C2936">
        <v>27.317699999999999</v>
      </c>
      <c r="D2936">
        <v>26.5808</v>
      </c>
      <c r="E2936">
        <v>26.843900000000001</v>
      </c>
      <c r="F2936">
        <v>38391</v>
      </c>
    </row>
    <row r="2937" spans="1:6" x14ac:dyDescent="0.25">
      <c r="A2937" s="4">
        <v>38622</v>
      </c>
      <c r="B2937">
        <v>26.896599999999999</v>
      </c>
      <c r="C2937">
        <v>27.212399999999999</v>
      </c>
      <c r="D2937">
        <v>26.7913</v>
      </c>
      <c r="E2937">
        <v>27.107099999999999</v>
      </c>
      <c r="F2937">
        <v>37104</v>
      </c>
    </row>
    <row r="2938" spans="1:6" x14ac:dyDescent="0.25">
      <c r="A2938" s="4">
        <v>38623</v>
      </c>
      <c r="B2938">
        <v>27.001899999999999</v>
      </c>
      <c r="C2938">
        <v>27.212399999999999</v>
      </c>
      <c r="D2938">
        <v>26.633400000000002</v>
      </c>
      <c r="E2938">
        <v>26.949200000000001</v>
      </c>
      <c r="F2938">
        <v>33818</v>
      </c>
    </row>
    <row r="2939" spans="1:6" x14ac:dyDescent="0.25">
      <c r="A2939" s="4">
        <v>38624</v>
      </c>
      <c r="B2939">
        <v>26.949200000000001</v>
      </c>
      <c r="C2939">
        <v>27.4756</v>
      </c>
      <c r="D2939">
        <v>26.843900000000001</v>
      </c>
      <c r="E2939">
        <v>27.422899999999998</v>
      </c>
      <c r="F2939">
        <v>48045</v>
      </c>
    </row>
    <row r="2940" spans="1:6" x14ac:dyDescent="0.25">
      <c r="A2940" s="4">
        <v>38625</v>
      </c>
      <c r="B2940">
        <v>27.633500000000002</v>
      </c>
      <c r="C2940">
        <v>28.054600000000001</v>
      </c>
      <c r="D2940">
        <v>27.5808</v>
      </c>
      <c r="E2940">
        <v>28.054600000000001</v>
      </c>
      <c r="F2940">
        <v>50349</v>
      </c>
    </row>
    <row r="2941" spans="1:6" x14ac:dyDescent="0.25">
      <c r="A2941" s="4">
        <v>38628</v>
      </c>
      <c r="B2941">
        <v>28.107199999999999</v>
      </c>
      <c r="C2941">
        <v>28.107199999999999</v>
      </c>
      <c r="D2941">
        <v>27.738700000000001</v>
      </c>
      <c r="E2941">
        <v>27.791399999999999</v>
      </c>
      <c r="F2941">
        <v>35479</v>
      </c>
    </row>
    <row r="2942" spans="1:6" x14ac:dyDescent="0.25">
      <c r="A2942" s="4">
        <v>38629</v>
      </c>
      <c r="B2942">
        <v>27.896699999999999</v>
      </c>
      <c r="C2942">
        <v>28.422999999999998</v>
      </c>
      <c r="D2942">
        <v>27.896699999999999</v>
      </c>
      <c r="E2942">
        <v>28.422999999999998</v>
      </c>
      <c r="F2942">
        <v>59225</v>
      </c>
    </row>
    <row r="2943" spans="1:6" x14ac:dyDescent="0.25">
      <c r="A2943" s="4">
        <v>38630</v>
      </c>
      <c r="B2943">
        <v>28.422999999999998</v>
      </c>
      <c r="C2943">
        <v>28.844100000000001</v>
      </c>
      <c r="D2943">
        <v>28.422999999999998</v>
      </c>
      <c r="E2943">
        <v>28.528300000000002</v>
      </c>
      <c r="F2943">
        <v>62540</v>
      </c>
    </row>
    <row r="2944" spans="1:6" x14ac:dyDescent="0.25">
      <c r="A2944" s="4">
        <v>38631</v>
      </c>
      <c r="B2944">
        <v>28.317699999999999</v>
      </c>
      <c r="C2944">
        <v>28.3704</v>
      </c>
      <c r="D2944">
        <v>28.159800000000001</v>
      </c>
      <c r="E2944">
        <v>28.2651</v>
      </c>
      <c r="F2944">
        <v>30353</v>
      </c>
    </row>
    <row r="2945" spans="1:6" x14ac:dyDescent="0.25">
      <c r="A2945" s="4">
        <v>38632</v>
      </c>
      <c r="B2945">
        <v>28.107199999999999</v>
      </c>
      <c r="C2945">
        <v>28.528300000000002</v>
      </c>
      <c r="D2945">
        <v>28.107199999999999</v>
      </c>
      <c r="E2945">
        <v>28.3704</v>
      </c>
      <c r="F2945">
        <v>37460</v>
      </c>
    </row>
    <row r="2946" spans="1:6" x14ac:dyDescent="0.25">
      <c r="A2946" s="4">
        <v>38636</v>
      </c>
      <c r="B2946">
        <v>28.2651</v>
      </c>
      <c r="C2946">
        <v>28.2651</v>
      </c>
      <c r="D2946">
        <v>27.738700000000001</v>
      </c>
      <c r="E2946">
        <v>27.844000000000001</v>
      </c>
      <c r="F2946">
        <v>32968</v>
      </c>
    </row>
    <row r="2947" spans="1:6" x14ac:dyDescent="0.25">
      <c r="A2947" s="4">
        <v>38637</v>
      </c>
      <c r="B2947">
        <v>27.5808</v>
      </c>
      <c r="C2947">
        <v>27.5808</v>
      </c>
      <c r="D2947">
        <v>27.212399999999999</v>
      </c>
      <c r="E2947">
        <v>27.265000000000001</v>
      </c>
      <c r="F2947">
        <v>47806</v>
      </c>
    </row>
    <row r="2948" spans="1:6" x14ac:dyDescent="0.25">
      <c r="A2948" s="4">
        <v>38638</v>
      </c>
      <c r="B2948">
        <v>27.107099999999999</v>
      </c>
      <c r="C2948">
        <v>27.159800000000001</v>
      </c>
      <c r="D2948">
        <v>26.949200000000001</v>
      </c>
      <c r="E2948">
        <v>27.054500000000001</v>
      </c>
      <c r="F2948">
        <v>34704</v>
      </c>
    </row>
    <row r="2949" spans="1:6" x14ac:dyDescent="0.25">
      <c r="A2949" s="4">
        <v>38639</v>
      </c>
      <c r="B2949">
        <v>27.212399999999999</v>
      </c>
      <c r="C2949">
        <v>27.317699999999999</v>
      </c>
      <c r="D2949">
        <v>26.843900000000001</v>
      </c>
      <c r="E2949">
        <v>26.896599999999999</v>
      </c>
      <c r="F2949">
        <v>38520</v>
      </c>
    </row>
    <row r="2950" spans="1:6" x14ac:dyDescent="0.25">
      <c r="A2950" s="4">
        <v>38642</v>
      </c>
      <c r="B2950">
        <v>26.896599999999999</v>
      </c>
      <c r="C2950">
        <v>26.949200000000001</v>
      </c>
      <c r="D2950">
        <v>26.370200000000001</v>
      </c>
      <c r="E2950">
        <v>26.370200000000001</v>
      </c>
      <c r="F2950">
        <v>35538</v>
      </c>
    </row>
    <row r="2951" spans="1:6" x14ac:dyDescent="0.25">
      <c r="A2951" s="4">
        <v>38643</v>
      </c>
      <c r="B2951">
        <v>26.5808</v>
      </c>
      <c r="C2951">
        <v>27.054500000000001</v>
      </c>
      <c r="D2951">
        <v>26.528099999999998</v>
      </c>
      <c r="E2951">
        <v>26.5808</v>
      </c>
      <c r="F2951">
        <v>33547</v>
      </c>
    </row>
    <row r="2952" spans="1:6" x14ac:dyDescent="0.25">
      <c r="A2952" s="4">
        <v>38644</v>
      </c>
      <c r="B2952">
        <v>26.370200000000001</v>
      </c>
      <c r="C2952">
        <v>26.370200000000001</v>
      </c>
      <c r="D2952">
        <v>26.0807</v>
      </c>
      <c r="E2952">
        <v>26.0807</v>
      </c>
      <c r="F2952">
        <v>55634</v>
      </c>
    </row>
    <row r="2953" spans="1:6" x14ac:dyDescent="0.25">
      <c r="A2953" s="4">
        <v>38645</v>
      </c>
      <c r="B2953">
        <v>26.107099999999999</v>
      </c>
      <c r="C2953">
        <v>26.5808</v>
      </c>
      <c r="D2953">
        <v>25.7912</v>
      </c>
      <c r="E2953">
        <v>26.4755</v>
      </c>
      <c r="F2953">
        <v>51030</v>
      </c>
    </row>
    <row r="2954" spans="1:6" x14ac:dyDescent="0.25">
      <c r="A2954" s="4">
        <v>38646</v>
      </c>
      <c r="B2954">
        <v>25.633299999999998</v>
      </c>
      <c r="C2954">
        <v>26.186</v>
      </c>
      <c r="D2954">
        <v>25.633299999999998</v>
      </c>
      <c r="E2954">
        <v>25.8965</v>
      </c>
      <c r="F2954">
        <v>31347</v>
      </c>
    </row>
    <row r="2955" spans="1:6" x14ac:dyDescent="0.25">
      <c r="A2955" s="4">
        <v>38649</v>
      </c>
      <c r="B2955">
        <v>26.265000000000001</v>
      </c>
      <c r="C2955">
        <v>26.686</v>
      </c>
      <c r="D2955">
        <v>26.212299999999999</v>
      </c>
      <c r="E2955">
        <v>26.4755</v>
      </c>
      <c r="F2955">
        <v>41295</v>
      </c>
    </row>
    <row r="2956" spans="1:6" x14ac:dyDescent="0.25">
      <c r="A2956" s="4">
        <v>38650</v>
      </c>
      <c r="B2956">
        <v>27.107099999999999</v>
      </c>
      <c r="C2956">
        <v>27.159800000000001</v>
      </c>
      <c r="D2956">
        <v>26.738700000000001</v>
      </c>
      <c r="E2956">
        <v>26.738700000000001</v>
      </c>
      <c r="F2956">
        <v>35933</v>
      </c>
    </row>
    <row r="2957" spans="1:6" x14ac:dyDescent="0.25">
      <c r="A2957" s="4">
        <v>38651</v>
      </c>
      <c r="B2957">
        <v>26.738700000000001</v>
      </c>
      <c r="C2957">
        <v>27.107099999999999</v>
      </c>
      <c r="D2957">
        <v>26.528099999999998</v>
      </c>
      <c r="E2957">
        <v>26.738700000000001</v>
      </c>
      <c r="F2957">
        <v>27699</v>
      </c>
    </row>
    <row r="2958" spans="1:6" x14ac:dyDescent="0.25">
      <c r="A2958" s="4">
        <v>38652</v>
      </c>
      <c r="B2958">
        <v>26.317599999999999</v>
      </c>
      <c r="C2958">
        <v>26.633400000000002</v>
      </c>
      <c r="D2958">
        <v>26.054400000000001</v>
      </c>
      <c r="E2958">
        <v>26.107099999999999</v>
      </c>
      <c r="F2958">
        <v>33267</v>
      </c>
    </row>
    <row r="2959" spans="1:6" x14ac:dyDescent="0.25">
      <c r="A2959" s="4">
        <v>38653</v>
      </c>
      <c r="B2959">
        <v>26.370200000000001</v>
      </c>
      <c r="C2959">
        <v>27.212399999999999</v>
      </c>
      <c r="D2959">
        <v>26.370200000000001</v>
      </c>
      <c r="E2959">
        <v>26.528099999999998</v>
      </c>
      <c r="F2959">
        <v>61369</v>
      </c>
    </row>
    <row r="2960" spans="1:6" x14ac:dyDescent="0.25">
      <c r="A2960" s="4">
        <v>38656</v>
      </c>
      <c r="B2960">
        <v>27.212399999999999</v>
      </c>
      <c r="C2960">
        <v>27.633500000000002</v>
      </c>
      <c r="D2960">
        <v>26.949200000000001</v>
      </c>
      <c r="E2960">
        <v>27.3703</v>
      </c>
      <c r="F2960">
        <v>61076</v>
      </c>
    </row>
    <row r="2961" spans="1:6" x14ac:dyDescent="0.25">
      <c r="A2961" s="4">
        <v>38657</v>
      </c>
      <c r="B2961">
        <v>27.633500000000002</v>
      </c>
      <c r="C2961">
        <v>27.633500000000002</v>
      </c>
      <c r="D2961">
        <v>27.265000000000001</v>
      </c>
      <c r="E2961">
        <v>27.265000000000001</v>
      </c>
      <c r="F2961">
        <v>26296</v>
      </c>
    </row>
    <row r="2962" spans="1:6" x14ac:dyDescent="0.25">
      <c r="A2962" s="4">
        <v>38658</v>
      </c>
      <c r="B2962">
        <v>27.528199999999998</v>
      </c>
      <c r="C2962">
        <v>27.791399999999999</v>
      </c>
      <c r="D2962">
        <v>27.422899999999998</v>
      </c>
      <c r="E2962">
        <v>27.738700000000001</v>
      </c>
      <c r="F2962">
        <v>37020</v>
      </c>
    </row>
    <row r="2963" spans="1:6" x14ac:dyDescent="0.25">
      <c r="A2963" s="4">
        <v>38659</v>
      </c>
      <c r="B2963">
        <v>28.054600000000001</v>
      </c>
      <c r="C2963">
        <v>28.212499999999999</v>
      </c>
      <c r="D2963">
        <v>28.001899999999999</v>
      </c>
      <c r="E2963">
        <v>28.159800000000001</v>
      </c>
      <c r="F2963">
        <v>48409</v>
      </c>
    </row>
    <row r="2964" spans="1:6" x14ac:dyDescent="0.25">
      <c r="A2964" s="4">
        <v>38660</v>
      </c>
      <c r="B2964">
        <v>28.422999999999998</v>
      </c>
      <c r="C2964">
        <v>28.633500000000002</v>
      </c>
      <c r="D2964">
        <v>28.3704</v>
      </c>
      <c r="E2964">
        <v>28.528300000000002</v>
      </c>
      <c r="F2964">
        <v>59134</v>
      </c>
    </row>
    <row r="2965" spans="1:6" x14ac:dyDescent="0.25">
      <c r="A2965" s="4">
        <v>38663</v>
      </c>
      <c r="B2965">
        <v>28.528300000000002</v>
      </c>
      <c r="C2965">
        <v>28.633500000000002</v>
      </c>
      <c r="D2965">
        <v>28.317699999999999</v>
      </c>
      <c r="E2965">
        <v>28.633500000000002</v>
      </c>
      <c r="F2965">
        <v>41005</v>
      </c>
    </row>
    <row r="2966" spans="1:6" x14ac:dyDescent="0.25">
      <c r="A2966" s="4">
        <v>38664</v>
      </c>
      <c r="B2966">
        <v>28.633500000000002</v>
      </c>
      <c r="C2966">
        <v>28.686199999999999</v>
      </c>
      <c r="D2966">
        <v>28.3704</v>
      </c>
      <c r="E2966">
        <v>28.686199999999999</v>
      </c>
      <c r="F2966">
        <v>41110</v>
      </c>
    </row>
    <row r="2967" spans="1:6" x14ac:dyDescent="0.25">
      <c r="A2967" s="4">
        <v>38665</v>
      </c>
      <c r="B2967">
        <v>28.633500000000002</v>
      </c>
      <c r="C2967">
        <v>29.1599</v>
      </c>
      <c r="D2967">
        <v>28.5809</v>
      </c>
      <c r="E2967">
        <v>29.107299999999999</v>
      </c>
      <c r="F2967">
        <v>71604</v>
      </c>
    </row>
    <row r="2968" spans="1:6" x14ac:dyDescent="0.25">
      <c r="A2968" s="4">
        <v>38666</v>
      </c>
      <c r="B2968">
        <v>29.317799999999998</v>
      </c>
      <c r="C2968">
        <v>29.4757</v>
      </c>
      <c r="D2968">
        <v>29.1599</v>
      </c>
      <c r="E2968">
        <v>29.423100000000002</v>
      </c>
      <c r="F2968">
        <v>66329</v>
      </c>
    </row>
    <row r="2969" spans="1:6" x14ac:dyDescent="0.25">
      <c r="A2969" s="4">
        <v>38667</v>
      </c>
      <c r="B2969">
        <v>29.4757</v>
      </c>
      <c r="C2969">
        <v>30.002099999999999</v>
      </c>
      <c r="D2969">
        <v>29.4757</v>
      </c>
      <c r="E2969">
        <v>30.002099999999999</v>
      </c>
      <c r="F2969">
        <v>92329</v>
      </c>
    </row>
    <row r="2970" spans="1:6" x14ac:dyDescent="0.25">
      <c r="A2970" s="4">
        <v>38670</v>
      </c>
      <c r="B2970">
        <v>29.791499999999999</v>
      </c>
      <c r="C2970">
        <v>30.107299999999999</v>
      </c>
      <c r="D2970">
        <v>29.686199999999999</v>
      </c>
      <c r="E2970">
        <v>30.002099999999999</v>
      </c>
      <c r="F2970">
        <v>59665</v>
      </c>
    </row>
    <row r="2971" spans="1:6" x14ac:dyDescent="0.25">
      <c r="A2971" s="4">
        <v>38671</v>
      </c>
      <c r="B2971">
        <v>29.4757</v>
      </c>
      <c r="C2971">
        <v>30.002099999999999</v>
      </c>
      <c r="D2971">
        <v>29.4757</v>
      </c>
      <c r="E2971">
        <v>30.002099999999999</v>
      </c>
      <c r="F2971">
        <v>54493</v>
      </c>
    </row>
    <row r="2972" spans="1:6" x14ac:dyDescent="0.25">
      <c r="A2972" s="4">
        <v>38672</v>
      </c>
      <c r="B2972">
        <v>30.002099999999999</v>
      </c>
      <c r="C2972">
        <v>30.107299999999999</v>
      </c>
      <c r="D2972">
        <v>29.212499999999999</v>
      </c>
      <c r="E2972">
        <v>29.896799999999999</v>
      </c>
      <c r="F2972">
        <v>35391</v>
      </c>
    </row>
    <row r="2973" spans="1:6" x14ac:dyDescent="0.25">
      <c r="A2973" s="4">
        <v>38673</v>
      </c>
      <c r="B2973">
        <v>29.896799999999999</v>
      </c>
      <c r="C2973">
        <v>29.896799999999999</v>
      </c>
      <c r="D2973">
        <v>29.2652</v>
      </c>
      <c r="E2973">
        <v>29.528300000000002</v>
      </c>
      <c r="F2973">
        <v>25983</v>
      </c>
    </row>
    <row r="2974" spans="1:6" x14ac:dyDescent="0.25">
      <c r="A2974" s="4">
        <v>38674</v>
      </c>
      <c r="B2974">
        <v>30.002099999999999</v>
      </c>
      <c r="C2974">
        <v>30.212599999999998</v>
      </c>
      <c r="D2974">
        <v>29.949400000000001</v>
      </c>
      <c r="E2974">
        <v>30.0547</v>
      </c>
      <c r="F2974">
        <v>50556</v>
      </c>
    </row>
    <row r="2975" spans="1:6" x14ac:dyDescent="0.25">
      <c r="A2975" s="4">
        <v>38677</v>
      </c>
      <c r="B2975">
        <v>30.2652</v>
      </c>
      <c r="C2975">
        <v>30.686299999999999</v>
      </c>
      <c r="D2975">
        <v>30.2652</v>
      </c>
      <c r="E2975">
        <v>30.4758</v>
      </c>
      <c r="F2975">
        <v>64728</v>
      </c>
    </row>
    <row r="2976" spans="1:6" x14ac:dyDescent="0.25">
      <c r="A2976" s="4">
        <v>38678</v>
      </c>
      <c r="B2976">
        <v>30.4758</v>
      </c>
      <c r="C2976">
        <v>30.528400000000001</v>
      </c>
      <c r="D2976">
        <v>30.16</v>
      </c>
      <c r="E2976">
        <v>30.528400000000001</v>
      </c>
      <c r="F2976">
        <v>34065</v>
      </c>
    </row>
    <row r="2977" spans="1:6" x14ac:dyDescent="0.25">
      <c r="A2977" s="4">
        <v>38679</v>
      </c>
      <c r="B2977">
        <v>31.0548</v>
      </c>
      <c r="C2977">
        <v>31.686399999999999</v>
      </c>
      <c r="D2977">
        <v>30.9495</v>
      </c>
      <c r="E2977">
        <v>31.423200000000001</v>
      </c>
      <c r="F2977">
        <v>95559</v>
      </c>
    </row>
    <row r="2978" spans="1:6" x14ac:dyDescent="0.25">
      <c r="A2978" s="4">
        <v>38680</v>
      </c>
      <c r="B2978">
        <v>31.423200000000001</v>
      </c>
      <c r="C2978">
        <v>31.581099999999999</v>
      </c>
      <c r="D2978">
        <v>31.2653</v>
      </c>
      <c r="E2978">
        <v>31.423200000000001</v>
      </c>
      <c r="F2978">
        <v>58568</v>
      </c>
    </row>
    <row r="2979" spans="1:6" x14ac:dyDescent="0.25">
      <c r="A2979" s="4">
        <v>38681</v>
      </c>
      <c r="B2979">
        <v>31.423200000000001</v>
      </c>
      <c r="C2979">
        <v>31.423200000000001</v>
      </c>
      <c r="D2979">
        <v>31.0548</v>
      </c>
      <c r="E2979">
        <v>31.107399999999998</v>
      </c>
      <c r="F2979">
        <v>22065</v>
      </c>
    </row>
    <row r="2980" spans="1:6" x14ac:dyDescent="0.25">
      <c r="A2980" s="4">
        <v>38684</v>
      </c>
      <c r="B2980">
        <v>31.3706</v>
      </c>
      <c r="C2980">
        <v>31.528500000000001</v>
      </c>
      <c r="D2980">
        <v>31.212700000000002</v>
      </c>
      <c r="E2980">
        <v>31.317900000000002</v>
      </c>
      <c r="F2980">
        <v>28681</v>
      </c>
    </row>
    <row r="2981" spans="1:6" x14ac:dyDescent="0.25">
      <c r="A2981" s="4">
        <v>38685</v>
      </c>
      <c r="B2981">
        <v>30.633700000000001</v>
      </c>
      <c r="C2981">
        <v>31.212700000000002</v>
      </c>
      <c r="D2981">
        <v>30.423100000000002</v>
      </c>
      <c r="E2981">
        <v>30.423100000000002</v>
      </c>
      <c r="F2981">
        <v>39502</v>
      </c>
    </row>
    <row r="2982" spans="1:6" x14ac:dyDescent="0.25">
      <c r="A2982" s="4">
        <v>38686</v>
      </c>
      <c r="B2982">
        <v>30.739000000000001</v>
      </c>
      <c r="C2982">
        <v>31.4758</v>
      </c>
      <c r="D2982">
        <v>30.739000000000001</v>
      </c>
      <c r="E2982">
        <v>31.317900000000002</v>
      </c>
      <c r="F2982">
        <v>49991</v>
      </c>
    </row>
    <row r="2983" spans="1:6" x14ac:dyDescent="0.25">
      <c r="A2983" s="4">
        <v>38687</v>
      </c>
      <c r="B2983">
        <v>31.317900000000002</v>
      </c>
      <c r="C2983">
        <v>31.581099999999999</v>
      </c>
      <c r="D2983">
        <v>31.212700000000002</v>
      </c>
      <c r="E2983">
        <v>31.212700000000002</v>
      </c>
      <c r="F2983">
        <v>54630</v>
      </c>
    </row>
    <row r="2984" spans="1:6" x14ac:dyDescent="0.25">
      <c r="A2984" s="4">
        <v>38688</v>
      </c>
      <c r="B2984">
        <v>31.686399999999999</v>
      </c>
      <c r="C2984">
        <v>32.002200000000002</v>
      </c>
      <c r="D2984">
        <v>31.633700000000001</v>
      </c>
      <c r="E2984">
        <v>31.896899999999999</v>
      </c>
      <c r="F2984">
        <v>69880</v>
      </c>
    </row>
    <row r="2985" spans="1:6" x14ac:dyDescent="0.25">
      <c r="A2985" s="4">
        <v>38691</v>
      </c>
      <c r="B2985">
        <v>32.107500000000002</v>
      </c>
      <c r="C2985">
        <v>32.633800000000001</v>
      </c>
      <c r="D2985">
        <v>31.739000000000001</v>
      </c>
      <c r="E2985">
        <v>32.633800000000001</v>
      </c>
      <c r="F2985">
        <v>44969</v>
      </c>
    </row>
    <row r="2986" spans="1:6" x14ac:dyDescent="0.25">
      <c r="A2986" s="4">
        <v>38692</v>
      </c>
      <c r="B2986">
        <v>31.791699999999999</v>
      </c>
      <c r="C2986">
        <v>33.002299999999998</v>
      </c>
      <c r="D2986">
        <v>31.791699999999999</v>
      </c>
      <c r="E2986">
        <v>32.896999999999998</v>
      </c>
      <c r="F2986">
        <v>56767</v>
      </c>
    </row>
    <row r="2987" spans="1:6" x14ac:dyDescent="0.25">
      <c r="A2987" s="4">
        <v>38693</v>
      </c>
      <c r="B2987">
        <v>32.896999999999998</v>
      </c>
      <c r="C2987">
        <v>33.423299999999998</v>
      </c>
      <c r="D2987">
        <v>32.581200000000003</v>
      </c>
      <c r="E2987">
        <v>32.896999999999998</v>
      </c>
      <c r="F2987">
        <v>41852</v>
      </c>
    </row>
    <row r="2988" spans="1:6" x14ac:dyDescent="0.25">
      <c r="A2988" s="4">
        <v>38694</v>
      </c>
      <c r="B2988">
        <v>32.896999999999998</v>
      </c>
      <c r="C2988">
        <v>32.896999999999998</v>
      </c>
      <c r="D2988">
        <v>32.107500000000002</v>
      </c>
      <c r="E2988">
        <v>32.475900000000003</v>
      </c>
      <c r="F2988">
        <v>36493</v>
      </c>
    </row>
    <row r="2989" spans="1:6" x14ac:dyDescent="0.25">
      <c r="A2989" s="4">
        <v>38695</v>
      </c>
      <c r="B2989">
        <v>32.1601</v>
      </c>
      <c r="C2989">
        <v>32.212699999999998</v>
      </c>
      <c r="D2989">
        <v>31.739000000000001</v>
      </c>
      <c r="E2989">
        <v>32.002200000000002</v>
      </c>
      <c r="F2989">
        <v>39707</v>
      </c>
    </row>
    <row r="2990" spans="1:6" x14ac:dyDescent="0.25">
      <c r="A2990" s="4">
        <v>38698</v>
      </c>
      <c r="B2990">
        <v>32.002200000000002</v>
      </c>
      <c r="C2990">
        <v>32.317999999999998</v>
      </c>
      <c r="D2990">
        <v>31.633700000000001</v>
      </c>
      <c r="E2990">
        <v>32.212699999999998</v>
      </c>
      <c r="F2990">
        <v>31192</v>
      </c>
    </row>
    <row r="2991" spans="1:6" x14ac:dyDescent="0.25">
      <c r="A2991" s="4">
        <v>38699</v>
      </c>
      <c r="B2991">
        <v>32.212699999999998</v>
      </c>
      <c r="C2991">
        <v>32.633800000000001</v>
      </c>
      <c r="D2991">
        <v>31.896899999999999</v>
      </c>
      <c r="E2991">
        <v>32.633800000000001</v>
      </c>
      <c r="F2991">
        <v>43260</v>
      </c>
    </row>
    <row r="2992" spans="1:6" x14ac:dyDescent="0.25">
      <c r="A2992" s="4">
        <v>38700</v>
      </c>
      <c r="B2992">
        <v>32.423299999999998</v>
      </c>
      <c r="C2992">
        <v>32.423299999999998</v>
      </c>
      <c r="D2992">
        <v>31.9496</v>
      </c>
      <c r="E2992">
        <v>32.1601</v>
      </c>
      <c r="F2992">
        <v>45579</v>
      </c>
    </row>
    <row r="2993" spans="1:6" x14ac:dyDescent="0.25">
      <c r="A2993" s="4">
        <v>38701</v>
      </c>
      <c r="B2993">
        <v>32.107500000000002</v>
      </c>
      <c r="C2993">
        <v>32.107500000000002</v>
      </c>
      <c r="D2993">
        <v>31.791699999999999</v>
      </c>
      <c r="E2993">
        <v>32.0548</v>
      </c>
      <c r="F2993">
        <v>31021</v>
      </c>
    </row>
    <row r="2994" spans="1:6" x14ac:dyDescent="0.25">
      <c r="A2994" s="4">
        <v>38702</v>
      </c>
      <c r="B2994">
        <v>32.107500000000002</v>
      </c>
      <c r="C2994">
        <v>32.791699999999999</v>
      </c>
      <c r="D2994">
        <v>32.107500000000002</v>
      </c>
      <c r="E2994">
        <v>32.633800000000001</v>
      </c>
      <c r="F2994">
        <v>41400</v>
      </c>
    </row>
    <row r="2995" spans="1:6" x14ac:dyDescent="0.25">
      <c r="A2995" s="4">
        <v>38705</v>
      </c>
      <c r="B2995">
        <v>32.739100000000001</v>
      </c>
      <c r="C2995">
        <v>32.896999999999998</v>
      </c>
      <c r="D2995">
        <v>32.528500000000001</v>
      </c>
      <c r="E2995">
        <v>32.896999999999998</v>
      </c>
      <c r="F2995">
        <v>35419</v>
      </c>
    </row>
    <row r="2996" spans="1:6" x14ac:dyDescent="0.25">
      <c r="A2996" s="4">
        <v>38706</v>
      </c>
      <c r="B2996">
        <v>32.633800000000001</v>
      </c>
      <c r="C2996">
        <v>32.791699999999999</v>
      </c>
      <c r="D2996">
        <v>32.475900000000003</v>
      </c>
      <c r="E2996">
        <v>32.791699999999999</v>
      </c>
      <c r="F2996">
        <v>25540</v>
      </c>
    </row>
    <row r="2997" spans="1:6" x14ac:dyDescent="0.25">
      <c r="A2997" s="4">
        <v>38707</v>
      </c>
      <c r="B2997">
        <v>32.8444</v>
      </c>
      <c r="C2997">
        <v>33.160200000000003</v>
      </c>
      <c r="D2997">
        <v>32.686500000000002</v>
      </c>
      <c r="E2997">
        <v>33.160200000000003</v>
      </c>
      <c r="F2997">
        <v>31976</v>
      </c>
    </row>
    <row r="2998" spans="1:6" x14ac:dyDescent="0.25">
      <c r="A2998" s="4">
        <v>38708</v>
      </c>
      <c r="B2998">
        <v>33.423299999999998</v>
      </c>
      <c r="C2998">
        <v>33.423299999999998</v>
      </c>
      <c r="D2998">
        <v>32.686500000000002</v>
      </c>
      <c r="E2998">
        <v>32.791699999999999</v>
      </c>
      <c r="F2998">
        <v>19599</v>
      </c>
    </row>
    <row r="2999" spans="1:6" x14ac:dyDescent="0.25">
      <c r="A2999" s="4">
        <v>38709</v>
      </c>
      <c r="B2999">
        <v>33.054900000000004</v>
      </c>
      <c r="C2999">
        <v>33.633899999999997</v>
      </c>
      <c r="D2999">
        <v>32.8444</v>
      </c>
      <c r="E2999">
        <v>33.633899999999997</v>
      </c>
      <c r="F2999">
        <v>34643</v>
      </c>
    </row>
    <row r="3000" spans="1:6" x14ac:dyDescent="0.25">
      <c r="A3000" s="4">
        <v>38712</v>
      </c>
      <c r="B3000">
        <v>33.686500000000002</v>
      </c>
      <c r="C3000">
        <v>33.686500000000002</v>
      </c>
      <c r="D3000">
        <v>32.949599999999997</v>
      </c>
      <c r="E3000">
        <v>33.581299999999999</v>
      </c>
      <c r="F3000">
        <v>11919</v>
      </c>
    </row>
    <row r="3001" spans="1:6" x14ac:dyDescent="0.25">
      <c r="A3001" s="4">
        <v>38713</v>
      </c>
      <c r="B3001">
        <v>33.581299999999999</v>
      </c>
      <c r="C3001">
        <v>33.8444</v>
      </c>
      <c r="D3001">
        <v>33.2654</v>
      </c>
      <c r="E3001">
        <v>33.581299999999999</v>
      </c>
      <c r="F3001">
        <v>20626</v>
      </c>
    </row>
    <row r="3002" spans="1:6" x14ac:dyDescent="0.25">
      <c r="A3002" s="4">
        <v>38714</v>
      </c>
      <c r="B3002">
        <v>32.949599999999997</v>
      </c>
      <c r="C3002">
        <v>33.423299999999998</v>
      </c>
      <c r="D3002">
        <v>32.949599999999997</v>
      </c>
      <c r="E3002">
        <v>33.423299999999998</v>
      </c>
      <c r="F3002">
        <v>1947674</v>
      </c>
    </row>
    <row r="3003" spans="1:6" x14ac:dyDescent="0.25">
      <c r="A3003" s="4">
        <v>38715</v>
      </c>
      <c r="B3003">
        <v>33.423299999999998</v>
      </c>
      <c r="C3003">
        <v>33.423299999999998</v>
      </c>
      <c r="D3003">
        <v>32.949599999999997</v>
      </c>
      <c r="E3003">
        <v>33.160200000000003</v>
      </c>
      <c r="F3003">
        <v>53634</v>
      </c>
    </row>
    <row r="3004" spans="1:6" x14ac:dyDescent="0.25">
      <c r="A3004" s="4">
        <v>38716</v>
      </c>
      <c r="B3004">
        <v>33.107500000000002</v>
      </c>
      <c r="C3004">
        <v>33.160200000000003</v>
      </c>
      <c r="D3004">
        <v>32.791699999999999</v>
      </c>
      <c r="E3004">
        <v>32.896999999999998</v>
      </c>
      <c r="F3004">
        <v>28156</v>
      </c>
    </row>
    <row r="3005" spans="1:6" x14ac:dyDescent="0.25">
      <c r="A3005" s="4">
        <v>38719</v>
      </c>
      <c r="B3005">
        <v>32.528500000000001</v>
      </c>
      <c r="C3005">
        <v>32.528500000000001</v>
      </c>
      <c r="D3005">
        <v>31.581099999999999</v>
      </c>
      <c r="E3005">
        <v>32.107500000000002</v>
      </c>
      <c r="F3005">
        <v>29268</v>
      </c>
    </row>
    <row r="3006" spans="1:6" x14ac:dyDescent="0.25">
      <c r="A3006" s="4">
        <v>38720</v>
      </c>
      <c r="B3006">
        <v>32.107500000000002</v>
      </c>
      <c r="C3006">
        <v>33.107500000000002</v>
      </c>
      <c r="D3006">
        <v>31.8443</v>
      </c>
      <c r="E3006">
        <v>33.107500000000002</v>
      </c>
      <c r="F3006">
        <v>68455</v>
      </c>
    </row>
    <row r="3007" spans="1:6" x14ac:dyDescent="0.25">
      <c r="A3007" s="4">
        <v>38721</v>
      </c>
      <c r="B3007">
        <v>33.212800000000001</v>
      </c>
      <c r="C3007">
        <v>33.370699999999999</v>
      </c>
      <c r="D3007">
        <v>32.633800000000001</v>
      </c>
      <c r="E3007">
        <v>33.370699999999999</v>
      </c>
      <c r="F3007">
        <v>53060</v>
      </c>
    </row>
    <row r="3008" spans="1:6" x14ac:dyDescent="0.25">
      <c r="A3008" s="4">
        <v>38722</v>
      </c>
      <c r="B3008">
        <v>33.370699999999999</v>
      </c>
      <c r="C3008">
        <v>33.686500000000002</v>
      </c>
      <c r="D3008">
        <v>32.949599999999997</v>
      </c>
      <c r="E3008">
        <v>33.686500000000002</v>
      </c>
      <c r="F3008">
        <v>43480</v>
      </c>
    </row>
    <row r="3009" spans="1:6" x14ac:dyDescent="0.25">
      <c r="A3009" s="4">
        <v>38723</v>
      </c>
      <c r="B3009">
        <v>34.107599999999998</v>
      </c>
      <c r="C3009">
        <v>34.475999999999999</v>
      </c>
      <c r="D3009">
        <v>34.055</v>
      </c>
      <c r="E3009">
        <v>34.475999999999999</v>
      </c>
      <c r="F3009">
        <v>66363</v>
      </c>
    </row>
    <row r="3010" spans="1:6" x14ac:dyDescent="0.25">
      <c r="A3010" s="4">
        <v>38726</v>
      </c>
      <c r="B3010">
        <v>34.791899999999998</v>
      </c>
      <c r="C3010">
        <v>36.002499999999998</v>
      </c>
      <c r="D3010">
        <v>34.791899999999998</v>
      </c>
      <c r="E3010">
        <v>35.8446</v>
      </c>
      <c r="F3010">
        <v>75795</v>
      </c>
    </row>
    <row r="3011" spans="1:6" x14ac:dyDescent="0.25">
      <c r="A3011" s="4">
        <v>38727</v>
      </c>
      <c r="B3011">
        <v>35.791899999999998</v>
      </c>
      <c r="C3011">
        <v>35.791899999999998</v>
      </c>
      <c r="D3011">
        <v>34.844499999999996</v>
      </c>
      <c r="E3011">
        <v>35.107700000000001</v>
      </c>
      <c r="F3011">
        <v>44406</v>
      </c>
    </row>
    <row r="3012" spans="1:6" x14ac:dyDescent="0.25">
      <c r="A3012" s="4">
        <v>38728</v>
      </c>
      <c r="B3012">
        <v>34.739199999999997</v>
      </c>
      <c r="C3012">
        <v>34.739199999999997</v>
      </c>
      <c r="D3012">
        <v>33.739199999999997</v>
      </c>
      <c r="E3012">
        <v>34.634</v>
      </c>
      <c r="F3012">
        <v>67186</v>
      </c>
    </row>
    <row r="3013" spans="1:6" x14ac:dyDescent="0.25">
      <c r="A3013" s="4">
        <v>38729</v>
      </c>
      <c r="B3013">
        <v>35.002400000000002</v>
      </c>
      <c r="C3013">
        <v>35.002400000000002</v>
      </c>
      <c r="D3013">
        <v>34.265500000000003</v>
      </c>
      <c r="E3013">
        <v>34.475999999999999</v>
      </c>
      <c r="F3013">
        <v>46494</v>
      </c>
    </row>
    <row r="3014" spans="1:6" x14ac:dyDescent="0.25">
      <c r="A3014" s="4">
        <v>38730</v>
      </c>
      <c r="B3014">
        <v>34.107599999999998</v>
      </c>
      <c r="C3014">
        <v>34.212899999999998</v>
      </c>
      <c r="D3014">
        <v>33.581299999999999</v>
      </c>
      <c r="E3014">
        <v>33.9497</v>
      </c>
      <c r="F3014">
        <v>36962</v>
      </c>
    </row>
    <row r="3015" spans="1:6" x14ac:dyDescent="0.25">
      <c r="A3015" s="4">
        <v>38733</v>
      </c>
      <c r="B3015">
        <v>33.581299999999999</v>
      </c>
      <c r="C3015">
        <v>33.8444</v>
      </c>
      <c r="D3015">
        <v>33.423299999999998</v>
      </c>
      <c r="E3015">
        <v>33.633899999999997</v>
      </c>
      <c r="F3015">
        <v>36002</v>
      </c>
    </row>
    <row r="3016" spans="1:6" x14ac:dyDescent="0.25">
      <c r="A3016" s="4">
        <v>38734</v>
      </c>
      <c r="B3016">
        <v>33.739199999999997</v>
      </c>
      <c r="C3016">
        <v>34.370800000000003</v>
      </c>
      <c r="D3016">
        <v>33.739199999999997</v>
      </c>
      <c r="E3016">
        <v>34.002299999999998</v>
      </c>
      <c r="F3016">
        <v>37880</v>
      </c>
    </row>
    <row r="3017" spans="1:6" x14ac:dyDescent="0.25">
      <c r="A3017" s="4">
        <v>38735</v>
      </c>
      <c r="B3017">
        <v>32.633800000000001</v>
      </c>
      <c r="C3017">
        <v>33.002299999999998</v>
      </c>
      <c r="D3017">
        <v>32.317999999999998</v>
      </c>
      <c r="E3017">
        <v>32.423299999999998</v>
      </c>
      <c r="F3017">
        <v>79147</v>
      </c>
    </row>
    <row r="3018" spans="1:6" x14ac:dyDescent="0.25">
      <c r="A3018" s="4">
        <v>38736</v>
      </c>
      <c r="B3018">
        <v>32.528500000000001</v>
      </c>
      <c r="C3018">
        <v>33.212800000000001</v>
      </c>
      <c r="D3018">
        <v>32.2654</v>
      </c>
      <c r="E3018">
        <v>32.633800000000001</v>
      </c>
      <c r="F3018">
        <v>51883</v>
      </c>
    </row>
    <row r="3019" spans="1:6" x14ac:dyDescent="0.25">
      <c r="A3019" s="4">
        <v>38737</v>
      </c>
      <c r="B3019">
        <v>33.160200000000003</v>
      </c>
      <c r="C3019">
        <v>33.160200000000003</v>
      </c>
      <c r="D3019">
        <v>32.686500000000002</v>
      </c>
      <c r="E3019">
        <v>32.896999999999998</v>
      </c>
      <c r="F3019">
        <v>35319</v>
      </c>
    </row>
    <row r="3020" spans="1:6" x14ac:dyDescent="0.25">
      <c r="A3020" s="4">
        <v>38740</v>
      </c>
      <c r="B3020">
        <v>32.423299999999998</v>
      </c>
      <c r="C3020">
        <v>32.739100000000001</v>
      </c>
      <c r="D3020">
        <v>32.317999999999998</v>
      </c>
      <c r="E3020">
        <v>32.528500000000001</v>
      </c>
      <c r="F3020">
        <v>28082</v>
      </c>
    </row>
    <row r="3021" spans="1:6" x14ac:dyDescent="0.25">
      <c r="A3021" s="4">
        <v>38741</v>
      </c>
      <c r="B3021">
        <v>32.528500000000001</v>
      </c>
      <c r="C3021">
        <v>32.949599999999997</v>
      </c>
      <c r="D3021">
        <v>32.475900000000003</v>
      </c>
      <c r="E3021">
        <v>32.581200000000003</v>
      </c>
      <c r="F3021">
        <v>38641</v>
      </c>
    </row>
    <row r="3022" spans="1:6" x14ac:dyDescent="0.25">
      <c r="A3022" s="4">
        <v>38742</v>
      </c>
      <c r="B3022">
        <v>33.160200000000003</v>
      </c>
      <c r="C3022">
        <v>33.423299999999998</v>
      </c>
      <c r="D3022">
        <v>32.791699999999999</v>
      </c>
      <c r="E3022">
        <v>33.423299999999998</v>
      </c>
      <c r="F3022">
        <v>39855</v>
      </c>
    </row>
    <row r="3023" spans="1:6" x14ac:dyDescent="0.25">
      <c r="A3023" s="4">
        <v>38751</v>
      </c>
      <c r="B3023">
        <v>33.686500000000002</v>
      </c>
      <c r="C3023">
        <v>33.9497</v>
      </c>
      <c r="D3023">
        <v>32.791699999999999</v>
      </c>
      <c r="E3023">
        <v>33.370699999999999</v>
      </c>
      <c r="F3023">
        <v>79437</v>
      </c>
    </row>
    <row r="3024" spans="1:6" x14ac:dyDescent="0.25">
      <c r="A3024" s="4">
        <v>38754</v>
      </c>
      <c r="B3024">
        <v>33.160200000000003</v>
      </c>
      <c r="C3024">
        <v>35.002400000000002</v>
      </c>
      <c r="D3024">
        <v>32.423299999999998</v>
      </c>
      <c r="E3024">
        <v>35.002400000000002</v>
      </c>
      <c r="F3024">
        <v>52337</v>
      </c>
    </row>
    <row r="3025" spans="1:6" x14ac:dyDescent="0.25">
      <c r="A3025" s="4">
        <v>38755</v>
      </c>
      <c r="B3025">
        <v>33.686500000000002</v>
      </c>
      <c r="C3025">
        <v>34.370800000000003</v>
      </c>
      <c r="D3025">
        <v>33.686500000000002</v>
      </c>
      <c r="E3025">
        <v>34.212899999999998</v>
      </c>
      <c r="F3025">
        <v>40155</v>
      </c>
    </row>
    <row r="3026" spans="1:6" x14ac:dyDescent="0.25">
      <c r="A3026" s="4">
        <v>38756</v>
      </c>
      <c r="B3026">
        <v>34.212899999999998</v>
      </c>
      <c r="C3026">
        <v>34.212899999999998</v>
      </c>
      <c r="D3026">
        <v>33.160200000000003</v>
      </c>
      <c r="E3026">
        <v>33.212800000000001</v>
      </c>
      <c r="F3026">
        <v>34913</v>
      </c>
    </row>
    <row r="3027" spans="1:6" x14ac:dyDescent="0.25">
      <c r="A3027" s="4">
        <v>38757</v>
      </c>
      <c r="B3027">
        <v>33.686500000000002</v>
      </c>
      <c r="C3027">
        <v>33.791800000000002</v>
      </c>
      <c r="D3027">
        <v>32.949599999999997</v>
      </c>
      <c r="E3027">
        <v>33.160200000000003</v>
      </c>
      <c r="F3027">
        <v>37009</v>
      </c>
    </row>
    <row r="3028" spans="1:6" x14ac:dyDescent="0.25">
      <c r="A3028" s="4">
        <v>38758</v>
      </c>
      <c r="B3028">
        <v>33.160200000000003</v>
      </c>
      <c r="C3028">
        <v>33.212800000000001</v>
      </c>
      <c r="D3028">
        <v>32.633800000000001</v>
      </c>
      <c r="E3028">
        <v>32.949599999999997</v>
      </c>
      <c r="F3028">
        <v>37461</v>
      </c>
    </row>
    <row r="3029" spans="1:6" x14ac:dyDescent="0.25">
      <c r="A3029" s="4">
        <v>38761</v>
      </c>
      <c r="B3029">
        <v>32.686500000000002</v>
      </c>
      <c r="C3029">
        <v>33.002299999999998</v>
      </c>
      <c r="D3029">
        <v>32.633800000000001</v>
      </c>
      <c r="E3029">
        <v>32.8444</v>
      </c>
      <c r="F3029">
        <v>25958</v>
      </c>
    </row>
    <row r="3030" spans="1:6" x14ac:dyDescent="0.25">
      <c r="A3030" s="4">
        <v>38762</v>
      </c>
      <c r="B3030">
        <v>32.633800000000001</v>
      </c>
      <c r="C3030">
        <v>32.791699999999999</v>
      </c>
      <c r="D3030">
        <v>32.423299999999998</v>
      </c>
      <c r="E3030">
        <v>32.791699999999999</v>
      </c>
      <c r="F3030">
        <v>46120</v>
      </c>
    </row>
    <row r="3031" spans="1:6" x14ac:dyDescent="0.25">
      <c r="A3031" s="4">
        <v>38763</v>
      </c>
      <c r="B3031">
        <v>32.896999999999998</v>
      </c>
      <c r="C3031">
        <v>32.896999999999998</v>
      </c>
      <c r="D3031">
        <v>32.1601</v>
      </c>
      <c r="E3031">
        <v>32.2654</v>
      </c>
      <c r="F3031">
        <v>37024</v>
      </c>
    </row>
    <row r="3032" spans="1:6" x14ac:dyDescent="0.25">
      <c r="A3032" s="4">
        <v>38764</v>
      </c>
      <c r="B3032">
        <v>32.581200000000003</v>
      </c>
      <c r="C3032">
        <v>33.107500000000002</v>
      </c>
      <c r="D3032">
        <v>32.423299999999998</v>
      </c>
      <c r="E3032">
        <v>32.8444</v>
      </c>
      <c r="F3032">
        <v>43052</v>
      </c>
    </row>
    <row r="3033" spans="1:6" x14ac:dyDescent="0.25">
      <c r="A3033" s="4">
        <v>38765</v>
      </c>
      <c r="B3033">
        <v>32.896999999999998</v>
      </c>
      <c r="C3033">
        <v>33.107500000000002</v>
      </c>
      <c r="D3033">
        <v>32.423299999999998</v>
      </c>
      <c r="E3033">
        <v>32.475900000000003</v>
      </c>
      <c r="F3033">
        <v>32252</v>
      </c>
    </row>
    <row r="3034" spans="1:6" x14ac:dyDescent="0.25">
      <c r="A3034" s="4">
        <v>38768</v>
      </c>
      <c r="B3034">
        <v>32.370600000000003</v>
      </c>
      <c r="C3034">
        <v>33.002299999999998</v>
      </c>
      <c r="D3034">
        <v>32.317999999999998</v>
      </c>
      <c r="E3034">
        <v>33.002299999999998</v>
      </c>
      <c r="F3034">
        <v>22700</v>
      </c>
    </row>
    <row r="3035" spans="1:6" x14ac:dyDescent="0.25">
      <c r="A3035" s="4">
        <v>38769</v>
      </c>
      <c r="B3035">
        <v>33.107500000000002</v>
      </c>
      <c r="C3035">
        <v>33.2654</v>
      </c>
      <c r="D3035">
        <v>32.633800000000001</v>
      </c>
      <c r="E3035">
        <v>32.686500000000002</v>
      </c>
      <c r="F3035">
        <v>31716</v>
      </c>
    </row>
    <row r="3036" spans="1:6" x14ac:dyDescent="0.25">
      <c r="A3036" s="4">
        <v>38770</v>
      </c>
      <c r="B3036">
        <v>32.8444</v>
      </c>
      <c r="C3036">
        <v>33.002299999999998</v>
      </c>
      <c r="D3036">
        <v>32.2654</v>
      </c>
      <c r="E3036">
        <v>32.581200000000003</v>
      </c>
      <c r="F3036">
        <v>36071</v>
      </c>
    </row>
    <row r="3037" spans="1:6" x14ac:dyDescent="0.25">
      <c r="A3037" s="4">
        <v>38771</v>
      </c>
      <c r="B3037">
        <v>32.475900000000003</v>
      </c>
      <c r="C3037">
        <v>32.528500000000001</v>
      </c>
      <c r="D3037">
        <v>31.8443</v>
      </c>
      <c r="E3037">
        <v>32.002200000000002</v>
      </c>
      <c r="F3037">
        <v>41692</v>
      </c>
    </row>
    <row r="3038" spans="1:6" x14ac:dyDescent="0.25">
      <c r="A3038" s="4">
        <v>38772</v>
      </c>
      <c r="B3038">
        <v>32.002200000000002</v>
      </c>
      <c r="C3038">
        <v>32.2654</v>
      </c>
      <c r="D3038">
        <v>31.739000000000001</v>
      </c>
      <c r="E3038">
        <v>32.107500000000002</v>
      </c>
      <c r="F3038">
        <v>44898</v>
      </c>
    </row>
    <row r="3039" spans="1:6" x14ac:dyDescent="0.25">
      <c r="A3039" s="4">
        <v>38775</v>
      </c>
      <c r="B3039">
        <v>32.107500000000002</v>
      </c>
      <c r="C3039">
        <v>32.107500000000002</v>
      </c>
      <c r="D3039">
        <v>31.739000000000001</v>
      </c>
      <c r="E3039">
        <v>32.0548</v>
      </c>
      <c r="F3039">
        <v>43734</v>
      </c>
    </row>
    <row r="3040" spans="1:6" x14ac:dyDescent="0.25">
      <c r="A3040" s="4">
        <v>38777</v>
      </c>
      <c r="B3040">
        <v>31.739000000000001</v>
      </c>
      <c r="C3040">
        <v>32.002200000000002</v>
      </c>
      <c r="D3040">
        <v>31.528500000000001</v>
      </c>
      <c r="E3040">
        <v>31.791699999999999</v>
      </c>
      <c r="F3040">
        <v>55533</v>
      </c>
    </row>
    <row r="3041" spans="1:6" x14ac:dyDescent="0.25">
      <c r="A3041" s="4">
        <v>38778</v>
      </c>
      <c r="B3041">
        <v>32.370600000000003</v>
      </c>
      <c r="C3041">
        <v>33.054900000000004</v>
      </c>
      <c r="D3041">
        <v>32.370600000000003</v>
      </c>
      <c r="E3041">
        <v>33.002299999999998</v>
      </c>
      <c r="F3041">
        <v>77472</v>
      </c>
    </row>
    <row r="3042" spans="1:6" x14ac:dyDescent="0.25">
      <c r="A3042" s="4">
        <v>38779</v>
      </c>
      <c r="B3042">
        <v>32.949599999999997</v>
      </c>
      <c r="C3042">
        <v>32.949599999999997</v>
      </c>
      <c r="D3042">
        <v>32.317999999999998</v>
      </c>
      <c r="E3042">
        <v>32.528500000000001</v>
      </c>
      <c r="F3042">
        <v>42744</v>
      </c>
    </row>
    <row r="3043" spans="1:6" x14ac:dyDescent="0.25">
      <c r="A3043" s="4">
        <v>38782</v>
      </c>
      <c r="B3043">
        <v>32.475900000000003</v>
      </c>
      <c r="C3043">
        <v>32.475900000000003</v>
      </c>
      <c r="D3043">
        <v>31.9496</v>
      </c>
      <c r="E3043">
        <v>32.0548</v>
      </c>
      <c r="F3043">
        <v>27293</v>
      </c>
    </row>
    <row r="3044" spans="1:6" x14ac:dyDescent="0.25">
      <c r="A3044" s="4">
        <v>38783</v>
      </c>
      <c r="B3044">
        <v>32.0548</v>
      </c>
      <c r="C3044">
        <v>32.0548</v>
      </c>
      <c r="D3044">
        <v>31.633700000000001</v>
      </c>
      <c r="E3044">
        <v>31.633700000000001</v>
      </c>
      <c r="F3044">
        <v>35931</v>
      </c>
    </row>
    <row r="3045" spans="1:6" x14ac:dyDescent="0.25">
      <c r="A3045" s="4">
        <v>38784</v>
      </c>
      <c r="B3045">
        <v>31.528500000000001</v>
      </c>
      <c r="C3045">
        <v>31.581099999999999</v>
      </c>
      <c r="D3045">
        <v>31.002099999999999</v>
      </c>
      <c r="E3045">
        <v>31.0548</v>
      </c>
      <c r="F3045">
        <v>59895</v>
      </c>
    </row>
    <row r="3046" spans="1:6" x14ac:dyDescent="0.25">
      <c r="A3046" s="4">
        <v>38785</v>
      </c>
      <c r="B3046">
        <v>31.0548</v>
      </c>
      <c r="C3046">
        <v>31.528500000000001</v>
      </c>
      <c r="D3046">
        <v>31.0548</v>
      </c>
      <c r="E3046">
        <v>31.4758</v>
      </c>
      <c r="F3046">
        <v>26989</v>
      </c>
    </row>
    <row r="3047" spans="1:6" x14ac:dyDescent="0.25">
      <c r="A3047" s="4">
        <v>38786</v>
      </c>
      <c r="B3047">
        <v>31.4758</v>
      </c>
      <c r="C3047">
        <v>32.739100000000001</v>
      </c>
      <c r="D3047">
        <v>31.4758</v>
      </c>
      <c r="E3047">
        <v>32.317999999999998</v>
      </c>
      <c r="F3047">
        <v>62589</v>
      </c>
    </row>
    <row r="3048" spans="1:6" x14ac:dyDescent="0.25">
      <c r="A3048" s="4">
        <v>38789</v>
      </c>
      <c r="B3048">
        <v>32.317999999999998</v>
      </c>
      <c r="C3048">
        <v>32.475900000000003</v>
      </c>
      <c r="D3048">
        <v>32.002200000000002</v>
      </c>
      <c r="E3048">
        <v>32.317999999999998</v>
      </c>
      <c r="F3048">
        <v>17860</v>
      </c>
    </row>
    <row r="3049" spans="1:6" x14ac:dyDescent="0.25">
      <c r="A3049" s="4">
        <v>38790</v>
      </c>
      <c r="B3049">
        <v>32.107500000000002</v>
      </c>
      <c r="C3049">
        <v>32.107500000000002</v>
      </c>
      <c r="D3049">
        <v>31.4758</v>
      </c>
      <c r="E3049">
        <v>31.581099999999999</v>
      </c>
      <c r="F3049">
        <v>33167</v>
      </c>
    </row>
    <row r="3050" spans="1:6" x14ac:dyDescent="0.25">
      <c r="A3050" s="4">
        <v>38791</v>
      </c>
      <c r="B3050">
        <v>32.370600000000003</v>
      </c>
      <c r="C3050">
        <v>32.633800000000001</v>
      </c>
      <c r="D3050">
        <v>32.0548</v>
      </c>
      <c r="E3050">
        <v>32.1601</v>
      </c>
      <c r="F3050">
        <v>31017</v>
      </c>
    </row>
    <row r="3051" spans="1:6" x14ac:dyDescent="0.25">
      <c r="A3051" s="4">
        <v>38792</v>
      </c>
      <c r="B3051">
        <v>32.370600000000003</v>
      </c>
      <c r="C3051">
        <v>32.633800000000001</v>
      </c>
      <c r="D3051">
        <v>31.8443</v>
      </c>
      <c r="E3051">
        <v>31.8443</v>
      </c>
      <c r="F3051">
        <v>36359</v>
      </c>
    </row>
    <row r="3052" spans="1:6" x14ac:dyDescent="0.25">
      <c r="A3052" s="4">
        <v>38793</v>
      </c>
      <c r="B3052">
        <v>31.739000000000001</v>
      </c>
      <c r="C3052">
        <v>32.0548</v>
      </c>
      <c r="D3052">
        <v>31.581099999999999</v>
      </c>
      <c r="E3052">
        <v>31.9496</v>
      </c>
      <c r="F3052">
        <v>40778</v>
      </c>
    </row>
    <row r="3053" spans="1:6" x14ac:dyDescent="0.25">
      <c r="A3053" s="4">
        <v>38796</v>
      </c>
      <c r="B3053">
        <v>31.9496</v>
      </c>
      <c r="C3053">
        <v>31.9496</v>
      </c>
      <c r="D3053">
        <v>31.633700000000001</v>
      </c>
      <c r="E3053">
        <v>31.686399999999999</v>
      </c>
      <c r="F3053">
        <v>33866</v>
      </c>
    </row>
    <row r="3054" spans="1:6" x14ac:dyDescent="0.25">
      <c r="A3054" s="4">
        <v>38797</v>
      </c>
      <c r="B3054">
        <v>31.581099999999999</v>
      </c>
      <c r="C3054">
        <v>32.002200000000002</v>
      </c>
      <c r="D3054">
        <v>31.528500000000001</v>
      </c>
      <c r="E3054">
        <v>31.8443</v>
      </c>
      <c r="F3054">
        <v>38157</v>
      </c>
    </row>
    <row r="3055" spans="1:6" x14ac:dyDescent="0.25">
      <c r="A3055" s="4">
        <v>38798</v>
      </c>
      <c r="B3055">
        <v>31.581099999999999</v>
      </c>
      <c r="C3055">
        <v>31.633700000000001</v>
      </c>
      <c r="D3055">
        <v>31.317900000000002</v>
      </c>
      <c r="E3055">
        <v>31.3706</v>
      </c>
      <c r="F3055">
        <v>44274</v>
      </c>
    </row>
    <row r="3056" spans="1:6" x14ac:dyDescent="0.25">
      <c r="A3056" s="4">
        <v>38799</v>
      </c>
      <c r="B3056">
        <v>31.4758</v>
      </c>
      <c r="C3056">
        <v>31.739000000000001</v>
      </c>
      <c r="D3056">
        <v>31.16</v>
      </c>
      <c r="E3056">
        <v>31.3706</v>
      </c>
      <c r="F3056">
        <v>37839</v>
      </c>
    </row>
    <row r="3057" spans="1:6" x14ac:dyDescent="0.25">
      <c r="A3057" s="4">
        <v>38800</v>
      </c>
      <c r="B3057">
        <v>31.3706</v>
      </c>
      <c r="C3057">
        <v>31.686399999999999</v>
      </c>
      <c r="D3057">
        <v>31.317900000000002</v>
      </c>
      <c r="E3057">
        <v>31.4758</v>
      </c>
      <c r="F3057">
        <v>21882</v>
      </c>
    </row>
    <row r="3058" spans="1:6" x14ac:dyDescent="0.25">
      <c r="A3058" s="4">
        <v>38803</v>
      </c>
      <c r="B3058">
        <v>31.896899999999999</v>
      </c>
      <c r="C3058">
        <v>31.9496</v>
      </c>
      <c r="D3058">
        <v>31.686399999999999</v>
      </c>
      <c r="E3058">
        <v>31.739000000000001</v>
      </c>
      <c r="F3058">
        <v>24844</v>
      </c>
    </row>
    <row r="3059" spans="1:6" x14ac:dyDescent="0.25">
      <c r="A3059" s="4">
        <v>38804</v>
      </c>
      <c r="B3059">
        <v>32.002200000000002</v>
      </c>
      <c r="C3059">
        <v>32.370600000000003</v>
      </c>
      <c r="D3059">
        <v>31.739000000000001</v>
      </c>
      <c r="E3059">
        <v>32.317999999999998</v>
      </c>
      <c r="F3059">
        <v>39386</v>
      </c>
    </row>
    <row r="3060" spans="1:6" x14ac:dyDescent="0.25">
      <c r="A3060" s="4">
        <v>38805</v>
      </c>
      <c r="B3060">
        <v>32.107500000000002</v>
      </c>
      <c r="C3060">
        <v>32.581200000000003</v>
      </c>
      <c r="D3060">
        <v>31.9496</v>
      </c>
      <c r="E3060">
        <v>32.581200000000003</v>
      </c>
      <c r="F3060">
        <v>44477</v>
      </c>
    </row>
    <row r="3061" spans="1:6" x14ac:dyDescent="0.25">
      <c r="A3061" s="4">
        <v>38806</v>
      </c>
      <c r="B3061">
        <v>32.896999999999998</v>
      </c>
      <c r="C3061">
        <v>33.160200000000003</v>
      </c>
      <c r="D3061">
        <v>32.686500000000002</v>
      </c>
      <c r="E3061">
        <v>33.107500000000002</v>
      </c>
      <c r="F3061">
        <v>88159</v>
      </c>
    </row>
    <row r="3062" spans="1:6" x14ac:dyDescent="0.25">
      <c r="A3062" s="4">
        <v>38807</v>
      </c>
      <c r="B3062">
        <v>33.160200000000003</v>
      </c>
      <c r="C3062">
        <v>34.107599999999998</v>
      </c>
      <c r="D3062">
        <v>33.160200000000003</v>
      </c>
      <c r="E3062">
        <v>33.791800000000002</v>
      </c>
      <c r="F3062">
        <v>87618</v>
      </c>
    </row>
    <row r="3063" spans="1:6" x14ac:dyDescent="0.25">
      <c r="A3063" s="4">
        <v>38810</v>
      </c>
      <c r="B3063">
        <v>33.791800000000002</v>
      </c>
      <c r="C3063">
        <v>34.212899999999998</v>
      </c>
      <c r="D3063">
        <v>33.581299999999999</v>
      </c>
      <c r="E3063">
        <v>34.107599999999998</v>
      </c>
      <c r="F3063">
        <v>36318</v>
      </c>
    </row>
    <row r="3064" spans="1:6" x14ac:dyDescent="0.25">
      <c r="A3064" s="4">
        <v>38811</v>
      </c>
      <c r="B3064">
        <v>34.055</v>
      </c>
      <c r="C3064">
        <v>34.107599999999998</v>
      </c>
      <c r="D3064">
        <v>33.739199999999997</v>
      </c>
      <c r="E3064">
        <v>33.9497</v>
      </c>
      <c r="F3064">
        <v>25627</v>
      </c>
    </row>
    <row r="3065" spans="1:6" x14ac:dyDescent="0.25">
      <c r="A3065" s="4">
        <v>38813</v>
      </c>
      <c r="B3065">
        <v>34.212899999999998</v>
      </c>
      <c r="C3065">
        <v>34.686599999999999</v>
      </c>
      <c r="D3065">
        <v>34.160200000000003</v>
      </c>
      <c r="E3065">
        <v>34.686599999999999</v>
      </c>
      <c r="F3065">
        <v>63078</v>
      </c>
    </row>
    <row r="3066" spans="1:6" x14ac:dyDescent="0.25">
      <c r="A3066" s="4">
        <v>38814</v>
      </c>
      <c r="B3066">
        <v>34.739199999999997</v>
      </c>
      <c r="C3066">
        <v>35.686700000000002</v>
      </c>
      <c r="D3066">
        <v>34.528700000000001</v>
      </c>
      <c r="E3066">
        <v>35.476100000000002</v>
      </c>
      <c r="F3066">
        <v>65596</v>
      </c>
    </row>
    <row r="3067" spans="1:6" x14ac:dyDescent="0.25">
      <c r="A3067" s="4">
        <v>38817</v>
      </c>
      <c r="B3067">
        <v>35.160299999999999</v>
      </c>
      <c r="C3067">
        <v>35.476100000000002</v>
      </c>
      <c r="D3067">
        <v>34.949800000000003</v>
      </c>
      <c r="E3067">
        <v>35.265599999999999</v>
      </c>
      <c r="F3067">
        <v>45727</v>
      </c>
    </row>
    <row r="3068" spans="1:6" x14ac:dyDescent="0.25">
      <c r="A3068" s="4">
        <v>38818</v>
      </c>
      <c r="B3068">
        <v>35.055</v>
      </c>
      <c r="C3068">
        <v>35.160299999999999</v>
      </c>
      <c r="D3068">
        <v>34.581299999999999</v>
      </c>
      <c r="E3068">
        <v>34.791899999999998</v>
      </c>
      <c r="F3068">
        <v>32607</v>
      </c>
    </row>
    <row r="3069" spans="1:6" x14ac:dyDescent="0.25">
      <c r="A3069" s="4">
        <v>38819</v>
      </c>
      <c r="B3069">
        <v>34.265500000000003</v>
      </c>
      <c r="C3069">
        <v>35.423499999999997</v>
      </c>
      <c r="D3069">
        <v>34.265500000000003</v>
      </c>
      <c r="E3069">
        <v>35.160299999999999</v>
      </c>
      <c r="F3069">
        <v>53613</v>
      </c>
    </row>
    <row r="3070" spans="1:6" x14ac:dyDescent="0.25">
      <c r="A3070" s="4">
        <v>38820</v>
      </c>
      <c r="B3070">
        <v>35.265599999999999</v>
      </c>
      <c r="C3070">
        <v>35.423499999999997</v>
      </c>
      <c r="D3070">
        <v>34.897100000000002</v>
      </c>
      <c r="E3070">
        <v>35.370800000000003</v>
      </c>
      <c r="F3070">
        <v>37700</v>
      </c>
    </row>
    <row r="3071" spans="1:6" x14ac:dyDescent="0.25">
      <c r="A3071" s="4">
        <v>38821</v>
      </c>
      <c r="B3071">
        <v>35.265599999999999</v>
      </c>
      <c r="C3071">
        <v>35.791899999999998</v>
      </c>
      <c r="D3071">
        <v>35.055</v>
      </c>
      <c r="E3071">
        <v>35.791899999999998</v>
      </c>
      <c r="F3071">
        <v>37570</v>
      </c>
    </row>
    <row r="3072" spans="1:6" x14ac:dyDescent="0.25">
      <c r="A3072" s="4">
        <v>38824</v>
      </c>
      <c r="B3072">
        <v>35.791899999999998</v>
      </c>
      <c r="C3072">
        <v>35.8446</v>
      </c>
      <c r="D3072">
        <v>35.476100000000002</v>
      </c>
      <c r="E3072">
        <v>35.686700000000002</v>
      </c>
      <c r="F3072">
        <v>33897</v>
      </c>
    </row>
    <row r="3073" spans="1:6" x14ac:dyDescent="0.25">
      <c r="A3073" s="4">
        <v>38825</v>
      </c>
      <c r="B3073">
        <v>35.686700000000002</v>
      </c>
      <c r="C3073">
        <v>35.8446</v>
      </c>
      <c r="D3073">
        <v>35.212899999999998</v>
      </c>
      <c r="E3073">
        <v>35.7393</v>
      </c>
      <c r="F3073">
        <v>28570</v>
      </c>
    </row>
    <row r="3074" spans="1:6" x14ac:dyDescent="0.25">
      <c r="A3074" s="4">
        <v>38826</v>
      </c>
      <c r="B3074">
        <v>36.265599999999999</v>
      </c>
      <c r="C3074">
        <v>36.792000000000002</v>
      </c>
      <c r="D3074">
        <v>36.265599999999999</v>
      </c>
      <c r="E3074">
        <v>36.528799999999997</v>
      </c>
      <c r="F3074">
        <v>55084</v>
      </c>
    </row>
    <row r="3075" spans="1:6" x14ac:dyDescent="0.25">
      <c r="A3075" s="4">
        <v>38827</v>
      </c>
      <c r="B3075">
        <v>36.4236</v>
      </c>
      <c r="C3075">
        <v>36.8446</v>
      </c>
      <c r="D3075">
        <v>36.4236</v>
      </c>
      <c r="E3075">
        <v>36.792000000000002</v>
      </c>
      <c r="F3075">
        <v>37284</v>
      </c>
    </row>
    <row r="3076" spans="1:6" x14ac:dyDescent="0.25">
      <c r="A3076" s="4">
        <v>38828</v>
      </c>
      <c r="B3076">
        <v>36.528799999999997</v>
      </c>
      <c r="C3076">
        <v>36.8446</v>
      </c>
      <c r="D3076">
        <v>36.4236</v>
      </c>
      <c r="E3076">
        <v>36.476199999999999</v>
      </c>
      <c r="F3076">
        <v>38211</v>
      </c>
    </row>
    <row r="3077" spans="1:6" x14ac:dyDescent="0.25">
      <c r="A3077" s="4">
        <v>38831</v>
      </c>
      <c r="B3077">
        <v>36.002499999999998</v>
      </c>
      <c r="C3077">
        <v>36.476199999999999</v>
      </c>
      <c r="D3077">
        <v>35.8446</v>
      </c>
      <c r="E3077">
        <v>35.897199999999998</v>
      </c>
      <c r="F3077">
        <v>40260</v>
      </c>
    </row>
    <row r="3078" spans="1:6" x14ac:dyDescent="0.25">
      <c r="A3078" s="4">
        <v>38832</v>
      </c>
      <c r="B3078">
        <v>35.8446</v>
      </c>
      <c r="C3078">
        <v>35.8446</v>
      </c>
      <c r="D3078">
        <v>35.160299999999999</v>
      </c>
      <c r="E3078">
        <v>35.265599999999999</v>
      </c>
      <c r="F3078">
        <v>34997</v>
      </c>
    </row>
    <row r="3079" spans="1:6" x14ac:dyDescent="0.25">
      <c r="A3079" s="4">
        <v>38833</v>
      </c>
      <c r="B3079">
        <v>35.160299999999999</v>
      </c>
      <c r="C3079">
        <v>36.4236</v>
      </c>
      <c r="D3079">
        <v>35.055</v>
      </c>
      <c r="E3079">
        <v>36.318300000000001</v>
      </c>
      <c r="F3079">
        <v>36146</v>
      </c>
    </row>
    <row r="3080" spans="1:6" x14ac:dyDescent="0.25">
      <c r="A3080" s="4">
        <v>38834</v>
      </c>
      <c r="B3080">
        <v>36.160400000000003</v>
      </c>
      <c r="C3080">
        <v>36.265599999999999</v>
      </c>
      <c r="D3080">
        <v>35.370800000000003</v>
      </c>
      <c r="E3080">
        <v>35.370800000000003</v>
      </c>
      <c r="F3080">
        <v>48944</v>
      </c>
    </row>
    <row r="3081" spans="1:6" x14ac:dyDescent="0.25">
      <c r="A3081" s="4">
        <v>38835</v>
      </c>
      <c r="B3081">
        <v>35.7393</v>
      </c>
      <c r="C3081">
        <v>36.265599999999999</v>
      </c>
      <c r="D3081">
        <v>35.265599999999999</v>
      </c>
      <c r="E3081">
        <v>35.8446</v>
      </c>
      <c r="F3081">
        <v>44850</v>
      </c>
    </row>
    <row r="3082" spans="1:6" x14ac:dyDescent="0.25">
      <c r="A3082" s="4">
        <v>38839</v>
      </c>
      <c r="B3082">
        <v>35.055</v>
      </c>
      <c r="C3082">
        <v>35.476100000000002</v>
      </c>
      <c r="D3082">
        <v>35.002400000000002</v>
      </c>
      <c r="E3082">
        <v>35.370800000000003</v>
      </c>
      <c r="F3082">
        <v>50364</v>
      </c>
    </row>
    <row r="3083" spans="1:6" x14ac:dyDescent="0.25">
      <c r="A3083" s="4">
        <v>38840</v>
      </c>
      <c r="B3083">
        <v>35.476100000000002</v>
      </c>
      <c r="C3083">
        <v>35.8446</v>
      </c>
      <c r="D3083">
        <v>35.265599999999999</v>
      </c>
      <c r="E3083">
        <v>35.265599999999999</v>
      </c>
      <c r="F3083">
        <v>40080</v>
      </c>
    </row>
    <row r="3084" spans="1:6" x14ac:dyDescent="0.25">
      <c r="A3084" s="4">
        <v>38841</v>
      </c>
      <c r="B3084">
        <v>35.791899999999998</v>
      </c>
      <c r="C3084">
        <v>35.791899999999998</v>
      </c>
      <c r="D3084">
        <v>35.476100000000002</v>
      </c>
      <c r="E3084">
        <v>35.528799999999997</v>
      </c>
      <c r="F3084">
        <v>24624</v>
      </c>
    </row>
    <row r="3085" spans="1:6" x14ac:dyDescent="0.25">
      <c r="A3085" s="4">
        <v>38842</v>
      </c>
      <c r="B3085">
        <v>35.8446</v>
      </c>
      <c r="C3085">
        <v>36.581499999999998</v>
      </c>
      <c r="D3085">
        <v>35.791899999999998</v>
      </c>
      <c r="E3085">
        <v>36.055100000000003</v>
      </c>
      <c r="F3085">
        <v>52904</v>
      </c>
    </row>
    <row r="3086" spans="1:6" x14ac:dyDescent="0.25">
      <c r="A3086" s="4">
        <v>38845</v>
      </c>
      <c r="B3086">
        <v>36.634099999999997</v>
      </c>
      <c r="C3086">
        <v>36.792000000000002</v>
      </c>
      <c r="D3086">
        <v>36.265599999999999</v>
      </c>
      <c r="E3086">
        <v>36.528799999999997</v>
      </c>
      <c r="F3086">
        <v>40011</v>
      </c>
    </row>
    <row r="3087" spans="1:6" x14ac:dyDescent="0.25">
      <c r="A3087" s="4">
        <v>38846</v>
      </c>
      <c r="B3087">
        <v>36.370899999999999</v>
      </c>
      <c r="C3087">
        <v>36.370899999999999</v>
      </c>
      <c r="D3087">
        <v>35.634</v>
      </c>
      <c r="E3087">
        <v>35.791899999999998</v>
      </c>
      <c r="F3087">
        <v>40518</v>
      </c>
    </row>
    <row r="3088" spans="1:6" x14ac:dyDescent="0.25">
      <c r="A3088" s="4">
        <v>38847</v>
      </c>
      <c r="B3088">
        <v>35.528799999999997</v>
      </c>
      <c r="C3088">
        <v>35.528799999999997</v>
      </c>
      <c r="D3088">
        <v>34.265500000000003</v>
      </c>
      <c r="E3088">
        <v>35.002400000000002</v>
      </c>
      <c r="F3088">
        <v>72439</v>
      </c>
    </row>
    <row r="3089" spans="1:6" x14ac:dyDescent="0.25">
      <c r="A3089" s="4">
        <v>38848</v>
      </c>
      <c r="B3089">
        <v>34.318100000000001</v>
      </c>
      <c r="C3089">
        <v>35.055</v>
      </c>
      <c r="D3089">
        <v>34.318100000000001</v>
      </c>
      <c r="E3089">
        <v>35.055</v>
      </c>
      <c r="F3089">
        <v>41413</v>
      </c>
    </row>
    <row r="3090" spans="1:6" x14ac:dyDescent="0.25">
      <c r="A3090" s="4">
        <v>38849</v>
      </c>
      <c r="B3090">
        <v>34.212899999999998</v>
      </c>
      <c r="C3090">
        <v>34.423400000000001</v>
      </c>
      <c r="D3090">
        <v>34.107599999999998</v>
      </c>
      <c r="E3090">
        <v>34.160200000000003</v>
      </c>
      <c r="F3090">
        <v>54980</v>
      </c>
    </row>
    <row r="3091" spans="1:6" x14ac:dyDescent="0.25">
      <c r="A3091" s="4">
        <v>38852</v>
      </c>
      <c r="B3091">
        <v>33.475999999999999</v>
      </c>
      <c r="C3091">
        <v>33.633899999999997</v>
      </c>
      <c r="D3091">
        <v>33.212800000000001</v>
      </c>
      <c r="E3091">
        <v>33.2654</v>
      </c>
      <c r="F3091">
        <v>59123</v>
      </c>
    </row>
    <row r="3092" spans="1:6" x14ac:dyDescent="0.25">
      <c r="A3092" s="4">
        <v>38853</v>
      </c>
      <c r="B3092">
        <v>33.318100000000001</v>
      </c>
      <c r="C3092">
        <v>33.581299999999999</v>
      </c>
      <c r="D3092">
        <v>32.791699999999999</v>
      </c>
      <c r="E3092">
        <v>32.8444</v>
      </c>
      <c r="F3092">
        <v>56328</v>
      </c>
    </row>
    <row r="3093" spans="1:6" x14ac:dyDescent="0.25">
      <c r="A3093" s="4">
        <v>38854</v>
      </c>
      <c r="B3093">
        <v>33.160200000000003</v>
      </c>
      <c r="C3093">
        <v>33.686500000000002</v>
      </c>
      <c r="D3093">
        <v>33.054900000000004</v>
      </c>
      <c r="E3093">
        <v>33.528599999999997</v>
      </c>
      <c r="F3093">
        <v>32078</v>
      </c>
    </row>
    <row r="3094" spans="1:6" x14ac:dyDescent="0.25">
      <c r="A3094" s="4">
        <v>38855</v>
      </c>
      <c r="B3094">
        <v>32.8444</v>
      </c>
      <c r="C3094">
        <v>33.002299999999998</v>
      </c>
      <c r="D3094">
        <v>32.633800000000001</v>
      </c>
      <c r="E3094">
        <v>32.896999999999998</v>
      </c>
      <c r="F3094">
        <v>54522</v>
      </c>
    </row>
    <row r="3095" spans="1:6" x14ac:dyDescent="0.25">
      <c r="A3095" s="4">
        <v>38856</v>
      </c>
      <c r="B3095">
        <v>32.896999999999998</v>
      </c>
      <c r="C3095">
        <v>33.212800000000001</v>
      </c>
      <c r="D3095">
        <v>32.633800000000001</v>
      </c>
      <c r="E3095">
        <v>32.896999999999998</v>
      </c>
      <c r="F3095">
        <v>41843</v>
      </c>
    </row>
    <row r="3096" spans="1:6" x14ac:dyDescent="0.25">
      <c r="A3096" s="4">
        <v>38859</v>
      </c>
      <c r="B3096">
        <v>33.002299999999998</v>
      </c>
      <c r="C3096">
        <v>33.054900000000004</v>
      </c>
      <c r="D3096">
        <v>31.9496</v>
      </c>
      <c r="E3096">
        <v>32.002200000000002</v>
      </c>
      <c r="F3096">
        <v>64657</v>
      </c>
    </row>
    <row r="3097" spans="1:6" x14ac:dyDescent="0.25">
      <c r="A3097" s="4">
        <v>38860</v>
      </c>
      <c r="B3097">
        <v>31.633700000000001</v>
      </c>
      <c r="C3097">
        <v>32.475900000000003</v>
      </c>
      <c r="D3097">
        <v>31.4758</v>
      </c>
      <c r="E3097">
        <v>32.1601</v>
      </c>
      <c r="F3097">
        <v>57881</v>
      </c>
    </row>
    <row r="3098" spans="1:6" x14ac:dyDescent="0.25">
      <c r="A3098" s="4">
        <v>38861</v>
      </c>
      <c r="B3098">
        <v>32.1601</v>
      </c>
      <c r="C3098">
        <v>32.475900000000003</v>
      </c>
      <c r="D3098">
        <v>31.686399999999999</v>
      </c>
      <c r="E3098">
        <v>32.107500000000002</v>
      </c>
      <c r="F3098">
        <v>55807</v>
      </c>
    </row>
    <row r="3099" spans="1:6" x14ac:dyDescent="0.25">
      <c r="A3099" s="4">
        <v>38862</v>
      </c>
      <c r="B3099">
        <v>31.8443</v>
      </c>
      <c r="C3099">
        <v>32.0548</v>
      </c>
      <c r="D3099">
        <v>31.4758</v>
      </c>
      <c r="E3099">
        <v>31.4758</v>
      </c>
      <c r="F3099">
        <v>50962</v>
      </c>
    </row>
    <row r="3100" spans="1:6" x14ac:dyDescent="0.25">
      <c r="A3100" s="4">
        <v>38863</v>
      </c>
      <c r="B3100">
        <v>31.581099999999999</v>
      </c>
      <c r="C3100">
        <v>31.896899999999999</v>
      </c>
      <c r="D3100">
        <v>31.212700000000002</v>
      </c>
      <c r="E3100">
        <v>31.317900000000002</v>
      </c>
      <c r="F3100">
        <v>60013</v>
      </c>
    </row>
    <row r="3101" spans="1:6" x14ac:dyDescent="0.25">
      <c r="A3101" s="4">
        <v>38866</v>
      </c>
      <c r="B3101">
        <v>31.581099999999999</v>
      </c>
      <c r="C3101">
        <v>32.212699999999998</v>
      </c>
      <c r="D3101">
        <v>31.4758</v>
      </c>
      <c r="E3101">
        <v>31.686399999999999</v>
      </c>
      <c r="F3101">
        <v>32914</v>
      </c>
    </row>
    <row r="3102" spans="1:6" x14ac:dyDescent="0.25">
      <c r="A3102" s="4">
        <v>38867</v>
      </c>
      <c r="B3102">
        <v>32.107500000000002</v>
      </c>
      <c r="C3102">
        <v>32.475900000000003</v>
      </c>
      <c r="D3102">
        <v>31.739000000000001</v>
      </c>
      <c r="E3102">
        <v>31.739000000000001</v>
      </c>
      <c r="F3102">
        <v>56003</v>
      </c>
    </row>
    <row r="3103" spans="1:6" x14ac:dyDescent="0.25">
      <c r="A3103" s="4">
        <v>38869</v>
      </c>
      <c r="B3103">
        <v>32.370600000000003</v>
      </c>
      <c r="C3103">
        <v>32.686500000000002</v>
      </c>
      <c r="D3103">
        <v>31.896899999999999</v>
      </c>
      <c r="E3103">
        <v>32.317999999999998</v>
      </c>
      <c r="F3103">
        <v>45092</v>
      </c>
    </row>
    <row r="3104" spans="1:6" x14ac:dyDescent="0.25">
      <c r="A3104" s="4">
        <v>38870</v>
      </c>
      <c r="B3104">
        <v>32.686500000000002</v>
      </c>
      <c r="C3104">
        <v>32.896999999999998</v>
      </c>
      <c r="D3104">
        <v>32.475900000000003</v>
      </c>
      <c r="E3104">
        <v>32.896999999999998</v>
      </c>
      <c r="F3104">
        <v>44387</v>
      </c>
    </row>
    <row r="3105" spans="1:6" x14ac:dyDescent="0.25">
      <c r="A3105" s="4">
        <v>38873</v>
      </c>
      <c r="B3105">
        <v>33.002299999999998</v>
      </c>
      <c r="C3105">
        <v>33.107500000000002</v>
      </c>
      <c r="D3105">
        <v>31.581099999999999</v>
      </c>
      <c r="E3105">
        <v>31.791699999999999</v>
      </c>
      <c r="F3105">
        <v>53214</v>
      </c>
    </row>
    <row r="3106" spans="1:6" x14ac:dyDescent="0.25">
      <c r="A3106" s="4">
        <v>38874</v>
      </c>
      <c r="B3106">
        <v>31.739000000000001</v>
      </c>
      <c r="C3106">
        <v>32.212699999999998</v>
      </c>
      <c r="D3106">
        <v>31.581099999999999</v>
      </c>
      <c r="E3106">
        <v>32.002200000000002</v>
      </c>
      <c r="F3106">
        <v>52481</v>
      </c>
    </row>
    <row r="3107" spans="1:6" x14ac:dyDescent="0.25">
      <c r="A3107" s="4">
        <v>38875</v>
      </c>
      <c r="B3107">
        <v>31.8443</v>
      </c>
      <c r="C3107">
        <v>32.002200000000002</v>
      </c>
      <c r="D3107">
        <v>31.633700000000001</v>
      </c>
      <c r="E3107">
        <v>31.633700000000001</v>
      </c>
      <c r="F3107">
        <v>32268</v>
      </c>
    </row>
    <row r="3108" spans="1:6" x14ac:dyDescent="0.25">
      <c r="A3108" s="4">
        <v>38876</v>
      </c>
      <c r="B3108">
        <v>31.3706</v>
      </c>
      <c r="C3108">
        <v>31.423200000000001</v>
      </c>
      <c r="D3108">
        <v>29.423100000000002</v>
      </c>
      <c r="E3108">
        <v>29.423100000000002</v>
      </c>
      <c r="F3108">
        <v>77527</v>
      </c>
    </row>
    <row r="3109" spans="1:6" x14ac:dyDescent="0.25">
      <c r="A3109" s="4">
        <v>38877</v>
      </c>
      <c r="B3109">
        <v>30.528400000000001</v>
      </c>
      <c r="C3109">
        <v>31.002099999999999</v>
      </c>
      <c r="D3109">
        <v>29.949400000000001</v>
      </c>
      <c r="E3109">
        <v>30.791599999999999</v>
      </c>
      <c r="F3109">
        <v>68570</v>
      </c>
    </row>
    <row r="3110" spans="1:6" x14ac:dyDescent="0.25">
      <c r="A3110" s="4">
        <v>38880</v>
      </c>
      <c r="B3110">
        <v>30.528400000000001</v>
      </c>
      <c r="C3110">
        <v>30.844200000000001</v>
      </c>
      <c r="D3110">
        <v>30.002099999999999</v>
      </c>
      <c r="E3110">
        <v>30.2652</v>
      </c>
      <c r="F3110">
        <v>53476</v>
      </c>
    </row>
    <row r="3111" spans="1:6" x14ac:dyDescent="0.25">
      <c r="A3111" s="4">
        <v>38881</v>
      </c>
      <c r="B3111">
        <v>30.002099999999999</v>
      </c>
      <c r="C3111">
        <v>30.107299999999999</v>
      </c>
      <c r="D3111">
        <v>29.528300000000002</v>
      </c>
      <c r="E3111">
        <v>29.581</v>
      </c>
      <c r="F3111">
        <v>52514</v>
      </c>
    </row>
    <row r="3112" spans="1:6" x14ac:dyDescent="0.25">
      <c r="A3112" s="4">
        <v>38882</v>
      </c>
      <c r="B3112">
        <v>29.581</v>
      </c>
      <c r="C3112">
        <v>30.9495</v>
      </c>
      <c r="D3112">
        <v>29.581</v>
      </c>
      <c r="E3112">
        <v>30.581</v>
      </c>
      <c r="F3112">
        <v>56391</v>
      </c>
    </row>
    <row r="3113" spans="1:6" x14ac:dyDescent="0.25">
      <c r="A3113" s="4">
        <v>38883</v>
      </c>
      <c r="B3113">
        <v>30.896899999999999</v>
      </c>
      <c r="C3113">
        <v>30.9495</v>
      </c>
      <c r="D3113">
        <v>29.844200000000001</v>
      </c>
      <c r="E3113">
        <v>29.896799999999999</v>
      </c>
      <c r="F3113">
        <v>43513</v>
      </c>
    </row>
    <row r="3114" spans="1:6" x14ac:dyDescent="0.25">
      <c r="A3114" s="4">
        <v>38884</v>
      </c>
      <c r="B3114">
        <v>31.317900000000002</v>
      </c>
      <c r="C3114">
        <v>31.3706</v>
      </c>
      <c r="D3114">
        <v>31.002099999999999</v>
      </c>
      <c r="E3114">
        <v>31.2653</v>
      </c>
      <c r="F3114">
        <v>55764</v>
      </c>
    </row>
    <row r="3115" spans="1:6" x14ac:dyDescent="0.25">
      <c r="A3115" s="4">
        <v>38887</v>
      </c>
      <c r="B3115">
        <v>31.3706</v>
      </c>
      <c r="C3115">
        <v>31.423200000000001</v>
      </c>
      <c r="D3115">
        <v>31.0548</v>
      </c>
      <c r="E3115">
        <v>31.2653</v>
      </c>
      <c r="F3115">
        <v>65355</v>
      </c>
    </row>
    <row r="3116" spans="1:6" x14ac:dyDescent="0.25">
      <c r="A3116" s="4">
        <v>38888</v>
      </c>
      <c r="B3116">
        <v>31.183700000000002</v>
      </c>
      <c r="C3116">
        <v>31.523299999999999</v>
      </c>
      <c r="D3116">
        <v>30.674399999999999</v>
      </c>
      <c r="E3116">
        <v>30.9574</v>
      </c>
      <c r="F3116">
        <v>90106</v>
      </c>
    </row>
    <row r="3117" spans="1:6" x14ac:dyDescent="0.25">
      <c r="A3117" s="4">
        <v>38889</v>
      </c>
      <c r="B3117">
        <v>30.9574</v>
      </c>
      <c r="C3117">
        <v>31.4101</v>
      </c>
      <c r="D3117">
        <v>30.9008</v>
      </c>
      <c r="E3117">
        <v>31.296900000000001</v>
      </c>
      <c r="F3117">
        <v>33843</v>
      </c>
    </row>
    <row r="3118" spans="1:6" x14ac:dyDescent="0.25">
      <c r="A3118" s="4">
        <v>38890</v>
      </c>
      <c r="B3118">
        <v>32.032699999999998</v>
      </c>
      <c r="C3118">
        <v>32.711799999999997</v>
      </c>
      <c r="D3118">
        <v>31.8063</v>
      </c>
      <c r="E3118">
        <v>32.655200000000001</v>
      </c>
      <c r="F3118">
        <v>41978</v>
      </c>
    </row>
    <row r="3119" spans="1:6" x14ac:dyDescent="0.25">
      <c r="A3119" s="4">
        <v>38891</v>
      </c>
      <c r="B3119">
        <v>32.259</v>
      </c>
      <c r="C3119">
        <v>32.259</v>
      </c>
      <c r="D3119">
        <v>31.636500000000002</v>
      </c>
      <c r="E3119">
        <v>32.032699999999998</v>
      </c>
      <c r="F3119">
        <v>28732</v>
      </c>
    </row>
    <row r="3120" spans="1:6" x14ac:dyDescent="0.25">
      <c r="A3120" s="4">
        <v>38894</v>
      </c>
      <c r="B3120">
        <v>31.693100000000001</v>
      </c>
      <c r="C3120">
        <v>32.542000000000002</v>
      </c>
      <c r="D3120">
        <v>31.693100000000001</v>
      </c>
      <c r="E3120">
        <v>32.259</v>
      </c>
      <c r="F3120">
        <v>23838</v>
      </c>
    </row>
    <row r="3121" spans="1:6" x14ac:dyDescent="0.25">
      <c r="A3121" s="4">
        <v>38895</v>
      </c>
      <c r="B3121">
        <v>32.485399999999998</v>
      </c>
      <c r="C3121">
        <v>32.825000000000003</v>
      </c>
      <c r="D3121">
        <v>32.145800000000001</v>
      </c>
      <c r="E3121">
        <v>32.485399999999998</v>
      </c>
      <c r="F3121">
        <v>36649</v>
      </c>
    </row>
    <row r="3122" spans="1:6" x14ac:dyDescent="0.25">
      <c r="A3122" s="4">
        <v>38896</v>
      </c>
      <c r="B3122">
        <v>31.693100000000001</v>
      </c>
      <c r="C3122">
        <v>32.089300000000001</v>
      </c>
      <c r="D3122">
        <v>31.579899999999999</v>
      </c>
      <c r="E3122">
        <v>31.749700000000001</v>
      </c>
      <c r="F3122">
        <v>56513</v>
      </c>
    </row>
    <row r="3123" spans="1:6" x14ac:dyDescent="0.25">
      <c r="A3123" s="4">
        <v>38897</v>
      </c>
      <c r="B3123">
        <v>31.749700000000001</v>
      </c>
      <c r="C3123">
        <v>32.145800000000001</v>
      </c>
      <c r="D3123">
        <v>31.749700000000001</v>
      </c>
      <c r="E3123">
        <v>32.089300000000001</v>
      </c>
      <c r="F3123">
        <v>50918</v>
      </c>
    </row>
    <row r="3124" spans="1:6" x14ac:dyDescent="0.25">
      <c r="A3124" s="4">
        <v>38898</v>
      </c>
      <c r="B3124">
        <v>33.051400000000001</v>
      </c>
      <c r="C3124">
        <v>33.107999999999997</v>
      </c>
      <c r="D3124">
        <v>32.711799999999997</v>
      </c>
      <c r="E3124">
        <v>33.051400000000001</v>
      </c>
      <c r="F3124">
        <v>71062</v>
      </c>
    </row>
    <row r="3125" spans="1:6" x14ac:dyDescent="0.25">
      <c r="A3125" s="4">
        <v>38901</v>
      </c>
      <c r="B3125">
        <v>33.107999999999997</v>
      </c>
      <c r="C3125">
        <v>33.277700000000003</v>
      </c>
      <c r="D3125">
        <v>32.938200000000002</v>
      </c>
      <c r="E3125">
        <v>33.107999999999997</v>
      </c>
      <c r="F3125">
        <v>29708</v>
      </c>
    </row>
    <row r="3126" spans="1:6" x14ac:dyDescent="0.25">
      <c r="A3126" s="4">
        <v>38902</v>
      </c>
      <c r="B3126">
        <v>33.390900000000002</v>
      </c>
      <c r="C3126">
        <v>33.560699999999997</v>
      </c>
      <c r="D3126">
        <v>33.1646</v>
      </c>
      <c r="E3126">
        <v>33.277700000000003</v>
      </c>
      <c r="F3126">
        <v>30548</v>
      </c>
    </row>
    <row r="3127" spans="1:6" x14ac:dyDescent="0.25">
      <c r="A3127" s="4">
        <v>38903</v>
      </c>
      <c r="B3127">
        <v>33.2211</v>
      </c>
      <c r="C3127">
        <v>33.277700000000003</v>
      </c>
      <c r="D3127">
        <v>32.598599999999998</v>
      </c>
      <c r="E3127">
        <v>32.655200000000001</v>
      </c>
      <c r="F3127">
        <v>23118</v>
      </c>
    </row>
    <row r="3128" spans="1:6" x14ac:dyDescent="0.25">
      <c r="A3128" s="4">
        <v>38904</v>
      </c>
      <c r="B3128">
        <v>32.485399999999998</v>
      </c>
      <c r="C3128">
        <v>32.542000000000002</v>
      </c>
      <c r="D3128">
        <v>32.145800000000001</v>
      </c>
      <c r="E3128">
        <v>32.315600000000003</v>
      </c>
      <c r="F3128">
        <v>39107</v>
      </c>
    </row>
    <row r="3129" spans="1:6" x14ac:dyDescent="0.25">
      <c r="A3129" s="4">
        <v>38905</v>
      </c>
      <c r="B3129">
        <v>32.315600000000003</v>
      </c>
      <c r="C3129">
        <v>32.372199999999999</v>
      </c>
      <c r="D3129">
        <v>31.8063</v>
      </c>
      <c r="E3129">
        <v>32.202399999999997</v>
      </c>
      <c r="F3129">
        <v>38636</v>
      </c>
    </row>
    <row r="3130" spans="1:6" x14ac:dyDescent="0.25">
      <c r="A3130" s="4">
        <v>38908</v>
      </c>
      <c r="B3130">
        <v>31.693100000000001</v>
      </c>
      <c r="C3130">
        <v>32.372199999999999</v>
      </c>
      <c r="D3130">
        <v>31.523299999999999</v>
      </c>
      <c r="E3130">
        <v>32.202399999999997</v>
      </c>
      <c r="F3130">
        <v>40595</v>
      </c>
    </row>
    <row r="3131" spans="1:6" x14ac:dyDescent="0.25">
      <c r="A3131" s="4">
        <v>38909</v>
      </c>
      <c r="B3131">
        <v>31.919499999999999</v>
      </c>
      <c r="C3131">
        <v>32.202399999999997</v>
      </c>
      <c r="D3131">
        <v>31.8063</v>
      </c>
      <c r="E3131">
        <v>31.919499999999999</v>
      </c>
      <c r="F3131">
        <v>26394</v>
      </c>
    </row>
    <row r="3132" spans="1:6" x14ac:dyDescent="0.25">
      <c r="A3132" s="4">
        <v>38910</v>
      </c>
      <c r="B3132">
        <v>32.711799999999997</v>
      </c>
      <c r="C3132">
        <v>32.825000000000003</v>
      </c>
      <c r="D3132">
        <v>32.089300000000001</v>
      </c>
      <c r="E3132">
        <v>32.315600000000003</v>
      </c>
      <c r="F3132">
        <v>51799</v>
      </c>
    </row>
    <row r="3133" spans="1:6" x14ac:dyDescent="0.25">
      <c r="A3133" s="4">
        <v>38911</v>
      </c>
      <c r="B3133">
        <v>32.032699999999998</v>
      </c>
      <c r="C3133">
        <v>32.145800000000001</v>
      </c>
      <c r="D3133">
        <v>31.8629</v>
      </c>
      <c r="E3133">
        <v>31.8629</v>
      </c>
      <c r="F3133">
        <v>19608</v>
      </c>
    </row>
    <row r="3134" spans="1:6" x14ac:dyDescent="0.25">
      <c r="A3134" s="4">
        <v>38912</v>
      </c>
      <c r="B3134">
        <v>31.240300000000001</v>
      </c>
      <c r="C3134">
        <v>31.4101</v>
      </c>
      <c r="D3134">
        <v>31.127099999999999</v>
      </c>
      <c r="E3134">
        <v>31.183700000000002</v>
      </c>
      <c r="F3134">
        <v>51765</v>
      </c>
    </row>
    <row r="3135" spans="1:6" x14ac:dyDescent="0.25">
      <c r="A3135" s="4">
        <v>38915</v>
      </c>
      <c r="B3135">
        <v>30.9574</v>
      </c>
      <c r="C3135">
        <v>31.070499999999999</v>
      </c>
      <c r="D3135">
        <v>30.221599999999999</v>
      </c>
      <c r="E3135">
        <v>30.448</v>
      </c>
      <c r="F3135">
        <v>55813</v>
      </c>
    </row>
    <row r="3136" spans="1:6" x14ac:dyDescent="0.25">
      <c r="A3136" s="4">
        <v>38916</v>
      </c>
      <c r="B3136">
        <v>30.561199999999999</v>
      </c>
      <c r="C3136">
        <v>30.731000000000002</v>
      </c>
      <c r="D3136">
        <v>30.5046</v>
      </c>
      <c r="E3136">
        <v>30.617799999999999</v>
      </c>
      <c r="F3136">
        <v>29145</v>
      </c>
    </row>
    <row r="3137" spans="1:6" x14ac:dyDescent="0.25">
      <c r="A3137" s="4">
        <v>38917</v>
      </c>
      <c r="B3137">
        <v>30.674399999999999</v>
      </c>
      <c r="C3137">
        <v>30.9574</v>
      </c>
      <c r="D3137">
        <v>30.448</v>
      </c>
      <c r="E3137">
        <v>30.448</v>
      </c>
      <c r="F3137">
        <v>31916</v>
      </c>
    </row>
    <row r="3138" spans="1:6" x14ac:dyDescent="0.25">
      <c r="A3138" s="4">
        <v>38918</v>
      </c>
      <c r="B3138">
        <v>31.4101</v>
      </c>
      <c r="C3138">
        <v>31.8629</v>
      </c>
      <c r="D3138">
        <v>31.240300000000001</v>
      </c>
      <c r="E3138">
        <v>31.8063</v>
      </c>
      <c r="F3138">
        <v>47771</v>
      </c>
    </row>
    <row r="3139" spans="1:6" x14ac:dyDescent="0.25">
      <c r="A3139" s="4">
        <v>38919</v>
      </c>
      <c r="B3139">
        <v>31.693100000000001</v>
      </c>
      <c r="C3139">
        <v>31.693100000000001</v>
      </c>
      <c r="D3139">
        <v>30.9574</v>
      </c>
      <c r="E3139">
        <v>31.070499999999999</v>
      </c>
      <c r="F3139">
        <v>42576</v>
      </c>
    </row>
    <row r="3140" spans="1:6" x14ac:dyDescent="0.25">
      <c r="A3140" s="4">
        <v>38922</v>
      </c>
      <c r="B3140">
        <v>29.938600000000001</v>
      </c>
      <c r="C3140">
        <v>29.995200000000001</v>
      </c>
      <c r="D3140">
        <v>29.5991</v>
      </c>
      <c r="E3140">
        <v>29.938600000000001</v>
      </c>
      <c r="F3140">
        <v>73938</v>
      </c>
    </row>
    <row r="3141" spans="1:6" x14ac:dyDescent="0.25">
      <c r="A3141" s="4">
        <v>38923</v>
      </c>
      <c r="B3141">
        <v>30.731000000000002</v>
      </c>
      <c r="C3141">
        <v>30.844200000000001</v>
      </c>
      <c r="D3141">
        <v>30.278199999999998</v>
      </c>
      <c r="E3141">
        <v>30.448</v>
      </c>
      <c r="F3141">
        <v>43438</v>
      </c>
    </row>
    <row r="3142" spans="1:6" x14ac:dyDescent="0.25">
      <c r="A3142" s="4">
        <v>38924</v>
      </c>
      <c r="B3142">
        <v>30.844200000000001</v>
      </c>
      <c r="C3142">
        <v>30.844200000000001</v>
      </c>
      <c r="D3142">
        <v>30.391400000000001</v>
      </c>
      <c r="E3142">
        <v>30.5046</v>
      </c>
      <c r="F3142">
        <v>38375</v>
      </c>
    </row>
    <row r="3143" spans="1:6" x14ac:dyDescent="0.25">
      <c r="A3143" s="4">
        <v>38925</v>
      </c>
      <c r="B3143">
        <v>30.5046</v>
      </c>
      <c r="C3143">
        <v>30.731000000000002</v>
      </c>
      <c r="D3143">
        <v>30.391400000000001</v>
      </c>
      <c r="E3143">
        <v>30.674399999999999</v>
      </c>
      <c r="F3143">
        <v>51881</v>
      </c>
    </row>
    <row r="3144" spans="1:6" x14ac:dyDescent="0.25">
      <c r="A3144" s="4">
        <v>38926</v>
      </c>
      <c r="B3144">
        <v>30.617799999999999</v>
      </c>
      <c r="C3144">
        <v>30.844200000000001</v>
      </c>
      <c r="D3144">
        <v>30.5046</v>
      </c>
      <c r="E3144">
        <v>30.787600000000001</v>
      </c>
      <c r="F3144">
        <v>41208</v>
      </c>
    </row>
    <row r="3145" spans="1:6" x14ac:dyDescent="0.25">
      <c r="A3145" s="4">
        <v>38929</v>
      </c>
      <c r="B3145">
        <v>31.296900000000001</v>
      </c>
      <c r="C3145">
        <v>31.4101</v>
      </c>
      <c r="D3145">
        <v>30.674399999999999</v>
      </c>
      <c r="E3145">
        <v>31.0139</v>
      </c>
      <c r="F3145">
        <v>39280</v>
      </c>
    </row>
    <row r="3146" spans="1:6" x14ac:dyDescent="0.25">
      <c r="A3146" s="4">
        <v>38930</v>
      </c>
      <c r="B3146">
        <v>31.070499999999999</v>
      </c>
      <c r="C3146">
        <v>31.296900000000001</v>
      </c>
      <c r="D3146">
        <v>31.0139</v>
      </c>
      <c r="E3146">
        <v>31.183700000000002</v>
      </c>
      <c r="F3146">
        <v>20951</v>
      </c>
    </row>
    <row r="3147" spans="1:6" x14ac:dyDescent="0.25">
      <c r="A3147" s="4">
        <v>38931</v>
      </c>
      <c r="B3147">
        <v>31.070499999999999</v>
      </c>
      <c r="C3147">
        <v>31.240300000000001</v>
      </c>
      <c r="D3147">
        <v>30.844200000000001</v>
      </c>
      <c r="E3147">
        <v>31.070499999999999</v>
      </c>
      <c r="F3147">
        <v>21801</v>
      </c>
    </row>
    <row r="3148" spans="1:6" x14ac:dyDescent="0.25">
      <c r="A3148" s="4">
        <v>38932</v>
      </c>
      <c r="B3148">
        <v>31.240300000000001</v>
      </c>
      <c r="C3148">
        <v>31.3535</v>
      </c>
      <c r="D3148">
        <v>30.9008</v>
      </c>
      <c r="E3148">
        <v>31.070499999999999</v>
      </c>
      <c r="F3148">
        <v>31637</v>
      </c>
    </row>
    <row r="3149" spans="1:6" x14ac:dyDescent="0.25">
      <c r="A3149" s="4">
        <v>38933</v>
      </c>
      <c r="B3149">
        <v>31.183700000000002</v>
      </c>
      <c r="C3149">
        <v>31.3535</v>
      </c>
      <c r="D3149">
        <v>30.9008</v>
      </c>
      <c r="E3149">
        <v>31.070499999999999</v>
      </c>
      <c r="F3149">
        <v>35370</v>
      </c>
    </row>
    <row r="3150" spans="1:6" x14ac:dyDescent="0.25">
      <c r="A3150" s="4">
        <v>38936</v>
      </c>
      <c r="B3150">
        <v>31.296900000000001</v>
      </c>
      <c r="C3150">
        <v>31.296900000000001</v>
      </c>
      <c r="D3150">
        <v>30.787600000000001</v>
      </c>
      <c r="E3150">
        <v>30.9008</v>
      </c>
      <c r="F3150">
        <v>21730</v>
      </c>
    </row>
    <row r="3151" spans="1:6" x14ac:dyDescent="0.25">
      <c r="A3151" s="4">
        <v>38937</v>
      </c>
      <c r="B3151">
        <v>31.0139</v>
      </c>
      <c r="C3151">
        <v>31.4101</v>
      </c>
      <c r="D3151">
        <v>30.9008</v>
      </c>
      <c r="E3151">
        <v>31.4101</v>
      </c>
      <c r="F3151">
        <v>21350</v>
      </c>
    </row>
    <row r="3152" spans="1:6" x14ac:dyDescent="0.25">
      <c r="A3152" s="4">
        <v>38938</v>
      </c>
      <c r="B3152">
        <v>31.183700000000002</v>
      </c>
      <c r="C3152">
        <v>31.636500000000002</v>
      </c>
      <c r="D3152">
        <v>31.127099999999999</v>
      </c>
      <c r="E3152">
        <v>31.579899999999999</v>
      </c>
      <c r="F3152">
        <v>52884</v>
      </c>
    </row>
    <row r="3153" spans="1:6" x14ac:dyDescent="0.25">
      <c r="A3153" s="4">
        <v>38939</v>
      </c>
      <c r="B3153">
        <v>31.579899999999999</v>
      </c>
      <c r="C3153">
        <v>32.259</v>
      </c>
      <c r="D3153">
        <v>31.579899999999999</v>
      </c>
      <c r="E3153">
        <v>32.145800000000001</v>
      </c>
      <c r="F3153">
        <v>60634</v>
      </c>
    </row>
    <row r="3154" spans="1:6" x14ac:dyDescent="0.25">
      <c r="A3154" s="4">
        <v>38940</v>
      </c>
      <c r="B3154">
        <v>32.542000000000002</v>
      </c>
      <c r="C3154">
        <v>32.598599999999998</v>
      </c>
      <c r="D3154">
        <v>32.259</v>
      </c>
      <c r="E3154">
        <v>32.485399999999998</v>
      </c>
      <c r="F3154">
        <v>46283</v>
      </c>
    </row>
    <row r="3155" spans="1:6" x14ac:dyDescent="0.25">
      <c r="A3155" s="4">
        <v>38943</v>
      </c>
      <c r="B3155">
        <v>32.485399999999998</v>
      </c>
      <c r="C3155">
        <v>32.7684</v>
      </c>
      <c r="D3155">
        <v>32.428800000000003</v>
      </c>
      <c r="E3155">
        <v>32.598599999999998</v>
      </c>
      <c r="F3155">
        <v>24860</v>
      </c>
    </row>
    <row r="3156" spans="1:6" x14ac:dyDescent="0.25">
      <c r="A3156" s="4">
        <v>38944</v>
      </c>
      <c r="B3156">
        <v>32.711799999999997</v>
      </c>
      <c r="C3156">
        <v>32.7684</v>
      </c>
      <c r="D3156">
        <v>32.428800000000003</v>
      </c>
      <c r="E3156">
        <v>32.598599999999998</v>
      </c>
      <c r="F3156">
        <v>20333</v>
      </c>
    </row>
    <row r="3157" spans="1:6" x14ac:dyDescent="0.25">
      <c r="A3157" s="4">
        <v>38945</v>
      </c>
      <c r="B3157">
        <v>33.277700000000003</v>
      </c>
      <c r="C3157">
        <v>33.504100000000001</v>
      </c>
      <c r="D3157">
        <v>33.107999999999997</v>
      </c>
      <c r="E3157">
        <v>33.390900000000002</v>
      </c>
      <c r="F3157">
        <v>57853</v>
      </c>
    </row>
    <row r="3158" spans="1:6" x14ac:dyDescent="0.25">
      <c r="A3158" s="4">
        <v>38946</v>
      </c>
      <c r="B3158">
        <v>33.956899999999997</v>
      </c>
      <c r="C3158">
        <v>34.013500000000001</v>
      </c>
      <c r="D3158">
        <v>33.560699999999997</v>
      </c>
      <c r="E3158">
        <v>33.787100000000002</v>
      </c>
      <c r="F3158">
        <v>61508</v>
      </c>
    </row>
    <row r="3159" spans="1:6" x14ac:dyDescent="0.25">
      <c r="A3159" s="4">
        <v>38947</v>
      </c>
      <c r="B3159">
        <v>34.070099999999996</v>
      </c>
      <c r="C3159">
        <v>34.1267</v>
      </c>
      <c r="D3159">
        <v>33.6173</v>
      </c>
      <c r="E3159">
        <v>33.730499999999999</v>
      </c>
      <c r="F3159">
        <v>57095</v>
      </c>
    </row>
    <row r="3160" spans="1:6" x14ac:dyDescent="0.25">
      <c r="A3160" s="4">
        <v>38950</v>
      </c>
      <c r="B3160">
        <v>33.560699999999997</v>
      </c>
      <c r="C3160">
        <v>33.673900000000003</v>
      </c>
      <c r="D3160">
        <v>32.598599999999998</v>
      </c>
      <c r="E3160">
        <v>32.7684</v>
      </c>
      <c r="F3160">
        <v>41363</v>
      </c>
    </row>
    <row r="3161" spans="1:6" x14ac:dyDescent="0.25">
      <c r="A3161" s="4">
        <v>38951</v>
      </c>
      <c r="B3161">
        <v>32.825000000000003</v>
      </c>
      <c r="C3161">
        <v>33.277700000000003</v>
      </c>
      <c r="D3161">
        <v>32.825000000000003</v>
      </c>
      <c r="E3161">
        <v>33.277700000000003</v>
      </c>
      <c r="F3161">
        <v>20933</v>
      </c>
    </row>
    <row r="3162" spans="1:6" x14ac:dyDescent="0.25">
      <c r="A3162" s="4">
        <v>38952</v>
      </c>
      <c r="B3162">
        <v>33.277700000000003</v>
      </c>
      <c r="C3162">
        <v>33.334299999999999</v>
      </c>
      <c r="D3162">
        <v>32.372199999999999</v>
      </c>
      <c r="E3162">
        <v>32.881599999999999</v>
      </c>
      <c r="F3162">
        <v>32008</v>
      </c>
    </row>
    <row r="3163" spans="1:6" x14ac:dyDescent="0.25">
      <c r="A3163" s="4">
        <v>38953</v>
      </c>
      <c r="B3163">
        <v>32.372199999999999</v>
      </c>
      <c r="C3163">
        <v>32.598599999999998</v>
      </c>
      <c r="D3163">
        <v>32.089300000000001</v>
      </c>
      <c r="E3163">
        <v>32.202399999999997</v>
      </c>
      <c r="F3163">
        <v>36380</v>
      </c>
    </row>
    <row r="3164" spans="1:6" x14ac:dyDescent="0.25">
      <c r="A3164" s="4">
        <v>38954</v>
      </c>
      <c r="B3164">
        <v>32.259</v>
      </c>
      <c r="C3164">
        <v>32.598599999999998</v>
      </c>
      <c r="D3164">
        <v>32.089300000000001</v>
      </c>
      <c r="E3164">
        <v>32.259</v>
      </c>
      <c r="F3164">
        <v>24444</v>
      </c>
    </row>
    <row r="3165" spans="1:6" x14ac:dyDescent="0.25">
      <c r="A3165" s="4">
        <v>38957</v>
      </c>
      <c r="B3165">
        <v>32.259</v>
      </c>
      <c r="C3165">
        <v>32.259</v>
      </c>
      <c r="D3165">
        <v>31.636500000000002</v>
      </c>
      <c r="E3165">
        <v>31.8063</v>
      </c>
      <c r="F3165">
        <v>26576</v>
      </c>
    </row>
    <row r="3166" spans="1:6" x14ac:dyDescent="0.25">
      <c r="A3166" s="4">
        <v>38958</v>
      </c>
      <c r="B3166">
        <v>32.089300000000001</v>
      </c>
      <c r="C3166">
        <v>32.145800000000001</v>
      </c>
      <c r="D3166">
        <v>31.8629</v>
      </c>
      <c r="E3166">
        <v>31.976099999999999</v>
      </c>
      <c r="F3166">
        <v>25772</v>
      </c>
    </row>
    <row r="3167" spans="1:6" x14ac:dyDescent="0.25">
      <c r="A3167" s="4">
        <v>38959</v>
      </c>
      <c r="B3167">
        <v>32.485399999999998</v>
      </c>
      <c r="C3167">
        <v>32.711799999999997</v>
      </c>
      <c r="D3167">
        <v>32.259</v>
      </c>
      <c r="E3167">
        <v>32.428800000000003</v>
      </c>
      <c r="F3167">
        <v>26560</v>
      </c>
    </row>
    <row r="3168" spans="1:6" x14ac:dyDescent="0.25">
      <c r="A3168" s="4">
        <v>38960</v>
      </c>
      <c r="B3168">
        <v>32.938200000000002</v>
      </c>
      <c r="C3168">
        <v>33.2211</v>
      </c>
      <c r="D3168">
        <v>32.825000000000003</v>
      </c>
      <c r="E3168">
        <v>32.881599999999999</v>
      </c>
      <c r="F3168">
        <v>39871</v>
      </c>
    </row>
    <row r="3169" spans="1:6" x14ac:dyDescent="0.25">
      <c r="A3169" s="4">
        <v>38961</v>
      </c>
      <c r="B3169">
        <v>32.994799999999998</v>
      </c>
      <c r="C3169">
        <v>33.334299999999999</v>
      </c>
      <c r="D3169">
        <v>32.994799999999998</v>
      </c>
      <c r="E3169">
        <v>33.277700000000003</v>
      </c>
      <c r="F3169">
        <v>28851</v>
      </c>
    </row>
    <row r="3170" spans="1:6" x14ac:dyDescent="0.25">
      <c r="A3170" s="4">
        <v>38964</v>
      </c>
      <c r="B3170">
        <v>33.447499999999998</v>
      </c>
      <c r="C3170">
        <v>33.6173</v>
      </c>
      <c r="D3170">
        <v>33.334299999999999</v>
      </c>
      <c r="E3170">
        <v>33.560699999999997</v>
      </c>
      <c r="F3170">
        <v>26587</v>
      </c>
    </row>
    <row r="3171" spans="1:6" x14ac:dyDescent="0.25">
      <c r="A3171" s="4">
        <v>38965</v>
      </c>
      <c r="B3171">
        <v>33.6173</v>
      </c>
      <c r="C3171">
        <v>33.6173</v>
      </c>
      <c r="D3171">
        <v>33.107999999999997</v>
      </c>
      <c r="E3171">
        <v>33.1646</v>
      </c>
      <c r="F3171">
        <v>14895</v>
      </c>
    </row>
    <row r="3172" spans="1:6" x14ac:dyDescent="0.25">
      <c r="A3172" s="4">
        <v>38966</v>
      </c>
      <c r="B3172">
        <v>33.107999999999997</v>
      </c>
      <c r="C3172">
        <v>33.2211</v>
      </c>
      <c r="D3172">
        <v>32.372199999999999</v>
      </c>
      <c r="E3172">
        <v>32.711799999999997</v>
      </c>
      <c r="F3172">
        <v>24843</v>
      </c>
    </row>
    <row r="3173" spans="1:6" x14ac:dyDescent="0.25">
      <c r="A3173" s="4">
        <v>38967</v>
      </c>
      <c r="B3173">
        <v>32.145800000000001</v>
      </c>
      <c r="C3173">
        <v>32.428800000000003</v>
      </c>
      <c r="D3173">
        <v>32.145800000000001</v>
      </c>
      <c r="E3173">
        <v>32.315600000000003</v>
      </c>
      <c r="F3173">
        <v>23156</v>
      </c>
    </row>
    <row r="3174" spans="1:6" x14ac:dyDescent="0.25">
      <c r="A3174" s="4">
        <v>38968</v>
      </c>
      <c r="B3174">
        <v>32.032699999999998</v>
      </c>
      <c r="C3174">
        <v>32.428800000000003</v>
      </c>
      <c r="D3174">
        <v>32.032699999999998</v>
      </c>
      <c r="E3174">
        <v>32.089300000000001</v>
      </c>
      <c r="F3174">
        <v>30453</v>
      </c>
    </row>
    <row r="3175" spans="1:6" x14ac:dyDescent="0.25">
      <c r="A3175" s="4">
        <v>38971</v>
      </c>
      <c r="B3175">
        <v>32.202399999999997</v>
      </c>
      <c r="C3175">
        <v>32.825000000000003</v>
      </c>
      <c r="D3175">
        <v>31.8063</v>
      </c>
      <c r="E3175">
        <v>31.8629</v>
      </c>
      <c r="F3175">
        <v>36124</v>
      </c>
    </row>
    <row r="3176" spans="1:6" x14ac:dyDescent="0.25">
      <c r="A3176" s="4">
        <v>38972</v>
      </c>
      <c r="B3176">
        <v>31.976099999999999</v>
      </c>
      <c r="C3176">
        <v>32.315600000000003</v>
      </c>
      <c r="D3176">
        <v>31.8063</v>
      </c>
      <c r="E3176">
        <v>32.089300000000001</v>
      </c>
      <c r="F3176">
        <v>28382</v>
      </c>
    </row>
    <row r="3177" spans="1:6" x14ac:dyDescent="0.25">
      <c r="A3177" s="4">
        <v>38973</v>
      </c>
      <c r="B3177">
        <v>32.711799999999997</v>
      </c>
      <c r="C3177">
        <v>33.051400000000001</v>
      </c>
      <c r="D3177">
        <v>32.598599999999998</v>
      </c>
      <c r="E3177">
        <v>33.051400000000001</v>
      </c>
      <c r="F3177">
        <v>44704</v>
      </c>
    </row>
    <row r="3178" spans="1:6" x14ac:dyDescent="0.25">
      <c r="A3178" s="4">
        <v>38974</v>
      </c>
      <c r="B3178">
        <v>33.390900000000002</v>
      </c>
      <c r="C3178">
        <v>33.390900000000002</v>
      </c>
      <c r="D3178">
        <v>32.598599999999998</v>
      </c>
      <c r="E3178">
        <v>33.051400000000001</v>
      </c>
      <c r="F3178">
        <v>40242</v>
      </c>
    </row>
    <row r="3179" spans="1:6" x14ac:dyDescent="0.25">
      <c r="A3179" s="4">
        <v>38975</v>
      </c>
      <c r="B3179">
        <v>33.107999999999997</v>
      </c>
      <c r="C3179">
        <v>33.390900000000002</v>
      </c>
      <c r="D3179">
        <v>32.938200000000002</v>
      </c>
      <c r="E3179">
        <v>33.390900000000002</v>
      </c>
      <c r="F3179">
        <v>41982</v>
      </c>
    </row>
    <row r="3180" spans="1:6" x14ac:dyDescent="0.25">
      <c r="A3180" s="4">
        <v>38978</v>
      </c>
      <c r="B3180">
        <v>33.673900000000003</v>
      </c>
      <c r="C3180">
        <v>34.013500000000001</v>
      </c>
      <c r="D3180">
        <v>33.6173</v>
      </c>
      <c r="E3180">
        <v>33.900300000000001</v>
      </c>
      <c r="F3180">
        <v>61233</v>
      </c>
    </row>
    <row r="3181" spans="1:6" x14ac:dyDescent="0.25">
      <c r="A3181" s="4">
        <v>38979</v>
      </c>
      <c r="B3181">
        <v>34.239899999999999</v>
      </c>
      <c r="C3181">
        <v>34.466200000000001</v>
      </c>
      <c r="D3181">
        <v>34.1267</v>
      </c>
      <c r="E3181">
        <v>34.239899999999999</v>
      </c>
      <c r="F3181">
        <v>51128</v>
      </c>
    </row>
    <row r="3182" spans="1:6" x14ac:dyDescent="0.25">
      <c r="A3182" s="4">
        <v>38980</v>
      </c>
      <c r="B3182">
        <v>33.956899999999997</v>
      </c>
      <c r="C3182">
        <v>34.013500000000001</v>
      </c>
      <c r="D3182">
        <v>33.673900000000003</v>
      </c>
      <c r="E3182">
        <v>33.900300000000001</v>
      </c>
      <c r="F3182">
        <v>33680</v>
      </c>
    </row>
    <row r="3183" spans="1:6" x14ac:dyDescent="0.25">
      <c r="A3183" s="4">
        <v>38981</v>
      </c>
      <c r="B3183">
        <v>34.239899999999999</v>
      </c>
      <c r="C3183">
        <v>34.353000000000002</v>
      </c>
      <c r="D3183">
        <v>33.956899999999997</v>
      </c>
      <c r="E3183">
        <v>34.239899999999999</v>
      </c>
      <c r="F3183">
        <v>33815</v>
      </c>
    </row>
    <row r="3184" spans="1:6" x14ac:dyDescent="0.25">
      <c r="A3184" s="4">
        <v>38982</v>
      </c>
      <c r="B3184">
        <v>33.900300000000001</v>
      </c>
      <c r="C3184">
        <v>34.070099999999996</v>
      </c>
      <c r="D3184">
        <v>33.673900000000003</v>
      </c>
      <c r="E3184">
        <v>33.787100000000002</v>
      </c>
      <c r="F3184">
        <v>28447</v>
      </c>
    </row>
    <row r="3185" spans="1:6" x14ac:dyDescent="0.25">
      <c r="A3185" s="4">
        <v>38985</v>
      </c>
      <c r="B3185">
        <v>33.787100000000002</v>
      </c>
      <c r="C3185">
        <v>33.956899999999997</v>
      </c>
      <c r="D3185">
        <v>33.504100000000001</v>
      </c>
      <c r="E3185">
        <v>33.787100000000002</v>
      </c>
      <c r="F3185">
        <v>15970</v>
      </c>
    </row>
    <row r="3186" spans="1:6" x14ac:dyDescent="0.25">
      <c r="A3186" s="4">
        <v>38986</v>
      </c>
      <c r="B3186">
        <v>34.070099999999996</v>
      </c>
      <c r="C3186">
        <v>34.353000000000002</v>
      </c>
      <c r="D3186">
        <v>34.070099999999996</v>
      </c>
      <c r="E3186">
        <v>34.239899999999999</v>
      </c>
      <c r="F3186">
        <v>25915</v>
      </c>
    </row>
    <row r="3187" spans="1:6" x14ac:dyDescent="0.25">
      <c r="A3187" s="4">
        <v>38987</v>
      </c>
      <c r="B3187">
        <v>34.466200000000001</v>
      </c>
      <c r="C3187">
        <v>34.522799999999997</v>
      </c>
      <c r="D3187">
        <v>34.183300000000003</v>
      </c>
      <c r="E3187">
        <v>34.466200000000001</v>
      </c>
      <c r="F3187">
        <v>34994</v>
      </c>
    </row>
    <row r="3188" spans="1:6" x14ac:dyDescent="0.25">
      <c r="A3188" s="4">
        <v>38988</v>
      </c>
      <c r="B3188">
        <v>34.466200000000001</v>
      </c>
      <c r="C3188">
        <v>34.5794</v>
      </c>
      <c r="D3188">
        <v>34.353000000000002</v>
      </c>
      <c r="E3188">
        <v>34.466200000000001</v>
      </c>
      <c r="F3188">
        <v>73393</v>
      </c>
    </row>
    <row r="3189" spans="1:6" x14ac:dyDescent="0.25">
      <c r="A3189" s="4">
        <v>38989</v>
      </c>
      <c r="B3189">
        <v>34.296399999999998</v>
      </c>
      <c r="C3189">
        <v>34.353000000000002</v>
      </c>
      <c r="D3189">
        <v>33.504100000000001</v>
      </c>
      <c r="E3189">
        <v>33.787100000000002</v>
      </c>
      <c r="F3189">
        <v>45844</v>
      </c>
    </row>
    <row r="3190" spans="1:6" x14ac:dyDescent="0.25">
      <c r="A3190" s="4">
        <v>38992</v>
      </c>
      <c r="B3190">
        <v>33.843699999999998</v>
      </c>
      <c r="C3190">
        <v>34.239899999999999</v>
      </c>
      <c r="D3190">
        <v>33.673900000000003</v>
      </c>
      <c r="E3190">
        <v>34.070099999999996</v>
      </c>
      <c r="F3190">
        <v>44256</v>
      </c>
    </row>
    <row r="3191" spans="1:6" x14ac:dyDescent="0.25">
      <c r="A3191" s="4">
        <v>38993</v>
      </c>
      <c r="B3191">
        <v>33.956899999999997</v>
      </c>
      <c r="C3191">
        <v>34.1267</v>
      </c>
      <c r="D3191">
        <v>33.730499999999999</v>
      </c>
      <c r="E3191">
        <v>33.956899999999997</v>
      </c>
      <c r="F3191">
        <v>31123</v>
      </c>
    </row>
    <row r="3192" spans="1:6" x14ac:dyDescent="0.25">
      <c r="A3192" s="4">
        <v>38994</v>
      </c>
      <c r="B3192">
        <v>33.956899999999997</v>
      </c>
      <c r="C3192">
        <v>33.956899999999997</v>
      </c>
      <c r="D3192">
        <v>33.107999999999997</v>
      </c>
      <c r="E3192">
        <v>33.107999999999997</v>
      </c>
      <c r="F3192">
        <v>46198</v>
      </c>
    </row>
    <row r="3193" spans="1:6" x14ac:dyDescent="0.25">
      <c r="A3193" s="4">
        <v>38995</v>
      </c>
      <c r="B3193">
        <v>33.730499999999999</v>
      </c>
      <c r="C3193">
        <v>34.409599999999998</v>
      </c>
      <c r="D3193">
        <v>33.730499999999999</v>
      </c>
      <c r="E3193">
        <v>34.353000000000002</v>
      </c>
      <c r="F3193">
        <v>44590</v>
      </c>
    </row>
    <row r="3194" spans="1:6" x14ac:dyDescent="0.25">
      <c r="A3194" s="4">
        <v>39001</v>
      </c>
      <c r="B3194">
        <v>34.353000000000002</v>
      </c>
      <c r="C3194">
        <v>34.466200000000001</v>
      </c>
      <c r="D3194">
        <v>34.183300000000003</v>
      </c>
      <c r="E3194">
        <v>34.296399999999998</v>
      </c>
      <c r="F3194">
        <v>37660</v>
      </c>
    </row>
    <row r="3195" spans="1:6" x14ac:dyDescent="0.25">
      <c r="A3195" s="4">
        <v>39002</v>
      </c>
      <c r="B3195">
        <v>34.522799999999997</v>
      </c>
      <c r="C3195">
        <v>34.5794</v>
      </c>
      <c r="D3195">
        <v>34.296399999999998</v>
      </c>
      <c r="E3195">
        <v>34.522799999999997</v>
      </c>
      <c r="F3195">
        <v>31164</v>
      </c>
    </row>
    <row r="3196" spans="1:6" x14ac:dyDescent="0.25">
      <c r="A3196" s="4">
        <v>39003</v>
      </c>
      <c r="B3196">
        <v>34.9756</v>
      </c>
      <c r="C3196">
        <v>35.881100000000004</v>
      </c>
      <c r="D3196">
        <v>34.9756</v>
      </c>
      <c r="E3196">
        <v>35.767899999999997</v>
      </c>
      <c r="F3196">
        <v>77469</v>
      </c>
    </row>
    <row r="3197" spans="1:6" x14ac:dyDescent="0.25">
      <c r="A3197" s="4">
        <v>39004</v>
      </c>
      <c r="B3197">
        <v>35.9377</v>
      </c>
      <c r="C3197">
        <v>35.9377</v>
      </c>
      <c r="D3197">
        <v>35.371699999999997</v>
      </c>
      <c r="E3197">
        <v>35.654699999999998</v>
      </c>
      <c r="F3197">
        <v>14366</v>
      </c>
    </row>
    <row r="3198" spans="1:6" x14ac:dyDescent="0.25">
      <c r="A3198" s="4">
        <v>39006</v>
      </c>
      <c r="B3198">
        <v>36.220700000000001</v>
      </c>
      <c r="C3198">
        <v>36.899799999999999</v>
      </c>
      <c r="D3198">
        <v>35.8245</v>
      </c>
      <c r="E3198">
        <v>36.7866</v>
      </c>
      <c r="F3198">
        <v>79595</v>
      </c>
    </row>
    <row r="3199" spans="1:6" x14ac:dyDescent="0.25">
      <c r="A3199" s="4">
        <v>39007</v>
      </c>
      <c r="B3199">
        <v>36.220700000000001</v>
      </c>
      <c r="C3199">
        <v>36.3339</v>
      </c>
      <c r="D3199">
        <v>35.541499999999999</v>
      </c>
      <c r="E3199">
        <v>35.598100000000002</v>
      </c>
      <c r="F3199">
        <v>37928</v>
      </c>
    </row>
    <row r="3200" spans="1:6" x14ac:dyDescent="0.25">
      <c r="A3200" s="4">
        <v>39008</v>
      </c>
      <c r="B3200">
        <v>35.145400000000002</v>
      </c>
      <c r="C3200">
        <v>35.315199999999997</v>
      </c>
      <c r="D3200">
        <v>34.805799999999998</v>
      </c>
      <c r="E3200">
        <v>35.088799999999999</v>
      </c>
      <c r="F3200">
        <v>36474</v>
      </c>
    </row>
    <row r="3201" spans="1:6" x14ac:dyDescent="0.25">
      <c r="A3201" s="4">
        <v>39009</v>
      </c>
      <c r="B3201">
        <v>34.692599999999999</v>
      </c>
      <c r="C3201">
        <v>34.9756</v>
      </c>
      <c r="D3201">
        <v>34.409599999999998</v>
      </c>
      <c r="E3201">
        <v>34.522799999999997</v>
      </c>
      <c r="F3201">
        <v>38049</v>
      </c>
    </row>
    <row r="3202" spans="1:6" x14ac:dyDescent="0.25">
      <c r="A3202" s="4">
        <v>39010</v>
      </c>
      <c r="B3202">
        <v>34.636000000000003</v>
      </c>
      <c r="C3202">
        <v>35.032200000000003</v>
      </c>
      <c r="D3202">
        <v>34.636000000000003</v>
      </c>
      <c r="E3202">
        <v>34.9756</v>
      </c>
      <c r="F3202">
        <v>19635</v>
      </c>
    </row>
    <row r="3203" spans="1:6" x14ac:dyDescent="0.25">
      <c r="A3203" s="4">
        <v>39013</v>
      </c>
      <c r="B3203">
        <v>34.522799999999997</v>
      </c>
      <c r="C3203">
        <v>34.805799999999998</v>
      </c>
      <c r="D3203">
        <v>34.466200000000001</v>
      </c>
      <c r="E3203">
        <v>34.636000000000003</v>
      </c>
      <c r="F3203">
        <v>12833</v>
      </c>
    </row>
    <row r="3204" spans="1:6" x14ac:dyDescent="0.25">
      <c r="A3204" s="4">
        <v>39014</v>
      </c>
      <c r="B3204">
        <v>34.918999999999997</v>
      </c>
      <c r="C3204">
        <v>35.767899999999997</v>
      </c>
      <c r="D3204">
        <v>34.918999999999997</v>
      </c>
      <c r="E3204">
        <v>35.654699999999998</v>
      </c>
      <c r="F3204">
        <v>52308</v>
      </c>
    </row>
    <row r="3205" spans="1:6" x14ac:dyDescent="0.25">
      <c r="A3205" s="4">
        <v>39015</v>
      </c>
      <c r="B3205">
        <v>35.598100000000002</v>
      </c>
      <c r="C3205">
        <v>35.598100000000002</v>
      </c>
      <c r="D3205">
        <v>35.088799999999999</v>
      </c>
      <c r="E3205">
        <v>35.258600000000001</v>
      </c>
      <c r="F3205">
        <v>38659</v>
      </c>
    </row>
    <row r="3206" spans="1:6" x14ac:dyDescent="0.25">
      <c r="A3206" s="4">
        <v>39016</v>
      </c>
      <c r="B3206">
        <v>35.371699999999997</v>
      </c>
      <c r="C3206">
        <v>35.711300000000001</v>
      </c>
      <c r="D3206">
        <v>34.805799999999998</v>
      </c>
      <c r="E3206">
        <v>34.805799999999998</v>
      </c>
      <c r="F3206">
        <v>32908</v>
      </c>
    </row>
    <row r="3207" spans="1:6" x14ac:dyDescent="0.25">
      <c r="A3207" s="4">
        <v>39017</v>
      </c>
      <c r="B3207">
        <v>35.315199999999997</v>
      </c>
      <c r="C3207">
        <v>35.598100000000002</v>
      </c>
      <c r="D3207">
        <v>35.201999999999998</v>
      </c>
      <c r="E3207">
        <v>35.371699999999997</v>
      </c>
      <c r="F3207">
        <v>37746</v>
      </c>
    </row>
    <row r="3208" spans="1:6" x14ac:dyDescent="0.25">
      <c r="A3208" s="4">
        <v>39020</v>
      </c>
      <c r="B3208">
        <v>34.805799999999998</v>
      </c>
      <c r="C3208">
        <v>34.918999999999997</v>
      </c>
      <c r="D3208">
        <v>34.353000000000002</v>
      </c>
      <c r="E3208">
        <v>34.353000000000002</v>
      </c>
      <c r="F3208">
        <v>59490</v>
      </c>
    </row>
    <row r="3209" spans="1:6" x14ac:dyDescent="0.25">
      <c r="A3209" s="4">
        <v>39021</v>
      </c>
      <c r="B3209">
        <v>34.522799999999997</v>
      </c>
      <c r="C3209">
        <v>34.749200000000002</v>
      </c>
      <c r="D3209">
        <v>34.466200000000001</v>
      </c>
      <c r="E3209">
        <v>34.522799999999997</v>
      </c>
      <c r="F3209">
        <v>27335</v>
      </c>
    </row>
    <row r="3210" spans="1:6" x14ac:dyDescent="0.25">
      <c r="A3210" s="4">
        <v>39022</v>
      </c>
      <c r="B3210">
        <v>34.749200000000002</v>
      </c>
      <c r="C3210">
        <v>34.805799999999998</v>
      </c>
      <c r="D3210">
        <v>34.013500000000001</v>
      </c>
      <c r="E3210">
        <v>34.070099999999996</v>
      </c>
      <c r="F3210">
        <v>53625</v>
      </c>
    </row>
    <row r="3211" spans="1:6" x14ac:dyDescent="0.25">
      <c r="A3211" s="4">
        <v>39023</v>
      </c>
      <c r="B3211">
        <v>33.956899999999997</v>
      </c>
      <c r="C3211">
        <v>34.636000000000003</v>
      </c>
      <c r="D3211">
        <v>33.900300000000001</v>
      </c>
      <c r="E3211">
        <v>34.409599999999998</v>
      </c>
      <c r="F3211">
        <v>37838</v>
      </c>
    </row>
    <row r="3212" spans="1:6" x14ac:dyDescent="0.25">
      <c r="A3212" s="4">
        <v>39024</v>
      </c>
      <c r="B3212">
        <v>34.070099999999996</v>
      </c>
      <c r="C3212">
        <v>34.805799999999998</v>
      </c>
      <c r="D3212">
        <v>34.070099999999996</v>
      </c>
      <c r="E3212">
        <v>34.5794</v>
      </c>
      <c r="F3212">
        <v>58670</v>
      </c>
    </row>
    <row r="3213" spans="1:6" x14ac:dyDescent="0.25">
      <c r="A3213" s="4">
        <v>39027</v>
      </c>
      <c r="B3213">
        <v>34.1267</v>
      </c>
      <c r="C3213">
        <v>34.409599999999998</v>
      </c>
      <c r="D3213">
        <v>34.1267</v>
      </c>
      <c r="E3213">
        <v>34.239899999999999</v>
      </c>
      <c r="F3213">
        <v>35903</v>
      </c>
    </row>
    <row r="3214" spans="1:6" x14ac:dyDescent="0.25">
      <c r="A3214" s="4">
        <v>39028</v>
      </c>
      <c r="B3214">
        <v>34.522799999999997</v>
      </c>
      <c r="C3214">
        <v>34.692599999999999</v>
      </c>
      <c r="D3214">
        <v>34.239899999999999</v>
      </c>
      <c r="E3214">
        <v>34.296399999999998</v>
      </c>
      <c r="F3214">
        <v>39861</v>
      </c>
    </row>
    <row r="3215" spans="1:6" x14ac:dyDescent="0.25">
      <c r="A3215" s="4">
        <v>39029</v>
      </c>
      <c r="B3215">
        <v>34.409599999999998</v>
      </c>
      <c r="C3215">
        <v>34.522799999999997</v>
      </c>
      <c r="D3215">
        <v>34.183300000000003</v>
      </c>
      <c r="E3215">
        <v>34.183300000000003</v>
      </c>
      <c r="F3215">
        <v>28548</v>
      </c>
    </row>
    <row r="3216" spans="1:6" x14ac:dyDescent="0.25">
      <c r="A3216" s="4">
        <v>39030</v>
      </c>
      <c r="B3216">
        <v>34.522799999999997</v>
      </c>
      <c r="C3216">
        <v>34.692599999999999</v>
      </c>
      <c r="D3216">
        <v>34.239899999999999</v>
      </c>
      <c r="E3216">
        <v>34.239899999999999</v>
      </c>
      <c r="F3216">
        <v>42123</v>
      </c>
    </row>
    <row r="3217" spans="1:6" x14ac:dyDescent="0.25">
      <c r="A3217" s="4">
        <v>39031</v>
      </c>
      <c r="B3217">
        <v>34.239899999999999</v>
      </c>
      <c r="C3217">
        <v>34.5794</v>
      </c>
      <c r="D3217">
        <v>34.1267</v>
      </c>
      <c r="E3217">
        <v>34.409599999999998</v>
      </c>
      <c r="F3217">
        <v>31828</v>
      </c>
    </row>
    <row r="3218" spans="1:6" x14ac:dyDescent="0.25">
      <c r="A3218" s="4">
        <v>39034</v>
      </c>
      <c r="B3218">
        <v>34.239899999999999</v>
      </c>
      <c r="C3218">
        <v>34.296399999999998</v>
      </c>
      <c r="D3218">
        <v>33.900300000000001</v>
      </c>
      <c r="E3218">
        <v>33.956899999999997</v>
      </c>
      <c r="F3218">
        <v>26736</v>
      </c>
    </row>
    <row r="3219" spans="1:6" x14ac:dyDescent="0.25">
      <c r="A3219" s="4">
        <v>39035</v>
      </c>
      <c r="B3219">
        <v>34.070099999999996</v>
      </c>
      <c r="C3219">
        <v>34.409599999999998</v>
      </c>
      <c r="D3219">
        <v>34.070099999999996</v>
      </c>
      <c r="E3219">
        <v>34.409599999999998</v>
      </c>
      <c r="F3219">
        <v>24040</v>
      </c>
    </row>
    <row r="3220" spans="1:6" x14ac:dyDescent="0.25">
      <c r="A3220" s="4">
        <v>39036</v>
      </c>
      <c r="B3220">
        <v>34.862400000000001</v>
      </c>
      <c r="C3220">
        <v>35.201999999999998</v>
      </c>
      <c r="D3220">
        <v>34.692599999999999</v>
      </c>
      <c r="E3220">
        <v>34.9756</v>
      </c>
      <c r="F3220">
        <v>51705</v>
      </c>
    </row>
    <row r="3221" spans="1:6" x14ac:dyDescent="0.25">
      <c r="A3221" s="4">
        <v>39037</v>
      </c>
      <c r="B3221">
        <v>35.371699999999997</v>
      </c>
      <c r="C3221">
        <v>35.484900000000003</v>
      </c>
      <c r="D3221">
        <v>35.088799999999999</v>
      </c>
      <c r="E3221">
        <v>35.201999999999998</v>
      </c>
      <c r="F3221">
        <v>36219</v>
      </c>
    </row>
    <row r="3222" spans="1:6" x14ac:dyDescent="0.25">
      <c r="A3222" s="4">
        <v>39038</v>
      </c>
      <c r="B3222">
        <v>35.371699999999997</v>
      </c>
      <c r="C3222">
        <v>35.541499999999999</v>
      </c>
      <c r="D3222">
        <v>35.088799999999999</v>
      </c>
      <c r="E3222">
        <v>35.315199999999997</v>
      </c>
      <c r="F3222">
        <v>29897</v>
      </c>
    </row>
    <row r="3223" spans="1:6" x14ac:dyDescent="0.25">
      <c r="A3223" s="4">
        <v>39041</v>
      </c>
      <c r="B3223">
        <v>35.258600000000001</v>
      </c>
      <c r="C3223">
        <v>35.258600000000001</v>
      </c>
      <c r="D3223">
        <v>34.862400000000001</v>
      </c>
      <c r="E3223">
        <v>35.201999999999998</v>
      </c>
      <c r="F3223">
        <v>34279</v>
      </c>
    </row>
    <row r="3224" spans="1:6" x14ac:dyDescent="0.25">
      <c r="A3224" s="4">
        <v>39042</v>
      </c>
      <c r="B3224">
        <v>33.956899999999997</v>
      </c>
      <c r="C3224">
        <v>35.654699999999998</v>
      </c>
      <c r="D3224">
        <v>33.956899999999997</v>
      </c>
      <c r="E3224">
        <v>35.654699999999998</v>
      </c>
      <c r="F3224">
        <v>43956</v>
      </c>
    </row>
    <row r="3225" spans="1:6" x14ac:dyDescent="0.25">
      <c r="A3225" s="4">
        <v>39043</v>
      </c>
      <c r="B3225">
        <v>35.654699999999998</v>
      </c>
      <c r="C3225">
        <v>35.711300000000001</v>
      </c>
      <c r="D3225">
        <v>35.4283</v>
      </c>
      <c r="E3225">
        <v>35.654699999999998</v>
      </c>
      <c r="F3225">
        <v>36526</v>
      </c>
    </row>
    <row r="3226" spans="1:6" x14ac:dyDescent="0.25">
      <c r="A3226" s="4">
        <v>39044</v>
      </c>
      <c r="B3226">
        <v>35.8245</v>
      </c>
      <c r="C3226">
        <v>36.050899999999999</v>
      </c>
      <c r="D3226">
        <v>35.711300000000001</v>
      </c>
      <c r="E3226">
        <v>35.9377</v>
      </c>
      <c r="F3226">
        <v>44010</v>
      </c>
    </row>
    <row r="3227" spans="1:6" x14ac:dyDescent="0.25">
      <c r="A3227" s="4">
        <v>39045</v>
      </c>
      <c r="B3227">
        <v>35.8245</v>
      </c>
      <c r="C3227">
        <v>36.050899999999999</v>
      </c>
      <c r="D3227">
        <v>35.654699999999998</v>
      </c>
      <c r="E3227">
        <v>35.881100000000004</v>
      </c>
      <c r="F3227">
        <v>24541</v>
      </c>
    </row>
    <row r="3228" spans="1:6" x14ac:dyDescent="0.25">
      <c r="A3228" s="4">
        <v>39048</v>
      </c>
      <c r="B3228">
        <v>36.277299999999997</v>
      </c>
      <c r="C3228">
        <v>36.616799999999998</v>
      </c>
      <c r="D3228">
        <v>36.164099999999998</v>
      </c>
      <c r="E3228">
        <v>36.560200000000002</v>
      </c>
      <c r="F3228">
        <v>43708</v>
      </c>
    </row>
    <row r="3229" spans="1:6" x14ac:dyDescent="0.25">
      <c r="A3229" s="4">
        <v>39049</v>
      </c>
      <c r="B3229">
        <v>36.220700000000001</v>
      </c>
      <c r="C3229">
        <v>36.3339</v>
      </c>
      <c r="D3229">
        <v>35.994300000000003</v>
      </c>
      <c r="E3229">
        <v>36.220700000000001</v>
      </c>
      <c r="F3229">
        <v>34177</v>
      </c>
    </row>
    <row r="3230" spans="1:6" x14ac:dyDescent="0.25">
      <c r="A3230" s="4">
        <v>39050</v>
      </c>
      <c r="B3230">
        <v>36.447000000000003</v>
      </c>
      <c r="C3230">
        <v>36.616799999999998</v>
      </c>
      <c r="D3230">
        <v>35.881100000000004</v>
      </c>
      <c r="E3230">
        <v>36.503599999999999</v>
      </c>
      <c r="F3230">
        <v>63844</v>
      </c>
    </row>
    <row r="3231" spans="1:6" x14ac:dyDescent="0.25">
      <c r="A3231" s="4">
        <v>39051</v>
      </c>
      <c r="B3231">
        <v>36.729999999999997</v>
      </c>
      <c r="C3231">
        <v>37.069600000000001</v>
      </c>
      <c r="D3231">
        <v>36.447000000000003</v>
      </c>
      <c r="E3231">
        <v>37.069600000000001</v>
      </c>
      <c r="F3231">
        <v>72606</v>
      </c>
    </row>
    <row r="3232" spans="1:6" x14ac:dyDescent="0.25">
      <c r="A3232" s="4">
        <v>39052</v>
      </c>
      <c r="B3232">
        <v>37.012999999999998</v>
      </c>
      <c r="C3232">
        <v>37.6355</v>
      </c>
      <c r="D3232">
        <v>36.560200000000002</v>
      </c>
      <c r="E3232">
        <v>37.6355</v>
      </c>
      <c r="F3232">
        <v>70330</v>
      </c>
    </row>
    <row r="3233" spans="1:6" x14ac:dyDescent="0.25">
      <c r="A3233" s="4">
        <v>39055</v>
      </c>
      <c r="B3233">
        <v>37.465800000000002</v>
      </c>
      <c r="C3233">
        <v>37.748699999999999</v>
      </c>
      <c r="D3233">
        <v>37.239400000000003</v>
      </c>
      <c r="E3233">
        <v>37.522399999999998</v>
      </c>
      <c r="F3233">
        <v>51134</v>
      </c>
    </row>
    <row r="3234" spans="1:6" x14ac:dyDescent="0.25">
      <c r="A3234" s="4">
        <v>39056</v>
      </c>
      <c r="B3234">
        <v>38.1449</v>
      </c>
      <c r="C3234">
        <v>38.201500000000003</v>
      </c>
      <c r="D3234">
        <v>37.6355</v>
      </c>
      <c r="E3234">
        <v>37.861899999999999</v>
      </c>
      <c r="F3234">
        <v>47385</v>
      </c>
    </row>
    <row r="3235" spans="1:6" x14ac:dyDescent="0.25">
      <c r="A3235" s="4">
        <v>39057</v>
      </c>
      <c r="B3235">
        <v>38.1449</v>
      </c>
      <c r="C3235">
        <v>38.484499999999997</v>
      </c>
      <c r="D3235">
        <v>38.088299999999997</v>
      </c>
      <c r="E3235">
        <v>38.427900000000001</v>
      </c>
      <c r="F3235">
        <v>48564</v>
      </c>
    </row>
    <row r="3236" spans="1:6" x14ac:dyDescent="0.25">
      <c r="A3236" s="4">
        <v>39058</v>
      </c>
      <c r="B3236">
        <v>38.258099999999999</v>
      </c>
      <c r="C3236">
        <v>38.314700000000002</v>
      </c>
      <c r="D3236">
        <v>37.692100000000003</v>
      </c>
      <c r="E3236">
        <v>37.918500000000002</v>
      </c>
      <c r="F3236">
        <v>35640</v>
      </c>
    </row>
    <row r="3237" spans="1:6" x14ac:dyDescent="0.25">
      <c r="A3237" s="4">
        <v>39059</v>
      </c>
      <c r="B3237">
        <v>37.918500000000002</v>
      </c>
      <c r="C3237">
        <v>37.918500000000002</v>
      </c>
      <c r="D3237">
        <v>36.7866</v>
      </c>
      <c r="E3237">
        <v>37.409199999999998</v>
      </c>
      <c r="F3237">
        <v>38372</v>
      </c>
    </row>
    <row r="3238" spans="1:6" x14ac:dyDescent="0.25">
      <c r="A3238" s="4">
        <v>39062</v>
      </c>
      <c r="B3238">
        <v>37.012999999999998</v>
      </c>
      <c r="C3238">
        <v>37.692100000000003</v>
      </c>
      <c r="D3238">
        <v>36.899799999999999</v>
      </c>
      <c r="E3238">
        <v>37.6355</v>
      </c>
      <c r="F3238">
        <v>34618</v>
      </c>
    </row>
    <row r="3239" spans="1:6" x14ac:dyDescent="0.25">
      <c r="A3239" s="4">
        <v>39063</v>
      </c>
      <c r="B3239">
        <v>37.6355</v>
      </c>
      <c r="C3239">
        <v>37.6355</v>
      </c>
      <c r="D3239">
        <v>36.164099999999998</v>
      </c>
      <c r="E3239">
        <v>36.3339</v>
      </c>
      <c r="F3239">
        <v>41605</v>
      </c>
    </row>
    <row r="3240" spans="1:6" x14ac:dyDescent="0.25">
      <c r="A3240" s="4">
        <v>39064</v>
      </c>
      <c r="B3240">
        <v>36.503599999999999</v>
      </c>
      <c r="C3240">
        <v>36.7866</v>
      </c>
      <c r="D3240">
        <v>35.881100000000004</v>
      </c>
      <c r="E3240">
        <v>36.729999999999997</v>
      </c>
      <c r="F3240">
        <v>38820</v>
      </c>
    </row>
    <row r="3241" spans="1:6" x14ac:dyDescent="0.25">
      <c r="A3241" s="4">
        <v>39065</v>
      </c>
      <c r="B3241">
        <v>36.899799999999999</v>
      </c>
      <c r="C3241">
        <v>36.956400000000002</v>
      </c>
      <c r="D3241">
        <v>36.277299999999997</v>
      </c>
      <c r="E3241">
        <v>36.277299999999997</v>
      </c>
      <c r="F3241">
        <v>23387</v>
      </c>
    </row>
    <row r="3242" spans="1:6" x14ac:dyDescent="0.25">
      <c r="A3242" s="4">
        <v>39066</v>
      </c>
      <c r="B3242">
        <v>36.7866</v>
      </c>
      <c r="C3242">
        <v>37.069600000000001</v>
      </c>
      <c r="D3242">
        <v>36.503599999999999</v>
      </c>
      <c r="E3242">
        <v>36.729999999999997</v>
      </c>
      <c r="F3242">
        <v>34344</v>
      </c>
    </row>
    <row r="3243" spans="1:6" x14ac:dyDescent="0.25">
      <c r="A3243" s="4">
        <v>39069</v>
      </c>
      <c r="B3243">
        <v>36.956400000000002</v>
      </c>
      <c r="C3243">
        <v>37.918500000000002</v>
      </c>
      <c r="D3243">
        <v>36.956400000000002</v>
      </c>
      <c r="E3243">
        <v>37.692100000000003</v>
      </c>
      <c r="F3243">
        <v>33660</v>
      </c>
    </row>
    <row r="3244" spans="1:6" x14ac:dyDescent="0.25">
      <c r="A3244" s="4">
        <v>39070</v>
      </c>
      <c r="B3244">
        <v>37.295999999999999</v>
      </c>
      <c r="C3244">
        <v>37.295999999999999</v>
      </c>
      <c r="D3244">
        <v>36.7866</v>
      </c>
      <c r="E3244">
        <v>36.843200000000003</v>
      </c>
      <c r="F3244">
        <v>35789</v>
      </c>
    </row>
    <row r="3245" spans="1:6" x14ac:dyDescent="0.25">
      <c r="A3245" s="4">
        <v>39071</v>
      </c>
      <c r="B3245">
        <v>37.126199999999997</v>
      </c>
      <c r="C3245">
        <v>37.126199999999997</v>
      </c>
      <c r="D3245">
        <v>36.560200000000002</v>
      </c>
      <c r="E3245">
        <v>36.673400000000001</v>
      </c>
      <c r="F3245">
        <v>33042</v>
      </c>
    </row>
    <row r="3246" spans="1:6" x14ac:dyDescent="0.25">
      <c r="A3246" s="4">
        <v>39072</v>
      </c>
      <c r="B3246">
        <v>36.673400000000001</v>
      </c>
      <c r="C3246">
        <v>37.1828</v>
      </c>
      <c r="D3246">
        <v>36.673400000000001</v>
      </c>
      <c r="E3246">
        <v>36.729999999999997</v>
      </c>
      <c r="F3246">
        <v>34217</v>
      </c>
    </row>
    <row r="3247" spans="1:6" x14ac:dyDescent="0.25">
      <c r="A3247" s="4">
        <v>39073</v>
      </c>
      <c r="B3247">
        <v>37.069600000000001</v>
      </c>
      <c r="C3247">
        <v>37.126199999999997</v>
      </c>
      <c r="D3247">
        <v>36.843200000000003</v>
      </c>
      <c r="E3247">
        <v>37.126199999999997</v>
      </c>
      <c r="F3247">
        <v>9506</v>
      </c>
    </row>
    <row r="3248" spans="1:6" x14ac:dyDescent="0.25">
      <c r="A3248" s="4">
        <v>39076</v>
      </c>
      <c r="B3248">
        <v>37.012999999999998</v>
      </c>
      <c r="C3248">
        <v>37.069600000000001</v>
      </c>
      <c r="D3248">
        <v>36.729999999999997</v>
      </c>
      <c r="E3248">
        <v>36.843200000000003</v>
      </c>
      <c r="F3248">
        <v>4142</v>
      </c>
    </row>
    <row r="3249" spans="1:6" x14ac:dyDescent="0.25">
      <c r="A3249" s="4">
        <v>39077</v>
      </c>
      <c r="B3249">
        <v>36.7866</v>
      </c>
      <c r="C3249">
        <v>37.409199999999998</v>
      </c>
      <c r="D3249">
        <v>36.7866</v>
      </c>
      <c r="E3249">
        <v>37.352600000000002</v>
      </c>
      <c r="F3249">
        <v>19121</v>
      </c>
    </row>
    <row r="3250" spans="1:6" x14ac:dyDescent="0.25">
      <c r="A3250" s="4">
        <v>39078</v>
      </c>
      <c r="B3250">
        <v>37.352600000000002</v>
      </c>
      <c r="C3250">
        <v>37.692100000000003</v>
      </c>
      <c r="D3250">
        <v>37.352600000000002</v>
      </c>
      <c r="E3250">
        <v>37.578899999999997</v>
      </c>
      <c r="F3250">
        <v>22945</v>
      </c>
    </row>
    <row r="3251" spans="1:6" x14ac:dyDescent="0.25">
      <c r="A3251" s="4">
        <v>39079</v>
      </c>
      <c r="B3251">
        <v>37.6355</v>
      </c>
      <c r="C3251">
        <v>37.805300000000003</v>
      </c>
      <c r="D3251">
        <v>37.409199999999998</v>
      </c>
      <c r="E3251">
        <v>37.409199999999998</v>
      </c>
      <c r="F3251">
        <v>20310</v>
      </c>
    </row>
    <row r="3252" spans="1:6" x14ac:dyDescent="0.25">
      <c r="A3252" s="4">
        <v>39080</v>
      </c>
      <c r="B3252">
        <v>37.465800000000002</v>
      </c>
      <c r="C3252">
        <v>38.201500000000003</v>
      </c>
      <c r="D3252">
        <v>37.069600000000001</v>
      </c>
      <c r="E3252">
        <v>38.201500000000003</v>
      </c>
      <c r="F3252">
        <v>30812</v>
      </c>
    </row>
    <row r="3253" spans="1:6" x14ac:dyDescent="0.25">
      <c r="A3253" s="4">
        <v>39084</v>
      </c>
      <c r="B3253">
        <v>38.371299999999998</v>
      </c>
      <c r="C3253">
        <v>38.484499999999997</v>
      </c>
      <c r="D3253">
        <v>38.088299999999997</v>
      </c>
      <c r="E3253">
        <v>38.314700000000002</v>
      </c>
      <c r="F3253">
        <v>26080</v>
      </c>
    </row>
    <row r="3254" spans="1:6" x14ac:dyDescent="0.25">
      <c r="A3254" s="4">
        <v>39085</v>
      </c>
      <c r="B3254">
        <v>38.371299999999998</v>
      </c>
      <c r="C3254">
        <v>38.880600000000001</v>
      </c>
      <c r="D3254">
        <v>38.201500000000003</v>
      </c>
      <c r="E3254">
        <v>38.484499999999997</v>
      </c>
      <c r="F3254">
        <v>42087</v>
      </c>
    </row>
    <row r="3255" spans="1:6" x14ac:dyDescent="0.25">
      <c r="A3255" s="4">
        <v>39086</v>
      </c>
      <c r="B3255">
        <v>38.314700000000002</v>
      </c>
      <c r="C3255">
        <v>38.5411</v>
      </c>
      <c r="D3255">
        <v>38.258099999999999</v>
      </c>
      <c r="E3255">
        <v>38.314700000000002</v>
      </c>
      <c r="F3255">
        <v>22327</v>
      </c>
    </row>
    <row r="3256" spans="1:6" x14ac:dyDescent="0.25">
      <c r="A3256" s="4">
        <v>39087</v>
      </c>
      <c r="B3256">
        <v>38.201500000000003</v>
      </c>
      <c r="C3256">
        <v>38.314700000000002</v>
      </c>
      <c r="D3256">
        <v>37.6355</v>
      </c>
      <c r="E3256">
        <v>37.861899999999999</v>
      </c>
      <c r="F3256">
        <v>30580</v>
      </c>
    </row>
    <row r="3257" spans="1:6" x14ac:dyDescent="0.25">
      <c r="A3257" s="4">
        <v>39090</v>
      </c>
      <c r="B3257">
        <v>37.409199999999998</v>
      </c>
      <c r="C3257">
        <v>37.6355</v>
      </c>
      <c r="D3257">
        <v>37.1828</v>
      </c>
      <c r="E3257">
        <v>37.239400000000003</v>
      </c>
      <c r="F3257">
        <v>24178</v>
      </c>
    </row>
    <row r="3258" spans="1:6" x14ac:dyDescent="0.25">
      <c r="A3258" s="4">
        <v>39091</v>
      </c>
      <c r="B3258">
        <v>37.295999999999999</v>
      </c>
      <c r="C3258">
        <v>37.6355</v>
      </c>
      <c r="D3258">
        <v>37.295999999999999</v>
      </c>
      <c r="E3258">
        <v>37.352600000000002</v>
      </c>
      <c r="F3258">
        <v>26030</v>
      </c>
    </row>
    <row r="3259" spans="1:6" x14ac:dyDescent="0.25">
      <c r="A3259" s="4">
        <v>39092</v>
      </c>
      <c r="B3259">
        <v>37.012999999999998</v>
      </c>
      <c r="C3259">
        <v>37.012999999999998</v>
      </c>
      <c r="D3259">
        <v>36.220700000000001</v>
      </c>
      <c r="E3259">
        <v>36.3339</v>
      </c>
      <c r="F3259">
        <v>73602</v>
      </c>
    </row>
    <row r="3260" spans="1:6" x14ac:dyDescent="0.25">
      <c r="A3260" s="4">
        <v>39093</v>
      </c>
      <c r="B3260">
        <v>36.616799999999998</v>
      </c>
      <c r="C3260">
        <v>37.748699999999999</v>
      </c>
      <c r="D3260">
        <v>36.616799999999998</v>
      </c>
      <c r="E3260">
        <v>37.239400000000003</v>
      </c>
      <c r="F3260">
        <v>68880</v>
      </c>
    </row>
    <row r="3261" spans="1:6" x14ac:dyDescent="0.25">
      <c r="A3261" s="4">
        <v>39094</v>
      </c>
      <c r="B3261">
        <v>38.201500000000003</v>
      </c>
      <c r="C3261">
        <v>39.333399999999997</v>
      </c>
      <c r="D3261">
        <v>37.918500000000002</v>
      </c>
      <c r="E3261">
        <v>39.106999999999999</v>
      </c>
      <c r="F3261">
        <v>132902</v>
      </c>
    </row>
    <row r="3262" spans="1:6" x14ac:dyDescent="0.25">
      <c r="A3262" s="4">
        <v>39097</v>
      </c>
      <c r="B3262">
        <v>39.276800000000001</v>
      </c>
      <c r="C3262">
        <v>39.5032</v>
      </c>
      <c r="D3262">
        <v>38.937199999999997</v>
      </c>
      <c r="E3262">
        <v>39.163600000000002</v>
      </c>
      <c r="F3262">
        <v>69647</v>
      </c>
    </row>
    <row r="3263" spans="1:6" x14ac:dyDescent="0.25">
      <c r="A3263" s="4">
        <v>39098</v>
      </c>
      <c r="B3263">
        <v>39.163600000000002</v>
      </c>
      <c r="C3263">
        <v>39.899299999999997</v>
      </c>
      <c r="D3263">
        <v>39.106999999999999</v>
      </c>
      <c r="E3263">
        <v>39.786099999999998</v>
      </c>
      <c r="F3263">
        <v>75841</v>
      </c>
    </row>
    <row r="3264" spans="1:6" x14ac:dyDescent="0.25">
      <c r="A3264" s="4">
        <v>39099</v>
      </c>
      <c r="B3264">
        <v>39.559800000000003</v>
      </c>
      <c r="C3264">
        <v>40.182299999999998</v>
      </c>
      <c r="D3264">
        <v>39.163600000000002</v>
      </c>
      <c r="E3264">
        <v>40.125700000000002</v>
      </c>
      <c r="F3264">
        <v>49117</v>
      </c>
    </row>
    <row r="3265" spans="1:6" x14ac:dyDescent="0.25">
      <c r="A3265" s="4">
        <v>39100</v>
      </c>
      <c r="B3265">
        <v>40.182299999999998</v>
      </c>
      <c r="C3265">
        <v>40.578499999999998</v>
      </c>
      <c r="D3265">
        <v>40.125700000000002</v>
      </c>
      <c r="E3265">
        <v>40.295499999999997</v>
      </c>
      <c r="F3265">
        <v>54736</v>
      </c>
    </row>
    <row r="3266" spans="1:6" x14ac:dyDescent="0.25">
      <c r="A3266" s="4">
        <v>39101</v>
      </c>
      <c r="B3266">
        <v>39.333399999999997</v>
      </c>
      <c r="C3266">
        <v>40.125700000000002</v>
      </c>
      <c r="D3266">
        <v>39.333399999999997</v>
      </c>
      <c r="E3266">
        <v>39.5032</v>
      </c>
      <c r="F3266">
        <v>47010</v>
      </c>
    </row>
    <row r="3267" spans="1:6" x14ac:dyDescent="0.25">
      <c r="A3267" s="4">
        <v>39104</v>
      </c>
      <c r="B3267">
        <v>39.616399999999999</v>
      </c>
      <c r="C3267">
        <v>39.729500000000002</v>
      </c>
      <c r="D3267">
        <v>38.9938</v>
      </c>
      <c r="E3267">
        <v>39.050400000000003</v>
      </c>
      <c r="F3267">
        <v>54717</v>
      </c>
    </row>
    <row r="3268" spans="1:6" x14ac:dyDescent="0.25">
      <c r="A3268" s="4">
        <v>39105</v>
      </c>
      <c r="B3268">
        <v>38.937199999999997</v>
      </c>
      <c r="C3268">
        <v>39.050400000000003</v>
      </c>
      <c r="D3268">
        <v>38.597700000000003</v>
      </c>
      <c r="E3268">
        <v>38.937199999999997</v>
      </c>
      <c r="F3268">
        <v>38924</v>
      </c>
    </row>
    <row r="3269" spans="1:6" x14ac:dyDescent="0.25">
      <c r="A3269" s="4">
        <v>39106</v>
      </c>
      <c r="B3269">
        <v>40.182299999999998</v>
      </c>
      <c r="C3269">
        <v>40.295499999999997</v>
      </c>
      <c r="D3269">
        <v>39.616399999999999</v>
      </c>
      <c r="E3269">
        <v>39.899299999999997</v>
      </c>
      <c r="F3269">
        <v>79268</v>
      </c>
    </row>
    <row r="3270" spans="1:6" x14ac:dyDescent="0.25">
      <c r="A3270" s="4">
        <v>39107</v>
      </c>
      <c r="B3270">
        <v>40.125700000000002</v>
      </c>
      <c r="C3270">
        <v>40.295499999999997</v>
      </c>
      <c r="D3270">
        <v>39.9559</v>
      </c>
      <c r="E3270">
        <v>40.182299999999998</v>
      </c>
      <c r="F3270">
        <v>39325</v>
      </c>
    </row>
    <row r="3271" spans="1:6" x14ac:dyDescent="0.25">
      <c r="A3271" s="4">
        <v>39108</v>
      </c>
      <c r="B3271">
        <v>37.918500000000002</v>
      </c>
      <c r="C3271">
        <v>38.710799999999999</v>
      </c>
      <c r="D3271">
        <v>37.918500000000002</v>
      </c>
      <c r="E3271">
        <v>38.484499999999997</v>
      </c>
      <c r="F3271">
        <v>122033</v>
      </c>
    </row>
    <row r="3272" spans="1:6" x14ac:dyDescent="0.25">
      <c r="A3272" s="4">
        <v>39111</v>
      </c>
      <c r="B3272">
        <v>38.654200000000003</v>
      </c>
      <c r="C3272">
        <v>38.937199999999997</v>
      </c>
      <c r="D3272">
        <v>38.484499999999997</v>
      </c>
      <c r="E3272">
        <v>38.823999999999998</v>
      </c>
      <c r="F3272">
        <v>46137</v>
      </c>
    </row>
    <row r="3273" spans="1:6" x14ac:dyDescent="0.25">
      <c r="A3273" s="4">
        <v>39112</v>
      </c>
      <c r="B3273">
        <v>38.484499999999997</v>
      </c>
      <c r="C3273">
        <v>38.654200000000003</v>
      </c>
      <c r="D3273">
        <v>38.427900000000001</v>
      </c>
      <c r="E3273">
        <v>38.484499999999997</v>
      </c>
      <c r="F3273">
        <v>40161</v>
      </c>
    </row>
    <row r="3274" spans="1:6" x14ac:dyDescent="0.25">
      <c r="A3274" s="4">
        <v>39113</v>
      </c>
      <c r="B3274">
        <v>38.484499999999997</v>
      </c>
      <c r="C3274">
        <v>38.597700000000003</v>
      </c>
      <c r="D3274">
        <v>37.295999999999999</v>
      </c>
      <c r="E3274">
        <v>38.1449</v>
      </c>
      <c r="F3274">
        <v>83281</v>
      </c>
    </row>
    <row r="3275" spans="1:6" x14ac:dyDescent="0.25">
      <c r="A3275" s="4">
        <v>39114</v>
      </c>
      <c r="B3275">
        <v>38.371299999999998</v>
      </c>
      <c r="C3275">
        <v>38.371299999999998</v>
      </c>
      <c r="D3275">
        <v>37.748699999999999</v>
      </c>
      <c r="E3275">
        <v>37.918500000000002</v>
      </c>
      <c r="F3275">
        <v>33642</v>
      </c>
    </row>
    <row r="3276" spans="1:6" x14ac:dyDescent="0.25">
      <c r="A3276" s="4">
        <v>39115</v>
      </c>
      <c r="B3276">
        <v>38.371299999999998</v>
      </c>
      <c r="C3276">
        <v>38.484499999999997</v>
      </c>
      <c r="D3276">
        <v>38.1449</v>
      </c>
      <c r="E3276">
        <v>38.371299999999998</v>
      </c>
      <c r="F3276">
        <v>51909</v>
      </c>
    </row>
    <row r="3277" spans="1:6" x14ac:dyDescent="0.25">
      <c r="A3277" s="4">
        <v>39118</v>
      </c>
      <c r="B3277">
        <v>38.371299999999998</v>
      </c>
      <c r="C3277">
        <v>38.597700000000003</v>
      </c>
      <c r="D3277">
        <v>38.088299999999997</v>
      </c>
      <c r="E3277">
        <v>38.371299999999998</v>
      </c>
      <c r="F3277">
        <v>26409</v>
      </c>
    </row>
    <row r="3278" spans="1:6" x14ac:dyDescent="0.25">
      <c r="A3278" s="4">
        <v>39119</v>
      </c>
      <c r="B3278">
        <v>38.484499999999997</v>
      </c>
      <c r="C3278">
        <v>38.9938</v>
      </c>
      <c r="D3278">
        <v>38.371299999999998</v>
      </c>
      <c r="E3278">
        <v>38.9938</v>
      </c>
      <c r="F3278">
        <v>35949</v>
      </c>
    </row>
    <row r="3279" spans="1:6" x14ac:dyDescent="0.25">
      <c r="A3279" s="4">
        <v>39120</v>
      </c>
      <c r="B3279">
        <v>39.163600000000002</v>
      </c>
      <c r="C3279">
        <v>39.276800000000001</v>
      </c>
      <c r="D3279">
        <v>38.767400000000002</v>
      </c>
      <c r="E3279">
        <v>38.937199999999997</v>
      </c>
      <c r="F3279">
        <v>30682</v>
      </c>
    </row>
    <row r="3280" spans="1:6" x14ac:dyDescent="0.25">
      <c r="A3280" s="4">
        <v>39121</v>
      </c>
      <c r="B3280">
        <v>39.220199999999998</v>
      </c>
      <c r="C3280">
        <v>39.220199999999998</v>
      </c>
      <c r="D3280">
        <v>38.484499999999997</v>
      </c>
      <c r="E3280">
        <v>38.710799999999999</v>
      </c>
      <c r="F3280">
        <v>42168</v>
      </c>
    </row>
    <row r="3281" spans="1:6" x14ac:dyDescent="0.25">
      <c r="A3281" s="4">
        <v>39122</v>
      </c>
      <c r="B3281">
        <v>38.710799999999999</v>
      </c>
      <c r="C3281">
        <v>38.937199999999997</v>
      </c>
      <c r="D3281">
        <v>38.201500000000003</v>
      </c>
      <c r="E3281">
        <v>38.484499999999997</v>
      </c>
      <c r="F3281">
        <v>60008</v>
      </c>
    </row>
    <row r="3282" spans="1:6" x14ac:dyDescent="0.25">
      <c r="A3282" s="4">
        <v>39125</v>
      </c>
      <c r="B3282">
        <v>37.918500000000002</v>
      </c>
      <c r="C3282">
        <v>38.427900000000001</v>
      </c>
      <c r="D3282">
        <v>37.6355</v>
      </c>
      <c r="E3282">
        <v>37.918500000000002</v>
      </c>
      <c r="F3282">
        <v>51696</v>
      </c>
    </row>
    <row r="3283" spans="1:6" x14ac:dyDescent="0.25">
      <c r="A3283" s="4">
        <v>39126</v>
      </c>
      <c r="B3283">
        <v>37.6355</v>
      </c>
      <c r="C3283">
        <v>37.975099999999998</v>
      </c>
      <c r="D3283">
        <v>37.239400000000003</v>
      </c>
      <c r="E3283">
        <v>37.239400000000003</v>
      </c>
      <c r="F3283">
        <v>59866</v>
      </c>
    </row>
    <row r="3284" spans="1:6" x14ac:dyDescent="0.25">
      <c r="A3284" s="4">
        <v>39127</v>
      </c>
      <c r="B3284">
        <v>37.918500000000002</v>
      </c>
      <c r="C3284">
        <v>38.088299999999997</v>
      </c>
      <c r="D3284">
        <v>37.578899999999997</v>
      </c>
      <c r="E3284">
        <v>38.088299999999997</v>
      </c>
      <c r="F3284">
        <v>35749</v>
      </c>
    </row>
    <row r="3285" spans="1:6" x14ac:dyDescent="0.25">
      <c r="A3285" s="4">
        <v>39139</v>
      </c>
      <c r="B3285">
        <v>39.106999999999999</v>
      </c>
      <c r="C3285">
        <v>39.163600000000002</v>
      </c>
      <c r="D3285">
        <v>38.880600000000001</v>
      </c>
      <c r="E3285">
        <v>38.9938</v>
      </c>
      <c r="F3285">
        <v>91537</v>
      </c>
    </row>
    <row r="3286" spans="1:6" x14ac:dyDescent="0.25">
      <c r="A3286" s="4">
        <v>39140</v>
      </c>
      <c r="B3286">
        <v>39.050400000000003</v>
      </c>
      <c r="C3286">
        <v>39.673000000000002</v>
      </c>
      <c r="D3286">
        <v>38.9938</v>
      </c>
      <c r="E3286">
        <v>39.220199999999998</v>
      </c>
      <c r="F3286">
        <v>76436</v>
      </c>
    </row>
    <row r="3287" spans="1:6" x14ac:dyDescent="0.25">
      <c r="A3287" s="4">
        <v>39142</v>
      </c>
      <c r="B3287">
        <v>37.748699999999999</v>
      </c>
      <c r="C3287">
        <v>38.484499999999997</v>
      </c>
      <c r="D3287">
        <v>37.748699999999999</v>
      </c>
      <c r="E3287">
        <v>37.748699999999999</v>
      </c>
      <c r="F3287">
        <v>93532</v>
      </c>
    </row>
    <row r="3288" spans="1:6" x14ac:dyDescent="0.25">
      <c r="A3288" s="4">
        <v>39143</v>
      </c>
      <c r="B3288">
        <v>37.692100000000003</v>
      </c>
      <c r="C3288">
        <v>37.918500000000002</v>
      </c>
      <c r="D3288">
        <v>37.522399999999998</v>
      </c>
      <c r="E3288">
        <v>37.805300000000003</v>
      </c>
      <c r="F3288">
        <v>32176</v>
      </c>
    </row>
    <row r="3289" spans="1:6" x14ac:dyDescent="0.25">
      <c r="A3289" s="4">
        <v>39144</v>
      </c>
      <c r="B3289">
        <v>37.239400000000003</v>
      </c>
      <c r="C3289">
        <v>37.465800000000002</v>
      </c>
      <c r="D3289">
        <v>37.239400000000003</v>
      </c>
      <c r="E3289">
        <v>37.409199999999998</v>
      </c>
      <c r="F3289">
        <v>22498</v>
      </c>
    </row>
    <row r="3290" spans="1:6" x14ac:dyDescent="0.25">
      <c r="A3290" s="4">
        <v>39146</v>
      </c>
      <c r="B3290">
        <v>36.7866</v>
      </c>
      <c r="C3290">
        <v>37.012999999999998</v>
      </c>
      <c r="D3290">
        <v>35.8245</v>
      </c>
      <c r="E3290">
        <v>35.8245</v>
      </c>
      <c r="F3290">
        <v>75532</v>
      </c>
    </row>
    <row r="3291" spans="1:6" x14ac:dyDescent="0.25">
      <c r="A3291" s="4">
        <v>39147</v>
      </c>
      <c r="B3291">
        <v>35.8245</v>
      </c>
      <c r="C3291">
        <v>37.126199999999997</v>
      </c>
      <c r="D3291">
        <v>35.8245</v>
      </c>
      <c r="E3291">
        <v>36.843200000000003</v>
      </c>
      <c r="F3291">
        <v>68036</v>
      </c>
    </row>
    <row r="3292" spans="1:6" x14ac:dyDescent="0.25">
      <c r="A3292" s="4">
        <v>39148</v>
      </c>
      <c r="B3292">
        <v>37.409199999999998</v>
      </c>
      <c r="C3292">
        <v>37.409199999999998</v>
      </c>
      <c r="D3292">
        <v>36.899799999999999</v>
      </c>
      <c r="E3292">
        <v>37.069600000000001</v>
      </c>
      <c r="F3292">
        <v>52234</v>
      </c>
    </row>
    <row r="3293" spans="1:6" x14ac:dyDescent="0.25">
      <c r="A3293" s="4">
        <v>39149</v>
      </c>
      <c r="B3293">
        <v>37.352600000000002</v>
      </c>
      <c r="C3293">
        <v>37.352600000000002</v>
      </c>
      <c r="D3293">
        <v>36.7866</v>
      </c>
      <c r="E3293">
        <v>37.295999999999999</v>
      </c>
      <c r="F3293">
        <v>42225</v>
      </c>
    </row>
    <row r="3294" spans="1:6" x14ac:dyDescent="0.25">
      <c r="A3294" s="4">
        <v>39150</v>
      </c>
      <c r="B3294">
        <v>37.692100000000003</v>
      </c>
      <c r="C3294">
        <v>37.748699999999999</v>
      </c>
      <c r="D3294">
        <v>37.295999999999999</v>
      </c>
      <c r="E3294">
        <v>37.6355</v>
      </c>
      <c r="F3294">
        <v>38271</v>
      </c>
    </row>
    <row r="3295" spans="1:6" x14ac:dyDescent="0.25">
      <c r="A3295" s="4">
        <v>39153</v>
      </c>
      <c r="B3295">
        <v>37.692100000000003</v>
      </c>
      <c r="C3295">
        <v>38.031700000000001</v>
      </c>
      <c r="D3295">
        <v>37.578899999999997</v>
      </c>
      <c r="E3295">
        <v>38.031700000000001</v>
      </c>
      <c r="F3295">
        <v>923063</v>
      </c>
    </row>
    <row r="3296" spans="1:6" x14ac:dyDescent="0.25">
      <c r="A3296" s="4">
        <v>39154</v>
      </c>
      <c r="B3296">
        <v>38.484499999999997</v>
      </c>
      <c r="C3296">
        <v>39.106999999999999</v>
      </c>
      <c r="D3296">
        <v>38.371299999999998</v>
      </c>
      <c r="E3296">
        <v>39.106999999999999</v>
      </c>
      <c r="F3296">
        <v>87094</v>
      </c>
    </row>
    <row r="3297" spans="1:6" x14ac:dyDescent="0.25">
      <c r="A3297" s="4">
        <v>39155</v>
      </c>
      <c r="B3297">
        <v>38.201500000000003</v>
      </c>
      <c r="C3297">
        <v>38.597700000000003</v>
      </c>
      <c r="D3297">
        <v>38.1449</v>
      </c>
      <c r="E3297">
        <v>38.427900000000001</v>
      </c>
      <c r="F3297">
        <v>48967</v>
      </c>
    </row>
    <row r="3298" spans="1:6" x14ac:dyDescent="0.25">
      <c r="A3298" s="4">
        <v>39156</v>
      </c>
      <c r="B3298">
        <v>38.823999999999998</v>
      </c>
      <c r="C3298">
        <v>39.220199999999998</v>
      </c>
      <c r="D3298">
        <v>38.767400000000002</v>
      </c>
      <c r="E3298">
        <v>39.050400000000003</v>
      </c>
      <c r="F3298">
        <v>38644</v>
      </c>
    </row>
    <row r="3299" spans="1:6" x14ac:dyDescent="0.25">
      <c r="A3299" s="4">
        <v>39157</v>
      </c>
      <c r="B3299">
        <v>39.050400000000003</v>
      </c>
      <c r="C3299">
        <v>39.163600000000002</v>
      </c>
      <c r="D3299">
        <v>38.767400000000002</v>
      </c>
      <c r="E3299">
        <v>39.050400000000003</v>
      </c>
      <c r="F3299">
        <v>32004</v>
      </c>
    </row>
    <row r="3300" spans="1:6" x14ac:dyDescent="0.25">
      <c r="A3300" s="4">
        <v>39160</v>
      </c>
      <c r="B3300">
        <v>39.050400000000003</v>
      </c>
      <c r="C3300">
        <v>39.106999999999999</v>
      </c>
      <c r="D3300">
        <v>38.823999999999998</v>
      </c>
      <c r="E3300">
        <v>39.050400000000003</v>
      </c>
      <c r="F3300">
        <v>24124</v>
      </c>
    </row>
    <row r="3301" spans="1:6" x14ac:dyDescent="0.25">
      <c r="A3301" s="4">
        <v>39161</v>
      </c>
      <c r="B3301">
        <v>39.050400000000003</v>
      </c>
      <c r="C3301">
        <v>39.333399999999997</v>
      </c>
      <c r="D3301">
        <v>39.050400000000003</v>
      </c>
      <c r="E3301">
        <v>39.163600000000002</v>
      </c>
      <c r="F3301">
        <v>27140</v>
      </c>
    </row>
    <row r="3302" spans="1:6" x14ac:dyDescent="0.25">
      <c r="A3302" s="4">
        <v>39162</v>
      </c>
      <c r="B3302">
        <v>39.446599999999997</v>
      </c>
      <c r="C3302">
        <v>39.616399999999999</v>
      </c>
      <c r="D3302">
        <v>39.276800000000001</v>
      </c>
      <c r="E3302">
        <v>39.446599999999997</v>
      </c>
      <c r="F3302">
        <v>36404</v>
      </c>
    </row>
    <row r="3303" spans="1:6" x14ac:dyDescent="0.25">
      <c r="A3303" s="4">
        <v>39163</v>
      </c>
      <c r="B3303">
        <v>39.9559</v>
      </c>
      <c r="C3303">
        <v>40.069099999999999</v>
      </c>
      <c r="D3303">
        <v>39.673000000000002</v>
      </c>
      <c r="E3303">
        <v>39.729500000000002</v>
      </c>
      <c r="F3303">
        <v>63396</v>
      </c>
    </row>
    <row r="3304" spans="1:6" x14ac:dyDescent="0.25">
      <c r="A3304" s="4">
        <v>39164</v>
      </c>
      <c r="B3304">
        <v>39.673000000000002</v>
      </c>
      <c r="C3304">
        <v>39.729500000000002</v>
      </c>
      <c r="D3304">
        <v>39.446599999999997</v>
      </c>
      <c r="E3304">
        <v>39.616399999999999</v>
      </c>
      <c r="F3304">
        <v>51588</v>
      </c>
    </row>
    <row r="3305" spans="1:6" x14ac:dyDescent="0.25">
      <c r="A3305" s="4">
        <v>39167</v>
      </c>
      <c r="B3305">
        <v>39.616399999999999</v>
      </c>
      <c r="C3305">
        <v>39.729500000000002</v>
      </c>
      <c r="D3305">
        <v>39.559800000000003</v>
      </c>
      <c r="E3305">
        <v>39.616399999999999</v>
      </c>
      <c r="F3305">
        <v>17671</v>
      </c>
    </row>
    <row r="3306" spans="1:6" x14ac:dyDescent="0.25">
      <c r="A3306" s="4">
        <v>39168</v>
      </c>
      <c r="B3306">
        <v>39.616399999999999</v>
      </c>
      <c r="C3306">
        <v>40.012500000000003</v>
      </c>
      <c r="D3306">
        <v>39.163600000000002</v>
      </c>
      <c r="E3306">
        <v>39.163600000000002</v>
      </c>
      <c r="F3306">
        <v>47383</v>
      </c>
    </row>
    <row r="3307" spans="1:6" x14ac:dyDescent="0.25">
      <c r="A3307" s="4">
        <v>39169</v>
      </c>
      <c r="B3307">
        <v>38.710799999999999</v>
      </c>
      <c r="C3307">
        <v>39.050400000000003</v>
      </c>
      <c r="D3307">
        <v>38.484499999999997</v>
      </c>
      <c r="E3307">
        <v>38.654200000000003</v>
      </c>
      <c r="F3307">
        <v>36812</v>
      </c>
    </row>
    <row r="3308" spans="1:6" x14ac:dyDescent="0.25">
      <c r="A3308" s="4">
        <v>39170</v>
      </c>
      <c r="B3308">
        <v>38.201500000000003</v>
      </c>
      <c r="C3308">
        <v>39.106999999999999</v>
      </c>
      <c r="D3308">
        <v>38.201500000000003</v>
      </c>
      <c r="E3308">
        <v>38.880600000000001</v>
      </c>
      <c r="F3308">
        <v>57719</v>
      </c>
    </row>
    <row r="3309" spans="1:6" x14ac:dyDescent="0.25">
      <c r="A3309" s="4">
        <v>39171</v>
      </c>
      <c r="B3309">
        <v>38.484499999999997</v>
      </c>
      <c r="C3309">
        <v>38.767400000000002</v>
      </c>
      <c r="D3309">
        <v>38.314700000000002</v>
      </c>
      <c r="E3309">
        <v>38.427900000000001</v>
      </c>
      <c r="F3309">
        <v>40480</v>
      </c>
    </row>
    <row r="3310" spans="1:6" x14ac:dyDescent="0.25">
      <c r="A3310" s="4">
        <v>39174</v>
      </c>
      <c r="B3310">
        <v>38.371299999999998</v>
      </c>
      <c r="C3310">
        <v>38.823999999999998</v>
      </c>
      <c r="D3310">
        <v>38.201500000000003</v>
      </c>
      <c r="E3310">
        <v>38.597700000000003</v>
      </c>
      <c r="F3310">
        <v>25260</v>
      </c>
    </row>
    <row r="3311" spans="1:6" x14ac:dyDescent="0.25">
      <c r="A3311" s="4">
        <v>39175</v>
      </c>
      <c r="B3311">
        <v>38.5411</v>
      </c>
      <c r="C3311">
        <v>38.654200000000003</v>
      </c>
      <c r="D3311">
        <v>38.314700000000002</v>
      </c>
      <c r="E3311">
        <v>38.484499999999997</v>
      </c>
      <c r="F3311">
        <v>27522</v>
      </c>
    </row>
    <row r="3312" spans="1:6" x14ac:dyDescent="0.25">
      <c r="A3312" s="4">
        <v>39176</v>
      </c>
      <c r="B3312">
        <v>38.484499999999997</v>
      </c>
      <c r="C3312">
        <v>39.39</v>
      </c>
      <c r="D3312">
        <v>38.484499999999997</v>
      </c>
      <c r="E3312">
        <v>39.220199999999998</v>
      </c>
      <c r="F3312">
        <v>56830</v>
      </c>
    </row>
    <row r="3313" spans="1:6" x14ac:dyDescent="0.25">
      <c r="A3313" s="4">
        <v>39181</v>
      </c>
      <c r="B3313">
        <v>39.333399999999997</v>
      </c>
      <c r="C3313">
        <v>39.5032</v>
      </c>
      <c r="D3313">
        <v>38.880600000000001</v>
      </c>
      <c r="E3313">
        <v>39.050400000000003</v>
      </c>
      <c r="F3313">
        <v>42889</v>
      </c>
    </row>
    <row r="3314" spans="1:6" x14ac:dyDescent="0.25">
      <c r="A3314" s="4">
        <v>39182</v>
      </c>
      <c r="B3314">
        <v>39.163600000000002</v>
      </c>
      <c r="C3314">
        <v>39.163600000000002</v>
      </c>
      <c r="D3314">
        <v>38.597700000000003</v>
      </c>
      <c r="E3314">
        <v>38.767400000000002</v>
      </c>
      <c r="F3314">
        <v>38469</v>
      </c>
    </row>
    <row r="3315" spans="1:6" x14ac:dyDescent="0.25">
      <c r="A3315" s="4">
        <v>39183</v>
      </c>
      <c r="B3315">
        <v>38.823999999999998</v>
      </c>
      <c r="C3315">
        <v>39.276800000000001</v>
      </c>
      <c r="D3315">
        <v>38.823999999999998</v>
      </c>
      <c r="E3315">
        <v>39.220199999999998</v>
      </c>
      <c r="F3315">
        <v>30657</v>
      </c>
    </row>
    <row r="3316" spans="1:6" x14ac:dyDescent="0.25">
      <c r="A3316" s="4">
        <v>39184</v>
      </c>
      <c r="B3316">
        <v>38.767400000000002</v>
      </c>
      <c r="C3316">
        <v>39.220199999999998</v>
      </c>
      <c r="D3316">
        <v>38.654200000000003</v>
      </c>
      <c r="E3316">
        <v>38.767400000000002</v>
      </c>
      <c r="F3316">
        <v>29602</v>
      </c>
    </row>
    <row r="3317" spans="1:6" x14ac:dyDescent="0.25">
      <c r="A3317" s="4">
        <v>39185</v>
      </c>
      <c r="B3317">
        <v>39.220199999999998</v>
      </c>
      <c r="C3317">
        <v>39.276800000000001</v>
      </c>
      <c r="D3317">
        <v>38.5411</v>
      </c>
      <c r="E3317">
        <v>38.654200000000003</v>
      </c>
      <c r="F3317">
        <v>15601</v>
      </c>
    </row>
    <row r="3318" spans="1:6" x14ac:dyDescent="0.25">
      <c r="A3318" s="4">
        <v>39186</v>
      </c>
      <c r="B3318">
        <v>38.767400000000002</v>
      </c>
      <c r="C3318">
        <v>38.9938</v>
      </c>
      <c r="D3318">
        <v>38.654200000000003</v>
      </c>
      <c r="E3318">
        <v>38.880600000000001</v>
      </c>
      <c r="F3318">
        <v>5168</v>
      </c>
    </row>
    <row r="3319" spans="1:6" x14ac:dyDescent="0.25">
      <c r="A3319" s="4">
        <v>39188</v>
      </c>
      <c r="B3319">
        <v>38.880600000000001</v>
      </c>
      <c r="C3319">
        <v>39.106999999999999</v>
      </c>
      <c r="D3319">
        <v>38.201500000000003</v>
      </c>
      <c r="E3319">
        <v>38.201500000000003</v>
      </c>
      <c r="F3319">
        <v>25999</v>
      </c>
    </row>
    <row r="3320" spans="1:6" x14ac:dyDescent="0.25">
      <c r="A3320" s="4">
        <v>39189</v>
      </c>
      <c r="B3320">
        <v>38.880600000000001</v>
      </c>
      <c r="C3320">
        <v>39.050400000000003</v>
      </c>
      <c r="D3320">
        <v>38.371299999999998</v>
      </c>
      <c r="E3320">
        <v>38.484499999999997</v>
      </c>
      <c r="F3320">
        <v>28748</v>
      </c>
    </row>
    <row r="3321" spans="1:6" x14ac:dyDescent="0.25">
      <c r="A3321" s="4">
        <v>39190</v>
      </c>
      <c r="B3321">
        <v>38.258099999999999</v>
      </c>
      <c r="C3321">
        <v>38.880600000000001</v>
      </c>
      <c r="D3321">
        <v>38.258099999999999</v>
      </c>
      <c r="E3321">
        <v>38.823999999999998</v>
      </c>
      <c r="F3321">
        <v>47133</v>
      </c>
    </row>
    <row r="3322" spans="1:6" x14ac:dyDescent="0.25">
      <c r="A3322" s="4">
        <v>39191</v>
      </c>
      <c r="B3322">
        <v>38.767400000000002</v>
      </c>
      <c r="C3322">
        <v>38.767400000000002</v>
      </c>
      <c r="D3322">
        <v>38.031700000000001</v>
      </c>
      <c r="E3322">
        <v>38.1449</v>
      </c>
      <c r="F3322">
        <v>70396</v>
      </c>
    </row>
    <row r="3323" spans="1:6" x14ac:dyDescent="0.25">
      <c r="A3323" s="4">
        <v>39192</v>
      </c>
      <c r="B3323">
        <v>38.1449</v>
      </c>
      <c r="C3323">
        <v>38.427900000000001</v>
      </c>
      <c r="D3323">
        <v>38.088299999999997</v>
      </c>
      <c r="E3323">
        <v>38.201500000000003</v>
      </c>
      <c r="F3323">
        <v>36044</v>
      </c>
    </row>
    <row r="3324" spans="1:6" x14ac:dyDescent="0.25">
      <c r="A3324" s="4">
        <v>39195</v>
      </c>
      <c r="B3324">
        <v>38.484499999999997</v>
      </c>
      <c r="C3324">
        <v>39.163600000000002</v>
      </c>
      <c r="D3324">
        <v>38.427900000000001</v>
      </c>
      <c r="E3324">
        <v>38.823999999999998</v>
      </c>
      <c r="F3324">
        <v>50261</v>
      </c>
    </row>
    <row r="3325" spans="1:6" x14ac:dyDescent="0.25">
      <c r="A3325" s="4">
        <v>39196</v>
      </c>
      <c r="B3325">
        <v>38.937199999999997</v>
      </c>
      <c r="C3325">
        <v>39.616399999999999</v>
      </c>
      <c r="D3325">
        <v>38.823999999999998</v>
      </c>
      <c r="E3325">
        <v>39.5032</v>
      </c>
      <c r="F3325">
        <v>61861</v>
      </c>
    </row>
    <row r="3326" spans="1:6" x14ac:dyDescent="0.25">
      <c r="A3326" s="4">
        <v>39197</v>
      </c>
      <c r="B3326">
        <v>39.276800000000001</v>
      </c>
      <c r="C3326">
        <v>39.446599999999997</v>
      </c>
      <c r="D3326">
        <v>38.880600000000001</v>
      </c>
      <c r="E3326">
        <v>39.220199999999998</v>
      </c>
      <c r="F3326">
        <v>26493</v>
      </c>
    </row>
    <row r="3327" spans="1:6" x14ac:dyDescent="0.25">
      <c r="A3327" s="4">
        <v>39198</v>
      </c>
      <c r="B3327">
        <v>39.842700000000001</v>
      </c>
      <c r="C3327">
        <v>39.899299999999997</v>
      </c>
      <c r="D3327">
        <v>39.446599999999997</v>
      </c>
      <c r="E3327">
        <v>39.559800000000003</v>
      </c>
      <c r="F3327">
        <v>58302</v>
      </c>
    </row>
    <row r="3328" spans="1:6" x14ac:dyDescent="0.25">
      <c r="A3328" s="4">
        <v>39199</v>
      </c>
      <c r="B3328">
        <v>39.559800000000003</v>
      </c>
      <c r="C3328">
        <v>39.616399999999999</v>
      </c>
      <c r="D3328">
        <v>38.880600000000001</v>
      </c>
      <c r="E3328">
        <v>39.050400000000003</v>
      </c>
      <c r="F3328">
        <v>36623</v>
      </c>
    </row>
    <row r="3329" spans="1:6" x14ac:dyDescent="0.25">
      <c r="A3329" s="4">
        <v>39202</v>
      </c>
      <c r="B3329">
        <v>38.880600000000001</v>
      </c>
      <c r="C3329">
        <v>38.880600000000001</v>
      </c>
      <c r="D3329">
        <v>38.427900000000001</v>
      </c>
      <c r="E3329">
        <v>38.880600000000001</v>
      </c>
      <c r="F3329">
        <v>41146</v>
      </c>
    </row>
    <row r="3330" spans="1:6" x14ac:dyDescent="0.25">
      <c r="A3330" s="4">
        <v>39204</v>
      </c>
      <c r="B3330">
        <v>38.880600000000001</v>
      </c>
      <c r="C3330">
        <v>38.880600000000001</v>
      </c>
      <c r="D3330">
        <v>38.484499999999997</v>
      </c>
      <c r="E3330">
        <v>38.484499999999997</v>
      </c>
      <c r="F3330">
        <v>48789</v>
      </c>
    </row>
    <row r="3331" spans="1:6" x14ac:dyDescent="0.25">
      <c r="A3331" s="4">
        <v>39205</v>
      </c>
      <c r="B3331">
        <v>38.484499999999997</v>
      </c>
      <c r="C3331">
        <v>38.823999999999998</v>
      </c>
      <c r="D3331">
        <v>38.484499999999997</v>
      </c>
      <c r="E3331">
        <v>38.710799999999999</v>
      </c>
      <c r="F3331">
        <v>62295</v>
      </c>
    </row>
    <row r="3332" spans="1:6" x14ac:dyDescent="0.25">
      <c r="A3332" s="4">
        <v>39206</v>
      </c>
      <c r="B3332">
        <v>38.767400000000002</v>
      </c>
      <c r="C3332">
        <v>39.163600000000002</v>
      </c>
      <c r="D3332">
        <v>38.710799999999999</v>
      </c>
      <c r="E3332">
        <v>39.106999999999999</v>
      </c>
      <c r="F3332">
        <v>42950</v>
      </c>
    </row>
    <row r="3333" spans="1:6" x14ac:dyDescent="0.25">
      <c r="A3333" s="4">
        <v>39209</v>
      </c>
      <c r="B3333">
        <v>39.333399999999997</v>
      </c>
      <c r="C3333">
        <v>39.39</v>
      </c>
      <c r="D3333">
        <v>38.710799999999999</v>
      </c>
      <c r="E3333">
        <v>38.767400000000002</v>
      </c>
      <c r="F3333">
        <v>39668</v>
      </c>
    </row>
    <row r="3334" spans="1:6" x14ac:dyDescent="0.25">
      <c r="A3334" s="4">
        <v>39210</v>
      </c>
      <c r="B3334">
        <v>38.767400000000002</v>
      </c>
      <c r="C3334">
        <v>38.767400000000002</v>
      </c>
      <c r="D3334">
        <v>38.371299999999998</v>
      </c>
      <c r="E3334">
        <v>38.484499999999997</v>
      </c>
      <c r="F3334">
        <v>29006</v>
      </c>
    </row>
    <row r="3335" spans="1:6" x14ac:dyDescent="0.25">
      <c r="A3335" s="4">
        <v>39211</v>
      </c>
      <c r="B3335">
        <v>38.427900000000001</v>
      </c>
      <c r="C3335">
        <v>38.767400000000002</v>
      </c>
      <c r="D3335">
        <v>38.314700000000002</v>
      </c>
      <c r="E3335">
        <v>38.484499999999997</v>
      </c>
      <c r="F3335">
        <v>32818</v>
      </c>
    </row>
    <row r="3336" spans="1:6" x14ac:dyDescent="0.25">
      <c r="A3336" s="4">
        <v>39212</v>
      </c>
      <c r="B3336">
        <v>38.767400000000002</v>
      </c>
      <c r="C3336">
        <v>38.880600000000001</v>
      </c>
      <c r="D3336">
        <v>38.654200000000003</v>
      </c>
      <c r="E3336">
        <v>38.767400000000002</v>
      </c>
      <c r="F3336">
        <v>37977</v>
      </c>
    </row>
    <row r="3337" spans="1:6" x14ac:dyDescent="0.25">
      <c r="A3337" s="4">
        <v>39213</v>
      </c>
      <c r="B3337">
        <v>38.201500000000003</v>
      </c>
      <c r="C3337">
        <v>38.484499999999997</v>
      </c>
      <c r="D3337">
        <v>38.201500000000003</v>
      </c>
      <c r="E3337">
        <v>38.201500000000003</v>
      </c>
      <c r="F3337">
        <v>48063</v>
      </c>
    </row>
    <row r="3338" spans="1:6" x14ac:dyDescent="0.25">
      <c r="A3338" s="4">
        <v>39216</v>
      </c>
      <c r="B3338">
        <v>38.201500000000003</v>
      </c>
      <c r="C3338">
        <v>38.314700000000002</v>
      </c>
      <c r="D3338">
        <v>37.805300000000003</v>
      </c>
      <c r="E3338">
        <v>38.031700000000001</v>
      </c>
      <c r="F3338">
        <v>59014</v>
      </c>
    </row>
    <row r="3339" spans="1:6" x14ac:dyDescent="0.25">
      <c r="A3339" s="4">
        <v>39217</v>
      </c>
      <c r="B3339">
        <v>37.861899999999999</v>
      </c>
      <c r="C3339">
        <v>38.031700000000001</v>
      </c>
      <c r="D3339">
        <v>37.522399999999998</v>
      </c>
      <c r="E3339">
        <v>37.6355</v>
      </c>
      <c r="F3339">
        <v>51656</v>
      </c>
    </row>
    <row r="3340" spans="1:6" x14ac:dyDescent="0.25">
      <c r="A3340" s="4">
        <v>39218</v>
      </c>
      <c r="B3340">
        <v>37.918500000000002</v>
      </c>
      <c r="C3340">
        <v>37.918500000000002</v>
      </c>
      <c r="D3340">
        <v>37.578899999999997</v>
      </c>
      <c r="E3340">
        <v>37.692100000000003</v>
      </c>
      <c r="F3340">
        <v>40962</v>
      </c>
    </row>
    <row r="3341" spans="1:6" x14ac:dyDescent="0.25">
      <c r="A3341" s="4">
        <v>39219</v>
      </c>
      <c r="B3341">
        <v>38.031700000000001</v>
      </c>
      <c r="C3341">
        <v>38.5411</v>
      </c>
      <c r="D3341">
        <v>37.975099999999998</v>
      </c>
      <c r="E3341">
        <v>38.314700000000002</v>
      </c>
      <c r="F3341">
        <v>50267</v>
      </c>
    </row>
    <row r="3342" spans="1:6" x14ac:dyDescent="0.25">
      <c r="A3342" s="4">
        <v>39220</v>
      </c>
      <c r="B3342">
        <v>38.937199999999997</v>
      </c>
      <c r="C3342">
        <v>38.9938</v>
      </c>
      <c r="D3342">
        <v>38.597700000000003</v>
      </c>
      <c r="E3342">
        <v>38.767400000000002</v>
      </c>
      <c r="F3342">
        <v>82399</v>
      </c>
    </row>
    <row r="3343" spans="1:6" x14ac:dyDescent="0.25">
      <c r="A3343" s="4">
        <v>39223</v>
      </c>
      <c r="B3343">
        <v>38.937199999999997</v>
      </c>
      <c r="C3343">
        <v>39.276800000000001</v>
      </c>
      <c r="D3343">
        <v>38.767400000000002</v>
      </c>
      <c r="E3343">
        <v>39.163600000000002</v>
      </c>
      <c r="F3343">
        <v>68104</v>
      </c>
    </row>
    <row r="3344" spans="1:6" x14ac:dyDescent="0.25">
      <c r="A3344" s="4">
        <v>39224</v>
      </c>
      <c r="B3344">
        <v>39.050400000000003</v>
      </c>
      <c r="C3344">
        <v>39.106999999999999</v>
      </c>
      <c r="D3344">
        <v>38.710799999999999</v>
      </c>
      <c r="E3344">
        <v>38.710799999999999</v>
      </c>
      <c r="F3344">
        <v>27201</v>
      </c>
    </row>
    <row r="3345" spans="1:6" x14ac:dyDescent="0.25">
      <c r="A3345" s="4">
        <v>39225</v>
      </c>
      <c r="B3345">
        <v>38.9938</v>
      </c>
      <c r="C3345">
        <v>39.163600000000002</v>
      </c>
      <c r="D3345">
        <v>38.937199999999997</v>
      </c>
      <c r="E3345">
        <v>38.9938</v>
      </c>
      <c r="F3345">
        <v>60421</v>
      </c>
    </row>
    <row r="3346" spans="1:6" x14ac:dyDescent="0.25">
      <c r="A3346" s="4">
        <v>39226</v>
      </c>
      <c r="B3346">
        <v>38.767400000000002</v>
      </c>
      <c r="C3346">
        <v>38.9938</v>
      </c>
      <c r="D3346">
        <v>38.597700000000003</v>
      </c>
      <c r="E3346">
        <v>38.767400000000002</v>
      </c>
      <c r="F3346">
        <v>43679</v>
      </c>
    </row>
    <row r="3347" spans="1:6" x14ac:dyDescent="0.25">
      <c r="A3347" s="4">
        <v>39227</v>
      </c>
      <c r="B3347">
        <v>38.258099999999999</v>
      </c>
      <c r="C3347">
        <v>38.371299999999998</v>
      </c>
      <c r="D3347">
        <v>37.861899999999999</v>
      </c>
      <c r="E3347">
        <v>38.1449</v>
      </c>
      <c r="F3347">
        <v>67146</v>
      </c>
    </row>
    <row r="3348" spans="1:6" x14ac:dyDescent="0.25">
      <c r="A3348" s="4">
        <v>39230</v>
      </c>
      <c r="B3348">
        <v>38.427900000000001</v>
      </c>
      <c r="C3348">
        <v>38.427900000000001</v>
      </c>
      <c r="D3348">
        <v>38.201500000000003</v>
      </c>
      <c r="E3348">
        <v>38.258099999999999</v>
      </c>
      <c r="F3348">
        <v>31021</v>
      </c>
    </row>
    <row r="3349" spans="1:6" x14ac:dyDescent="0.25">
      <c r="A3349" s="4">
        <v>39231</v>
      </c>
      <c r="B3349">
        <v>38.427900000000001</v>
      </c>
      <c r="C3349">
        <v>38.823999999999998</v>
      </c>
      <c r="D3349">
        <v>38.371299999999998</v>
      </c>
      <c r="E3349">
        <v>38.823999999999998</v>
      </c>
      <c r="F3349">
        <v>50722</v>
      </c>
    </row>
    <row r="3350" spans="1:6" x14ac:dyDescent="0.25">
      <c r="A3350" s="4">
        <v>39232</v>
      </c>
      <c r="B3350">
        <v>38.427900000000001</v>
      </c>
      <c r="C3350">
        <v>38.767400000000002</v>
      </c>
      <c r="D3350">
        <v>38.201500000000003</v>
      </c>
      <c r="E3350">
        <v>38.484499999999997</v>
      </c>
      <c r="F3350">
        <v>48143</v>
      </c>
    </row>
    <row r="3351" spans="1:6" x14ac:dyDescent="0.25">
      <c r="A3351" s="4">
        <v>39233</v>
      </c>
      <c r="B3351">
        <v>38.767400000000002</v>
      </c>
      <c r="C3351">
        <v>38.880600000000001</v>
      </c>
      <c r="D3351">
        <v>38.597700000000003</v>
      </c>
      <c r="E3351">
        <v>38.597700000000003</v>
      </c>
      <c r="F3351">
        <v>57828</v>
      </c>
    </row>
    <row r="3352" spans="1:6" x14ac:dyDescent="0.25">
      <c r="A3352" s="4">
        <v>39234</v>
      </c>
      <c r="B3352">
        <v>38.937199999999997</v>
      </c>
      <c r="C3352">
        <v>39.050400000000003</v>
      </c>
      <c r="D3352">
        <v>38.823999999999998</v>
      </c>
      <c r="E3352">
        <v>38.937199999999997</v>
      </c>
      <c r="F3352">
        <v>68599</v>
      </c>
    </row>
    <row r="3353" spans="1:6" x14ac:dyDescent="0.25">
      <c r="A3353" s="4">
        <v>39237</v>
      </c>
      <c r="B3353">
        <v>39.050400000000003</v>
      </c>
      <c r="C3353">
        <v>39.333399999999997</v>
      </c>
      <c r="D3353">
        <v>39.050400000000003</v>
      </c>
      <c r="E3353">
        <v>39.106999999999999</v>
      </c>
      <c r="F3353">
        <v>70666</v>
      </c>
    </row>
    <row r="3354" spans="1:6" x14ac:dyDescent="0.25">
      <c r="A3354" s="4">
        <v>39238</v>
      </c>
      <c r="B3354">
        <v>39.106999999999999</v>
      </c>
      <c r="C3354">
        <v>39.220199999999998</v>
      </c>
      <c r="D3354">
        <v>38.880600000000001</v>
      </c>
      <c r="E3354">
        <v>39.050400000000003</v>
      </c>
      <c r="F3354">
        <v>52773</v>
      </c>
    </row>
    <row r="3355" spans="1:6" x14ac:dyDescent="0.25">
      <c r="A3355" s="4">
        <v>39239</v>
      </c>
      <c r="B3355">
        <v>39.050400000000003</v>
      </c>
      <c r="C3355">
        <v>39.276800000000001</v>
      </c>
      <c r="D3355">
        <v>38.823999999999998</v>
      </c>
      <c r="E3355">
        <v>38.9938</v>
      </c>
      <c r="F3355">
        <v>115590</v>
      </c>
    </row>
    <row r="3356" spans="1:6" x14ac:dyDescent="0.25">
      <c r="A3356" s="4">
        <v>39240</v>
      </c>
      <c r="B3356">
        <v>38.880600000000001</v>
      </c>
      <c r="C3356">
        <v>39.050400000000003</v>
      </c>
      <c r="D3356">
        <v>38.767400000000002</v>
      </c>
      <c r="E3356">
        <v>39.050400000000003</v>
      </c>
      <c r="F3356">
        <v>92535</v>
      </c>
    </row>
    <row r="3357" spans="1:6" x14ac:dyDescent="0.25">
      <c r="A3357" s="4">
        <v>39241</v>
      </c>
      <c r="B3357">
        <v>39.245399999999997</v>
      </c>
      <c r="C3357">
        <v>39.245399999999997</v>
      </c>
      <c r="D3357">
        <v>38.829099999999997</v>
      </c>
      <c r="E3357">
        <v>38.888599999999997</v>
      </c>
      <c r="F3357">
        <v>143616</v>
      </c>
    </row>
    <row r="3358" spans="1:6" x14ac:dyDescent="0.25">
      <c r="A3358" s="4">
        <v>39244</v>
      </c>
      <c r="B3358">
        <v>39.245399999999997</v>
      </c>
      <c r="C3358">
        <v>39.245399999999997</v>
      </c>
      <c r="D3358">
        <v>38.948099999999997</v>
      </c>
      <c r="E3358">
        <v>39.0075</v>
      </c>
      <c r="F3358">
        <v>52367</v>
      </c>
    </row>
    <row r="3359" spans="1:6" x14ac:dyDescent="0.25">
      <c r="A3359" s="4">
        <v>39245</v>
      </c>
      <c r="B3359">
        <v>38.948099999999997</v>
      </c>
      <c r="C3359">
        <v>39.0075</v>
      </c>
      <c r="D3359">
        <v>38.531799999999997</v>
      </c>
      <c r="E3359">
        <v>38.531799999999997</v>
      </c>
      <c r="F3359">
        <v>61054</v>
      </c>
    </row>
    <row r="3360" spans="1:6" x14ac:dyDescent="0.25">
      <c r="A3360" s="4">
        <v>39246</v>
      </c>
      <c r="B3360">
        <v>38.531799999999997</v>
      </c>
      <c r="C3360">
        <v>38.531799999999997</v>
      </c>
      <c r="D3360">
        <v>37.996600000000001</v>
      </c>
      <c r="E3360">
        <v>38.115600000000001</v>
      </c>
      <c r="F3360">
        <v>53172</v>
      </c>
    </row>
    <row r="3361" spans="1:6" x14ac:dyDescent="0.25">
      <c r="A3361" s="4">
        <v>39247</v>
      </c>
      <c r="B3361">
        <v>38.4724</v>
      </c>
      <c r="C3361">
        <v>38.7102</v>
      </c>
      <c r="D3361">
        <v>38.4129</v>
      </c>
      <c r="E3361">
        <v>38.650700000000001</v>
      </c>
      <c r="F3361">
        <v>62820</v>
      </c>
    </row>
    <row r="3362" spans="1:6" x14ac:dyDescent="0.25">
      <c r="A3362" s="4">
        <v>39248</v>
      </c>
      <c r="B3362">
        <v>39.067</v>
      </c>
      <c r="C3362">
        <v>39.126399999999997</v>
      </c>
      <c r="D3362">
        <v>38.829099999999997</v>
      </c>
      <c r="E3362">
        <v>39.067</v>
      </c>
      <c r="F3362">
        <v>76233</v>
      </c>
    </row>
    <row r="3363" spans="1:6" x14ac:dyDescent="0.25">
      <c r="A3363" s="4">
        <v>39253</v>
      </c>
      <c r="B3363">
        <v>39.542700000000004</v>
      </c>
      <c r="C3363">
        <v>40.731900000000003</v>
      </c>
      <c r="D3363">
        <v>39.542700000000004</v>
      </c>
      <c r="E3363">
        <v>40.613</v>
      </c>
      <c r="F3363">
        <v>155447</v>
      </c>
    </row>
    <row r="3364" spans="1:6" x14ac:dyDescent="0.25">
      <c r="A3364" s="4">
        <v>39254</v>
      </c>
      <c r="B3364">
        <v>40.791400000000003</v>
      </c>
      <c r="C3364">
        <v>41.267099999999999</v>
      </c>
      <c r="D3364">
        <v>40.2562</v>
      </c>
      <c r="E3364">
        <v>41.148200000000003</v>
      </c>
      <c r="F3364">
        <v>142946</v>
      </c>
    </row>
    <row r="3365" spans="1:6" x14ac:dyDescent="0.25">
      <c r="A3365" s="4">
        <v>39255</v>
      </c>
      <c r="B3365">
        <v>41.445500000000003</v>
      </c>
      <c r="C3365">
        <v>41.445500000000003</v>
      </c>
      <c r="D3365">
        <v>40.613</v>
      </c>
      <c r="E3365">
        <v>41.029200000000003</v>
      </c>
      <c r="F3365">
        <v>60656</v>
      </c>
    </row>
    <row r="3366" spans="1:6" x14ac:dyDescent="0.25">
      <c r="A3366" s="4">
        <v>39256</v>
      </c>
      <c r="B3366">
        <v>40.613</v>
      </c>
      <c r="C3366">
        <v>40.731900000000003</v>
      </c>
      <c r="D3366">
        <v>40.434600000000003</v>
      </c>
      <c r="E3366">
        <v>40.613</v>
      </c>
      <c r="F3366">
        <v>10385</v>
      </c>
    </row>
    <row r="3367" spans="1:6" x14ac:dyDescent="0.25">
      <c r="A3367" s="4">
        <v>39258</v>
      </c>
      <c r="B3367">
        <v>41.029200000000003</v>
      </c>
      <c r="C3367">
        <v>41.861699999999999</v>
      </c>
      <c r="D3367">
        <v>40.969799999999999</v>
      </c>
      <c r="E3367">
        <v>41.861699999999999</v>
      </c>
      <c r="F3367">
        <v>98491</v>
      </c>
    </row>
    <row r="3368" spans="1:6" x14ac:dyDescent="0.25">
      <c r="A3368" s="4">
        <v>39259</v>
      </c>
      <c r="B3368">
        <v>41.564399999999999</v>
      </c>
      <c r="C3368">
        <v>41.623899999999999</v>
      </c>
      <c r="D3368">
        <v>41.029200000000003</v>
      </c>
      <c r="E3368">
        <v>41.088700000000003</v>
      </c>
      <c r="F3368">
        <v>43650</v>
      </c>
    </row>
    <row r="3369" spans="1:6" x14ac:dyDescent="0.25">
      <c r="A3369" s="4">
        <v>39260</v>
      </c>
      <c r="B3369">
        <v>41.029200000000003</v>
      </c>
      <c r="C3369">
        <v>41.504899999999999</v>
      </c>
      <c r="D3369">
        <v>40.791400000000003</v>
      </c>
      <c r="E3369">
        <v>41.326599999999999</v>
      </c>
      <c r="F3369">
        <v>44934</v>
      </c>
    </row>
    <row r="3370" spans="1:6" x14ac:dyDescent="0.25">
      <c r="A3370" s="4">
        <v>39261</v>
      </c>
      <c r="B3370">
        <v>41.742800000000003</v>
      </c>
      <c r="C3370">
        <v>41.980600000000003</v>
      </c>
      <c r="D3370">
        <v>41.386000000000003</v>
      </c>
      <c r="E3370">
        <v>41.861699999999999</v>
      </c>
      <c r="F3370">
        <v>75851</v>
      </c>
    </row>
    <row r="3371" spans="1:6" x14ac:dyDescent="0.25">
      <c r="A3371" s="4">
        <v>39262</v>
      </c>
      <c r="B3371">
        <v>42.218499999999999</v>
      </c>
      <c r="C3371">
        <v>42.218499999999999</v>
      </c>
      <c r="D3371">
        <v>41.564399999999999</v>
      </c>
      <c r="E3371">
        <v>42.158999999999999</v>
      </c>
      <c r="F3371">
        <v>65105</v>
      </c>
    </row>
    <row r="3372" spans="1:6" x14ac:dyDescent="0.25">
      <c r="A3372" s="4">
        <v>39265</v>
      </c>
      <c r="B3372">
        <v>42.158999999999999</v>
      </c>
      <c r="C3372">
        <v>42.218499999999999</v>
      </c>
      <c r="D3372">
        <v>41.564399999999999</v>
      </c>
      <c r="E3372">
        <v>42.218499999999999</v>
      </c>
      <c r="F3372">
        <v>35290</v>
      </c>
    </row>
    <row r="3373" spans="1:6" x14ac:dyDescent="0.25">
      <c r="A3373" s="4">
        <v>39266</v>
      </c>
      <c r="B3373">
        <v>42.277999999999999</v>
      </c>
      <c r="C3373">
        <v>42.753700000000002</v>
      </c>
      <c r="D3373">
        <v>42.277999999999999</v>
      </c>
      <c r="E3373">
        <v>42.337400000000002</v>
      </c>
      <c r="F3373">
        <v>45194</v>
      </c>
    </row>
    <row r="3374" spans="1:6" x14ac:dyDescent="0.25">
      <c r="A3374" s="4">
        <v>39267</v>
      </c>
      <c r="B3374">
        <v>42.694200000000002</v>
      </c>
      <c r="C3374">
        <v>42.813099999999999</v>
      </c>
      <c r="D3374">
        <v>42.456299999999999</v>
      </c>
      <c r="E3374">
        <v>42.753700000000002</v>
      </c>
      <c r="F3374">
        <v>44851</v>
      </c>
    </row>
    <row r="3375" spans="1:6" x14ac:dyDescent="0.25">
      <c r="A3375" s="4">
        <v>39268</v>
      </c>
      <c r="B3375">
        <v>42.456299999999999</v>
      </c>
      <c r="C3375">
        <v>42.575299999999999</v>
      </c>
      <c r="D3375">
        <v>42.099600000000002</v>
      </c>
      <c r="E3375">
        <v>42.456299999999999</v>
      </c>
      <c r="F3375">
        <v>49565</v>
      </c>
    </row>
    <row r="3376" spans="1:6" x14ac:dyDescent="0.25">
      <c r="A3376" s="4">
        <v>39269</v>
      </c>
      <c r="B3376">
        <v>42.158999999999999</v>
      </c>
      <c r="C3376">
        <v>42.218499999999999</v>
      </c>
      <c r="D3376">
        <v>41.683300000000003</v>
      </c>
      <c r="E3376">
        <v>41.921199999999999</v>
      </c>
      <c r="F3376">
        <v>41339</v>
      </c>
    </row>
    <row r="3377" spans="1:6" x14ac:dyDescent="0.25">
      <c r="A3377" s="4">
        <v>39272</v>
      </c>
      <c r="B3377">
        <v>41.921199999999999</v>
      </c>
      <c r="C3377">
        <v>42.813099999999999</v>
      </c>
      <c r="D3377">
        <v>41.802300000000002</v>
      </c>
      <c r="E3377">
        <v>42.813099999999999</v>
      </c>
      <c r="F3377">
        <v>54238</v>
      </c>
    </row>
    <row r="3378" spans="1:6" x14ac:dyDescent="0.25">
      <c r="A3378" s="4">
        <v>39273</v>
      </c>
      <c r="B3378">
        <v>42.813099999999999</v>
      </c>
      <c r="C3378">
        <v>43.169899999999998</v>
      </c>
      <c r="D3378">
        <v>42.456299999999999</v>
      </c>
      <c r="E3378">
        <v>42.813099999999999</v>
      </c>
      <c r="F3378">
        <v>83494</v>
      </c>
    </row>
    <row r="3379" spans="1:6" x14ac:dyDescent="0.25">
      <c r="A3379" s="4">
        <v>39274</v>
      </c>
      <c r="B3379">
        <v>42.694200000000002</v>
      </c>
      <c r="C3379">
        <v>43.169899999999998</v>
      </c>
      <c r="D3379">
        <v>42.456299999999999</v>
      </c>
      <c r="E3379">
        <v>43.051000000000002</v>
      </c>
      <c r="F3379">
        <v>61807</v>
      </c>
    </row>
    <row r="3380" spans="1:6" x14ac:dyDescent="0.25">
      <c r="A3380" s="4">
        <v>39275</v>
      </c>
      <c r="B3380">
        <v>43.110399999999998</v>
      </c>
      <c r="C3380">
        <v>43.348300000000002</v>
      </c>
      <c r="D3380">
        <v>42.337400000000002</v>
      </c>
      <c r="E3380">
        <v>42.634700000000002</v>
      </c>
      <c r="F3380">
        <v>66500</v>
      </c>
    </row>
    <row r="3381" spans="1:6" x14ac:dyDescent="0.25">
      <c r="A3381" s="4">
        <v>39276</v>
      </c>
      <c r="B3381">
        <v>43.229399999999998</v>
      </c>
      <c r="C3381">
        <v>43.467199999999998</v>
      </c>
      <c r="D3381">
        <v>42.813099999999999</v>
      </c>
      <c r="E3381">
        <v>43.407800000000002</v>
      </c>
      <c r="F3381">
        <v>87166</v>
      </c>
    </row>
    <row r="3382" spans="1:6" x14ac:dyDescent="0.25">
      <c r="A3382" s="4">
        <v>39279</v>
      </c>
      <c r="B3382">
        <v>43.407800000000002</v>
      </c>
      <c r="C3382">
        <v>43.407800000000002</v>
      </c>
      <c r="D3382">
        <v>42.575299999999999</v>
      </c>
      <c r="E3382">
        <v>43.110399999999998</v>
      </c>
      <c r="F3382">
        <v>46981</v>
      </c>
    </row>
    <row r="3383" spans="1:6" x14ac:dyDescent="0.25">
      <c r="A3383" s="4">
        <v>39280</v>
      </c>
      <c r="B3383">
        <v>43.288800000000002</v>
      </c>
      <c r="C3383">
        <v>43.288800000000002</v>
      </c>
      <c r="D3383">
        <v>42.396900000000002</v>
      </c>
      <c r="E3383">
        <v>43.229399999999998</v>
      </c>
      <c r="F3383">
        <v>30795</v>
      </c>
    </row>
    <row r="3384" spans="1:6" x14ac:dyDescent="0.25">
      <c r="A3384" s="4">
        <v>39281</v>
      </c>
      <c r="B3384">
        <v>42.694200000000002</v>
      </c>
      <c r="C3384">
        <v>42.932099999999998</v>
      </c>
      <c r="D3384">
        <v>42.218499999999999</v>
      </c>
      <c r="E3384">
        <v>42.218499999999999</v>
      </c>
      <c r="F3384">
        <v>42428</v>
      </c>
    </row>
    <row r="3385" spans="1:6" x14ac:dyDescent="0.25">
      <c r="A3385" s="4">
        <v>39282</v>
      </c>
      <c r="B3385">
        <v>41.564399999999999</v>
      </c>
      <c r="C3385">
        <v>41.802300000000002</v>
      </c>
      <c r="D3385">
        <v>41.267099999999999</v>
      </c>
      <c r="E3385">
        <v>41.623899999999999</v>
      </c>
      <c r="F3385">
        <v>66276</v>
      </c>
    </row>
    <row r="3386" spans="1:6" x14ac:dyDescent="0.25">
      <c r="A3386" s="4">
        <v>39283</v>
      </c>
      <c r="B3386">
        <v>41.623899999999999</v>
      </c>
      <c r="C3386">
        <v>41.623899999999999</v>
      </c>
      <c r="D3386">
        <v>40.910299999999999</v>
      </c>
      <c r="E3386">
        <v>41.267099999999999</v>
      </c>
      <c r="F3386">
        <v>70094</v>
      </c>
    </row>
    <row r="3387" spans="1:6" x14ac:dyDescent="0.25">
      <c r="A3387" s="4">
        <v>39286</v>
      </c>
      <c r="B3387">
        <v>40.850900000000003</v>
      </c>
      <c r="C3387">
        <v>40.969799999999999</v>
      </c>
      <c r="D3387">
        <v>40.613</v>
      </c>
      <c r="E3387">
        <v>40.850900000000003</v>
      </c>
      <c r="F3387">
        <v>55365</v>
      </c>
    </row>
    <row r="3388" spans="1:6" x14ac:dyDescent="0.25">
      <c r="A3388" s="4">
        <v>39287</v>
      </c>
      <c r="B3388">
        <v>41.029200000000003</v>
      </c>
      <c r="C3388">
        <v>42.396900000000002</v>
      </c>
      <c r="D3388">
        <v>41.029200000000003</v>
      </c>
      <c r="E3388">
        <v>42.396900000000002</v>
      </c>
      <c r="F3388">
        <v>78730</v>
      </c>
    </row>
    <row r="3389" spans="1:6" x14ac:dyDescent="0.25">
      <c r="A3389" s="4">
        <v>39288</v>
      </c>
      <c r="B3389">
        <v>41.564399999999999</v>
      </c>
      <c r="C3389">
        <v>41.623899999999999</v>
      </c>
      <c r="D3389">
        <v>41.207599999999999</v>
      </c>
      <c r="E3389">
        <v>41.386000000000003</v>
      </c>
      <c r="F3389">
        <v>43077</v>
      </c>
    </row>
    <row r="3390" spans="1:6" x14ac:dyDescent="0.25">
      <c r="A3390" s="4">
        <v>39289</v>
      </c>
      <c r="B3390">
        <v>41.623899999999999</v>
      </c>
      <c r="C3390">
        <v>41.623899999999999</v>
      </c>
      <c r="D3390">
        <v>40.494100000000003</v>
      </c>
      <c r="E3390">
        <v>40.5535</v>
      </c>
      <c r="F3390">
        <v>73793</v>
      </c>
    </row>
    <row r="3391" spans="1:6" x14ac:dyDescent="0.25">
      <c r="A3391" s="4">
        <v>39290</v>
      </c>
      <c r="B3391">
        <v>38.650700000000001</v>
      </c>
      <c r="C3391">
        <v>38.888599999999997</v>
      </c>
      <c r="D3391">
        <v>38.056100000000001</v>
      </c>
      <c r="E3391">
        <v>38.056100000000001</v>
      </c>
      <c r="F3391">
        <v>258496</v>
      </c>
    </row>
    <row r="3392" spans="1:6" x14ac:dyDescent="0.25">
      <c r="A3392" s="4">
        <v>39293</v>
      </c>
      <c r="B3392">
        <v>37.639899999999997</v>
      </c>
      <c r="C3392">
        <v>38.829099999999997</v>
      </c>
      <c r="D3392">
        <v>37.520899999999997</v>
      </c>
      <c r="E3392">
        <v>38.650700000000001</v>
      </c>
      <c r="F3392">
        <v>123377</v>
      </c>
    </row>
    <row r="3393" spans="1:6" x14ac:dyDescent="0.25">
      <c r="A3393" s="4">
        <v>39294</v>
      </c>
      <c r="B3393">
        <v>38.650700000000001</v>
      </c>
      <c r="C3393">
        <v>38.7697</v>
      </c>
      <c r="D3393">
        <v>38.4129</v>
      </c>
      <c r="E3393">
        <v>38.650700000000001</v>
      </c>
      <c r="F3393">
        <v>107178</v>
      </c>
    </row>
    <row r="3394" spans="1:6" x14ac:dyDescent="0.25">
      <c r="A3394" s="4">
        <v>39295</v>
      </c>
      <c r="B3394">
        <v>38.056100000000001</v>
      </c>
      <c r="C3394">
        <v>38.353400000000001</v>
      </c>
      <c r="D3394">
        <v>36.450600000000001</v>
      </c>
      <c r="E3394">
        <v>36.450600000000001</v>
      </c>
      <c r="F3394">
        <v>182662</v>
      </c>
    </row>
    <row r="3395" spans="1:6" x14ac:dyDescent="0.25">
      <c r="A3395" s="4">
        <v>39296</v>
      </c>
      <c r="B3395">
        <v>36.866900000000001</v>
      </c>
      <c r="C3395">
        <v>37.937199999999997</v>
      </c>
      <c r="D3395">
        <v>36.688499999999998</v>
      </c>
      <c r="E3395">
        <v>37.937199999999997</v>
      </c>
      <c r="F3395">
        <v>95939</v>
      </c>
    </row>
    <row r="3396" spans="1:6" x14ac:dyDescent="0.25">
      <c r="A3396" s="4">
        <v>39297</v>
      </c>
      <c r="B3396">
        <v>38.293999999999997</v>
      </c>
      <c r="C3396">
        <v>38.353400000000001</v>
      </c>
      <c r="D3396">
        <v>37.402000000000001</v>
      </c>
      <c r="E3396">
        <v>37.996600000000001</v>
      </c>
      <c r="F3396">
        <v>43132</v>
      </c>
    </row>
    <row r="3397" spans="1:6" x14ac:dyDescent="0.25">
      <c r="A3397" s="4">
        <v>39300</v>
      </c>
      <c r="B3397">
        <v>37.164200000000001</v>
      </c>
      <c r="C3397">
        <v>37.699300000000001</v>
      </c>
      <c r="D3397">
        <v>37.104700000000001</v>
      </c>
      <c r="E3397">
        <v>37.223599999999998</v>
      </c>
      <c r="F3397">
        <v>50988</v>
      </c>
    </row>
    <row r="3398" spans="1:6" x14ac:dyDescent="0.25">
      <c r="A3398" s="4">
        <v>39301</v>
      </c>
      <c r="B3398">
        <v>37.342599999999997</v>
      </c>
      <c r="C3398">
        <v>37.402000000000001</v>
      </c>
      <c r="D3398">
        <v>36.391199999999998</v>
      </c>
      <c r="E3398">
        <v>36.450600000000001</v>
      </c>
      <c r="F3398">
        <v>73079</v>
      </c>
    </row>
    <row r="3399" spans="1:6" x14ac:dyDescent="0.25">
      <c r="A3399" s="4">
        <v>39302</v>
      </c>
      <c r="B3399">
        <v>36.510100000000001</v>
      </c>
      <c r="C3399">
        <v>37.342599999999997</v>
      </c>
      <c r="D3399">
        <v>36.153300000000002</v>
      </c>
      <c r="E3399">
        <v>37.342599999999997</v>
      </c>
      <c r="F3399">
        <v>78739</v>
      </c>
    </row>
    <row r="3400" spans="1:6" x14ac:dyDescent="0.25">
      <c r="A3400" s="4">
        <v>39303</v>
      </c>
      <c r="B3400">
        <v>38.115600000000001</v>
      </c>
      <c r="C3400">
        <v>38.234499999999997</v>
      </c>
      <c r="D3400">
        <v>37.580399999999997</v>
      </c>
      <c r="E3400">
        <v>37.937199999999997</v>
      </c>
      <c r="F3400">
        <v>50519</v>
      </c>
    </row>
    <row r="3401" spans="1:6" x14ac:dyDescent="0.25">
      <c r="A3401" s="4">
        <v>39304</v>
      </c>
      <c r="B3401">
        <v>36.331699999999998</v>
      </c>
      <c r="C3401">
        <v>37.045200000000001</v>
      </c>
      <c r="D3401">
        <v>36.331699999999998</v>
      </c>
      <c r="E3401">
        <v>36.569499999999998</v>
      </c>
      <c r="F3401">
        <v>78854</v>
      </c>
    </row>
    <row r="3402" spans="1:6" x14ac:dyDescent="0.25">
      <c r="A3402" s="4">
        <v>39307</v>
      </c>
      <c r="B3402">
        <v>37.164200000000001</v>
      </c>
      <c r="C3402">
        <v>37.223599999999998</v>
      </c>
      <c r="D3402">
        <v>36.628999999999998</v>
      </c>
      <c r="E3402">
        <v>36.866900000000001</v>
      </c>
      <c r="F3402">
        <v>59722</v>
      </c>
    </row>
    <row r="3403" spans="1:6" x14ac:dyDescent="0.25">
      <c r="A3403" s="4">
        <v>39308</v>
      </c>
      <c r="B3403">
        <v>36.985799999999998</v>
      </c>
      <c r="C3403">
        <v>37.283099999999997</v>
      </c>
      <c r="D3403">
        <v>36.569499999999998</v>
      </c>
      <c r="E3403">
        <v>36.807400000000001</v>
      </c>
      <c r="F3403">
        <v>42059</v>
      </c>
    </row>
    <row r="3404" spans="1:6" x14ac:dyDescent="0.25">
      <c r="A3404" s="4">
        <v>39309</v>
      </c>
      <c r="B3404">
        <v>36.569499999999998</v>
      </c>
      <c r="C3404">
        <v>36.569499999999998</v>
      </c>
      <c r="D3404">
        <v>36.093800000000002</v>
      </c>
      <c r="E3404">
        <v>36.272199999999998</v>
      </c>
      <c r="F3404">
        <v>70354</v>
      </c>
    </row>
    <row r="3405" spans="1:6" x14ac:dyDescent="0.25">
      <c r="A3405" s="4">
        <v>39310</v>
      </c>
      <c r="B3405">
        <v>35.677599999999998</v>
      </c>
      <c r="C3405">
        <v>35.737099999999998</v>
      </c>
      <c r="D3405">
        <v>34.845100000000002</v>
      </c>
      <c r="E3405">
        <v>35.142400000000002</v>
      </c>
      <c r="F3405">
        <v>115605</v>
      </c>
    </row>
    <row r="3406" spans="1:6" x14ac:dyDescent="0.25">
      <c r="A3406" s="4">
        <v>39311</v>
      </c>
      <c r="B3406">
        <v>35.142400000000002</v>
      </c>
      <c r="C3406">
        <v>35.856000000000002</v>
      </c>
      <c r="D3406">
        <v>34.845100000000002</v>
      </c>
      <c r="E3406">
        <v>35.082999999999998</v>
      </c>
      <c r="F3406">
        <v>76859</v>
      </c>
    </row>
    <row r="3407" spans="1:6" x14ac:dyDescent="0.25">
      <c r="A3407" s="4">
        <v>39314</v>
      </c>
      <c r="B3407">
        <v>36.866900000000001</v>
      </c>
      <c r="C3407">
        <v>37.045200000000001</v>
      </c>
      <c r="D3407">
        <v>36.153300000000002</v>
      </c>
      <c r="E3407">
        <v>36.985799999999998</v>
      </c>
      <c r="F3407">
        <v>61947</v>
      </c>
    </row>
    <row r="3408" spans="1:6" x14ac:dyDescent="0.25">
      <c r="A3408" s="4">
        <v>39315</v>
      </c>
      <c r="B3408">
        <v>36.569499999999998</v>
      </c>
      <c r="C3408">
        <v>36.866900000000001</v>
      </c>
      <c r="D3408">
        <v>35.974899999999998</v>
      </c>
      <c r="E3408">
        <v>36.807400000000001</v>
      </c>
      <c r="F3408">
        <v>50054</v>
      </c>
    </row>
    <row r="3409" spans="1:6" x14ac:dyDescent="0.25">
      <c r="A3409" s="4">
        <v>39316</v>
      </c>
      <c r="B3409">
        <v>36.569499999999998</v>
      </c>
      <c r="C3409">
        <v>36.569499999999998</v>
      </c>
      <c r="D3409">
        <v>36.093800000000002</v>
      </c>
      <c r="E3409">
        <v>36.212800000000001</v>
      </c>
      <c r="F3409">
        <v>38007</v>
      </c>
    </row>
    <row r="3410" spans="1:6" x14ac:dyDescent="0.25">
      <c r="A3410" s="4">
        <v>39317</v>
      </c>
      <c r="B3410">
        <v>37.164200000000001</v>
      </c>
      <c r="C3410">
        <v>37.461500000000001</v>
      </c>
      <c r="D3410">
        <v>37.045200000000001</v>
      </c>
      <c r="E3410">
        <v>37.342599999999997</v>
      </c>
      <c r="F3410">
        <v>90673</v>
      </c>
    </row>
    <row r="3411" spans="1:6" x14ac:dyDescent="0.25">
      <c r="A3411" s="4">
        <v>39318</v>
      </c>
      <c r="B3411">
        <v>37.461500000000001</v>
      </c>
      <c r="C3411">
        <v>37.461500000000001</v>
      </c>
      <c r="D3411">
        <v>36.569499999999998</v>
      </c>
      <c r="E3411">
        <v>36.628999999999998</v>
      </c>
      <c r="F3411">
        <v>54918</v>
      </c>
    </row>
    <row r="3412" spans="1:6" x14ac:dyDescent="0.25">
      <c r="A3412" s="4">
        <v>39321</v>
      </c>
      <c r="B3412">
        <v>37.104700000000001</v>
      </c>
      <c r="C3412">
        <v>37.223599999999998</v>
      </c>
      <c r="D3412">
        <v>36.510100000000001</v>
      </c>
      <c r="E3412">
        <v>36.628999999999998</v>
      </c>
      <c r="F3412">
        <v>39026</v>
      </c>
    </row>
    <row r="3413" spans="1:6" x14ac:dyDescent="0.25">
      <c r="A3413" s="4">
        <v>39322</v>
      </c>
      <c r="B3413">
        <v>36.153300000000002</v>
      </c>
      <c r="C3413">
        <v>36.569499999999998</v>
      </c>
      <c r="D3413">
        <v>36.034399999999998</v>
      </c>
      <c r="E3413">
        <v>36.510100000000001</v>
      </c>
      <c r="F3413">
        <v>37588</v>
      </c>
    </row>
    <row r="3414" spans="1:6" x14ac:dyDescent="0.25">
      <c r="A3414" s="4">
        <v>39323</v>
      </c>
      <c r="B3414">
        <v>35.439799999999998</v>
      </c>
      <c r="C3414">
        <v>35.856000000000002</v>
      </c>
      <c r="D3414">
        <v>35.439799999999998</v>
      </c>
      <c r="E3414">
        <v>35.796500000000002</v>
      </c>
      <c r="F3414">
        <v>50736</v>
      </c>
    </row>
    <row r="3415" spans="1:6" x14ac:dyDescent="0.25">
      <c r="A3415" s="4">
        <v>39324</v>
      </c>
      <c r="B3415">
        <v>36.153300000000002</v>
      </c>
      <c r="C3415">
        <v>36.272199999999998</v>
      </c>
      <c r="D3415">
        <v>35.915500000000002</v>
      </c>
      <c r="E3415">
        <v>35.974899999999998</v>
      </c>
      <c r="F3415">
        <v>32323</v>
      </c>
    </row>
    <row r="3416" spans="1:6" x14ac:dyDescent="0.25">
      <c r="A3416" s="4">
        <v>39325</v>
      </c>
      <c r="B3416">
        <v>36.034399999999998</v>
      </c>
      <c r="C3416">
        <v>37.283099999999997</v>
      </c>
      <c r="D3416">
        <v>36.034399999999998</v>
      </c>
      <c r="E3416">
        <v>37.283099999999997</v>
      </c>
      <c r="F3416">
        <v>56964</v>
      </c>
    </row>
    <row r="3417" spans="1:6" x14ac:dyDescent="0.25">
      <c r="A3417" s="4">
        <v>39328</v>
      </c>
      <c r="B3417">
        <v>37.283099999999997</v>
      </c>
      <c r="C3417">
        <v>37.283099999999997</v>
      </c>
      <c r="D3417">
        <v>36.747900000000001</v>
      </c>
      <c r="E3417">
        <v>37.223599999999998</v>
      </c>
      <c r="F3417">
        <v>28817</v>
      </c>
    </row>
    <row r="3418" spans="1:6" x14ac:dyDescent="0.25">
      <c r="A3418" s="4">
        <v>39329</v>
      </c>
      <c r="B3418">
        <v>36.747900000000001</v>
      </c>
      <c r="C3418">
        <v>37.164200000000001</v>
      </c>
      <c r="D3418">
        <v>36.510100000000001</v>
      </c>
      <c r="E3418">
        <v>36.628999999999998</v>
      </c>
      <c r="F3418">
        <v>18728</v>
      </c>
    </row>
    <row r="3419" spans="1:6" x14ac:dyDescent="0.25">
      <c r="A3419" s="4">
        <v>39330</v>
      </c>
      <c r="B3419">
        <v>37.223599999999998</v>
      </c>
      <c r="C3419">
        <v>37.283099999999997</v>
      </c>
      <c r="D3419">
        <v>36.688499999999998</v>
      </c>
      <c r="E3419">
        <v>36.747900000000001</v>
      </c>
      <c r="F3419">
        <v>30197</v>
      </c>
    </row>
    <row r="3420" spans="1:6" x14ac:dyDescent="0.25">
      <c r="A3420" s="4">
        <v>39331</v>
      </c>
      <c r="B3420">
        <v>36.747900000000001</v>
      </c>
      <c r="C3420">
        <v>37.223599999999998</v>
      </c>
      <c r="D3420">
        <v>36.331699999999998</v>
      </c>
      <c r="E3420">
        <v>36.985799999999998</v>
      </c>
      <c r="F3420">
        <v>38975</v>
      </c>
    </row>
    <row r="3421" spans="1:6" x14ac:dyDescent="0.25">
      <c r="A3421" s="4">
        <v>39332</v>
      </c>
      <c r="B3421">
        <v>37.342599999999997</v>
      </c>
      <c r="C3421">
        <v>37.342599999999997</v>
      </c>
      <c r="D3421">
        <v>36.569499999999998</v>
      </c>
      <c r="E3421">
        <v>36.866900000000001</v>
      </c>
      <c r="F3421">
        <v>26672</v>
      </c>
    </row>
    <row r="3422" spans="1:6" x14ac:dyDescent="0.25">
      <c r="A3422" s="4">
        <v>39335</v>
      </c>
      <c r="B3422">
        <v>36.450600000000001</v>
      </c>
      <c r="C3422">
        <v>36.450600000000001</v>
      </c>
      <c r="D3422">
        <v>35.856000000000002</v>
      </c>
      <c r="E3422">
        <v>36.391199999999998</v>
      </c>
      <c r="F3422">
        <v>32964</v>
      </c>
    </row>
    <row r="3423" spans="1:6" x14ac:dyDescent="0.25">
      <c r="A3423" s="4">
        <v>39336</v>
      </c>
      <c r="B3423">
        <v>36.569499999999998</v>
      </c>
      <c r="C3423">
        <v>36.569499999999998</v>
      </c>
      <c r="D3423">
        <v>36.153300000000002</v>
      </c>
      <c r="E3423">
        <v>36.450600000000001</v>
      </c>
      <c r="F3423">
        <v>19080</v>
      </c>
    </row>
    <row r="3424" spans="1:6" x14ac:dyDescent="0.25">
      <c r="A3424" s="4">
        <v>39337</v>
      </c>
      <c r="B3424">
        <v>36.272199999999998</v>
      </c>
      <c r="C3424">
        <v>36.747900000000001</v>
      </c>
      <c r="D3424">
        <v>36.272199999999998</v>
      </c>
      <c r="E3424">
        <v>36.569499999999998</v>
      </c>
      <c r="F3424">
        <v>30811</v>
      </c>
    </row>
    <row r="3425" spans="1:6" x14ac:dyDescent="0.25">
      <c r="A3425" s="4">
        <v>39338</v>
      </c>
      <c r="B3425">
        <v>36.569499999999998</v>
      </c>
      <c r="C3425">
        <v>36.569499999999998</v>
      </c>
      <c r="D3425">
        <v>35.915500000000002</v>
      </c>
      <c r="E3425">
        <v>36.034399999999998</v>
      </c>
      <c r="F3425">
        <v>30862</v>
      </c>
    </row>
    <row r="3426" spans="1:6" x14ac:dyDescent="0.25">
      <c r="A3426" s="4">
        <v>39339</v>
      </c>
      <c r="B3426">
        <v>36.510100000000001</v>
      </c>
      <c r="C3426">
        <v>36.747900000000001</v>
      </c>
      <c r="D3426">
        <v>36.212800000000001</v>
      </c>
      <c r="E3426">
        <v>36.747900000000001</v>
      </c>
      <c r="F3426">
        <v>46439</v>
      </c>
    </row>
    <row r="3427" spans="1:6" x14ac:dyDescent="0.25">
      <c r="A3427" s="4">
        <v>39342</v>
      </c>
      <c r="B3427">
        <v>36.866900000000001</v>
      </c>
      <c r="C3427">
        <v>36.866900000000001</v>
      </c>
      <c r="D3427">
        <v>35.974899999999998</v>
      </c>
      <c r="E3427">
        <v>36.153300000000002</v>
      </c>
      <c r="F3427">
        <v>28984</v>
      </c>
    </row>
    <row r="3428" spans="1:6" x14ac:dyDescent="0.25">
      <c r="A3428" s="4">
        <v>39344</v>
      </c>
      <c r="B3428">
        <v>37.045200000000001</v>
      </c>
      <c r="C3428">
        <v>37.104700000000001</v>
      </c>
      <c r="D3428">
        <v>36.153300000000002</v>
      </c>
      <c r="E3428">
        <v>36.510100000000001</v>
      </c>
      <c r="F3428">
        <v>86823</v>
      </c>
    </row>
    <row r="3429" spans="1:6" x14ac:dyDescent="0.25">
      <c r="A3429" s="4">
        <v>39345</v>
      </c>
      <c r="B3429">
        <v>36.688499999999998</v>
      </c>
      <c r="C3429">
        <v>36.926299999999998</v>
      </c>
      <c r="D3429">
        <v>36.212800000000001</v>
      </c>
      <c r="E3429">
        <v>36.272199999999998</v>
      </c>
      <c r="F3429">
        <v>66992</v>
      </c>
    </row>
    <row r="3430" spans="1:6" x14ac:dyDescent="0.25">
      <c r="A3430" s="4">
        <v>39346</v>
      </c>
      <c r="B3430">
        <v>36.569499999999998</v>
      </c>
      <c r="C3430">
        <v>36.747900000000001</v>
      </c>
      <c r="D3430">
        <v>36.272199999999998</v>
      </c>
      <c r="E3430">
        <v>36.569499999999998</v>
      </c>
      <c r="F3430">
        <v>29968</v>
      </c>
    </row>
    <row r="3431" spans="1:6" x14ac:dyDescent="0.25">
      <c r="A3431" s="4">
        <v>39351</v>
      </c>
      <c r="B3431">
        <v>36.272199999999998</v>
      </c>
      <c r="C3431">
        <v>36.747900000000001</v>
      </c>
      <c r="D3431">
        <v>36.272199999999998</v>
      </c>
      <c r="E3431">
        <v>36.569499999999998</v>
      </c>
      <c r="F3431">
        <v>86945</v>
      </c>
    </row>
    <row r="3432" spans="1:6" x14ac:dyDescent="0.25">
      <c r="A3432" s="4">
        <v>39352</v>
      </c>
      <c r="B3432">
        <v>36.985799999999998</v>
      </c>
      <c r="C3432">
        <v>37.818300000000001</v>
      </c>
      <c r="D3432">
        <v>36.688499999999998</v>
      </c>
      <c r="E3432">
        <v>37.818300000000001</v>
      </c>
      <c r="F3432">
        <v>74538</v>
      </c>
    </row>
    <row r="3433" spans="1:6" x14ac:dyDescent="0.25">
      <c r="A3433" s="4">
        <v>39353</v>
      </c>
      <c r="B3433">
        <v>37.818300000000001</v>
      </c>
      <c r="C3433">
        <v>37.996600000000001</v>
      </c>
      <c r="D3433">
        <v>37.520899999999997</v>
      </c>
      <c r="E3433">
        <v>37.818300000000001</v>
      </c>
      <c r="F3433">
        <v>66094</v>
      </c>
    </row>
    <row r="3434" spans="1:6" x14ac:dyDescent="0.25">
      <c r="A3434" s="4">
        <v>39354</v>
      </c>
      <c r="B3434">
        <v>37.758800000000001</v>
      </c>
      <c r="C3434">
        <v>37.758800000000001</v>
      </c>
      <c r="D3434">
        <v>37.520899999999997</v>
      </c>
      <c r="E3434">
        <v>37.639899999999997</v>
      </c>
      <c r="F3434">
        <v>10714</v>
      </c>
    </row>
    <row r="3435" spans="1:6" x14ac:dyDescent="0.25">
      <c r="A3435" s="4">
        <v>39356</v>
      </c>
      <c r="B3435">
        <v>37.758800000000001</v>
      </c>
      <c r="C3435">
        <v>38.174999999999997</v>
      </c>
      <c r="D3435">
        <v>37.758800000000001</v>
      </c>
      <c r="E3435">
        <v>37.996600000000001</v>
      </c>
      <c r="F3435">
        <v>58783</v>
      </c>
    </row>
    <row r="3436" spans="1:6" x14ac:dyDescent="0.25">
      <c r="A3436" s="4">
        <v>39357</v>
      </c>
      <c r="B3436">
        <v>38.591299999999997</v>
      </c>
      <c r="C3436">
        <v>38.829099999999997</v>
      </c>
      <c r="D3436">
        <v>38.353400000000001</v>
      </c>
      <c r="E3436">
        <v>38.591299999999997</v>
      </c>
      <c r="F3436">
        <v>109002</v>
      </c>
    </row>
    <row r="3437" spans="1:6" x14ac:dyDescent="0.25">
      <c r="A3437" s="4">
        <v>39358</v>
      </c>
      <c r="B3437">
        <v>38.829099999999997</v>
      </c>
      <c r="C3437">
        <v>38.829099999999997</v>
      </c>
      <c r="D3437">
        <v>38.4724</v>
      </c>
      <c r="E3437">
        <v>38.650700000000001</v>
      </c>
      <c r="F3437">
        <v>78100</v>
      </c>
    </row>
    <row r="3438" spans="1:6" x14ac:dyDescent="0.25">
      <c r="A3438" s="4">
        <v>39359</v>
      </c>
      <c r="B3438">
        <v>38.174999999999997</v>
      </c>
      <c r="C3438">
        <v>38.650700000000001</v>
      </c>
      <c r="D3438">
        <v>37.996600000000001</v>
      </c>
      <c r="E3438">
        <v>38.174999999999997</v>
      </c>
      <c r="F3438">
        <v>39863</v>
      </c>
    </row>
    <row r="3439" spans="1:6" x14ac:dyDescent="0.25">
      <c r="A3439" s="4">
        <v>39360</v>
      </c>
      <c r="B3439">
        <v>38.174999999999997</v>
      </c>
      <c r="C3439">
        <v>38.650700000000001</v>
      </c>
      <c r="D3439">
        <v>38.056100000000001</v>
      </c>
      <c r="E3439">
        <v>38.4129</v>
      </c>
      <c r="F3439">
        <v>27484</v>
      </c>
    </row>
    <row r="3440" spans="1:6" x14ac:dyDescent="0.25">
      <c r="A3440" s="4">
        <v>39363</v>
      </c>
      <c r="B3440">
        <v>38.948099999999997</v>
      </c>
      <c r="C3440">
        <v>39.0075</v>
      </c>
      <c r="D3440">
        <v>38.353400000000001</v>
      </c>
      <c r="E3440">
        <v>38.650700000000001</v>
      </c>
      <c r="F3440">
        <v>63753</v>
      </c>
    </row>
    <row r="3441" spans="1:6" x14ac:dyDescent="0.25">
      <c r="A3441" s="4">
        <v>39364</v>
      </c>
      <c r="B3441">
        <v>38.829099999999997</v>
      </c>
      <c r="C3441">
        <v>38.829099999999997</v>
      </c>
      <c r="D3441">
        <v>38.056100000000001</v>
      </c>
      <c r="E3441">
        <v>38.531799999999997</v>
      </c>
      <c r="F3441">
        <v>41887</v>
      </c>
    </row>
    <row r="3442" spans="1:6" x14ac:dyDescent="0.25">
      <c r="A3442" s="4">
        <v>39366</v>
      </c>
      <c r="B3442">
        <v>38.650700000000001</v>
      </c>
      <c r="C3442">
        <v>38.650700000000001</v>
      </c>
      <c r="D3442">
        <v>37.461500000000001</v>
      </c>
      <c r="E3442">
        <v>37.639899999999997</v>
      </c>
      <c r="F3442">
        <v>81046</v>
      </c>
    </row>
    <row r="3443" spans="1:6" x14ac:dyDescent="0.25">
      <c r="A3443" s="4">
        <v>39367</v>
      </c>
      <c r="B3443">
        <v>37.223599999999998</v>
      </c>
      <c r="C3443">
        <v>37.223599999999998</v>
      </c>
      <c r="D3443">
        <v>36.391199999999998</v>
      </c>
      <c r="E3443">
        <v>36.450600000000001</v>
      </c>
      <c r="F3443">
        <v>78498</v>
      </c>
    </row>
    <row r="3444" spans="1:6" x14ac:dyDescent="0.25">
      <c r="A3444" s="4">
        <v>39370</v>
      </c>
      <c r="B3444">
        <v>36.450600000000001</v>
      </c>
      <c r="C3444">
        <v>37.402000000000001</v>
      </c>
      <c r="D3444">
        <v>36.391199999999998</v>
      </c>
      <c r="E3444">
        <v>37.402000000000001</v>
      </c>
      <c r="F3444">
        <v>89466</v>
      </c>
    </row>
    <row r="3445" spans="1:6" x14ac:dyDescent="0.25">
      <c r="A3445" s="4">
        <v>39371</v>
      </c>
      <c r="B3445">
        <v>36.747900000000001</v>
      </c>
      <c r="C3445">
        <v>37.342599999999997</v>
      </c>
      <c r="D3445">
        <v>36.747900000000001</v>
      </c>
      <c r="E3445">
        <v>37.104700000000001</v>
      </c>
      <c r="F3445">
        <v>79444</v>
      </c>
    </row>
    <row r="3446" spans="1:6" x14ac:dyDescent="0.25">
      <c r="A3446" s="4">
        <v>39372</v>
      </c>
      <c r="B3446">
        <v>37.283099999999997</v>
      </c>
      <c r="C3446">
        <v>37.283099999999997</v>
      </c>
      <c r="D3446">
        <v>36.628999999999998</v>
      </c>
      <c r="E3446">
        <v>36.866900000000001</v>
      </c>
      <c r="F3446">
        <v>46880</v>
      </c>
    </row>
    <row r="3447" spans="1:6" x14ac:dyDescent="0.25">
      <c r="A3447" s="4">
        <v>39373</v>
      </c>
      <c r="B3447">
        <v>37.045200000000001</v>
      </c>
      <c r="C3447">
        <v>37.402000000000001</v>
      </c>
      <c r="D3447">
        <v>36.747900000000001</v>
      </c>
      <c r="E3447">
        <v>37.402000000000001</v>
      </c>
      <c r="F3447">
        <v>32345</v>
      </c>
    </row>
    <row r="3448" spans="1:6" x14ac:dyDescent="0.25">
      <c r="A3448" s="4">
        <v>39374</v>
      </c>
      <c r="B3448">
        <v>37.402000000000001</v>
      </c>
      <c r="C3448">
        <v>37.402000000000001</v>
      </c>
      <c r="D3448">
        <v>36.807400000000001</v>
      </c>
      <c r="E3448">
        <v>36.866900000000001</v>
      </c>
      <c r="F3448">
        <v>26624</v>
      </c>
    </row>
    <row r="3449" spans="1:6" x14ac:dyDescent="0.25">
      <c r="A3449" s="4">
        <v>39377</v>
      </c>
      <c r="B3449">
        <v>35.677599999999998</v>
      </c>
      <c r="C3449">
        <v>36.034399999999998</v>
      </c>
      <c r="D3449">
        <v>35.439799999999998</v>
      </c>
      <c r="E3449">
        <v>36.034399999999998</v>
      </c>
      <c r="F3449">
        <v>79511</v>
      </c>
    </row>
    <row r="3450" spans="1:6" x14ac:dyDescent="0.25">
      <c r="A3450" s="4">
        <v>39378</v>
      </c>
      <c r="B3450">
        <v>36.034399999999998</v>
      </c>
      <c r="C3450">
        <v>36.688499999999998</v>
      </c>
      <c r="D3450">
        <v>36.034399999999998</v>
      </c>
      <c r="E3450">
        <v>36.569499999999998</v>
      </c>
      <c r="F3450">
        <v>34750</v>
      </c>
    </row>
    <row r="3451" spans="1:6" x14ac:dyDescent="0.25">
      <c r="A3451" s="4">
        <v>39379</v>
      </c>
      <c r="B3451">
        <v>36.628999999999998</v>
      </c>
      <c r="C3451">
        <v>36.926299999999998</v>
      </c>
      <c r="D3451">
        <v>36.034399999999998</v>
      </c>
      <c r="E3451">
        <v>36.153300000000002</v>
      </c>
      <c r="F3451">
        <v>32746</v>
      </c>
    </row>
    <row r="3452" spans="1:6" x14ac:dyDescent="0.25">
      <c r="A3452" s="4">
        <v>39380</v>
      </c>
      <c r="B3452">
        <v>35.974899999999998</v>
      </c>
      <c r="C3452">
        <v>36.450600000000001</v>
      </c>
      <c r="D3452">
        <v>35.915500000000002</v>
      </c>
      <c r="E3452">
        <v>36.331699999999998</v>
      </c>
      <c r="F3452">
        <v>45848</v>
      </c>
    </row>
    <row r="3453" spans="1:6" x14ac:dyDescent="0.25">
      <c r="A3453" s="4">
        <v>39381</v>
      </c>
      <c r="B3453">
        <v>36.272199999999998</v>
      </c>
      <c r="C3453">
        <v>36.747900000000001</v>
      </c>
      <c r="D3453">
        <v>36.272199999999998</v>
      </c>
      <c r="E3453">
        <v>36.628999999999998</v>
      </c>
      <c r="F3453">
        <v>72183</v>
      </c>
    </row>
    <row r="3454" spans="1:6" x14ac:dyDescent="0.25">
      <c r="A3454" s="4">
        <v>39384</v>
      </c>
      <c r="B3454">
        <v>36.866900000000001</v>
      </c>
      <c r="C3454">
        <v>38.056100000000001</v>
      </c>
      <c r="D3454">
        <v>36.866900000000001</v>
      </c>
      <c r="E3454">
        <v>37.996600000000001</v>
      </c>
      <c r="F3454">
        <v>82961</v>
      </c>
    </row>
    <row r="3455" spans="1:6" x14ac:dyDescent="0.25">
      <c r="A3455" s="4">
        <v>39385</v>
      </c>
      <c r="B3455">
        <v>38.293999999999997</v>
      </c>
      <c r="C3455">
        <v>38.293999999999997</v>
      </c>
      <c r="D3455">
        <v>37.283099999999997</v>
      </c>
      <c r="E3455">
        <v>37.461500000000001</v>
      </c>
      <c r="F3455">
        <v>37835</v>
      </c>
    </row>
    <row r="3456" spans="1:6" x14ac:dyDescent="0.25">
      <c r="A3456" s="4">
        <v>39386</v>
      </c>
      <c r="B3456">
        <v>38.056100000000001</v>
      </c>
      <c r="C3456">
        <v>38.174999999999997</v>
      </c>
      <c r="D3456">
        <v>37.461500000000001</v>
      </c>
      <c r="E3456">
        <v>37.937199999999997</v>
      </c>
      <c r="F3456">
        <v>48024</v>
      </c>
    </row>
    <row r="3457" spans="1:6" x14ac:dyDescent="0.25">
      <c r="A3457" s="4">
        <v>39387</v>
      </c>
      <c r="B3457">
        <v>38.293999999999997</v>
      </c>
      <c r="C3457">
        <v>38.293999999999997</v>
      </c>
      <c r="D3457">
        <v>37.699300000000001</v>
      </c>
      <c r="E3457">
        <v>38.174999999999997</v>
      </c>
      <c r="F3457">
        <v>54715</v>
      </c>
    </row>
    <row r="3458" spans="1:6" x14ac:dyDescent="0.25">
      <c r="A3458" s="4">
        <v>39388</v>
      </c>
      <c r="B3458">
        <v>37.461500000000001</v>
      </c>
      <c r="C3458">
        <v>37.818300000000001</v>
      </c>
      <c r="D3458">
        <v>36.569499999999998</v>
      </c>
      <c r="E3458">
        <v>36.628999999999998</v>
      </c>
      <c r="F3458">
        <v>59728</v>
      </c>
    </row>
    <row r="3459" spans="1:6" x14ac:dyDescent="0.25">
      <c r="A3459" s="4">
        <v>39391</v>
      </c>
      <c r="B3459">
        <v>36.866900000000001</v>
      </c>
      <c r="C3459">
        <v>37.164200000000001</v>
      </c>
      <c r="D3459">
        <v>35.974899999999998</v>
      </c>
      <c r="E3459">
        <v>37.164200000000001</v>
      </c>
      <c r="F3459">
        <v>63835</v>
      </c>
    </row>
    <row r="3460" spans="1:6" x14ac:dyDescent="0.25">
      <c r="A3460" s="4">
        <v>39392</v>
      </c>
      <c r="B3460">
        <v>37.164200000000001</v>
      </c>
      <c r="C3460">
        <v>37.461500000000001</v>
      </c>
      <c r="D3460">
        <v>36.866900000000001</v>
      </c>
      <c r="E3460">
        <v>37.223599999999998</v>
      </c>
      <c r="F3460">
        <v>32629</v>
      </c>
    </row>
    <row r="3461" spans="1:6" x14ac:dyDescent="0.25">
      <c r="A3461" s="4">
        <v>39393</v>
      </c>
      <c r="B3461">
        <v>37.937199999999997</v>
      </c>
      <c r="C3461">
        <v>37.937199999999997</v>
      </c>
      <c r="D3461">
        <v>37.402000000000001</v>
      </c>
      <c r="E3461">
        <v>37.461500000000001</v>
      </c>
      <c r="F3461">
        <v>78559</v>
      </c>
    </row>
    <row r="3462" spans="1:6" x14ac:dyDescent="0.25">
      <c r="A3462" s="4">
        <v>39394</v>
      </c>
      <c r="B3462">
        <v>36.569499999999998</v>
      </c>
      <c r="C3462">
        <v>37.045200000000001</v>
      </c>
      <c r="D3462">
        <v>36.510100000000001</v>
      </c>
      <c r="E3462">
        <v>36.807400000000001</v>
      </c>
      <c r="F3462">
        <v>58066</v>
      </c>
    </row>
    <row r="3463" spans="1:6" x14ac:dyDescent="0.25">
      <c r="A3463" s="4">
        <v>39395</v>
      </c>
      <c r="B3463">
        <v>36.628999999999998</v>
      </c>
      <c r="C3463">
        <v>37.639899999999997</v>
      </c>
      <c r="D3463">
        <v>36.569499999999998</v>
      </c>
      <c r="E3463">
        <v>37.045200000000001</v>
      </c>
      <c r="F3463">
        <v>68369</v>
      </c>
    </row>
    <row r="3464" spans="1:6" x14ac:dyDescent="0.25">
      <c r="A3464" s="4">
        <v>39398</v>
      </c>
      <c r="B3464">
        <v>36.628999999999998</v>
      </c>
      <c r="C3464">
        <v>36.926299999999998</v>
      </c>
      <c r="D3464">
        <v>36.510100000000001</v>
      </c>
      <c r="E3464">
        <v>36.628999999999998</v>
      </c>
      <c r="F3464">
        <v>79045</v>
      </c>
    </row>
    <row r="3465" spans="1:6" x14ac:dyDescent="0.25">
      <c r="A3465" s="4">
        <v>39399</v>
      </c>
      <c r="B3465">
        <v>36.569499999999998</v>
      </c>
      <c r="C3465">
        <v>36.688499999999998</v>
      </c>
      <c r="D3465">
        <v>36.272199999999998</v>
      </c>
      <c r="E3465">
        <v>36.688499999999998</v>
      </c>
      <c r="F3465">
        <v>55169</v>
      </c>
    </row>
    <row r="3466" spans="1:6" x14ac:dyDescent="0.25">
      <c r="A3466" s="4">
        <v>39400</v>
      </c>
      <c r="B3466">
        <v>37.342599999999997</v>
      </c>
      <c r="C3466">
        <v>37.580399999999997</v>
      </c>
      <c r="D3466">
        <v>36.510100000000001</v>
      </c>
      <c r="E3466">
        <v>36.569499999999998</v>
      </c>
      <c r="F3466">
        <v>75839</v>
      </c>
    </row>
    <row r="3467" spans="1:6" x14ac:dyDescent="0.25">
      <c r="A3467" s="4">
        <v>39401</v>
      </c>
      <c r="B3467">
        <v>36.272199999999998</v>
      </c>
      <c r="C3467">
        <v>36.628999999999998</v>
      </c>
      <c r="D3467">
        <v>36.212800000000001</v>
      </c>
      <c r="E3467">
        <v>36.212800000000001</v>
      </c>
      <c r="F3467">
        <v>49354</v>
      </c>
    </row>
    <row r="3468" spans="1:6" x14ac:dyDescent="0.25">
      <c r="A3468" s="4">
        <v>39402</v>
      </c>
      <c r="B3468">
        <v>36.093800000000002</v>
      </c>
      <c r="C3468">
        <v>36.093800000000002</v>
      </c>
      <c r="D3468">
        <v>35.677599999999998</v>
      </c>
      <c r="E3468">
        <v>35.974899999999998</v>
      </c>
      <c r="F3468">
        <v>53112</v>
      </c>
    </row>
    <row r="3469" spans="1:6" x14ac:dyDescent="0.25">
      <c r="A3469" s="4">
        <v>39405</v>
      </c>
      <c r="B3469">
        <v>35.974899999999998</v>
      </c>
      <c r="C3469">
        <v>36.866900000000001</v>
      </c>
      <c r="D3469">
        <v>35.915500000000002</v>
      </c>
      <c r="E3469">
        <v>35.974899999999998</v>
      </c>
      <c r="F3469">
        <v>70539</v>
      </c>
    </row>
    <row r="3470" spans="1:6" x14ac:dyDescent="0.25">
      <c r="A3470" s="4">
        <v>39406</v>
      </c>
      <c r="B3470">
        <v>35.677599999999998</v>
      </c>
      <c r="C3470">
        <v>36.153300000000002</v>
      </c>
      <c r="D3470">
        <v>35.558700000000002</v>
      </c>
      <c r="E3470">
        <v>35.974899999999998</v>
      </c>
      <c r="F3470">
        <v>63682</v>
      </c>
    </row>
    <row r="3471" spans="1:6" x14ac:dyDescent="0.25">
      <c r="A3471" s="4">
        <v>39407</v>
      </c>
      <c r="B3471">
        <v>35.974899999999998</v>
      </c>
      <c r="C3471">
        <v>36.034399999999998</v>
      </c>
      <c r="D3471">
        <v>34.845100000000002</v>
      </c>
      <c r="E3471">
        <v>34.845100000000002</v>
      </c>
      <c r="F3471">
        <v>82582</v>
      </c>
    </row>
    <row r="3472" spans="1:6" x14ac:dyDescent="0.25">
      <c r="A3472" s="4">
        <v>39408</v>
      </c>
      <c r="B3472">
        <v>34.488399999999999</v>
      </c>
      <c r="C3472">
        <v>35.737099999999998</v>
      </c>
      <c r="D3472">
        <v>34.131599999999999</v>
      </c>
      <c r="E3472">
        <v>35.618099999999998</v>
      </c>
      <c r="F3472">
        <v>54957</v>
      </c>
    </row>
    <row r="3473" spans="1:6" x14ac:dyDescent="0.25">
      <c r="A3473" s="4">
        <v>39409</v>
      </c>
      <c r="B3473">
        <v>35.677599999999998</v>
      </c>
      <c r="C3473">
        <v>35.796500000000002</v>
      </c>
      <c r="D3473">
        <v>35.261400000000002</v>
      </c>
      <c r="E3473">
        <v>35.439799999999998</v>
      </c>
      <c r="F3473">
        <v>54263</v>
      </c>
    </row>
    <row r="3474" spans="1:6" x14ac:dyDescent="0.25">
      <c r="A3474" s="4">
        <v>39412</v>
      </c>
      <c r="B3474">
        <v>35.737099999999998</v>
      </c>
      <c r="C3474">
        <v>36.331699999999998</v>
      </c>
      <c r="D3474">
        <v>35.677599999999998</v>
      </c>
      <c r="E3474">
        <v>36.331699999999998</v>
      </c>
      <c r="F3474">
        <v>145415</v>
      </c>
    </row>
    <row r="3475" spans="1:6" x14ac:dyDescent="0.25">
      <c r="A3475" s="4">
        <v>39413</v>
      </c>
      <c r="B3475">
        <v>35.380299999999998</v>
      </c>
      <c r="C3475">
        <v>35.737099999999998</v>
      </c>
      <c r="D3475">
        <v>34.964100000000002</v>
      </c>
      <c r="E3475">
        <v>35.142400000000002</v>
      </c>
      <c r="F3475">
        <v>82697</v>
      </c>
    </row>
    <row r="3476" spans="1:6" x14ac:dyDescent="0.25">
      <c r="A3476" s="4">
        <v>39414</v>
      </c>
      <c r="B3476">
        <v>34.785699999999999</v>
      </c>
      <c r="C3476">
        <v>35.261400000000002</v>
      </c>
      <c r="D3476">
        <v>34.785699999999999</v>
      </c>
      <c r="E3476">
        <v>34.785699999999999</v>
      </c>
      <c r="F3476">
        <v>53723</v>
      </c>
    </row>
    <row r="3477" spans="1:6" x14ac:dyDescent="0.25">
      <c r="A3477" s="4">
        <v>39415</v>
      </c>
      <c r="B3477">
        <v>35.082999999999998</v>
      </c>
      <c r="C3477">
        <v>35.677599999999998</v>
      </c>
      <c r="D3477">
        <v>34.964100000000002</v>
      </c>
      <c r="E3477">
        <v>35.677599999999998</v>
      </c>
      <c r="F3477">
        <v>58526</v>
      </c>
    </row>
    <row r="3478" spans="1:6" x14ac:dyDescent="0.25">
      <c r="A3478" s="4">
        <v>39416</v>
      </c>
      <c r="B3478">
        <v>35.261400000000002</v>
      </c>
      <c r="C3478">
        <v>36.034399999999998</v>
      </c>
      <c r="D3478">
        <v>35.261400000000002</v>
      </c>
      <c r="E3478">
        <v>36.034399999999998</v>
      </c>
      <c r="F3478">
        <v>46817</v>
      </c>
    </row>
    <row r="3479" spans="1:6" x14ac:dyDescent="0.25">
      <c r="A3479" s="4">
        <v>39419</v>
      </c>
      <c r="B3479">
        <v>36.093800000000002</v>
      </c>
      <c r="C3479">
        <v>36.153300000000002</v>
      </c>
      <c r="D3479">
        <v>35.439799999999998</v>
      </c>
      <c r="E3479">
        <v>35.558700000000002</v>
      </c>
      <c r="F3479">
        <v>40102</v>
      </c>
    </row>
    <row r="3480" spans="1:6" x14ac:dyDescent="0.25">
      <c r="A3480" s="4">
        <v>39420</v>
      </c>
      <c r="B3480">
        <v>35.558700000000002</v>
      </c>
      <c r="C3480">
        <v>36.153300000000002</v>
      </c>
      <c r="D3480">
        <v>35.023499999999999</v>
      </c>
      <c r="E3480">
        <v>35.856000000000002</v>
      </c>
      <c r="F3480">
        <v>40964</v>
      </c>
    </row>
    <row r="3481" spans="1:6" x14ac:dyDescent="0.25">
      <c r="A3481" s="4">
        <v>39421</v>
      </c>
      <c r="B3481">
        <v>35.796500000000002</v>
      </c>
      <c r="C3481">
        <v>36.331699999999998</v>
      </c>
      <c r="D3481">
        <v>35.618099999999998</v>
      </c>
      <c r="E3481">
        <v>36.212800000000001</v>
      </c>
      <c r="F3481">
        <v>112362</v>
      </c>
    </row>
    <row r="3482" spans="1:6" x14ac:dyDescent="0.25">
      <c r="A3482" s="4">
        <v>39422</v>
      </c>
      <c r="B3482">
        <v>36.569499999999998</v>
      </c>
      <c r="C3482">
        <v>36.807400000000001</v>
      </c>
      <c r="D3482">
        <v>36.272199999999998</v>
      </c>
      <c r="E3482">
        <v>36.807400000000001</v>
      </c>
      <c r="F3482">
        <v>92883</v>
      </c>
    </row>
    <row r="3483" spans="1:6" x14ac:dyDescent="0.25">
      <c r="A3483" s="4">
        <v>39423</v>
      </c>
      <c r="B3483">
        <v>37.164200000000001</v>
      </c>
      <c r="C3483">
        <v>37.758800000000001</v>
      </c>
      <c r="D3483">
        <v>37.104700000000001</v>
      </c>
      <c r="E3483">
        <v>37.223599999999998</v>
      </c>
      <c r="F3483">
        <v>164035</v>
      </c>
    </row>
    <row r="3484" spans="1:6" x14ac:dyDescent="0.25">
      <c r="A3484" s="4">
        <v>39426</v>
      </c>
      <c r="B3484">
        <v>37.461500000000001</v>
      </c>
      <c r="C3484">
        <v>37.461500000000001</v>
      </c>
      <c r="D3484">
        <v>36.331699999999998</v>
      </c>
      <c r="E3484">
        <v>36.331699999999998</v>
      </c>
      <c r="F3484">
        <v>108296</v>
      </c>
    </row>
    <row r="3485" spans="1:6" x14ac:dyDescent="0.25">
      <c r="A3485" s="4">
        <v>39427</v>
      </c>
      <c r="B3485">
        <v>36.450600000000001</v>
      </c>
      <c r="C3485">
        <v>37.283099999999997</v>
      </c>
      <c r="D3485">
        <v>36.391199999999998</v>
      </c>
      <c r="E3485">
        <v>37.283099999999997</v>
      </c>
      <c r="F3485">
        <v>77009</v>
      </c>
    </row>
    <row r="3486" spans="1:6" x14ac:dyDescent="0.25">
      <c r="A3486" s="4">
        <v>39428</v>
      </c>
      <c r="B3486">
        <v>36.866900000000001</v>
      </c>
      <c r="C3486">
        <v>37.045200000000001</v>
      </c>
      <c r="D3486">
        <v>36.212800000000001</v>
      </c>
      <c r="E3486">
        <v>36.450600000000001</v>
      </c>
      <c r="F3486">
        <v>117103</v>
      </c>
    </row>
    <row r="3487" spans="1:6" x14ac:dyDescent="0.25">
      <c r="A3487" s="4">
        <v>39429</v>
      </c>
      <c r="B3487">
        <v>36.272199999999998</v>
      </c>
      <c r="C3487">
        <v>36.628999999999998</v>
      </c>
      <c r="D3487">
        <v>36.093800000000002</v>
      </c>
      <c r="E3487">
        <v>36.093800000000002</v>
      </c>
      <c r="F3487">
        <v>138224</v>
      </c>
    </row>
    <row r="3488" spans="1:6" x14ac:dyDescent="0.25">
      <c r="A3488" s="4">
        <v>39430</v>
      </c>
      <c r="B3488">
        <v>35.974899999999998</v>
      </c>
      <c r="C3488">
        <v>35.974899999999998</v>
      </c>
      <c r="D3488">
        <v>35.082999999999998</v>
      </c>
      <c r="E3488">
        <v>35.558700000000002</v>
      </c>
      <c r="F3488">
        <v>152145</v>
      </c>
    </row>
    <row r="3489" spans="1:6" x14ac:dyDescent="0.25">
      <c r="A3489" s="4">
        <v>39433</v>
      </c>
      <c r="B3489">
        <v>35.142400000000002</v>
      </c>
      <c r="C3489">
        <v>35.439799999999998</v>
      </c>
      <c r="D3489">
        <v>35.023499999999999</v>
      </c>
      <c r="E3489">
        <v>35.380299999999998</v>
      </c>
      <c r="F3489">
        <v>66446</v>
      </c>
    </row>
    <row r="3490" spans="1:6" x14ac:dyDescent="0.25">
      <c r="A3490" s="4">
        <v>39434</v>
      </c>
      <c r="B3490">
        <v>35.082999999999998</v>
      </c>
      <c r="C3490">
        <v>35.439799999999998</v>
      </c>
      <c r="D3490">
        <v>34.845100000000002</v>
      </c>
      <c r="E3490">
        <v>34.964100000000002</v>
      </c>
      <c r="F3490">
        <v>82296</v>
      </c>
    </row>
    <row r="3491" spans="1:6" x14ac:dyDescent="0.25">
      <c r="A3491" s="4">
        <v>39435</v>
      </c>
      <c r="B3491">
        <v>35.677599999999998</v>
      </c>
      <c r="C3491">
        <v>35.677599999999998</v>
      </c>
      <c r="D3491">
        <v>34.964100000000002</v>
      </c>
      <c r="E3491">
        <v>35.201900000000002</v>
      </c>
      <c r="F3491">
        <v>86752</v>
      </c>
    </row>
    <row r="3492" spans="1:6" x14ac:dyDescent="0.25">
      <c r="A3492" s="4">
        <v>39436</v>
      </c>
      <c r="B3492">
        <v>35.201900000000002</v>
      </c>
      <c r="C3492">
        <v>35.201900000000002</v>
      </c>
      <c r="D3492">
        <v>34.964100000000002</v>
      </c>
      <c r="E3492">
        <v>35.082999999999998</v>
      </c>
      <c r="F3492">
        <v>56473</v>
      </c>
    </row>
    <row r="3493" spans="1:6" x14ac:dyDescent="0.25">
      <c r="A3493" s="4">
        <v>39437</v>
      </c>
      <c r="B3493">
        <v>35.201900000000002</v>
      </c>
      <c r="C3493">
        <v>35.439799999999998</v>
      </c>
      <c r="D3493">
        <v>35.082999999999998</v>
      </c>
      <c r="E3493">
        <v>35.082999999999998</v>
      </c>
      <c r="F3493">
        <v>76961</v>
      </c>
    </row>
    <row r="3494" spans="1:6" x14ac:dyDescent="0.25">
      <c r="A3494" s="4">
        <v>39440</v>
      </c>
      <c r="B3494">
        <v>35.380299999999998</v>
      </c>
      <c r="C3494">
        <v>35.558700000000002</v>
      </c>
      <c r="D3494">
        <v>35.023499999999999</v>
      </c>
      <c r="E3494">
        <v>35.201900000000002</v>
      </c>
      <c r="F3494">
        <v>35798</v>
      </c>
    </row>
    <row r="3495" spans="1:6" x14ac:dyDescent="0.25">
      <c r="A3495" s="4">
        <v>39441</v>
      </c>
      <c r="B3495">
        <v>35.380299999999998</v>
      </c>
      <c r="C3495">
        <v>35.499200000000002</v>
      </c>
      <c r="D3495">
        <v>35.142400000000002</v>
      </c>
      <c r="E3495">
        <v>35.439799999999998</v>
      </c>
      <c r="F3495">
        <v>25445</v>
      </c>
    </row>
    <row r="3496" spans="1:6" x14ac:dyDescent="0.25">
      <c r="A3496" s="4">
        <v>39442</v>
      </c>
      <c r="B3496">
        <v>35.380299999999998</v>
      </c>
      <c r="C3496">
        <v>35.499200000000002</v>
      </c>
      <c r="D3496">
        <v>34.904600000000002</v>
      </c>
      <c r="E3496">
        <v>35.380299999999998</v>
      </c>
      <c r="F3496">
        <v>23920</v>
      </c>
    </row>
    <row r="3497" spans="1:6" x14ac:dyDescent="0.25">
      <c r="A3497" s="4">
        <v>39443</v>
      </c>
      <c r="B3497">
        <v>35.677599999999998</v>
      </c>
      <c r="C3497">
        <v>36.688499999999998</v>
      </c>
      <c r="D3497">
        <v>35.439799999999998</v>
      </c>
      <c r="E3497">
        <v>36.688499999999998</v>
      </c>
      <c r="F3497">
        <v>126355</v>
      </c>
    </row>
    <row r="3498" spans="1:6" x14ac:dyDescent="0.25">
      <c r="A3498" s="4">
        <v>39444</v>
      </c>
      <c r="B3498">
        <v>36.569499999999998</v>
      </c>
      <c r="C3498">
        <v>37.164200000000001</v>
      </c>
      <c r="D3498">
        <v>35.974899999999998</v>
      </c>
      <c r="E3498">
        <v>35.974899999999998</v>
      </c>
      <c r="F3498">
        <v>74122</v>
      </c>
    </row>
    <row r="3499" spans="1:6" x14ac:dyDescent="0.25">
      <c r="A3499" s="4">
        <v>39447</v>
      </c>
      <c r="B3499">
        <v>36.272199999999998</v>
      </c>
      <c r="C3499">
        <v>36.926299999999998</v>
      </c>
      <c r="D3499">
        <v>36.153300000000002</v>
      </c>
      <c r="E3499">
        <v>36.866900000000001</v>
      </c>
      <c r="F3499">
        <v>38279</v>
      </c>
    </row>
    <row r="3500" spans="1:6" x14ac:dyDescent="0.25">
      <c r="A3500" s="4">
        <v>39449</v>
      </c>
      <c r="B3500">
        <v>36.866900000000001</v>
      </c>
      <c r="C3500">
        <v>36.866900000000001</v>
      </c>
      <c r="D3500">
        <v>35.796500000000002</v>
      </c>
      <c r="E3500">
        <v>35.974899999999998</v>
      </c>
      <c r="F3500">
        <v>38971</v>
      </c>
    </row>
    <row r="3501" spans="1:6" x14ac:dyDescent="0.25">
      <c r="A3501" s="4">
        <v>39450</v>
      </c>
      <c r="B3501">
        <v>35.618099999999998</v>
      </c>
      <c r="C3501">
        <v>35.677599999999998</v>
      </c>
      <c r="D3501">
        <v>35.320799999999998</v>
      </c>
      <c r="E3501">
        <v>35.320799999999998</v>
      </c>
      <c r="F3501">
        <v>34838</v>
      </c>
    </row>
    <row r="3502" spans="1:6" x14ac:dyDescent="0.25">
      <c r="A3502" s="4">
        <v>39451</v>
      </c>
      <c r="B3502">
        <v>35.261400000000002</v>
      </c>
      <c r="C3502">
        <v>35.915500000000002</v>
      </c>
      <c r="D3502">
        <v>34.785699999999999</v>
      </c>
      <c r="E3502">
        <v>35.677599999999998</v>
      </c>
      <c r="F3502">
        <v>48401</v>
      </c>
    </row>
    <row r="3503" spans="1:6" x14ac:dyDescent="0.25">
      <c r="A3503" s="4">
        <v>39454</v>
      </c>
      <c r="B3503">
        <v>33.893700000000003</v>
      </c>
      <c r="C3503">
        <v>34.488399999999999</v>
      </c>
      <c r="D3503">
        <v>33.180199999999999</v>
      </c>
      <c r="E3503">
        <v>33.180199999999999</v>
      </c>
      <c r="F3503">
        <v>103230</v>
      </c>
    </row>
    <row r="3504" spans="1:6" x14ac:dyDescent="0.25">
      <c r="A3504" s="4">
        <v>39455</v>
      </c>
      <c r="B3504">
        <v>33.180199999999999</v>
      </c>
      <c r="C3504">
        <v>33.655900000000003</v>
      </c>
      <c r="D3504">
        <v>33.001800000000003</v>
      </c>
      <c r="E3504">
        <v>33.299100000000003</v>
      </c>
      <c r="F3504">
        <v>47333</v>
      </c>
    </row>
    <row r="3505" spans="1:6" x14ac:dyDescent="0.25">
      <c r="A3505" s="4">
        <v>39456</v>
      </c>
      <c r="B3505">
        <v>32.704500000000003</v>
      </c>
      <c r="C3505">
        <v>33.893700000000003</v>
      </c>
      <c r="D3505">
        <v>32.407200000000003</v>
      </c>
      <c r="E3505">
        <v>33.893700000000003</v>
      </c>
      <c r="F3505">
        <v>45113</v>
      </c>
    </row>
    <row r="3506" spans="1:6" x14ac:dyDescent="0.25">
      <c r="A3506" s="4">
        <v>39457</v>
      </c>
      <c r="B3506">
        <v>33.893700000000003</v>
      </c>
      <c r="C3506">
        <v>34.131599999999999</v>
      </c>
      <c r="D3506">
        <v>32.882899999999999</v>
      </c>
      <c r="E3506">
        <v>33.120699999999999</v>
      </c>
      <c r="F3506">
        <v>61535</v>
      </c>
    </row>
    <row r="3507" spans="1:6" x14ac:dyDescent="0.25">
      <c r="A3507" s="4">
        <v>39458</v>
      </c>
      <c r="B3507">
        <v>33.358600000000003</v>
      </c>
      <c r="C3507">
        <v>33.358600000000003</v>
      </c>
      <c r="D3507">
        <v>32.5261</v>
      </c>
      <c r="E3507">
        <v>32.704500000000003</v>
      </c>
      <c r="F3507">
        <v>72676</v>
      </c>
    </row>
    <row r="3508" spans="1:6" x14ac:dyDescent="0.25">
      <c r="A3508" s="4">
        <v>39461</v>
      </c>
      <c r="B3508">
        <v>33.596400000000003</v>
      </c>
      <c r="C3508">
        <v>33.774799999999999</v>
      </c>
      <c r="D3508">
        <v>32.5261</v>
      </c>
      <c r="E3508">
        <v>32.645000000000003</v>
      </c>
      <c r="F3508">
        <v>78263</v>
      </c>
    </row>
    <row r="3509" spans="1:6" x14ac:dyDescent="0.25">
      <c r="A3509" s="4">
        <v>39462</v>
      </c>
      <c r="B3509">
        <v>32.942300000000003</v>
      </c>
      <c r="C3509">
        <v>34.428899999999999</v>
      </c>
      <c r="D3509">
        <v>32.823399999999999</v>
      </c>
      <c r="E3509">
        <v>34.191000000000003</v>
      </c>
      <c r="F3509">
        <v>98451</v>
      </c>
    </row>
    <row r="3510" spans="1:6" x14ac:dyDescent="0.25">
      <c r="A3510" s="4">
        <v>39463</v>
      </c>
      <c r="B3510">
        <v>33.061199999999999</v>
      </c>
      <c r="C3510">
        <v>33.417999999999999</v>
      </c>
      <c r="D3510">
        <v>32.645000000000003</v>
      </c>
      <c r="E3510">
        <v>32.942300000000003</v>
      </c>
      <c r="F3510">
        <v>78669</v>
      </c>
    </row>
    <row r="3511" spans="1:6" x14ac:dyDescent="0.25">
      <c r="A3511" s="4">
        <v>39464</v>
      </c>
      <c r="B3511">
        <v>33.061199999999999</v>
      </c>
      <c r="C3511">
        <v>33.536900000000003</v>
      </c>
      <c r="D3511">
        <v>32.407200000000003</v>
      </c>
      <c r="E3511">
        <v>32.5261</v>
      </c>
      <c r="F3511">
        <v>51230</v>
      </c>
    </row>
    <row r="3512" spans="1:6" x14ac:dyDescent="0.25">
      <c r="A3512" s="4">
        <v>39465</v>
      </c>
      <c r="B3512">
        <v>32.1098</v>
      </c>
      <c r="C3512">
        <v>32.645000000000003</v>
      </c>
      <c r="D3512">
        <v>31.6936</v>
      </c>
      <c r="E3512">
        <v>32.4666</v>
      </c>
      <c r="F3512">
        <v>65496</v>
      </c>
    </row>
    <row r="3513" spans="1:6" x14ac:dyDescent="0.25">
      <c r="A3513" s="4">
        <v>39468</v>
      </c>
      <c r="B3513">
        <v>32.4666</v>
      </c>
      <c r="C3513">
        <v>32.5261</v>
      </c>
      <c r="D3513">
        <v>31.6936</v>
      </c>
      <c r="E3513">
        <v>31.6936</v>
      </c>
      <c r="F3513">
        <v>42792</v>
      </c>
    </row>
    <row r="3514" spans="1:6" x14ac:dyDescent="0.25">
      <c r="A3514" s="4">
        <v>39469</v>
      </c>
      <c r="B3514">
        <v>29.493500000000001</v>
      </c>
      <c r="C3514">
        <v>30.385400000000001</v>
      </c>
      <c r="D3514">
        <v>29.493500000000001</v>
      </c>
      <c r="E3514">
        <v>29.493500000000001</v>
      </c>
      <c r="F3514">
        <v>87259</v>
      </c>
    </row>
    <row r="3515" spans="1:6" x14ac:dyDescent="0.25">
      <c r="A3515" s="4">
        <v>39470</v>
      </c>
      <c r="B3515">
        <v>30.326000000000001</v>
      </c>
      <c r="C3515">
        <v>30.563800000000001</v>
      </c>
      <c r="D3515">
        <v>29.969200000000001</v>
      </c>
      <c r="E3515">
        <v>30.326000000000001</v>
      </c>
      <c r="F3515">
        <v>78327</v>
      </c>
    </row>
    <row r="3516" spans="1:6" x14ac:dyDescent="0.25">
      <c r="A3516" s="4">
        <v>39471</v>
      </c>
      <c r="B3516">
        <v>32.407200000000003</v>
      </c>
      <c r="C3516">
        <v>32.407200000000003</v>
      </c>
      <c r="D3516">
        <v>31.5747</v>
      </c>
      <c r="E3516">
        <v>31.9315</v>
      </c>
      <c r="F3516">
        <v>71477</v>
      </c>
    </row>
    <row r="3517" spans="1:6" x14ac:dyDescent="0.25">
      <c r="A3517" s="4">
        <v>39472</v>
      </c>
      <c r="B3517">
        <v>32.704500000000003</v>
      </c>
      <c r="C3517">
        <v>33.299100000000003</v>
      </c>
      <c r="D3517">
        <v>32.704500000000003</v>
      </c>
      <c r="E3517">
        <v>33.001800000000003</v>
      </c>
      <c r="F3517">
        <v>50414</v>
      </c>
    </row>
    <row r="3518" spans="1:6" x14ac:dyDescent="0.25">
      <c r="A3518" s="4">
        <v>39475</v>
      </c>
      <c r="B3518">
        <v>32.942300000000003</v>
      </c>
      <c r="C3518">
        <v>32.942300000000003</v>
      </c>
      <c r="D3518">
        <v>32.1098</v>
      </c>
      <c r="E3518">
        <v>32.2288</v>
      </c>
      <c r="F3518">
        <v>39643</v>
      </c>
    </row>
    <row r="3519" spans="1:6" x14ac:dyDescent="0.25">
      <c r="A3519" s="4">
        <v>39476</v>
      </c>
      <c r="B3519">
        <v>33.239600000000003</v>
      </c>
      <c r="C3519">
        <v>33.893700000000003</v>
      </c>
      <c r="D3519">
        <v>33.061199999999999</v>
      </c>
      <c r="E3519">
        <v>33.893700000000003</v>
      </c>
      <c r="F3519">
        <v>58213</v>
      </c>
    </row>
    <row r="3520" spans="1:6" x14ac:dyDescent="0.25">
      <c r="A3520" s="4">
        <v>39477</v>
      </c>
      <c r="B3520">
        <v>34.191000000000003</v>
      </c>
      <c r="C3520">
        <v>34.666699999999999</v>
      </c>
      <c r="D3520">
        <v>33.893700000000003</v>
      </c>
      <c r="E3520">
        <v>34.369399999999999</v>
      </c>
      <c r="F3520">
        <v>110697</v>
      </c>
    </row>
    <row r="3521" spans="1:6" x14ac:dyDescent="0.25">
      <c r="A3521" s="4">
        <v>39478</v>
      </c>
      <c r="B3521">
        <v>34.191000000000003</v>
      </c>
      <c r="C3521">
        <v>35.618099999999998</v>
      </c>
      <c r="D3521">
        <v>34.072099999999999</v>
      </c>
      <c r="E3521">
        <v>35.618099999999998</v>
      </c>
      <c r="F3521">
        <v>171328</v>
      </c>
    </row>
    <row r="3522" spans="1:6" x14ac:dyDescent="0.25">
      <c r="A3522" s="4">
        <v>39479</v>
      </c>
      <c r="B3522">
        <v>36.272199999999998</v>
      </c>
      <c r="C3522">
        <v>36.985799999999998</v>
      </c>
      <c r="D3522">
        <v>35.915500000000002</v>
      </c>
      <c r="E3522">
        <v>36.510100000000001</v>
      </c>
      <c r="F3522">
        <v>134709</v>
      </c>
    </row>
    <row r="3523" spans="1:6" x14ac:dyDescent="0.25">
      <c r="A3523" s="4">
        <v>39490</v>
      </c>
      <c r="B3523">
        <v>35.499200000000002</v>
      </c>
      <c r="C3523">
        <v>35.856000000000002</v>
      </c>
      <c r="D3523">
        <v>35.499200000000002</v>
      </c>
      <c r="E3523">
        <v>35.677599999999998</v>
      </c>
      <c r="F3523">
        <v>103197</v>
      </c>
    </row>
    <row r="3524" spans="1:6" x14ac:dyDescent="0.25">
      <c r="A3524" s="4">
        <v>39491</v>
      </c>
      <c r="B3524">
        <v>36.272199999999998</v>
      </c>
      <c r="C3524">
        <v>36.272199999999998</v>
      </c>
      <c r="D3524">
        <v>35.618099999999998</v>
      </c>
      <c r="E3524">
        <v>35.618099999999998</v>
      </c>
      <c r="F3524">
        <v>52232</v>
      </c>
    </row>
    <row r="3525" spans="1:6" x14ac:dyDescent="0.25">
      <c r="A3525" s="4">
        <v>39492</v>
      </c>
      <c r="B3525">
        <v>35.796500000000002</v>
      </c>
      <c r="C3525">
        <v>36.866900000000001</v>
      </c>
      <c r="D3525">
        <v>35.796500000000002</v>
      </c>
      <c r="E3525">
        <v>36.866900000000001</v>
      </c>
      <c r="F3525">
        <v>106488</v>
      </c>
    </row>
    <row r="3526" spans="1:6" x14ac:dyDescent="0.25">
      <c r="A3526" s="4">
        <v>39493</v>
      </c>
      <c r="B3526">
        <v>36.272199999999998</v>
      </c>
      <c r="C3526">
        <v>36.688499999999998</v>
      </c>
      <c r="D3526">
        <v>36.212800000000001</v>
      </c>
      <c r="E3526">
        <v>36.569499999999998</v>
      </c>
      <c r="F3526">
        <v>30297</v>
      </c>
    </row>
    <row r="3527" spans="1:6" x14ac:dyDescent="0.25">
      <c r="A3527" s="4">
        <v>39496</v>
      </c>
      <c r="B3527">
        <v>36.569499999999998</v>
      </c>
      <c r="C3527">
        <v>36.747900000000001</v>
      </c>
      <c r="D3527">
        <v>35.499200000000002</v>
      </c>
      <c r="E3527">
        <v>35.677599999999998</v>
      </c>
      <c r="F3527">
        <v>52091</v>
      </c>
    </row>
    <row r="3528" spans="1:6" x14ac:dyDescent="0.25">
      <c r="A3528" s="4">
        <v>39497</v>
      </c>
      <c r="B3528">
        <v>36.153300000000002</v>
      </c>
      <c r="C3528">
        <v>36.569499999999998</v>
      </c>
      <c r="D3528">
        <v>35.677599999999998</v>
      </c>
      <c r="E3528">
        <v>36.569499999999998</v>
      </c>
      <c r="F3528">
        <v>20133</v>
      </c>
    </row>
    <row r="3529" spans="1:6" x14ac:dyDescent="0.25">
      <c r="A3529" s="4">
        <v>39498</v>
      </c>
      <c r="B3529">
        <v>36.510100000000001</v>
      </c>
      <c r="C3529">
        <v>36.510100000000001</v>
      </c>
      <c r="D3529">
        <v>35.499200000000002</v>
      </c>
      <c r="E3529">
        <v>36.331699999999998</v>
      </c>
      <c r="F3529">
        <v>41016</v>
      </c>
    </row>
    <row r="3530" spans="1:6" x14ac:dyDescent="0.25">
      <c r="A3530" s="4">
        <v>39499</v>
      </c>
      <c r="B3530">
        <v>36.569499999999998</v>
      </c>
      <c r="C3530">
        <v>36.926299999999998</v>
      </c>
      <c r="D3530">
        <v>36.331699999999998</v>
      </c>
      <c r="E3530">
        <v>36.807400000000001</v>
      </c>
      <c r="F3530">
        <v>40472</v>
      </c>
    </row>
    <row r="3531" spans="1:6" x14ac:dyDescent="0.25">
      <c r="A3531" s="4">
        <v>39500</v>
      </c>
      <c r="B3531">
        <v>36.212800000000001</v>
      </c>
      <c r="C3531">
        <v>36.272199999999998</v>
      </c>
      <c r="D3531">
        <v>35.737099999999998</v>
      </c>
      <c r="E3531">
        <v>36.212800000000001</v>
      </c>
      <c r="F3531">
        <v>37270</v>
      </c>
    </row>
    <row r="3532" spans="1:6" x14ac:dyDescent="0.25">
      <c r="A3532" s="4">
        <v>39503</v>
      </c>
      <c r="B3532">
        <v>36.272199999999998</v>
      </c>
      <c r="C3532">
        <v>36.569499999999998</v>
      </c>
      <c r="D3532">
        <v>36.034399999999998</v>
      </c>
      <c r="E3532">
        <v>36.391199999999998</v>
      </c>
      <c r="F3532">
        <v>40050</v>
      </c>
    </row>
    <row r="3533" spans="1:6" x14ac:dyDescent="0.25">
      <c r="A3533" s="4">
        <v>39504</v>
      </c>
      <c r="B3533">
        <v>36.747900000000001</v>
      </c>
      <c r="C3533">
        <v>37.164200000000001</v>
      </c>
      <c r="D3533">
        <v>36.569499999999998</v>
      </c>
      <c r="E3533">
        <v>37.104700000000001</v>
      </c>
      <c r="F3533">
        <v>69612</v>
      </c>
    </row>
    <row r="3534" spans="1:6" x14ac:dyDescent="0.25">
      <c r="A3534" s="4">
        <v>39505</v>
      </c>
      <c r="B3534">
        <v>37.342599999999997</v>
      </c>
      <c r="C3534">
        <v>37.818300000000001</v>
      </c>
      <c r="D3534">
        <v>37.283099999999997</v>
      </c>
      <c r="E3534">
        <v>37.818300000000001</v>
      </c>
      <c r="F3534">
        <v>93695</v>
      </c>
    </row>
    <row r="3535" spans="1:6" x14ac:dyDescent="0.25">
      <c r="A3535" s="4">
        <v>39507</v>
      </c>
      <c r="B3535">
        <v>37.223599999999998</v>
      </c>
      <c r="C3535">
        <v>37.758800000000001</v>
      </c>
      <c r="D3535">
        <v>36.628999999999998</v>
      </c>
      <c r="E3535">
        <v>36.628999999999998</v>
      </c>
      <c r="F3535">
        <v>63516</v>
      </c>
    </row>
    <row r="3536" spans="1:6" x14ac:dyDescent="0.25">
      <c r="A3536" s="4">
        <v>39510</v>
      </c>
      <c r="B3536">
        <v>35.737099999999998</v>
      </c>
      <c r="C3536">
        <v>36.093800000000002</v>
      </c>
      <c r="D3536">
        <v>35.677599999999998</v>
      </c>
      <c r="E3536">
        <v>36.093800000000002</v>
      </c>
      <c r="F3536">
        <v>47078</v>
      </c>
    </row>
    <row r="3537" spans="1:6" x14ac:dyDescent="0.25">
      <c r="A3537" s="4">
        <v>39511</v>
      </c>
      <c r="B3537">
        <v>35.737099999999998</v>
      </c>
      <c r="C3537">
        <v>37.461500000000001</v>
      </c>
      <c r="D3537">
        <v>35.737099999999998</v>
      </c>
      <c r="E3537">
        <v>37.402000000000001</v>
      </c>
      <c r="F3537">
        <v>75216</v>
      </c>
    </row>
    <row r="3538" spans="1:6" x14ac:dyDescent="0.25">
      <c r="A3538" s="4">
        <v>39512</v>
      </c>
      <c r="B3538">
        <v>37.758800000000001</v>
      </c>
      <c r="C3538">
        <v>37.758800000000001</v>
      </c>
      <c r="D3538">
        <v>37.164200000000001</v>
      </c>
      <c r="E3538">
        <v>37.639899999999997</v>
      </c>
      <c r="F3538">
        <v>70208</v>
      </c>
    </row>
    <row r="3539" spans="1:6" x14ac:dyDescent="0.25">
      <c r="A3539" s="4">
        <v>39513</v>
      </c>
      <c r="B3539">
        <v>37.758800000000001</v>
      </c>
      <c r="C3539">
        <v>38.591299999999997</v>
      </c>
      <c r="D3539">
        <v>37.758800000000001</v>
      </c>
      <c r="E3539">
        <v>38.591299999999997</v>
      </c>
      <c r="F3539">
        <v>64665</v>
      </c>
    </row>
    <row r="3540" spans="1:6" x14ac:dyDescent="0.25">
      <c r="A3540" s="4">
        <v>39514</v>
      </c>
      <c r="B3540">
        <v>37.818300000000001</v>
      </c>
      <c r="C3540">
        <v>38.353400000000001</v>
      </c>
      <c r="D3540">
        <v>37.639899999999997</v>
      </c>
      <c r="E3540">
        <v>38.056100000000001</v>
      </c>
      <c r="F3540">
        <v>53050</v>
      </c>
    </row>
    <row r="3541" spans="1:6" x14ac:dyDescent="0.25">
      <c r="A3541" s="4">
        <v>39517</v>
      </c>
      <c r="B3541">
        <v>37.402000000000001</v>
      </c>
      <c r="C3541">
        <v>37.402000000000001</v>
      </c>
      <c r="D3541">
        <v>36.272199999999998</v>
      </c>
      <c r="E3541">
        <v>36.391199999999998</v>
      </c>
      <c r="F3541">
        <v>59861</v>
      </c>
    </row>
    <row r="3542" spans="1:6" x14ac:dyDescent="0.25">
      <c r="A3542" s="4">
        <v>39518</v>
      </c>
      <c r="B3542">
        <v>36.034399999999998</v>
      </c>
      <c r="C3542">
        <v>37.104700000000001</v>
      </c>
      <c r="D3542">
        <v>36.034399999999998</v>
      </c>
      <c r="E3542">
        <v>37.104700000000001</v>
      </c>
      <c r="F3542">
        <v>43343</v>
      </c>
    </row>
    <row r="3543" spans="1:6" x14ac:dyDescent="0.25">
      <c r="A3543" s="4">
        <v>39519</v>
      </c>
      <c r="B3543">
        <v>38.056100000000001</v>
      </c>
      <c r="C3543">
        <v>38.174999999999997</v>
      </c>
      <c r="D3543">
        <v>37.520899999999997</v>
      </c>
      <c r="E3543">
        <v>37.937199999999997</v>
      </c>
      <c r="F3543">
        <v>46949</v>
      </c>
    </row>
    <row r="3544" spans="1:6" x14ac:dyDescent="0.25">
      <c r="A3544" s="4">
        <v>39520</v>
      </c>
      <c r="B3544">
        <v>37.283099999999997</v>
      </c>
      <c r="C3544">
        <v>37.758800000000001</v>
      </c>
      <c r="D3544">
        <v>36.569499999999998</v>
      </c>
      <c r="E3544">
        <v>36.866900000000001</v>
      </c>
      <c r="F3544">
        <v>42307</v>
      </c>
    </row>
    <row r="3545" spans="1:6" x14ac:dyDescent="0.25">
      <c r="A3545" s="4">
        <v>39521</v>
      </c>
      <c r="B3545">
        <v>37.164200000000001</v>
      </c>
      <c r="C3545">
        <v>37.223599999999998</v>
      </c>
      <c r="D3545">
        <v>36.034399999999998</v>
      </c>
      <c r="E3545">
        <v>36.331699999999998</v>
      </c>
      <c r="F3545">
        <v>45820</v>
      </c>
    </row>
    <row r="3546" spans="1:6" x14ac:dyDescent="0.25">
      <c r="A3546" s="4">
        <v>39524</v>
      </c>
      <c r="B3546">
        <v>35.677599999999998</v>
      </c>
      <c r="C3546">
        <v>35.856000000000002</v>
      </c>
      <c r="D3546">
        <v>35.380299999999998</v>
      </c>
      <c r="E3546">
        <v>35.618099999999998</v>
      </c>
      <c r="F3546">
        <v>90229</v>
      </c>
    </row>
    <row r="3547" spans="1:6" x14ac:dyDescent="0.25">
      <c r="A3547" s="4">
        <v>39525</v>
      </c>
      <c r="B3547">
        <v>35.618099999999998</v>
      </c>
      <c r="C3547">
        <v>36.034399999999998</v>
      </c>
      <c r="D3547">
        <v>35.380299999999998</v>
      </c>
      <c r="E3547">
        <v>35.618099999999998</v>
      </c>
      <c r="F3547">
        <v>47527</v>
      </c>
    </row>
    <row r="3548" spans="1:6" x14ac:dyDescent="0.25">
      <c r="A3548" s="4">
        <v>39526</v>
      </c>
      <c r="B3548">
        <v>36.569499999999998</v>
      </c>
      <c r="C3548">
        <v>36.926299999999998</v>
      </c>
      <c r="D3548">
        <v>36.153300000000002</v>
      </c>
      <c r="E3548">
        <v>36.926299999999998</v>
      </c>
      <c r="F3548">
        <v>43275</v>
      </c>
    </row>
    <row r="3549" spans="1:6" x14ac:dyDescent="0.25">
      <c r="A3549" s="4">
        <v>39527</v>
      </c>
      <c r="B3549">
        <v>36.688499999999998</v>
      </c>
      <c r="C3549">
        <v>37.402000000000001</v>
      </c>
      <c r="D3549">
        <v>36.272199999999998</v>
      </c>
      <c r="E3549">
        <v>37.223599999999998</v>
      </c>
      <c r="F3549">
        <v>54424</v>
      </c>
    </row>
    <row r="3550" spans="1:6" x14ac:dyDescent="0.25">
      <c r="A3550" s="4">
        <v>39528</v>
      </c>
      <c r="B3550">
        <v>37.818300000000001</v>
      </c>
      <c r="C3550">
        <v>38.591299999999997</v>
      </c>
      <c r="D3550">
        <v>37.818300000000001</v>
      </c>
      <c r="E3550">
        <v>38.531799999999997</v>
      </c>
      <c r="F3550">
        <v>102434</v>
      </c>
    </row>
    <row r="3551" spans="1:6" x14ac:dyDescent="0.25">
      <c r="A3551" s="4">
        <v>39531</v>
      </c>
      <c r="B3551">
        <v>41.207599999999999</v>
      </c>
      <c r="C3551">
        <v>41.207599999999999</v>
      </c>
      <c r="D3551">
        <v>40.0184</v>
      </c>
      <c r="E3551">
        <v>40.077800000000003</v>
      </c>
      <c r="F3551">
        <v>130572</v>
      </c>
    </row>
    <row r="3552" spans="1:6" x14ac:dyDescent="0.25">
      <c r="A3552" s="4">
        <v>39532</v>
      </c>
      <c r="B3552">
        <v>40.077800000000003</v>
      </c>
      <c r="C3552">
        <v>40.077800000000003</v>
      </c>
      <c r="D3552">
        <v>39.483199999999997</v>
      </c>
      <c r="E3552">
        <v>39.9589</v>
      </c>
      <c r="F3552">
        <v>88062</v>
      </c>
    </row>
    <row r="3553" spans="1:6" x14ac:dyDescent="0.25">
      <c r="A3553" s="4">
        <v>39533</v>
      </c>
      <c r="B3553">
        <v>39.126399999999997</v>
      </c>
      <c r="C3553">
        <v>39.840000000000003</v>
      </c>
      <c r="D3553">
        <v>38.948099999999997</v>
      </c>
      <c r="E3553">
        <v>39.840000000000003</v>
      </c>
      <c r="F3553">
        <v>54421</v>
      </c>
    </row>
    <row r="3554" spans="1:6" x14ac:dyDescent="0.25">
      <c r="A3554" s="4">
        <v>39534</v>
      </c>
      <c r="B3554">
        <v>38.650700000000001</v>
      </c>
      <c r="C3554">
        <v>38.7102</v>
      </c>
      <c r="D3554">
        <v>37.818300000000001</v>
      </c>
      <c r="E3554">
        <v>37.937199999999997</v>
      </c>
      <c r="F3554">
        <v>54821</v>
      </c>
    </row>
    <row r="3555" spans="1:6" x14ac:dyDescent="0.25">
      <c r="A3555" s="4">
        <v>39535</v>
      </c>
      <c r="B3555">
        <v>36.985799999999998</v>
      </c>
      <c r="C3555">
        <v>37.639899999999997</v>
      </c>
      <c r="D3555">
        <v>36.866900000000001</v>
      </c>
      <c r="E3555">
        <v>37.045200000000001</v>
      </c>
      <c r="F3555">
        <v>109946</v>
      </c>
    </row>
    <row r="3556" spans="1:6" x14ac:dyDescent="0.25">
      <c r="A3556" s="4">
        <v>39538</v>
      </c>
      <c r="B3556">
        <v>36.688499999999998</v>
      </c>
      <c r="C3556">
        <v>37.520899999999997</v>
      </c>
      <c r="D3556">
        <v>36.331699999999998</v>
      </c>
      <c r="E3556">
        <v>37.520899999999997</v>
      </c>
      <c r="F3556">
        <v>74469</v>
      </c>
    </row>
    <row r="3557" spans="1:6" x14ac:dyDescent="0.25">
      <c r="A3557" s="4">
        <v>39539</v>
      </c>
      <c r="B3557">
        <v>37.164200000000001</v>
      </c>
      <c r="C3557">
        <v>37.758800000000001</v>
      </c>
      <c r="D3557">
        <v>36.747900000000001</v>
      </c>
      <c r="E3557">
        <v>36.747900000000001</v>
      </c>
      <c r="F3557">
        <v>49055</v>
      </c>
    </row>
    <row r="3558" spans="1:6" x14ac:dyDescent="0.25">
      <c r="A3558" s="4">
        <v>39540</v>
      </c>
      <c r="B3558">
        <v>37.758800000000001</v>
      </c>
      <c r="C3558">
        <v>38.650700000000001</v>
      </c>
      <c r="D3558">
        <v>37.520899999999997</v>
      </c>
      <c r="E3558">
        <v>38.056100000000001</v>
      </c>
      <c r="F3558">
        <v>63876</v>
      </c>
    </row>
    <row r="3559" spans="1:6" x14ac:dyDescent="0.25">
      <c r="A3559" s="4">
        <v>39541</v>
      </c>
      <c r="B3559">
        <v>38.056100000000001</v>
      </c>
      <c r="C3559">
        <v>38.591299999999997</v>
      </c>
      <c r="D3559">
        <v>37.996600000000001</v>
      </c>
      <c r="E3559">
        <v>38.293999999999997</v>
      </c>
      <c r="F3559">
        <v>28588</v>
      </c>
    </row>
    <row r="3560" spans="1:6" x14ac:dyDescent="0.25">
      <c r="A3560" s="4">
        <v>39545</v>
      </c>
      <c r="B3560">
        <v>38.234499999999997</v>
      </c>
      <c r="C3560">
        <v>38.7102</v>
      </c>
      <c r="D3560">
        <v>38.174999999999997</v>
      </c>
      <c r="E3560">
        <v>38.650700000000001</v>
      </c>
      <c r="F3560">
        <v>45908</v>
      </c>
    </row>
    <row r="3561" spans="1:6" x14ac:dyDescent="0.25">
      <c r="A3561" s="4">
        <v>39546</v>
      </c>
      <c r="B3561">
        <v>38.4129</v>
      </c>
      <c r="C3561">
        <v>38.650700000000001</v>
      </c>
      <c r="D3561">
        <v>37.818300000000001</v>
      </c>
      <c r="E3561">
        <v>38.293999999999997</v>
      </c>
      <c r="F3561">
        <v>42270</v>
      </c>
    </row>
    <row r="3562" spans="1:6" x14ac:dyDescent="0.25">
      <c r="A3562" s="4">
        <v>39547</v>
      </c>
      <c r="B3562">
        <v>37.461500000000001</v>
      </c>
      <c r="C3562">
        <v>38.353400000000001</v>
      </c>
      <c r="D3562">
        <v>37.342599999999997</v>
      </c>
      <c r="E3562">
        <v>37.520899999999997</v>
      </c>
      <c r="F3562">
        <v>42860</v>
      </c>
    </row>
    <row r="3563" spans="1:6" x14ac:dyDescent="0.25">
      <c r="A3563" s="4">
        <v>39548</v>
      </c>
      <c r="B3563">
        <v>37.580399999999997</v>
      </c>
      <c r="C3563">
        <v>38.829099999999997</v>
      </c>
      <c r="D3563">
        <v>37.520899999999997</v>
      </c>
      <c r="E3563">
        <v>38.353400000000001</v>
      </c>
      <c r="F3563">
        <v>47626</v>
      </c>
    </row>
    <row r="3564" spans="1:6" x14ac:dyDescent="0.25">
      <c r="A3564" s="4">
        <v>39549</v>
      </c>
      <c r="B3564">
        <v>38.234499999999997</v>
      </c>
      <c r="C3564">
        <v>38.4129</v>
      </c>
      <c r="D3564">
        <v>37.758800000000001</v>
      </c>
      <c r="E3564">
        <v>38.115600000000001</v>
      </c>
      <c r="F3564">
        <v>37042</v>
      </c>
    </row>
    <row r="3565" spans="1:6" x14ac:dyDescent="0.25">
      <c r="A3565" s="4">
        <v>39552</v>
      </c>
      <c r="B3565">
        <v>37.639899999999997</v>
      </c>
      <c r="C3565">
        <v>37.818300000000001</v>
      </c>
      <c r="D3565">
        <v>37.461500000000001</v>
      </c>
      <c r="E3565">
        <v>37.461500000000001</v>
      </c>
      <c r="F3565">
        <v>36204</v>
      </c>
    </row>
    <row r="3566" spans="1:6" x14ac:dyDescent="0.25">
      <c r="A3566" s="4">
        <v>39553</v>
      </c>
      <c r="B3566">
        <v>37.461500000000001</v>
      </c>
      <c r="C3566">
        <v>37.937199999999997</v>
      </c>
      <c r="D3566">
        <v>37.342599999999997</v>
      </c>
      <c r="E3566">
        <v>37.461500000000001</v>
      </c>
      <c r="F3566">
        <v>38175</v>
      </c>
    </row>
    <row r="3567" spans="1:6" x14ac:dyDescent="0.25">
      <c r="A3567" s="4">
        <v>39554</v>
      </c>
      <c r="B3567">
        <v>38.056100000000001</v>
      </c>
      <c r="C3567">
        <v>38.7697</v>
      </c>
      <c r="D3567">
        <v>37.877699999999997</v>
      </c>
      <c r="E3567">
        <v>38.7697</v>
      </c>
      <c r="F3567">
        <v>46624</v>
      </c>
    </row>
    <row r="3568" spans="1:6" x14ac:dyDescent="0.25">
      <c r="A3568" s="4">
        <v>39555</v>
      </c>
      <c r="B3568">
        <v>39.899500000000003</v>
      </c>
      <c r="C3568">
        <v>40.137300000000003</v>
      </c>
      <c r="D3568">
        <v>39.6021</v>
      </c>
      <c r="E3568">
        <v>39.899500000000003</v>
      </c>
      <c r="F3568">
        <v>101937</v>
      </c>
    </row>
    <row r="3569" spans="1:6" x14ac:dyDescent="0.25">
      <c r="A3569" s="4">
        <v>39556</v>
      </c>
      <c r="B3569">
        <v>39.7211</v>
      </c>
      <c r="C3569">
        <v>39.7211</v>
      </c>
      <c r="D3569">
        <v>39.245399999999997</v>
      </c>
      <c r="E3569">
        <v>39.7211</v>
      </c>
      <c r="F3569">
        <v>33795</v>
      </c>
    </row>
    <row r="3570" spans="1:6" x14ac:dyDescent="0.25">
      <c r="A3570" s="4">
        <v>39559</v>
      </c>
      <c r="B3570">
        <v>39.7211</v>
      </c>
      <c r="C3570">
        <v>40.137300000000003</v>
      </c>
      <c r="D3570">
        <v>39.7211</v>
      </c>
      <c r="E3570">
        <v>40.077800000000003</v>
      </c>
      <c r="F3570">
        <v>39126</v>
      </c>
    </row>
    <row r="3571" spans="1:6" x14ac:dyDescent="0.25">
      <c r="A3571" s="4">
        <v>39560</v>
      </c>
      <c r="B3571">
        <v>40.0184</v>
      </c>
      <c r="C3571">
        <v>40.0184</v>
      </c>
      <c r="D3571">
        <v>39.6021</v>
      </c>
      <c r="E3571">
        <v>40.0184</v>
      </c>
      <c r="F3571">
        <v>38313</v>
      </c>
    </row>
    <row r="3572" spans="1:6" x14ac:dyDescent="0.25">
      <c r="A3572" s="4">
        <v>39561</v>
      </c>
      <c r="B3572">
        <v>39.245399999999997</v>
      </c>
      <c r="C3572">
        <v>39.245399999999997</v>
      </c>
      <c r="D3572">
        <v>38.4129</v>
      </c>
      <c r="E3572">
        <v>38.4129</v>
      </c>
      <c r="F3572">
        <v>71085</v>
      </c>
    </row>
    <row r="3573" spans="1:6" x14ac:dyDescent="0.25">
      <c r="A3573" s="4">
        <v>39562</v>
      </c>
      <c r="B3573">
        <v>38.293999999999997</v>
      </c>
      <c r="C3573">
        <v>38.353400000000001</v>
      </c>
      <c r="D3573">
        <v>37.758800000000001</v>
      </c>
      <c r="E3573">
        <v>37.996600000000001</v>
      </c>
      <c r="F3573">
        <v>63782</v>
      </c>
    </row>
    <row r="3574" spans="1:6" x14ac:dyDescent="0.25">
      <c r="A3574" s="4">
        <v>39563</v>
      </c>
      <c r="B3574">
        <v>38.056100000000001</v>
      </c>
      <c r="C3574">
        <v>38.591299999999997</v>
      </c>
      <c r="D3574">
        <v>38.056100000000001</v>
      </c>
      <c r="E3574">
        <v>38.4724</v>
      </c>
      <c r="F3574">
        <v>47934</v>
      </c>
    </row>
    <row r="3575" spans="1:6" x14ac:dyDescent="0.25">
      <c r="A3575" s="4">
        <v>39566</v>
      </c>
      <c r="B3575">
        <v>38.056100000000001</v>
      </c>
      <c r="C3575">
        <v>39.542700000000004</v>
      </c>
      <c r="D3575">
        <v>37.758800000000001</v>
      </c>
      <c r="E3575">
        <v>39.542700000000004</v>
      </c>
      <c r="F3575">
        <v>75601</v>
      </c>
    </row>
    <row r="3576" spans="1:6" x14ac:dyDescent="0.25">
      <c r="A3576" s="4">
        <v>39567</v>
      </c>
      <c r="B3576">
        <v>39.542700000000004</v>
      </c>
      <c r="C3576">
        <v>39.840000000000003</v>
      </c>
      <c r="D3576">
        <v>38.4724</v>
      </c>
      <c r="E3576">
        <v>38.4724</v>
      </c>
      <c r="F3576">
        <v>54316</v>
      </c>
    </row>
    <row r="3577" spans="1:6" x14ac:dyDescent="0.25">
      <c r="A3577" s="4">
        <v>39568</v>
      </c>
      <c r="B3577">
        <v>38.7697</v>
      </c>
      <c r="C3577">
        <v>39.9589</v>
      </c>
      <c r="D3577">
        <v>38.7697</v>
      </c>
      <c r="E3577">
        <v>39.6616</v>
      </c>
      <c r="F3577">
        <v>78540</v>
      </c>
    </row>
    <row r="3578" spans="1:6" x14ac:dyDescent="0.25">
      <c r="A3578" s="4">
        <v>39570</v>
      </c>
      <c r="B3578">
        <v>40.434600000000003</v>
      </c>
      <c r="C3578">
        <v>40.5535</v>
      </c>
      <c r="D3578">
        <v>40.196800000000003</v>
      </c>
      <c r="E3578">
        <v>40.434600000000003</v>
      </c>
      <c r="F3578">
        <v>91956</v>
      </c>
    </row>
    <row r="3579" spans="1:6" x14ac:dyDescent="0.25">
      <c r="A3579" s="4">
        <v>39573</v>
      </c>
      <c r="B3579">
        <v>40.434600000000003</v>
      </c>
      <c r="C3579">
        <v>40.494100000000003</v>
      </c>
      <c r="D3579">
        <v>39.4238</v>
      </c>
      <c r="E3579">
        <v>39.9589</v>
      </c>
      <c r="F3579">
        <v>44635</v>
      </c>
    </row>
    <row r="3580" spans="1:6" x14ac:dyDescent="0.25">
      <c r="A3580" s="4">
        <v>39574</v>
      </c>
      <c r="B3580">
        <v>40.077800000000003</v>
      </c>
      <c r="C3580">
        <v>40.434600000000003</v>
      </c>
      <c r="D3580">
        <v>39.7211</v>
      </c>
      <c r="E3580">
        <v>40.434600000000003</v>
      </c>
      <c r="F3580">
        <v>33327</v>
      </c>
    </row>
    <row r="3581" spans="1:6" x14ac:dyDescent="0.25">
      <c r="A3581" s="4">
        <v>39575</v>
      </c>
      <c r="B3581">
        <v>40.850900000000003</v>
      </c>
      <c r="C3581">
        <v>41.029200000000003</v>
      </c>
      <c r="D3581">
        <v>40.494100000000003</v>
      </c>
      <c r="E3581">
        <v>40.5535</v>
      </c>
      <c r="F3581">
        <v>55061</v>
      </c>
    </row>
    <row r="3582" spans="1:6" x14ac:dyDescent="0.25">
      <c r="A3582" s="4">
        <v>39576</v>
      </c>
      <c r="B3582">
        <v>40.434600000000003</v>
      </c>
      <c r="C3582">
        <v>40.434600000000003</v>
      </c>
      <c r="D3582">
        <v>39.245399999999997</v>
      </c>
      <c r="E3582">
        <v>40.137300000000003</v>
      </c>
      <c r="F3582">
        <v>47242</v>
      </c>
    </row>
    <row r="3583" spans="1:6" x14ac:dyDescent="0.25">
      <c r="A3583" s="4">
        <v>39577</v>
      </c>
      <c r="B3583">
        <v>40.137300000000003</v>
      </c>
      <c r="C3583">
        <v>40.2562</v>
      </c>
      <c r="D3583">
        <v>39.3048</v>
      </c>
      <c r="E3583">
        <v>39.4238</v>
      </c>
      <c r="F3583">
        <v>43012</v>
      </c>
    </row>
    <row r="3584" spans="1:6" x14ac:dyDescent="0.25">
      <c r="A3584" s="4">
        <v>39580</v>
      </c>
      <c r="B3584">
        <v>39.7211</v>
      </c>
      <c r="C3584">
        <v>40.3157</v>
      </c>
      <c r="D3584">
        <v>39.3048</v>
      </c>
      <c r="E3584">
        <v>40.196800000000003</v>
      </c>
      <c r="F3584">
        <v>36493</v>
      </c>
    </row>
    <row r="3585" spans="1:6" x14ac:dyDescent="0.25">
      <c r="A3585" s="4">
        <v>39581</v>
      </c>
      <c r="B3585">
        <v>40.613</v>
      </c>
      <c r="C3585">
        <v>40.969799999999999</v>
      </c>
      <c r="D3585">
        <v>40.196800000000003</v>
      </c>
      <c r="E3585">
        <v>40.969799999999999</v>
      </c>
      <c r="F3585">
        <v>64228</v>
      </c>
    </row>
    <row r="3586" spans="1:6" x14ac:dyDescent="0.25">
      <c r="A3586" s="4">
        <v>39582</v>
      </c>
      <c r="B3586">
        <v>41.029200000000003</v>
      </c>
      <c r="C3586">
        <v>41.148200000000003</v>
      </c>
      <c r="D3586">
        <v>40.494100000000003</v>
      </c>
      <c r="E3586">
        <v>40.791400000000003</v>
      </c>
      <c r="F3586">
        <v>66677</v>
      </c>
    </row>
    <row r="3587" spans="1:6" x14ac:dyDescent="0.25">
      <c r="A3587" s="4">
        <v>39583</v>
      </c>
      <c r="B3587">
        <v>40.910299999999999</v>
      </c>
      <c r="C3587">
        <v>40.969799999999999</v>
      </c>
      <c r="D3587">
        <v>40.3752</v>
      </c>
      <c r="E3587">
        <v>40.791400000000003</v>
      </c>
      <c r="F3587">
        <v>83929</v>
      </c>
    </row>
    <row r="3588" spans="1:6" x14ac:dyDescent="0.25">
      <c r="A3588" s="4">
        <v>39584</v>
      </c>
      <c r="B3588">
        <v>40.791400000000003</v>
      </c>
      <c r="C3588">
        <v>41.207599999999999</v>
      </c>
      <c r="D3588">
        <v>40.791400000000003</v>
      </c>
      <c r="E3588">
        <v>41.148200000000003</v>
      </c>
      <c r="F3588">
        <v>96718</v>
      </c>
    </row>
    <row r="3589" spans="1:6" x14ac:dyDescent="0.25">
      <c r="A3589" s="4">
        <v>39587</v>
      </c>
      <c r="B3589">
        <v>41.148200000000003</v>
      </c>
      <c r="C3589">
        <v>41.504899999999999</v>
      </c>
      <c r="D3589">
        <v>41.148200000000003</v>
      </c>
      <c r="E3589">
        <v>41.267099999999999</v>
      </c>
      <c r="F3589">
        <v>81981</v>
      </c>
    </row>
    <row r="3590" spans="1:6" x14ac:dyDescent="0.25">
      <c r="A3590" s="4">
        <v>39588</v>
      </c>
      <c r="B3590">
        <v>41.148200000000003</v>
      </c>
      <c r="C3590">
        <v>41.326599999999999</v>
      </c>
      <c r="D3590">
        <v>40.077800000000003</v>
      </c>
      <c r="E3590">
        <v>40.5535</v>
      </c>
      <c r="F3590">
        <v>76014</v>
      </c>
    </row>
    <row r="3591" spans="1:6" x14ac:dyDescent="0.25">
      <c r="A3591" s="4">
        <v>39589</v>
      </c>
      <c r="B3591">
        <v>40.3157</v>
      </c>
      <c r="C3591">
        <v>40.3752</v>
      </c>
      <c r="D3591">
        <v>39.840000000000003</v>
      </c>
      <c r="E3591">
        <v>40.0184</v>
      </c>
      <c r="F3591">
        <v>42667</v>
      </c>
    </row>
    <row r="3592" spans="1:6" x14ac:dyDescent="0.25">
      <c r="A3592" s="4">
        <v>39590</v>
      </c>
      <c r="B3592">
        <v>39.3643</v>
      </c>
      <c r="C3592">
        <v>39.780500000000004</v>
      </c>
      <c r="D3592">
        <v>39.185899999999997</v>
      </c>
      <c r="E3592">
        <v>39.780500000000004</v>
      </c>
      <c r="F3592">
        <v>44428</v>
      </c>
    </row>
    <row r="3593" spans="1:6" x14ac:dyDescent="0.25">
      <c r="A3593" s="4">
        <v>39591</v>
      </c>
      <c r="B3593">
        <v>39.245399999999997</v>
      </c>
      <c r="C3593">
        <v>39.6021</v>
      </c>
      <c r="D3593">
        <v>38.948099999999997</v>
      </c>
      <c r="E3593">
        <v>38.948099999999997</v>
      </c>
      <c r="F3593">
        <v>60286</v>
      </c>
    </row>
    <row r="3594" spans="1:6" x14ac:dyDescent="0.25">
      <c r="A3594" s="4">
        <v>39594</v>
      </c>
      <c r="B3594">
        <v>38.531799999999997</v>
      </c>
      <c r="C3594">
        <v>39.126399999999997</v>
      </c>
      <c r="D3594">
        <v>38.353400000000001</v>
      </c>
      <c r="E3594">
        <v>38.948099999999997</v>
      </c>
      <c r="F3594">
        <v>48696</v>
      </c>
    </row>
    <row r="3595" spans="1:6" x14ac:dyDescent="0.25">
      <c r="A3595" s="4">
        <v>39595</v>
      </c>
      <c r="B3595">
        <v>39.542700000000004</v>
      </c>
      <c r="C3595">
        <v>39.542700000000004</v>
      </c>
      <c r="D3595">
        <v>38.7697</v>
      </c>
      <c r="E3595">
        <v>39.126399999999997</v>
      </c>
      <c r="F3595">
        <v>32660</v>
      </c>
    </row>
    <row r="3596" spans="1:6" x14ac:dyDescent="0.25">
      <c r="A3596" s="4">
        <v>39596</v>
      </c>
      <c r="B3596">
        <v>39.7211</v>
      </c>
      <c r="C3596">
        <v>40.137300000000003</v>
      </c>
      <c r="D3596">
        <v>39.6021</v>
      </c>
      <c r="E3596">
        <v>39.840000000000003</v>
      </c>
      <c r="F3596">
        <v>113605</v>
      </c>
    </row>
    <row r="3597" spans="1:6" x14ac:dyDescent="0.25">
      <c r="A3597" s="4">
        <v>39597</v>
      </c>
      <c r="B3597">
        <v>40.434600000000003</v>
      </c>
      <c r="C3597">
        <v>40.494100000000003</v>
      </c>
      <c r="D3597">
        <v>39.899500000000003</v>
      </c>
      <c r="E3597">
        <v>39.899500000000003</v>
      </c>
      <c r="F3597">
        <v>102478</v>
      </c>
    </row>
    <row r="3598" spans="1:6" x14ac:dyDescent="0.25">
      <c r="A3598" s="4">
        <v>39598</v>
      </c>
      <c r="B3598">
        <v>40.3752</v>
      </c>
      <c r="C3598">
        <v>40.434600000000003</v>
      </c>
      <c r="D3598">
        <v>39.0075</v>
      </c>
      <c r="E3598">
        <v>39.0075</v>
      </c>
      <c r="F3598">
        <v>180097</v>
      </c>
    </row>
    <row r="3599" spans="1:6" x14ac:dyDescent="0.25">
      <c r="A3599" s="4">
        <v>39601</v>
      </c>
      <c r="B3599">
        <v>39.542700000000004</v>
      </c>
      <c r="C3599">
        <v>40.196800000000003</v>
      </c>
      <c r="D3599">
        <v>39.4238</v>
      </c>
      <c r="E3599">
        <v>40.196800000000003</v>
      </c>
      <c r="F3599">
        <v>52392</v>
      </c>
    </row>
    <row r="3600" spans="1:6" x14ac:dyDescent="0.25">
      <c r="A3600" s="4">
        <v>39602</v>
      </c>
      <c r="B3600">
        <v>40.077800000000003</v>
      </c>
      <c r="C3600">
        <v>40.196800000000003</v>
      </c>
      <c r="D3600">
        <v>39.3048</v>
      </c>
      <c r="E3600">
        <v>39.3048</v>
      </c>
      <c r="F3600">
        <v>61837</v>
      </c>
    </row>
    <row r="3601" spans="1:6" x14ac:dyDescent="0.25">
      <c r="A3601" s="4">
        <v>39603</v>
      </c>
      <c r="B3601">
        <v>39.3643</v>
      </c>
      <c r="C3601">
        <v>40.0184</v>
      </c>
      <c r="D3601">
        <v>39.3643</v>
      </c>
      <c r="E3601">
        <v>39.899500000000003</v>
      </c>
      <c r="F3601">
        <v>34519</v>
      </c>
    </row>
    <row r="3602" spans="1:6" x14ac:dyDescent="0.25">
      <c r="A3602" s="4">
        <v>39604</v>
      </c>
      <c r="B3602">
        <v>40.077800000000003</v>
      </c>
      <c r="C3602">
        <v>40.3157</v>
      </c>
      <c r="D3602">
        <v>39.542700000000004</v>
      </c>
      <c r="E3602">
        <v>40.3157</v>
      </c>
      <c r="F3602">
        <v>80970</v>
      </c>
    </row>
    <row r="3603" spans="1:6" x14ac:dyDescent="0.25">
      <c r="A3603" s="4">
        <v>39605</v>
      </c>
      <c r="B3603">
        <v>40.850900000000003</v>
      </c>
      <c r="C3603">
        <v>40.969799999999999</v>
      </c>
      <c r="D3603">
        <v>40.672499999999999</v>
      </c>
      <c r="E3603">
        <v>40.672499999999999</v>
      </c>
      <c r="F3603">
        <v>88946</v>
      </c>
    </row>
    <row r="3604" spans="1:6" x14ac:dyDescent="0.25">
      <c r="A3604" s="4">
        <v>39608</v>
      </c>
      <c r="B3604">
        <v>39.840000000000003</v>
      </c>
      <c r="C3604">
        <v>39.840000000000003</v>
      </c>
      <c r="D3604">
        <v>38.7102</v>
      </c>
      <c r="E3604">
        <v>38.829099999999997</v>
      </c>
      <c r="F3604">
        <v>106078</v>
      </c>
    </row>
    <row r="3605" spans="1:6" x14ac:dyDescent="0.25">
      <c r="A3605" s="4">
        <v>39609</v>
      </c>
      <c r="B3605">
        <v>38.650700000000001</v>
      </c>
      <c r="C3605">
        <v>38.7697</v>
      </c>
      <c r="D3605">
        <v>37.996600000000001</v>
      </c>
      <c r="E3605">
        <v>37.996600000000001</v>
      </c>
      <c r="F3605">
        <v>89621</v>
      </c>
    </row>
    <row r="3606" spans="1:6" x14ac:dyDescent="0.25">
      <c r="A3606" s="4">
        <v>39610</v>
      </c>
      <c r="B3606">
        <v>38.353400000000001</v>
      </c>
      <c r="C3606">
        <v>39.185899999999997</v>
      </c>
      <c r="D3606">
        <v>38.174999999999997</v>
      </c>
      <c r="E3606">
        <v>39.185899999999997</v>
      </c>
      <c r="F3606">
        <v>46578</v>
      </c>
    </row>
    <row r="3607" spans="1:6" x14ac:dyDescent="0.25">
      <c r="A3607" s="4">
        <v>39611</v>
      </c>
      <c r="B3607">
        <v>38.353400000000001</v>
      </c>
      <c r="C3607">
        <v>38.888599999999997</v>
      </c>
      <c r="D3607">
        <v>38.056100000000001</v>
      </c>
      <c r="E3607">
        <v>38.531799999999997</v>
      </c>
      <c r="F3607">
        <v>74064</v>
      </c>
    </row>
    <row r="3608" spans="1:6" x14ac:dyDescent="0.25">
      <c r="A3608" s="4">
        <v>39612</v>
      </c>
      <c r="B3608">
        <v>38.7697</v>
      </c>
      <c r="C3608">
        <v>38.888599999999997</v>
      </c>
      <c r="D3608">
        <v>38.531799999999997</v>
      </c>
      <c r="E3608">
        <v>38.531799999999997</v>
      </c>
      <c r="F3608">
        <v>51762</v>
      </c>
    </row>
    <row r="3609" spans="1:6" x14ac:dyDescent="0.25">
      <c r="A3609" s="4">
        <v>39615</v>
      </c>
      <c r="B3609">
        <v>39.126399999999997</v>
      </c>
      <c r="C3609">
        <v>39.245399999999997</v>
      </c>
      <c r="D3609">
        <v>38.829099999999997</v>
      </c>
      <c r="E3609">
        <v>39.185899999999997</v>
      </c>
      <c r="F3609">
        <v>36892</v>
      </c>
    </row>
    <row r="3610" spans="1:6" x14ac:dyDescent="0.25">
      <c r="A3610" s="4">
        <v>39616</v>
      </c>
      <c r="B3610">
        <v>38.650700000000001</v>
      </c>
      <c r="C3610">
        <v>38.888599999999997</v>
      </c>
      <c r="D3610">
        <v>38.531799999999997</v>
      </c>
      <c r="E3610">
        <v>38.7697</v>
      </c>
      <c r="F3610">
        <v>65788</v>
      </c>
    </row>
    <row r="3611" spans="1:6" x14ac:dyDescent="0.25">
      <c r="A3611" s="4">
        <v>39617</v>
      </c>
      <c r="B3611">
        <v>38.591299999999997</v>
      </c>
      <c r="C3611">
        <v>39.185899999999997</v>
      </c>
      <c r="D3611">
        <v>38.4129</v>
      </c>
      <c r="E3611">
        <v>38.948099999999997</v>
      </c>
      <c r="F3611">
        <v>34616</v>
      </c>
    </row>
    <row r="3612" spans="1:6" x14ac:dyDescent="0.25">
      <c r="A3612" s="4">
        <v>39618</v>
      </c>
      <c r="B3612">
        <v>38.234499999999997</v>
      </c>
      <c r="C3612">
        <v>38.650700000000001</v>
      </c>
      <c r="D3612">
        <v>37.758800000000001</v>
      </c>
      <c r="E3612">
        <v>38.234499999999997</v>
      </c>
      <c r="F3612">
        <v>65982</v>
      </c>
    </row>
    <row r="3613" spans="1:6" x14ac:dyDescent="0.25">
      <c r="A3613" s="4">
        <v>39619</v>
      </c>
      <c r="B3613">
        <v>38.353400000000001</v>
      </c>
      <c r="C3613">
        <v>38.591299999999997</v>
      </c>
      <c r="D3613">
        <v>37.580399999999997</v>
      </c>
      <c r="E3613">
        <v>37.877699999999997</v>
      </c>
      <c r="F3613">
        <v>67415</v>
      </c>
    </row>
    <row r="3614" spans="1:6" x14ac:dyDescent="0.25">
      <c r="A3614" s="4">
        <v>39622</v>
      </c>
      <c r="B3614">
        <v>37.580399999999997</v>
      </c>
      <c r="C3614">
        <v>38.4129</v>
      </c>
      <c r="D3614">
        <v>37.223599999999998</v>
      </c>
      <c r="E3614">
        <v>38.115600000000001</v>
      </c>
      <c r="F3614">
        <v>49182</v>
      </c>
    </row>
    <row r="3615" spans="1:6" x14ac:dyDescent="0.25">
      <c r="A3615" s="4">
        <v>39623</v>
      </c>
      <c r="B3615">
        <v>38.650700000000001</v>
      </c>
      <c r="C3615">
        <v>38.7102</v>
      </c>
      <c r="D3615">
        <v>38.174999999999997</v>
      </c>
      <c r="E3615">
        <v>38.174999999999997</v>
      </c>
      <c r="F3615">
        <v>60997</v>
      </c>
    </row>
    <row r="3616" spans="1:6" x14ac:dyDescent="0.25">
      <c r="A3616" s="4">
        <v>39624</v>
      </c>
      <c r="B3616">
        <v>38.353400000000001</v>
      </c>
      <c r="C3616">
        <v>39.542700000000004</v>
      </c>
      <c r="D3616">
        <v>38.234499999999997</v>
      </c>
      <c r="E3616">
        <v>39.3643</v>
      </c>
      <c r="F3616">
        <v>92105</v>
      </c>
    </row>
    <row r="3617" spans="1:6" x14ac:dyDescent="0.25">
      <c r="A3617" s="4">
        <v>39625</v>
      </c>
      <c r="B3617">
        <v>39.6616</v>
      </c>
      <c r="C3617">
        <v>39.6616</v>
      </c>
      <c r="D3617">
        <v>38.4129</v>
      </c>
      <c r="E3617">
        <v>38.650700000000001</v>
      </c>
      <c r="F3617">
        <v>53036</v>
      </c>
    </row>
    <row r="3618" spans="1:6" x14ac:dyDescent="0.25">
      <c r="A3618" s="4">
        <v>39626</v>
      </c>
      <c r="B3618">
        <v>37.520899999999997</v>
      </c>
      <c r="C3618">
        <v>38.650700000000001</v>
      </c>
      <c r="D3618">
        <v>37.283099999999997</v>
      </c>
      <c r="E3618">
        <v>38.056100000000001</v>
      </c>
      <c r="F3618">
        <v>175633</v>
      </c>
    </row>
    <row r="3619" spans="1:6" x14ac:dyDescent="0.25">
      <c r="A3619" s="4">
        <v>39629</v>
      </c>
      <c r="B3619">
        <v>37.996600000000001</v>
      </c>
      <c r="C3619">
        <v>38.7102</v>
      </c>
      <c r="D3619">
        <v>37.758800000000001</v>
      </c>
      <c r="E3619">
        <v>38.650700000000001</v>
      </c>
      <c r="F3619">
        <v>87645</v>
      </c>
    </row>
    <row r="3620" spans="1:6" x14ac:dyDescent="0.25">
      <c r="A3620" s="4">
        <v>39630</v>
      </c>
      <c r="B3620">
        <v>38.056100000000001</v>
      </c>
      <c r="C3620">
        <v>38.7102</v>
      </c>
      <c r="D3620">
        <v>38.056100000000001</v>
      </c>
      <c r="E3620">
        <v>38.174999999999997</v>
      </c>
      <c r="F3620">
        <v>31904</v>
      </c>
    </row>
    <row r="3621" spans="1:6" x14ac:dyDescent="0.25">
      <c r="A3621" s="4">
        <v>39631</v>
      </c>
      <c r="B3621">
        <v>38.056100000000001</v>
      </c>
      <c r="C3621">
        <v>38.174999999999997</v>
      </c>
      <c r="D3621">
        <v>36.747900000000001</v>
      </c>
      <c r="E3621">
        <v>36.747900000000001</v>
      </c>
      <c r="F3621">
        <v>79943</v>
      </c>
    </row>
    <row r="3622" spans="1:6" x14ac:dyDescent="0.25">
      <c r="A3622" s="4">
        <v>39632</v>
      </c>
      <c r="B3622">
        <v>35.380299999999998</v>
      </c>
      <c r="C3622">
        <v>35.915500000000002</v>
      </c>
      <c r="D3622">
        <v>34.191000000000003</v>
      </c>
      <c r="E3622">
        <v>34.964100000000002</v>
      </c>
      <c r="F3622">
        <v>116788</v>
      </c>
    </row>
    <row r="3623" spans="1:6" x14ac:dyDescent="0.25">
      <c r="A3623" s="4">
        <v>39633</v>
      </c>
      <c r="B3623">
        <v>35.261400000000002</v>
      </c>
      <c r="C3623">
        <v>35.618099999999998</v>
      </c>
      <c r="D3623">
        <v>34.726199999999999</v>
      </c>
      <c r="E3623">
        <v>35.082999999999998</v>
      </c>
      <c r="F3623">
        <v>56047</v>
      </c>
    </row>
    <row r="3624" spans="1:6" x14ac:dyDescent="0.25">
      <c r="A3624" s="4">
        <v>39636</v>
      </c>
      <c r="B3624">
        <v>35.499200000000002</v>
      </c>
      <c r="C3624">
        <v>35.974899999999998</v>
      </c>
      <c r="D3624">
        <v>34.964100000000002</v>
      </c>
      <c r="E3624">
        <v>35.737099999999998</v>
      </c>
      <c r="F3624">
        <v>40724</v>
      </c>
    </row>
    <row r="3625" spans="1:6" x14ac:dyDescent="0.25">
      <c r="A3625" s="4">
        <v>39637</v>
      </c>
      <c r="B3625">
        <v>35.618099999999998</v>
      </c>
      <c r="C3625">
        <v>35.618099999999998</v>
      </c>
      <c r="D3625">
        <v>34.666699999999999</v>
      </c>
      <c r="E3625">
        <v>35.023499999999999</v>
      </c>
      <c r="F3625">
        <v>70739</v>
      </c>
    </row>
    <row r="3626" spans="1:6" x14ac:dyDescent="0.25">
      <c r="A3626" s="4">
        <v>39638</v>
      </c>
      <c r="B3626">
        <v>35.380299999999998</v>
      </c>
      <c r="C3626">
        <v>36.093800000000002</v>
      </c>
      <c r="D3626">
        <v>35.142400000000002</v>
      </c>
      <c r="E3626">
        <v>35.380299999999998</v>
      </c>
      <c r="F3626">
        <v>55499</v>
      </c>
    </row>
    <row r="3627" spans="1:6" x14ac:dyDescent="0.25">
      <c r="A3627" s="4">
        <v>39639</v>
      </c>
      <c r="B3627">
        <v>35.023499999999999</v>
      </c>
      <c r="C3627">
        <v>35.856000000000002</v>
      </c>
      <c r="D3627">
        <v>34.904600000000002</v>
      </c>
      <c r="E3627">
        <v>35.380299999999998</v>
      </c>
      <c r="F3627">
        <v>43347</v>
      </c>
    </row>
    <row r="3628" spans="1:6" x14ac:dyDescent="0.25">
      <c r="A3628" s="4">
        <v>39640</v>
      </c>
      <c r="B3628">
        <v>35.974899999999998</v>
      </c>
      <c r="C3628">
        <v>37.461500000000001</v>
      </c>
      <c r="D3628">
        <v>35.558700000000002</v>
      </c>
      <c r="E3628">
        <v>37.104700000000001</v>
      </c>
      <c r="F3628">
        <v>62911</v>
      </c>
    </row>
    <row r="3629" spans="1:6" x14ac:dyDescent="0.25">
      <c r="A3629" s="4">
        <v>39643</v>
      </c>
      <c r="B3629">
        <v>36.331699999999998</v>
      </c>
      <c r="C3629">
        <v>36.807400000000001</v>
      </c>
      <c r="D3629">
        <v>35.737099999999998</v>
      </c>
      <c r="E3629">
        <v>36.034399999999998</v>
      </c>
      <c r="F3629">
        <v>40632</v>
      </c>
    </row>
    <row r="3630" spans="1:6" x14ac:dyDescent="0.25">
      <c r="A3630" s="4">
        <v>39644</v>
      </c>
      <c r="B3630">
        <v>35.261400000000002</v>
      </c>
      <c r="C3630">
        <v>35.380299999999998</v>
      </c>
      <c r="D3630">
        <v>34.250500000000002</v>
      </c>
      <c r="E3630">
        <v>34.250500000000002</v>
      </c>
      <c r="F3630">
        <v>63641</v>
      </c>
    </row>
    <row r="3631" spans="1:6" x14ac:dyDescent="0.25">
      <c r="A3631" s="4">
        <v>39645</v>
      </c>
      <c r="B3631">
        <v>34.439</v>
      </c>
      <c r="C3631">
        <v>34.439</v>
      </c>
      <c r="D3631">
        <v>33.555999999999997</v>
      </c>
      <c r="E3631">
        <v>33.934399999999997</v>
      </c>
      <c r="F3631">
        <v>86596</v>
      </c>
    </row>
    <row r="3632" spans="1:6" x14ac:dyDescent="0.25">
      <c r="A3632" s="4">
        <v>39646</v>
      </c>
      <c r="B3632">
        <v>35.259</v>
      </c>
      <c r="C3632">
        <v>36.2682</v>
      </c>
      <c r="D3632">
        <v>35.259</v>
      </c>
      <c r="E3632">
        <v>36.2682</v>
      </c>
      <c r="F3632">
        <v>68547</v>
      </c>
    </row>
    <row r="3633" spans="1:6" x14ac:dyDescent="0.25">
      <c r="A3633" s="4">
        <v>39647</v>
      </c>
      <c r="B3633">
        <v>37.214300000000001</v>
      </c>
      <c r="C3633">
        <v>37.4666</v>
      </c>
      <c r="D3633">
        <v>35.952800000000003</v>
      </c>
      <c r="E3633">
        <v>36.583599999999997</v>
      </c>
      <c r="F3633">
        <v>68762</v>
      </c>
    </row>
    <row r="3634" spans="1:6" x14ac:dyDescent="0.25">
      <c r="A3634" s="4">
        <v>39650</v>
      </c>
      <c r="B3634">
        <v>37.4666</v>
      </c>
      <c r="C3634">
        <v>38.0974</v>
      </c>
      <c r="D3634">
        <v>37.4666</v>
      </c>
      <c r="E3634">
        <v>37.718899999999998</v>
      </c>
      <c r="F3634">
        <v>55506</v>
      </c>
    </row>
    <row r="3635" spans="1:6" x14ac:dyDescent="0.25">
      <c r="A3635" s="4">
        <v>39651</v>
      </c>
      <c r="B3635">
        <v>37.403500000000001</v>
      </c>
      <c r="C3635">
        <v>37.403500000000001</v>
      </c>
      <c r="D3635">
        <v>36.079000000000001</v>
      </c>
      <c r="E3635">
        <v>36.520499999999998</v>
      </c>
      <c r="F3635">
        <v>65094</v>
      </c>
    </row>
    <row r="3636" spans="1:6" x14ac:dyDescent="0.25">
      <c r="A3636" s="4">
        <v>39652</v>
      </c>
      <c r="B3636">
        <v>36.898899999999998</v>
      </c>
      <c r="C3636">
        <v>36.898899999999998</v>
      </c>
      <c r="D3636">
        <v>36.015900000000002</v>
      </c>
      <c r="E3636">
        <v>36.331299999999999</v>
      </c>
      <c r="F3636">
        <v>74949</v>
      </c>
    </row>
    <row r="3637" spans="1:6" x14ac:dyDescent="0.25">
      <c r="A3637" s="4">
        <v>39653</v>
      </c>
      <c r="B3637">
        <v>36.709699999999998</v>
      </c>
      <c r="C3637">
        <v>37.151200000000003</v>
      </c>
      <c r="D3637">
        <v>36.646599999999999</v>
      </c>
      <c r="E3637">
        <v>37.151200000000003</v>
      </c>
      <c r="F3637">
        <v>40281</v>
      </c>
    </row>
    <row r="3638" spans="1:6" x14ac:dyDescent="0.25">
      <c r="A3638" s="4">
        <v>39654</v>
      </c>
      <c r="B3638">
        <v>36.709699999999998</v>
      </c>
      <c r="C3638">
        <v>36.709699999999998</v>
      </c>
      <c r="D3638">
        <v>36.079000000000001</v>
      </c>
      <c r="E3638">
        <v>36.4574</v>
      </c>
      <c r="F3638">
        <v>35148</v>
      </c>
    </row>
    <row r="3639" spans="1:6" x14ac:dyDescent="0.25">
      <c r="A3639" s="4">
        <v>39658</v>
      </c>
      <c r="B3639">
        <v>35.322099999999999</v>
      </c>
      <c r="C3639">
        <v>35.322099999999999</v>
      </c>
      <c r="D3639">
        <v>34.2498</v>
      </c>
      <c r="E3639">
        <v>34.691299999999998</v>
      </c>
      <c r="F3639">
        <v>73723</v>
      </c>
    </row>
    <row r="3640" spans="1:6" x14ac:dyDescent="0.25">
      <c r="A3640" s="4">
        <v>39659</v>
      </c>
      <c r="B3640">
        <v>35.826700000000002</v>
      </c>
      <c r="C3640">
        <v>35.952800000000003</v>
      </c>
      <c r="D3640">
        <v>35.322099999999999</v>
      </c>
      <c r="E3640">
        <v>35.952800000000003</v>
      </c>
      <c r="F3640">
        <v>51289</v>
      </c>
    </row>
    <row r="3641" spans="1:6" x14ac:dyDescent="0.25">
      <c r="A3641" s="4">
        <v>39660</v>
      </c>
      <c r="B3641">
        <v>35.952800000000003</v>
      </c>
      <c r="C3641">
        <v>36.015900000000002</v>
      </c>
      <c r="D3641">
        <v>35.132800000000003</v>
      </c>
      <c r="E3641">
        <v>35.4482</v>
      </c>
      <c r="F3641">
        <v>50775</v>
      </c>
    </row>
    <row r="3642" spans="1:6" x14ac:dyDescent="0.25">
      <c r="A3642" s="4">
        <v>39661</v>
      </c>
      <c r="B3642">
        <v>34.691299999999998</v>
      </c>
      <c r="C3642">
        <v>35.700499999999998</v>
      </c>
      <c r="D3642">
        <v>34.691299999999998</v>
      </c>
      <c r="E3642">
        <v>35.322099999999999</v>
      </c>
      <c r="F3642">
        <v>37132</v>
      </c>
    </row>
    <row r="3643" spans="1:6" x14ac:dyDescent="0.25">
      <c r="A3643" s="4">
        <v>39664</v>
      </c>
      <c r="B3643">
        <v>35.069800000000001</v>
      </c>
      <c r="C3643">
        <v>35.322099999999999</v>
      </c>
      <c r="D3643">
        <v>34.754399999999997</v>
      </c>
      <c r="E3643">
        <v>35.132800000000003</v>
      </c>
      <c r="F3643">
        <v>23272</v>
      </c>
    </row>
    <row r="3644" spans="1:6" x14ac:dyDescent="0.25">
      <c r="A3644" s="4">
        <v>39665</v>
      </c>
      <c r="B3644">
        <v>35.4482</v>
      </c>
      <c r="C3644">
        <v>35.4482</v>
      </c>
      <c r="D3644">
        <v>34.691299999999998</v>
      </c>
      <c r="E3644">
        <v>34.943600000000004</v>
      </c>
      <c r="F3644">
        <v>60100</v>
      </c>
    </row>
    <row r="3645" spans="1:6" x14ac:dyDescent="0.25">
      <c r="A3645" s="4">
        <v>39666</v>
      </c>
      <c r="B3645">
        <v>36.205100000000002</v>
      </c>
      <c r="C3645">
        <v>37.214300000000001</v>
      </c>
      <c r="D3645">
        <v>36.079000000000001</v>
      </c>
      <c r="E3645">
        <v>37.088200000000001</v>
      </c>
      <c r="F3645">
        <v>82098</v>
      </c>
    </row>
    <row r="3646" spans="1:6" x14ac:dyDescent="0.25">
      <c r="A3646" s="4">
        <v>39667</v>
      </c>
      <c r="B3646">
        <v>37.2774</v>
      </c>
      <c r="C3646">
        <v>37.718899999999998</v>
      </c>
      <c r="D3646">
        <v>36.962000000000003</v>
      </c>
      <c r="E3646">
        <v>37.529699999999998</v>
      </c>
      <c r="F3646">
        <v>46111</v>
      </c>
    </row>
    <row r="3647" spans="1:6" x14ac:dyDescent="0.25">
      <c r="A3647" s="4">
        <v>39668</v>
      </c>
      <c r="B3647">
        <v>37.529699999999998</v>
      </c>
      <c r="C3647">
        <v>38.223500000000001</v>
      </c>
      <c r="D3647">
        <v>37.529699999999998</v>
      </c>
      <c r="E3647">
        <v>38.160400000000003</v>
      </c>
      <c r="F3647">
        <v>78695</v>
      </c>
    </row>
    <row r="3648" spans="1:6" x14ac:dyDescent="0.25">
      <c r="A3648" s="4">
        <v>39671</v>
      </c>
      <c r="B3648">
        <v>38.791200000000003</v>
      </c>
      <c r="C3648">
        <v>38.980400000000003</v>
      </c>
      <c r="D3648">
        <v>38.160400000000003</v>
      </c>
      <c r="E3648">
        <v>38.223500000000001</v>
      </c>
      <c r="F3648">
        <v>48793</v>
      </c>
    </row>
    <row r="3649" spans="1:6" x14ac:dyDescent="0.25">
      <c r="A3649" s="4">
        <v>39672</v>
      </c>
      <c r="B3649">
        <v>38.601999999999997</v>
      </c>
      <c r="C3649">
        <v>38.917299999999997</v>
      </c>
      <c r="D3649">
        <v>38.412700000000001</v>
      </c>
      <c r="E3649">
        <v>38.601999999999997</v>
      </c>
      <c r="F3649">
        <v>63078</v>
      </c>
    </row>
    <row r="3650" spans="1:6" x14ac:dyDescent="0.25">
      <c r="A3650" s="4">
        <v>39673</v>
      </c>
      <c r="B3650">
        <v>38.980400000000003</v>
      </c>
      <c r="C3650">
        <v>39.232700000000001</v>
      </c>
      <c r="D3650">
        <v>38.538899999999998</v>
      </c>
      <c r="E3650">
        <v>38.601999999999997</v>
      </c>
      <c r="F3650">
        <v>56037</v>
      </c>
    </row>
    <row r="3651" spans="1:6" x14ac:dyDescent="0.25">
      <c r="A3651" s="4">
        <v>39674</v>
      </c>
      <c r="B3651">
        <v>38.4758</v>
      </c>
      <c r="C3651">
        <v>38.538899999999998</v>
      </c>
      <c r="D3651">
        <v>37.845100000000002</v>
      </c>
      <c r="E3651">
        <v>38.160400000000003</v>
      </c>
      <c r="F3651">
        <v>423945</v>
      </c>
    </row>
    <row r="3652" spans="1:6" x14ac:dyDescent="0.25">
      <c r="A3652" s="4">
        <v>39675</v>
      </c>
      <c r="B3652">
        <v>38.412700000000001</v>
      </c>
      <c r="C3652">
        <v>38.728099999999998</v>
      </c>
      <c r="D3652">
        <v>37.845100000000002</v>
      </c>
      <c r="E3652">
        <v>38.223500000000001</v>
      </c>
      <c r="F3652">
        <v>50430</v>
      </c>
    </row>
    <row r="3653" spans="1:6" x14ac:dyDescent="0.25">
      <c r="A3653" s="4">
        <v>39678</v>
      </c>
      <c r="B3653">
        <v>38.349699999999999</v>
      </c>
      <c r="C3653">
        <v>38.538899999999998</v>
      </c>
      <c r="D3653">
        <v>37.845100000000002</v>
      </c>
      <c r="E3653">
        <v>37.908099999999997</v>
      </c>
      <c r="F3653">
        <v>50721</v>
      </c>
    </row>
    <row r="3654" spans="1:6" x14ac:dyDescent="0.25">
      <c r="A3654" s="4">
        <v>39679</v>
      </c>
      <c r="B3654">
        <v>37.340499999999999</v>
      </c>
      <c r="C3654">
        <v>38.0974</v>
      </c>
      <c r="D3654">
        <v>37.151200000000003</v>
      </c>
      <c r="E3654">
        <v>37.845100000000002</v>
      </c>
      <c r="F3654">
        <v>50724</v>
      </c>
    </row>
    <row r="3655" spans="1:6" x14ac:dyDescent="0.25">
      <c r="A3655" s="4">
        <v>39680</v>
      </c>
      <c r="B3655">
        <v>37.340499999999999</v>
      </c>
      <c r="C3655">
        <v>38.2866</v>
      </c>
      <c r="D3655">
        <v>37.340499999999999</v>
      </c>
      <c r="E3655">
        <v>37.845100000000002</v>
      </c>
      <c r="F3655">
        <v>39487</v>
      </c>
    </row>
    <row r="3656" spans="1:6" x14ac:dyDescent="0.25">
      <c r="A3656" s="4">
        <v>39681</v>
      </c>
      <c r="B3656">
        <v>37.403500000000001</v>
      </c>
      <c r="C3656">
        <v>37.592799999999997</v>
      </c>
      <c r="D3656">
        <v>37.2774</v>
      </c>
      <c r="E3656">
        <v>37.4666</v>
      </c>
      <c r="F3656">
        <v>46398</v>
      </c>
    </row>
    <row r="3657" spans="1:6" x14ac:dyDescent="0.25">
      <c r="A3657" s="4">
        <v>39682</v>
      </c>
      <c r="B3657">
        <v>37.781999999999996</v>
      </c>
      <c r="C3657">
        <v>38.0974</v>
      </c>
      <c r="D3657">
        <v>37.4666</v>
      </c>
      <c r="E3657">
        <v>37.971200000000003</v>
      </c>
      <c r="F3657">
        <v>52249</v>
      </c>
    </row>
    <row r="3658" spans="1:6" x14ac:dyDescent="0.25">
      <c r="A3658" s="4">
        <v>39685</v>
      </c>
      <c r="B3658">
        <v>37.845100000000002</v>
      </c>
      <c r="C3658">
        <v>38.4758</v>
      </c>
      <c r="D3658">
        <v>37.4666</v>
      </c>
      <c r="E3658">
        <v>38.160400000000003</v>
      </c>
      <c r="F3658">
        <v>52468</v>
      </c>
    </row>
    <row r="3659" spans="1:6" x14ac:dyDescent="0.25">
      <c r="A3659" s="4">
        <v>39686</v>
      </c>
      <c r="B3659">
        <v>37.845100000000002</v>
      </c>
      <c r="C3659">
        <v>37.971200000000003</v>
      </c>
      <c r="D3659">
        <v>37.4666</v>
      </c>
      <c r="E3659">
        <v>37.845100000000002</v>
      </c>
      <c r="F3659">
        <v>53304</v>
      </c>
    </row>
    <row r="3660" spans="1:6" x14ac:dyDescent="0.25">
      <c r="A3660" s="4">
        <v>39687</v>
      </c>
      <c r="B3660">
        <v>37.781999999999996</v>
      </c>
      <c r="C3660">
        <v>38.538899999999998</v>
      </c>
      <c r="D3660">
        <v>37.529699999999998</v>
      </c>
      <c r="E3660">
        <v>38.0974</v>
      </c>
      <c r="F3660">
        <v>65759</v>
      </c>
    </row>
    <row r="3661" spans="1:6" x14ac:dyDescent="0.25">
      <c r="A3661" s="4">
        <v>39688</v>
      </c>
      <c r="B3661">
        <v>37.781999999999996</v>
      </c>
      <c r="C3661">
        <v>38.160400000000003</v>
      </c>
      <c r="D3661">
        <v>37.655799999999999</v>
      </c>
      <c r="E3661">
        <v>37.908099999999997</v>
      </c>
      <c r="F3661">
        <v>80166</v>
      </c>
    </row>
    <row r="3662" spans="1:6" x14ac:dyDescent="0.25">
      <c r="A3662" s="4">
        <v>39689</v>
      </c>
      <c r="B3662">
        <v>37.781999999999996</v>
      </c>
      <c r="C3662">
        <v>37.845100000000002</v>
      </c>
      <c r="D3662">
        <v>37.151200000000003</v>
      </c>
      <c r="E3662">
        <v>37.151200000000003</v>
      </c>
      <c r="F3662">
        <v>78360</v>
      </c>
    </row>
    <row r="3663" spans="1:6" x14ac:dyDescent="0.25">
      <c r="A3663" s="4">
        <v>39692</v>
      </c>
      <c r="B3663">
        <v>36.331299999999999</v>
      </c>
      <c r="C3663">
        <v>36.331299999999999</v>
      </c>
      <c r="D3663">
        <v>35.322099999999999</v>
      </c>
      <c r="E3663">
        <v>35.700499999999998</v>
      </c>
      <c r="F3663">
        <v>118980</v>
      </c>
    </row>
    <row r="3664" spans="1:6" x14ac:dyDescent="0.25">
      <c r="A3664" s="4">
        <v>39693</v>
      </c>
      <c r="B3664">
        <v>35.322099999999999</v>
      </c>
      <c r="C3664">
        <v>35.322099999999999</v>
      </c>
      <c r="D3664">
        <v>34.123600000000003</v>
      </c>
      <c r="E3664">
        <v>34.2498</v>
      </c>
      <c r="F3664">
        <v>116606</v>
      </c>
    </row>
    <row r="3665" spans="1:6" x14ac:dyDescent="0.25">
      <c r="A3665" s="4">
        <v>39694</v>
      </c>
      <c r="B3665">
        <v>34.375900000000001</v>
      </c>
      <c r="C3665">
        <v>35.006700000000002</v>
      </c>
      <c r="D3665">
        <v>34.186700000000002</v>
      </c>
      <c r="E3665">
        <v>34.691299999999998</v>
      </c>
      <c r="F3665">
        <v>79093</v>
      </c>
    </row>
    <row r="3666" spans="1:6" x14ac:dyDescent="0.25">
      <c r="A3666" s="4">
        <v>39695</v>
      </c>
      <c r="B3666">
        <v>33.555999999999997</v>
      </c>
      <c r="C3666">
        <v>34.502099999999999</v>
      </c>
      <c r="D3666">
        <v>33.4298</v>
      </c>
      <c r="E3666">
        <v>33.682099999999998</v>
      </c>
      <c r="F3666">
        <v>71986</v>
      </c>
    </row>
    <row r="3667" spans="1:6" x14ac:dyDescent="0.25">
      <c r="A3667" s="4">
        <v>39696</v>
      </c>
      <c r="B3667">
        <v>32.925199999999997</v>
      </c>
      <c r="C3667">
        <v>33.745199999999997</v>
      </c>
      <c r="D3667">
        <v>32.672899999999998</v>
      </c>
      <c r="E3667">
        <v>33.4298</v>
      </c>
      <c r="F3667">
        <v>81849</v>
      </c>
    </row>
    <row r="3668" spans="1:6" x14ac:dyDescent="0.25">
      <c r="A3668" s="4">
        <v>39699</v>
      </c>
      <c r="B3668">
        <v>35.006700000000002</v>
      </c>
      <c r="C3668">
        <v>35.763599999999997</v>
      </c>
      <c r="D3668">
        <v>34.943600000000004</v>
      </c>
      <c r="E3668">
        <v>35.763599999999997</v>
      </c>
      <c r="F3668">
        <v>64455</v>
      </c>
    </row>
    <row r="3669" spans="1:6" x14ac:dyDescent="0.25">
      <c r="A3669" s="4">
        <v>39700</v>
      </c>
      <c r="B3669">
        <v>34.691299999999998</v>
      </c>
      <c r="C3669">
        <v>35.132800000000003</v>
      </c>
      <c r="D3669">
        <v>34.186700000000002</v>
      </c>
      <c r="E3669">
        <v>34.2498</v>
      </c>
      <c r="F3669">
        <v>50434</v>
      </c>
    </row>
    <row r="3670" spans="1:6" x14ac:dyDescent="0.25">
      <c r="A3670" s="4">
        <v>39701</v>
      </c>
      <c r="B3670">
        <v>33.808300000000003</v>
      </c>
      <c r="C3670">
        <v>34.375900000000001</v>
      </c>
      <c r="D3670">
        <v>33.555999999999997</v>
      </c>
      <c r="E3670">
        <v>33.871299999999998</v>
      </c>
      <c r="F3670">
        <v>65933</v>
      </c>
    </row>
    <row r="3671" spans="1:6" x14ac:dyDescent="0.25">
      <c r="A3671" s="4">
        <v>39702</v>
      </c>
      <c r="B3671">
        <v>33.808300000000003</v>
      </c>
      <c r="C3671">
        <v>33.808300000000003</v>
      </c>
      <c r="D3671">
        <v>32.6098</v>
      </c>
      <c r="E3671">
        <v>32.988300000000002</v>
      </c>
      <c r="F3671">
        <v>72553</v>
      </c>
    </row>
    <row r="3672" spans="1:6" x14ac:dyDescent="0.25">
      <c r="A3672" s="4">
        <v>39703</v>
      </c>
      <c r="B3672">
        <v>33.303699999999999</v>
      </c>
      <c r="C3672">
        <v>33.492899999999999</v>
      </c>
      <c r="D3672">
        <v>32.862099999999998</v>
      </c>
      <c r="E3672">
        <v>33.240600000000001</v>
      </c>
      <c r="F3672">
        <v>37082</v>
      </c>
    </row>
    <row r="3673" spans="1:6" x14ac:dyDescent="0.25">
      <c r="A3673" s="4">
        <v>39706</v>
      </c>
      <c r="B3673">
        <v>33.303699999999999</v>
      </c>
      <c r="C3673">
        <v>33.492899999999999</v>
      </c>
      <c r="D3673">
        <v>32.168300000000002</v>
      </c>
      <c r="E3673">
        <v>32.6098</v>
      </c>
      <c r="F3673">
        <v>41170</v>
      </c>
    </row>
    <row r="3674" spans="1:6" x14ac:dyDescent="0.25">
      <c r="A3674" s="4">
        <v>39707</v>
      </c>
      <c r="B3674">
        <v>31.979099999999999</v>
      </c>
      <c r="C3674">
        <v>32.988300000000002</v>
      </c>
      <c r="D3674">
        <v>31.979099999999999</v>
      </c>
      <c r="E3674">
        <v>32.168300000000002</v>
      </c>
      <c r="F3674">
        <v>60628</v>
      </c>
    </row>
    <row r="3675" spans="1:6" x14ac:dyDescent="0.25">
      <c r="A3675" s="4">
        <v>39708</v>
      </c>
      <c r="B3675">
        <v>34.060600000000001</v>
      </c>
      <c r="C3675">
        <v>34.375900000000001</v>
      </c>
      <c r="D3675">
        <v>33.303699999999999</v>
      </c>
      <c r="E3675">
        <v>33.366700000000002</v>
      </c>
      <c r="F3675">
        <v>108360</v>
      </c>
    </row>
    <row r="3676" spans="1:6" x14ac:dyDescent="0.25">
      <c r="A3676" s="4">
        <v>39709</v>
      </c>
      <c r="B3676">
        <v>32.483699999999999</v>
      </c>
      <c r="C3676">
        <v>33.808300000000003</v>
      </c>
      <c r="D3676">
        <v>32.483699999999999</v>
      </c>
      <c r="E3676">
        <v>32.799100000000003</v>
      </c>
      <c r="F3676">
        <v>153150</v>
      </c>
    </row>
    <row r="3677" spans="1:6" x14ac:dyDescent="0.25">
      <c r="A3677" s="4">
        <v>39710</v>
      </c>
      <c r="B3677">
        <v>34.439</v>
      </c>
      <c r="C3677">
        <v>35.069800000000001</v>
      </c>
      <c r="D3677">
        <v>34.060600000000001</v>
      </c>
      <c r="E3677">
        <v>35.069800000000001</v>
      </c>
      <c r="F3677">
        <v>132120</v>
      </c>
    </row>
    <row r="3678" spans="1:6" x14ac:dyDescent="0.25">
      <c r="A3678" s="4">
        <v>39713</v>
      </c>
      <c r="B3678">
        <v>36.015900000000002</v>
      </c>
      <c r="C3678">
        <v>36.015900000000002</v>
      </c>
      <c r="D3678">
        <v>35.069800000000001</v>
      </c>
      <c r="E3678">
        <v>35.195900000000002</v>
      </c>
      <c r="F3678">
        <v>64588</v>
      </c>
    </row>
    <row r="3679" spans="1:6" x14ac:dyDescent="0.25">
      <c r="A3679" s="4">
        <v>39714</v>
      </c>
      <c r="B3679">
        <v>34.502099999999999</v>
      </c>
      <c r="C3679">
        <v>35.259</v>
      </c>
      <c r="D3679">
        <v>34.502099999999999</v>
      </c>
      <c r="E3679">
        <v>34.691299999999998</v>
      </c>
      <c r="F3679">
        <v>56418</v>
      </c>
    </row>
    <row r="3680" spans="1:6" x14ac:dyDescent="0.25">
      <c r="A3680" s="4">
        <v>39715</v>
      </c>
      <c r="B3680">
        <v>34.060600000000001</v>
      </c>
      <c r="C3680">
        <v>34.186700000000002</v>
      </c>
      <c r="D3680">
        <v>33.619</v>
      </c>
      <c r="E3680">
        <v>33.619</v>
      </c>
      <c r="F3680">
        <v>41015</v>
      </c>
    </row>
    <row r="3681" spans="1:6" x14ac:dyDescent="0.25">
      <c r="A3681" s="4">
        <v>39716</v>
      </c>
      <c r="B3681">
        <v>33.303699999999999</v>
      </c>
      <c r="C3681">
        <v>34.2498</v>
      </c>
      <c r="D3681">
        <v>33.303699999999999</v>
      </c>
      <c r="E3681">
        <v>33.4298</v>
      </c>
      <c r="F3681">
        <v>40506</v>
      </c>
    </row>
    <row r="3682" spans="1:6" x14ac:dyDescent="0.25">
      <c r="A3682" s="4">
        <v>39717</v>
      </c>
      <c r="B3682">
        <v>33.492899999999999</v>
      </c>
      <c r="C3682">
        <v>33.682099999999998</v>
      </c>
      <c r="D3682">
        <v>32.799100000000003</v>
      </c>
      <c r="E3682">
        <v>33.682099999999998</v>
      </c>
      <c r="F3682">
        <v>73642</v>
      </c>
    </row>
    <row r="3683" spans="1:6" x14ac:dyDescent="0.25">
      <c r="A3683" s="4">
        <v>39721</v>
      </c>
      <c r="B3683">
        <v>31.537500000000001</v>
      </c>
      <c r="C3683">
        <v>33.114400000000003</v>
      </c>
      <c r="D3683">
        <v>31.4114</v>
      </c>
      <c r="E3683">
        <v>33.114400000000003</v>
      </c>
      <c r="F3683">
        <v>78742</v>
      </c>
    </row>
    <row r="3684" spans="1:6" x14ac:dyDescent="0.25">
      <c r="A3684" s="4">
        <v>39722</v>
      </c>
      <c r="B3684">
        <v>34.060600000000001</v>
      </c>
      <c r="C3684">
        <v>34.060600000000001</v>
      </c>
      <c r="D3684">
        <v>33.114400000000003</v>
      </c>
      <c r="E3684">
        <v>33.114400000000003</v>
      </c>
      <c r="F3684">
        <v>46483</v>
      </c>
    </row>
    <row r="3685" spans="1:6" x14ac:dyDescent="0.25">
      <c r="A3685" s="4">
        <v>39723</v>
      </c>
      <c r="B3685">
        <v>33.492899999999999</v>
      </c>
      <c r="C3685">
        <v>33.492899999999999</v>
      </c>
      <c r="D3685">
        <v>32.168300000000002</v>
      </c>
      <c r="E3685">
        <v>32.4206</v>
      </c>
      <c r="F3685">
        <v>51584</v>
      </c>
    </row>
    <row r="3686" spans="1:6" x14ac:dyDescent="0.25">
      <c r="A3686" s="4">
        <v>39724</v>
      </c>
      <c r="B3686">
        <v>31.789899999999999</v>
      </c>
      <c r="C3686">
        <v>32.672899999999998</v>
      </c>
      <c r="D3686">
        <v>31.663699999999999</v>
      </c>
      <c r="E3686">
        <v>32.4206</v>
      </c>
      <c r="F3686">
        <v>57135</v>
      </c>
    </row>
    <row r="3687" spans="1:6" x14ac:dyDescent="0.25">
      <c r="A3687" s="4">
        <v>39727</v>
      </c>
      <c r="B3687">
        <v>31.663699999999999</v>
      </c>
      <c r="C3687">
        <v>31.852900000000002</v>
      </c>
      <c r="D3687">
        <v>30.9068</v>
      </c>
      <c r="E3687">
        <v>30.9068</v>
      </c>
      <c r="F3687">
        <v>59504</v>
      </c>
    </row>
    <row r="3688" spans="1:6" x14ac:dyDescent="0.25">
      <c r="A3688" s="4">
        <v>39728</v>
      </c>
      <c r="B3688">
        <v>30.276</v>
      </c>
      <c r="C3688">
        <v>31.852900000000002</v>
      </c>
      <c r="D3688">
        <v>30.244499999999999</v>
      </c>
      <c r="E3688">
        <v>31.348299999999998</v>
      </c>
      <c r="F3688">
        <v>49125</v>
      </c>
    </row>
    <row r="3689" spans="1:6" x14ac:dyDescent="0.25">
      <c r="A3689" s="4">
        <v>39729</v>
      </c>
      <c r="B3689">
        <v>30.5914</v>
      </c>
      <c r="C3689">
        <v>30.938300000000002</v>
      </c>
      <c r="D3689">
        <v>29.1722</v>
      </c>
      <c r="E3689">
        <v>29.1722</v>
      </c>
      <c r="F3689">
        <v>88077</v>
      </c>
    </row>
    <row r="3690" spans="1:6" x14ac:dyDescent="0.25">
      <c r="A3690" s="4">
        <v>39730</v>
      </c>
      <c r="B3690">
        <v>29.1722</v>
      </c>
      <c r="C3690">
        <v>30.5914</v>
      </c>
      <c r="D3690">
        <v>29.0776</v>
      </c>
      <c r="E3690">
        <v>29.0776</v>
      </c>
      <c r="F3690">
        <v>65031</v>
      </c>
    </row>
    <row r="3691" spans="1:6" x14ac:dyDescent="0.25">
      <c r="A3691" s="4">
        <v>39734</v>
      </c>
      <c r="B3691">
        <v>29.109200000000001</v>
      </c>
      <c r="C3691">
        <v>29.708400000000001</v>
      </c>
      <c r="D3691">
        <v>28.509899999999998</v>
      </c>
      <c r="E3691">
        <v>29.424499999999998</v>
      </c>
      <c r="F3691">
        <v>96441</v>
      </c>
    </row>
    <row r="3692" spans="1:6" x14ac:dyDescent="0.25">
      <c r="A3692" s="4">
        <v>39735</v>
      </c>
      <c r="B3692">
        <v>31.474499999999999</v>
      </c>
      <c r="C3692">
        <v>31.474499999999999</v>
      </c>
      <c r="D3692">
        <v>31.064499999999999</v>
      </c>
      <c r="E3692">
        <v>31.474499999999999</v>
      </c>
      <c r="F3692">
        <v>92253</v>
      </c>
    </row>
    <row r="3693" spans="1:6" x14ac:dyDescent="0.25">
      <c r="A3693" s="4">
        <v>39736</v>
      </c>
      <c r="B3693">
        <v>30.5914</v>
      </c>
      <c r="C3693">
        <v>30.9068</v>
      </c>
      <c r="D3693">
        <v>30.402200000000001</v>
      </c>
      <c r="E3693">
        <v>30.402200000000001</v>
      </c>
      <c r="F3693">
        <v>68407</v>
      </c>
    </row>
    <row r="3694" spans="1:6" x14ac:dyDescent="0.25">
      <c r="A3694" s="4">
        <v>39737</v>
      </c>
      <c r="B3694">
        <v>29.361499999999999</v>
      </c>
      <c r="C3694">
        <v>29.361499999999999</v>
      </c>
      <c r="D3694">
        <v>29.361499999999999</v>
      </c>
      <c r="E3694">
        <v>29.361499999999999</v>
      </c>
      <c r="F3694">
        <v>24635</v>
      </c>
    </row>
    <row r="3695" spans="1:6" x14ac:dyDescent="0.25">
      <c r="A3695" s="4">
        <v>39738</v>
      </c>
      <c r="B3695">
        <v>28.3523</v>
      </c>
      <c r="C3695">
        <v>28.6676</v>
      </c>
      <c r="D3695">
        <v>28.3523</v>
      </c>
      <c r="E3695">
        <v>28.3523</v>
      </c>
      <c r="F3695">
        <v>55135</v>
      </c>
    </row>
    <row r="3696" spans="1:6" x14ac:dyDescent="0.25">
      <c r="A3696" s="4">
        <v>39741</v>
      </c>
      <c r="B3696">
        <v>27.374600000000001</v>
      </c>
      <c r="C3696">
        <v>28.0684</v>
      </c>
      <c r="D3696">
        <v>27.374600000000001</v>
      </c>
      <c r="E3696">
        <v>27.879200000000001</v>
      </c>
      <c r="F3696">
        <v>74264</v>
      </c>
    </row>
    <row r="3697" spans="1:6" x14ac:dyDescent="0.25">
      <c r="A3697" s="4">
        <v>39742</v>
      </c>
      <c r="B3697">
        <v>28.2576</v>
      </c>
      <c r="C3697">
        <v>28.383800000000001</v>
      </c>
      <c r="D3697">
        <v>26.964600000000001</v>
      </c>
      <c r="E3697">
        <v>27.816099999999999</v>
      </c>
      <c r="F3697">
        <v>73059</v>
      </c>
    </row>
    <row r="3698" spans="1:6" x14ac:dyDescent="0.25">
      <c r="A3698" s="4">
        <v>39743</v>
      </c>
      <c r="B3698">
        <v>26.9331</v>
      </c>
      <c r="C3698">
        <v>27.563800000000001</v>
      </c>
      <c r="D3698">
        <v>26.87</v>
      </c>
      <c r="E3698">
        <v>26.87</v>
      </c>
      <c r="F3698">
        <v>48390</v>
      </c>
    </row>
    <row r="3699" spans="1:6" x14ac:dyDescent="0.25">
      <c r="A3699" s="4">
        <v>39744</v>
      </c>
      <c r="B3699">
        <v>25.955400000000001</v>
      </c>
      <c r="C3699">
        <v>25.955400000000001</v>
      </c>
      <c r="D3699">
        <v>25.955400000000001</v>
      </c>
      <c r="E3699">
        <v>25.955400000000001</v>
      </c>
      <c r="F3699">
        <v>29119</v>
      </c>
    </row>
    <row r="3700" spans="1:6" x14ac:dyDescent="0.25">
      <c r="A3700" s="4">
        <v>39745</v>
      </c>
      <c r="B3700">
        <v>25.072399999999998</v>
      </c>
      <c r="C3700">
        <v>25.261600000000001</v>
      </c>
      <c r="D3700">
        <v>25.072399999999998</v>
      </c>
      <c r="E3700">
        <v>25.072399999999998</v>
      </c>
      <c r="F3700">
        <v>59949</v>
      </c>
    </row>
    <row r="3701" spans="1:6" x14ac:dyDescent="0.25">
      <c r="A3701" s="4">
        <v>39748</v>
      </c>
      <c r="B3701">
        <v>23.337800000000001</v>
      </c>
      <c r="C3701">
        <v>24.567799999999998</v>
      </c>
      <c r="D3701">
        <v>23.337800000000001</v>
      </c>
      <c r="E3701">
        <v>24.157800000000002</v>
      </c>
      <c r="F3701">
        <v>65208</v>
      </c>
    </row>
    <row r="3702" spans="1:6" x14ac:dyDescent="0.25">
      <c r="A3702" s="4">
        <v>39749</v>
      </c>
      <c r="B3702">
        <v>23.432400000000001</v>
      </c>
      <c r="C3702">
        <v>25.608499999999999</v>
      </c>
      <c r="D3702">
        <v>23.022400000000001</v>
      </c>
      <c r="E3702">
        <v>25.040800000000001</v>
      </c>
      <c r="F3702">
        <v>84075</v>
      </c>
    </row>
    <row r="3703" spans="1:6" x14ac:dyDescent="0.25">
      <c r="A3703" s="4">
        <v>39750</v>
      </c>
      <c r="B3703">
        <v>26.775400000000001</v>
      </c>
      <c r="C3703">
        <v>26.775400000000001</v>
      </c>
      <c r="D3703">
        <v>26.302299999999999</v>
      </c>
      <c r="E3703">
        <v>26.491499999999998</v>
      </c>
      <c r="F3703">
        <v>107275</v>
      </c>
    </row>
    <row r="3704" spans="1:6" x14ac:dyDescent="0.25">
      <c r="A3704" s="4">
        <v>39751</v>
      </c>
      <c r="B3704">
        <v>27.28</v>
      </c>
      <c r="C3704">
        <v>28.320699999999999</v>
      </c>
      <c r="D3704">
        <v>27.28</v>
      </c>
      <c r="E3704">
        <v>28.320699999999999</v>
      </c>
      <c r="F3704">
        <v>73018</v>
      </c>
    </row>
    <row r="3705" spans="1:6" x14ac:dyDescent="0.25">
      <c r="A3705" s="4">
        <v>39752</v>
      </c>
      <c r="B3705">
        <v>28.825299999999999</v>
      </c>
      <c r="C3705">
        <v>30.276</v>
      </c>
      <c r="D3705">
        <v>28.446899999999999</v>
      </c>
      <c r="E3705">
        <v>30.276</v>
      </c>
      <c r="F3705">
        <v>107753</v>
      </c>
    </row>
    <row r="3706" spans="1:6" x14ac:dyDescent="0.25">
      <c r="A3706" s="4">
        <v>39755</v>
      </c>
      <c r="B3706">
        <v>31.222200000000001</v>
      </c>
      <c r="C3706">
        <v>31.222200000000001</v>
      </c>
      <c r="D3706">
        <v>29.014500000000002</v>
      </c>
      <c r="E3706">
        <v>29.645299999999999</v>
      </c>
      <c r="F3706">
        <v>80850</v>
      </c>
    </row>
    <row r="3707" spans="1:6" x14ac:dyDescent="0.25">
      <c r="A3707" s="4">
        <v>39756</v>
      </c>
      <c r="B3707">
        <v>29.960699999999999</v>
      </c>
      <c r="C3707">
        <v>30.5914</v>
      </c>
      <c r="D3707">
        <v>29.456099999999999</v>
      </c>
      <c r="E3707">
        <v>30.276</v>
      </c>
      <c r="F3707">
        <v>58438</v>
      </c>
    </row>
    <row r="3708" spans="1:6" x14ac:dyDescent="0.25">
      <c r="A3708" s="4">
        <v>39757</v>
      </c>
      <c r="B3708">
        <v>31.032900000000001</v>
      </c>
      <c r="C3708">
        <v>31.159099999999999</v>
      </c>
      <c r="D3708">
        <v>29.803000000000001</v>
      </c>
      <c r="E3708">
        <v>30.276</v>
      </c>
      <c r="F3708">
        <v>74631</v>
      </c>
    </row>
    <row r="3709" spans="1:6" x14ac:dyDescent="0.25">
      <c r="A3709" s="4">
        <v>39758</v>
      </c>
      <c r="B3709">
        <v>28.163</v>
      </c>
      <c r="C3709">
        <v>28.194600000000001</v>
      </c>
      <c r="D3709">
        <v>28.163</v>
      </c>
      <c r="E3709">
        <v>28.163</v>
      </c>
      <c r="F3709">
        <v>47507</v>
      </c>
    </row>
    <row r="3710" spans="1:6" x14ac:dyDescent="0.25">
      <c r="A3710" s="4">
        <v>39759</v>
      </c>
      <c r="B3710">
        <v>26.207699999999999</v>
      </c>
      <c r="C3710">
        <v>28.163</v>
      </c>
      <c r="D3710">
        <v>26.207699999999999</v>
      </c>
      <c r="E3710">
        <v>27.4377</v>
      </c>
      <c r="F3710">
        <v>125918</v>
      </c>
    </row>
    <row r="3711" spans="1:6" x14ac:dyDescent="0.25">
      <c r="A3711" s="4">
        <v>39762</v>
      </c>
      <c r="B3711">
        <v>27.311499999999999</v>
      </c>
      <c r="C3711">
        <v>27.374600000000001</v>
      </c>
      <c r="D3711">
        <v>26.4285</v>
      </c>
      <c r="E3711">
        <v>27.2484</v>
      </c>
      <c r="F3711">
        <v>63403</v>
      </c>
    </row>
    <row r="3712" spans="1:6" x14ac:dyDescent="0.25">
      <c r="A3712" s="4">
        <v>39763</v>
      </c>
      <c r="B3712">
        <v>26.9331</v>
      </c>
      <c r="C3712">
        <v>27.753</v>
      </c>
      <c r="D3712">
        <v>26.491499999999998</v>
      </c>
      <c r="E3712">
        <v>27.185400000000001</v>
      </c>
      <c r="F3712">
        <v>38829</v>
      </c>
    </row>
    <row r="3713" spans="1:6" x14ac:dyDescent="0.25">
      <c r="A3713" s="4">
        <v>39764</v>
      </c>
      <c r="B3713">
        <v>27.185400000000001</v>
      </c>
      <c r="C3713">
        <v>27.8477</v>
      </c>
      <c r="D3713">
        <v>26.901499999999999</v>
      </c>
      <c r="E3713">
        <v>27.374600000000001</v>
      </c>
      <c r="F3713">
        <v>58259</v>
      </c>
    </row>
    <row r="3714" spans="1:6" x14ac:dyDescent="0.25">
      <c r="A3714" s="4">
        <v>39765</v>
      </c>
      <c r="B3714">
        <v>25.860800000000001</v>
      </c>
      <c r="C3714">
        <v>26.270800000000001</v>
      </c>
      <c r="D3714">
        <v>25.545400000000001</v>
      </c>
      <c r="E3714">
        <v>25.545400000000001</v>
      </c>
      <c r="F3714">
        <v>58146</v>
      </c>
    </row>
    <row r="3715" spans="1:6" x14ac:dyDescent="0.25">
      <c r="A3715" s="4">
        <v>39766</v>
      </c>
      <c r="B3715">
        <v>26.491499999999998</v>
      </c>
      <c r="C3715">
        <v>26.491499999999998</v>
      </c>
      <c r="D3715">
        <v>25.9239</v>
      </c>
      <c r="E3715">
        <v>26.302299999999999</v>
      </c>
      <c r="F3715">
        <v>49143</v>
      </c>
    </row>
    <row r="3716" spans="1:6" x14ac:dyDescent="0.25">
      <c r="A3716" s="4">
        <v>39769</v>
      </c>
      <c r="B3716">
        <v>25.23</v>
      </c>
      <c r="C3716">
        <v>26.176200000000001</v>
      </c>
      <c r="D3716">
        <v>25.23</v>
      </c>
      <c r="E3716">
        <v>25.7346</v>
      </c>
      <c r="F3716">
        <v>43433</v>
      </c>
    </row>
    <row r="3717" spans="1:6" x14ac:dyDescent="0.25">
      <c r="A3717" s="4">
        <v>39770</v>
      </c>
      <c r="B3717">
        <v>24.977699999999999</v>
      </c>
      <c r="C3717">
        <v>25.103899999999999</v>
      </c>
      <c r="D3717">
        <v>24.157800000000002</v>
      </c>
      <c r="E3717">
        <v>24.283899999999999</v>
      </c>
      <c r="F3717">
        <v>70085</v>
      </c>
    </row>
    <row r="3718" spans="1:6" x14ac:dyDescent="0.25">
      <c r="A3718" s="4">
        <v>39771</v>
      </c>
      <c r="B3718">
        <v>24.031600000000001</v>
      </c>
      <c r="C3718">
        <v>24.851600000000001</v>
      </c>
      <c r="D3718">
        <v>23.968499999999999</v>
      </c>
      <c r="E3718">
        <v>23.968499999999999</v>
      </c>
      <c r="F3718">
        <v>50873</v>
      </c>
    </row>
    <row r="3719" spans="1:6" x14ac:dyDescent="0.25">
      <c r="A3719" s="4">
        <v>39772</v>
      </c>
      <c r="B3719">
        <v>23.022400000000001</v>
      </c>
      <c r="C3719">
        <v>23.5901</v>
      </c>
      <c r="D3719">
        <v>23.022400000000001</v>
      </c>
      <c r="E3719">
        <v>23.211600000000001</v>
      </c>
      <c r="F3719">
        <v>46181</v>
      </c>
    </row>
    <row r="3720" spans="1:6" x14ac:dyDescent="0.25">
      <c r="A3720" s="4">
        <v>39773</v>
      </c>
      <c r="B3720">
        <v>22.959299999999999</v>
      </c>
      <c r="C3720">
        <v>24.788499999999999</v>
      </c>
      <c r="D3720">
        <v>22.959299999999999</v>
      </c>
      <c r="E3720">
        <v>24.283899999999999</v>
      </c>
      <c r="F3720">
        <v>57417</v>
      </c>
    </row>
    <row r="3721" spans="1:6" x14ac:dyDescent="0.25">
      <c r="A3721" s="4">
        <v>39776</v>
      </c>
      <c r="B3721">
        <v>24.283899999999999</v>
      </c>
      <c r="C3721">
        <v>24.283899999999999</v>
      </c>
      <c r="D3721">
        <v>23.432400000000001</v>
      </c>
      <c r="E3721">
        <v>23.527000000000001</v>
      </c>
      <c r="F3721">
        <v>51564</v>
      </c>
    </row>
    <row r="3722" spans="1:6" x14ac:dyDescent="0.25">
      <c r="A3722" s="4">
        <v>39777</v>
      </c>
      <c r="B3722">
        <v>24.662400000000002</v>
      </c>
      <c r="C3722">
        <v>25.167000000000002</v>
      </c>
      <c r="D3722">
        <v>24.283899999999999</v>
      </c>
      <c r="E3722">
        <v>25.167000000000002</v>
      </c>
      <c r="F3722">
        <v>83669</v>
      </c>
    </row>
    <row r="3723" spans="1:6" x14ac:dyDescent="0.25">
      <c r="A3723" s="4">
        <v>39778</v>
      </c>
      <c r="B3723">
        <v>25.167000000000002</v>
      </c>
      <c r="C3723">
        <v>25.4193</v>
      </c>
      <c r="D3723">
        <v>24.599299999999999</v>
      </c>
      <c r="E3723">
        <v>24.599299999999999</v>
      </c>
      <c r="F3723">
        <v>57745</v>
      </c>
    </row>
    <row r="3724" spans="1:6" x14ac:dyDescent="0.25">
      <c r="A3724" s="4">
        <v>39779</v>
      </c>
      <c r="B3724">
        <v>25.797699999999999</v>
      </c>
      <c r="C3724">
        <v>26.0185</v>
      </c>
      <c r="D3724">
        <v>25.577000000000002</v>
      </c>
      <c r="E3724">
        <v>25.797699999999999</v>
      </c>
      <c r="F3724">
        <v>63245</v>
      </c>
    </row>
    <row r="3725" spans="1:6" x14ac:dyDescent="0.25">
      <c r="A3725" s="4">
        <v>39780</v>
      </c>
      <c r="B3725">
        <v>25.797699999999999</v>
      </c>
      <c r="C3725">
        <v>25.955400000000001</v>
      </c>
      <c r="D3725">
        <v>25.482299999999999</v>
      </c>
      <c r="E3725">
        <v>25.7346</v>
      </c>
      <c r="F3725">
        <v>50939</v>
      </c>
    </row>
    <row r="3726" spans="1:6" x14ac:dyDescent="0.25">
      <c r="A3726" s="4">
        <v>39783</v>
      </c>
      <c r="B3726">
        <v>25.103899999999999</v>
      </c>
      <c r="C3726">
        <v>26.4285</v>
      </c>
      <c r="D3726">
        <v>25.103899999999999</v>
      </c>
      <c r="E3726">
        <v>25.7346</v>
      </c>
      <c r="F3726">
        <v>66277</v>
      </c>
    </row>
    <row r="3727" spans="1:6" x14ac:dyDescent="0.25">
      <c r="A3727" s="4">
        <v>39784</v>
      </c>
      <c r="B3727">
        <v>23.937000000000001</v>
      </c>
      <c r="C3727">
        <v>24.220800000000001</v>
      </c>
      <c r="D3727">
        <v>23.937000000000001</v>
      </c>
      <c r="E3727">
        <v>23.937000000000001</v>
      </c>
      <c r="F3727">
        <v>83673</v>
      </c>
    </row>
    <row r="3728" spans="1:6" x14ac:dyDescent="0.25">
      <c r="A3728" s="4">
        <v>39785</v>
      </c>
      <c r="B3728">
        <v>23.243200000000002</v>
      </c>
      <c r="C3728">
        <v>23.684699999999999</v>
      </c>
      <c r="D3728">
        <v>23.022400000000001</v>
      </c>
      <c r="E3728">
        <v>23.432400000000001</v>
      </c>
      <c r="F3728">
        <v>73779</v>
      </c>
    </row>
    <row r="3729" spans="1:6" x14ac:dyDescent="0.25">
      <c r="A3729" s="4">
        <v>39786</v>
      </c>
      <c r="B3729">
        <v>23.9055</v>
      </c>
      <c r="C3729">
        <v>23.9055</v>
      </c>
      <c r="D3729">
        <v>23.211600000000001</v>
      </c>
      <c r="E3729">
        <v>23.369299999999999</v>
      </c>
      <c r="F3729">
        <v>59909</v>
      </c>
    </row>
    <row r="3730" spans="1:6" x14ac:dyDescent="0.25">
      <c r="A3730" s="4">
        <v>39787</v>
      </c>
      <c r="B3730">
        <v>23.527000000000001</v>
      </c>
      <c r="C3730">
        <v>23.873899999999999</v>
      </c>
      <c r="D3730">
        <v>23.337800000000001</v>
      </c>
      <c r="E3730">
        <v>23.463899999999999</v>
      </c>
      <c r="F3730">
        <v>41398</v>
      </c>
    </row>
    <row r="3731" spans="1:6" x14ac:dyDescent="0.25">
      <c r="A3731" s="4">
        <v>39790</v>
      </c>
      <c r="B3731">
        <v>23.873899999999999</v>
      </c>
      <c r="C3731">
        <v>25.103899999999999</v>
      </c>
      <c r="D3731">
        <v>23.873899999999999</v>
      </c>
      <c r="E3731">
        <v>25.103899999999999</v>
      </c>
      <c r="F3731">
        <v>101120</v>
      </c>
    </row>
    <row r="3732" spans="1:6" x14ac:dyDescent="0.25">
      <c r="A3732" s="4">
        <v>39791</v>
      </c>
      <c r="B3732">
        <v>25.703099999999999</v>
      </c>
      <c r="C3732">
        <v>25.7346</v>
      </c>
      <c r="D3732">
        <v>25.103899999999999</v>
      </c>
      <c r="E3732">
        <v>25.7346</v>
      </c>
      <c r="F3732">
        <v>79461</v>
      </c>
    </row>
    <row r="3733" spans="1:6" x14ac:dyDescent="0.25">
      <c r="A3733" s="4">
        <v>39792</v>
      </c>
      <c r="B3733">
        <v>25.860800000000001</v>
      </c>
      <c r="C3733">
        <v>27.532299999999999</v>
      </c>
      <c r="D3733">
        <v>25.860800000000001</v>
      </c>
      <c r="E3733">
        <v>27.532299999999999</v>
      </c>
      <c r="F3733">
        <v>115664</v>
      </c>
    </row>
    <row r="3734" spans="1:6" x14ac:dyDescent="0.25">
      <c r="A3734" s="4">
        <v>39793</v>
      </c>
      <c r="B3734">
        <v>27.753</v>
      </c>
      <c r="C3734">
        <v>28.320699999999999</v>
      </c>
      <c r="D3734">
        <v>27.4377</v>
      </c>
      <c r="E3734">
        <v>28.320699999999999</v>
      </c>
      <c r="F3734">
        <v>87626</v>
      </c>
    </row>
    <row r="3735" spans="1:6" x14ac:dyDescent="0.25">
      <c r="A3735" s="4">
        <v>39794</v>
      </c>
      <c r="B3735">
        <v>27.027699999999999</v>
      </c>
      <c r="C3735">
        <v>27.626899999999999</v>
      </c>
      <c r="D3735">
        <v>26.365400000000001</v>
      </c>
      <c r="E3735">
        <v>26.365400000000001</v>
      </c>
      <c r="F3735">
        <v>69510</v>
      </c>
    </row>
    <row r="3736" spans="1:6" x14ac:dyDescent="0.25">
      <c r="A3736" s="4">
        <v>39797</v>
      </c>
      <c r="B3736">
        <v>27.4377</v>
      </c>
      <c r="C3736">
        <v>28.0684</v>
      </c>
      <c r="D3736">
        <v>27.406099999999999</v>
      </c>
      <c r="E3736">
        <v>27.406099999999999</v>
      </c>
      <c r="F3736">
        <v>68515</v>
      </c>
    </row>
    <row r="3737" spans="1:6" x14ac:dyDescent="0.25">
      <c r="A3737" s="4">
        <v>39798</v>
      </c>
      <c r="B3737">
        <v>27.122299999999999</v>
      </c>
      <c r="C3737">
        <v>28.0684</v>
      </c>
      <c r="D3737">
        <v>26.7438</v>
      </c>
      <c r="E3737">
        <v>28.0684</v>
      </c>
      <c r="F3737">
        <v>58117</v>
      </c>
    </row>
    <row r="3738" spans="1:6" x14ac:dyDescent="0.25">
      <c r="A3738" s="4">
        <v>39799</v>
      </c>
      <c r="B3738">
        <v>29.014500000000002</v>
      </c>
      <c r="C3738">
        <v>29.0776</v>
      </c>
      <c r="D3738">
        <v>28.509899999999998</v>
      </c>
      <c r="E3738">
        <v>29.014500000000002</v>
      </c>
      <c r="F3738">
        <v>88440</v>
      </c>
    </row>
    <row r="3739" spans="1:6" x14ac:dyDescent="0.25">
      <c r="A3739" s="4">
        <v>39800</v>
      </c>
      <c r="B3739">
        <v>28.8569</v>
      </c>
      <c r="C3739">
        <v>29.014500000000002</v>
      </c>
      <c r="D3739">
        <v>28.0684</v>
      </c>
      <c r="E3739">
        <v>28.383800000000001</v>
      </c>
      <c r="F3739">
        <v>50231</v>
      </c>
    </row>
    <row r="3740" spans="1:6" x14ac:dyDescent="0.25">
      <c r="A3740" s="4">
        <v>39801</v>
      </c>
      <c r="B3740">
        <v>27.753</v>
      </c>
      <c r="C3740">
        <v>28.604600000000001</v>
      </c>
      <c r="D3740">
        <v>27.753</v>
      </c>
      <c r="E3740">
        <v>28.3523</v>
      </c>
      <c r="F3740">
        <v>39875</v>
      </c>
    </row>
    <row r="3741" spans="1:6" x14ac:dyDescent="0.25">
      <c r="A3741" s="4">
        <v>39804</v>
      </c>
      <c r="B3741">
        <v>28.383800000000001</v>
      </c>
      <c r="C3741">
        <v>28.6676</v>
      </c>
      <c r="D3741">
        <v>27.753</v>
      </c>
      <c r="E3741">
        <v>28.131499999999999</v>
      </c>
      <c r="F3741">
        <v>51444</v>
      </c>
    </row>
    <row r="3742" spans="1:6" x14ac:dyDescent="0.25">
      <c r="A3742" s="4">
        <v>39805</v>
      </c>
      <c r="B3742">
        <v>27.4377</v>
      </c>
      <c r="C3742">
        <v>28.036899999999999</v>
      </c>
      <c r="D3742">
        <v>26.996099999999998</v>
      </c>
      <c r="E3742">
        <v>27.6584</v>
      </c>
      <c r="F3742">
        <v>39968</v>
      </c>
    </row>
    <row r="3743" spans="1:6" x14ac:dyDescent="0.25">
      <c r="A3743" s="4">
        <v>39806</v>
      </c>
      <c r="B3743">
        <v>27.6584</v>
      </c>
      <c r="C3743">
        <v>27.6584</v>
      </c>
      <c r="D3743">
        <v>27.122299999999999</v>
      </c>
      <c r="E3743">
        <v>27.374600000000001</v>
      </c>
      <c r="F3743">
        <v>30751</v>
      </c>
    </row>
    <row r="3744" spans="1:6" x14ac:dyDescent="0.25">
      <c r="A3744" s="4">
        <v>39807</v>
      </c>
      <c r="B3744">
        <v>27.374600000000001</v>
      </c>
      <c r="C3744">
        <v>27.374600000000001</v>
      </c>
      <c r="D3744">
        <v>26.996099999999998</v>
      </c>
      <c r="E3744">
        <v>27.185400000000001</v>
      </c>
      <c r="F3744">
        <v>6112</v>
      </c>
    </row>
    <row r="3745" spans="1:6" x14ac:dyDescent="0.25">
      <c r="A3745" s="4">
        <v>39808</v>
      </c>
      <c r="B3745">
        <v>27.185400000000001</v>
      </c>
      <c r="C3745">
        <v>27.4377</v>
      </c>
      <c r="D3745">
        <v>26.996099999999998</v>
      </c>
      <c r="E3745">
        <v>27.374600000000001</v>
      </c>
      <c r="F3745">
        <v>7439</v>
      </c>
    </row>
    <row r="3746" spans="1:6" x14ac:dyDescent="0.25">
      <c r="A3746" s="4">
        <v>39811</v>
      </c>
      <c r="B3746">
        <v>27.500699999999998</v>
      </c>
      <c r="C3746">
        <v>27.500699999999998</v>
      </c>
      <c r="D3746">
        <v>26.87</v>
      </c>
      <c r="E3746">
        <v>27.3431</v>
      </c>
      <c r="F3746">
        <v>18839</v>
      </c>
    </row>
    <row r="3747" spans="1:6" x14ac:dyDescent="0.25">
      <c r="A3747" s="4">
        <v>39812</v>
      </c>
      <c r="B3747">
        <v>27.6584</v>
      </c>
      <c r="C3747">
        <v>28.699200000000001</v>
      </c>
      <c r="D3747">
        <v>27.4377</v>
      </c>
      <c r="E3747">
        <v>28.509899999999998</v>
      </c>
      <c r="F3747">
        <v>30369</v>
      </c>
    </row>
    <row r="3748" spans="1:6" x14ac:dyDescent="0.25">
      <c r="A3748" s="4">
        <v>39813</v>
      </c>
      <c r="B3748">
        <v>28.699200000000001</v>
      </c>
      <c r="C3748">
        <v>28.699200000000001</v>
      </c>
      <c r="D3748">
        <v>27.69</v>
      </c>
      <c r="E3748">
        <v>28.005299999999998</v>
      </c>
      <c r="F3748">
        <v>21425</v>
      </c>
    </row>
    <row r="3749" spans="1:6" x14ac:dyDescent="0.25">
      <c r="A3749" s="4">
        <v>39818</v>
      </c>
      <c r="B3749">
        <v>29.014500000000002</v>
      </c>
      <c r="C3749">
        <v>29.708400000000001</v>
      </c>
      <c r="D3749">
        <v>28.888400000000001</v>
      </c>
      <c r="E3749">
        <v>29.1722</v>
      </c>
      <c r="F3749">
        <v>41028</v>
      </c>
    </row>
    <row r="3750" spans="1:6" x14ac:dyDescent="0.25">
      <c r="A3750" s="4">
        <v>39819</v>
      </c>
      <c r="B3750">
        <v>29.046099999999999</v>
      </c>
      <c r="C3750">
        <v>29.1722</v>
      </c>
      <c r="D3750">
        <v>28.383800000000001</v>
      </c>
      <c r="E3750">
        <v>28.7622</v>
      </c>
      <c r="F3750">
        <v>35157</v>
      </c>
    </row>
    <row r="3751" spans="1:6" x14ac:dyDescent="0.25">
      <c r="A3751" s="4">
        <v>39820</v>
      </c>
      <c r="B3751">
        <v>28.983000000000001</v>
      </c>
      <c r="C3751">
        <v>29.298400000000001</v>
      </c>
      <c r="D3751">
        <v>27.879200000000001</v>
      </c>
      <c r="E3751">
        <v>28.1</v>
      </c>
      <c r="F3751">
        <v>71508</v>
      </c>
    </row>
    <row r="3752" spans="1:6" x14ac:dyDescent="0.25">
      <c r="A3752" s="4">
        <v>39821</v>
      </c>
      <c r="B3752">
        <v>27.4377</v>
      </c>
      <c r="C3752">
        <v>27.4377</v>
      </c>
      <c r="D3752">
        <v>26.176200000000001</v>
      </c>
      <c r="E3752">
        <v>26.207699999999999</v>
      </c>
      <c r="F3752">
        <v>89414</v>
      </c>
    </row>
    <row r="3753" spans="1:6" x14ac:dyDescent="0.25">
      <c r="A3753" s="4">
        <v>39822</v>
      </c>
      <c r="B3753">
        <v>25.7346</v>
      </c>
      <c r="C3753">
        <v>26.7438</v>
      </c>
      <c r="D3753">
        <v>25.545400000000001</v>
      </c>
      <c r="E3753">
        <v>25.860800000000001</v>
      </c>
      <c r="F3753">
        <v>68264</v>
      </c>
    </row>
    <row r="3754" spans="1:6" x14ac:dyDescent="0.25">
      <c r="A3754" s="4">
        <v>39823</v>
      </c>
      <c r="B3754">
        <v>25.860800000000001</v>
      </c>
      <c r="C3754">
        <v>26.144600000000001</v>
      </c>
      <c r="D3754">
        <v>25.545400000000001</v>
      </c>
      <c r="E3754">
        <v>25.860800000000001</v>
      </c>
      <c r="F3754">
        <v>20805</v>
      </c>
    </row>
    <row r="3755" spans="1:6" x14ac:dyDescent="0.25">
      <c r="A3755" s="4">
        <v>39825</v>
      </c>
      <c r="B3755">
        <v>25.545400000000001</v>
      </c>
      <c r="C3755">
        <v>26.4285</v>
      </c>
      <c r="D3755">
        <v>25.545400000000001</v>
      </c>
      <c r="E3755">
        <v>26.270800000000001</v>
      </c>
      <c r="F3755">
        <v>49297</v>
      </c>
    </row>
    <row r="3756" spans="1:6" x14ac:dyDescent="0.25">
      <c r="A3756" s="4">
        <v>39826</v>
      </c>
      <c r="B3756">
        <v>26.996099999999998</v>
      </c>
      <c r="C3756">
        <v>27.721499999999999</v>
      </c>
      <c r="D3756">
        <v>26.302299999999999</v>
      </c>
      <c r="E3756">
        <v>27.626899999999999</v>
      </c>
      <c r="F3756">
        <v>71874</v>
      </c>
    </row>
    <row r="3757" spans="1:6" x14ac:dyDescent="0.25">
      <c r="A3757" s="4">
        <v>39827</v>
      </c>
      <c r="B3757">
        <v>27.4377</v>
      </c>
      <c r="C3757">
        <v>27.753</v>
      </c>
      <c r="D3757">
        <v>27.122299999999999</v>
      </c>
      <c r="E3757">
        <v>27.122299999999999</v>
      </c>
      <c r="F3757">
        <v>45983</v>
      </c>
    </row>
    <row r="3758" spans="1:6" x14ac:dyDescent="0.25">
      <c r="A3758" s="4">
        <v>39828</v>
      </c>
      <c r="B3758">
        <v>25.9239</v>
      </c>
      <c r="C3758">
        <v>26.05</v>
      </c>
      <c r="D3758">
        <v>25.577000000000002</v>
      </c>
      <c r="E3758">
        <v>25.860800000000001</v>
      </c>
      <c r="F3758">
        <v>73204</v>
      </c>
    </row>
    <row r="3759" spans="1:6" x14ac:dyDescent="0.25">
      <c r="A3759" s="4">
        <v>39829</v>
      </c>
      <c r="B3759">
        <v>26.491499999999998</v>
      </c>
      <c r="C3759">
        <v>26.491499999999998</v>
      </c>
      <c r="D3759">
        <v>25.955400000000001</v>
      </c>
      <c r="E3759">
        <v>26.302299999999999</v>
      </c>
      <c r="F3759">
        <v>32729</v>
      </c>
    </row>
    <row r="3760" spans="1:6" x14ac:dyDescent="0.25">
      <c r="A3760" s="4">
        <v>39830</v>
      </c>
      <c r="B3760">
        <v>26.302299999999999</v>
      </c>
      <c r="C3760">
        <v>26.365400000000001</v>
      </c>
      <c r="D3760">
        <v>26.0185</v>
      </c>
      <c r="E3760">
        <v>26.144600000000001</v>
      </c>
      <c r="F3760">
        <v>7747</v>
      </c>
    </row>
    <row r="3761" spans="1:6" x14ac:dyDescent="0.25">
      <c r="A3761" s="4">
        <v>39832</v>
      </c>
      <c r="B3761">
        <v>25.860800000000001</v>
      </c>
      <c r="C3761">
        <v>26.113099999999999</v>
      </c>
      <c r="D3761">
        <v>25.797699999999999</v>
      </c>
      <c r="E3761">
        <v>25.860800000000001</v>
      </c>
      <c r="F3761">
        <v>36418</v>
      </c>
    </row>
    <row r="3762" spans="1:6" x14ac:dyDescent="0.25">
      <c r="A3762" s="4">
        <v>39833</v>
      </c>
      <c r="B3762">
        <v>25.23</v>
      </c>
      <c r="C3762">
        <v>25.23</v>
      </c>
      <c r="D3762">
        <v>24.977699999999999</v>
      </c>
      <c r="E3762">
        <v>24.977699999999999</v>
      </c>
      <c r="F3762">
        <v>81301</v>
      </c>
    </row>
    <row r="3763" spans="1:6" x14ac:dyDescent="0.25">
      <c r="A3763" s="4">
        <v>39834</v>
      </c>
      <c r="B3763">
        <v>24.599299999999999</v>
      </c>
      <c r="C3763">
        <v>25.482299999999999</v>
      </c>
      <c r="D3763">
        <v>24.4101</v>
      </c>
      <c r="E3763">
        <v>25.356200000000001</v>
      </c>
      <c r="F3763">
        <v>65396</v>
      </c>
    </row>
    <row r="3764" spans="1:6" x14ac:dyDescent="0.25">
      <c r="A3764" s="4">
        <v>39846</v>
      </c>
      <c r="B3764">
        <v>25.986899999999999</v>
      </c>
      <c r="C3764">
        <v>26.712299999999999</v>
      </c>
      <c r="D3764">
        <v>25.577000000000002</v>
      </c>
      <c r="E3764">
        <v>26.365400000000001</v>
      </c>
      <c r="F3764">
        <v>112982</v>
      </c>
    </row>
    <row r="3765" spans="1:6" x14ac:dyDescent="0.25">
      <c r="A3765" s="4">
        <v>39847</v>
      </c>
      <c r="B3765">
        <v>27.1538</v>
      </c>
      <c r="C3765">
        <v>27.1538</v>
      </c>
      <c r="D3765">
        <v>26.680800000000001</v>
      </c>
      <c r="E3765">
        <v>27.027699999999999</v>
      </c>
      <c r="F3765">
        <v>91380</v>
      </c>
    </row>
    <row r="3766" spans="1:6" x14ac:dyDescent="0.25">
      <c r="A3766" s="4">
        <v>39848</v>
      </c>
      <c r="B3766">
        <v>27.122299999999999</v>
      </c>
      <c r="C3766">
        <v>27.1538</v>
      </c>
      <c r="D3766">
        <v>26.964600000000001</v>
      </c>
      <c r="E3766">
        <v>27.059200000000001</v>
      </c>
      <c r="F3766">
        <v>87876</v>
      </c>
    </row>
    <row r="3767" spans="1:6" x14ac:dyDescent="0.25">
      <c r="A3767" s="4">
        <v>39849</v>
      </c>
      <c r="B3767">
        <v>27.059200000000001</v>
      </c>
      <c r="C3767">
        <v>27.311499999999999</v>
      </c>
      <c r="D3767">
        <v>26.7438</v>
      </c>
      <c r="E3767">
        <v>26.7438</v>
      </c>
      <c r="F3767">
        <v>70832</v>
      </c>
    </row>
    <row r="3768" spans="1:6" x14ac:dyDescent="0.25">
      <c r="A3768" s="4">
        <v>39850</v>
      </c>
      <c r="B3768">
        <v>27.753</v>
      </c>
      <c r="C3768">
        <v>28.383800000000001</v>
      </c>
      <c r="D3768">
        <v>27.69</v>
      </c>
      <c r="E3768">
        <v>28.194600000000001</v>
      </c>
      <c r="F3768">
        <v>99943</v>
      </c>
    </row>
    <row r="3769" spans="1:6" x14ac:dyDescent="0.25">
      <c r="A3769" s="4">
        <v>39853</v>
      </c>
      <c r="B3769">
        <v>29.2668</v>
      </c>
      <c r="C3769">
        <v>29.393000000000001</v>
      </c>
      <c r="D3769">
        <v>28.636099999999999</v>
      </c>
      <c r="E3769">
        <v>28.699200000000001</v>
      </c>
      <c r="F3769">
        <v>104134</v>
      </c>
    </row>
    <row r="3770" spans="1:6" x14ac:dyDescent="0.25">
      <c r="A3770" s="4">
        <v>39854</v>
      </c>
      <c r="B3770">
        <v>29.014500000000002</v>
      </c>
      <c r="C3770">
        <v>29.014500000000002</v>
      </c>
      <c r="D3770">
        <v>28.2576</v>
      </c>
      <c r="E3770">
        <v>28.289200000000001</v>
      </c>
      <c r="F3770">
        <v>46312</v>
      </c>
    </row>
    <row r="3771" spans="1:6" x14ac:dyDescent="0.25">
      <c r="A3771" s="4">
        <v>39855</v>
      </c>
      <c r="B3771">
        <v>27.753</v>
      </c>
      <c r="C3771">
        <v>29.0776</v>
      </c>
      <c r="D3771">
        <v>27.753</v>
      </c>
      <c r="E3771">
        <v>29.046099999999999</v>
      </c>
      <c r="F3771">
        <v>80431</v>
      </c>
    </row>
    <row r="3772" spans="1:6" x14ac:dyDescent="0.25">
      <c r="A3772" s="4">
        <v>39856</v>
      </c>
      <c r="B3772">
        <v>29.140699999999999</v>
      </c>
      <c r="C3772">
        <v>29.298400000000001</v>
      </c>
      <c r="D3772">
        <v>28.320699999999999</v>
      </c>
      <c r="E3772">
        <v>28.604600000000001</v>
      </c>
      <c r="F3772">
        <v>69803</v>
      </c>
    </row>
    <row r="3773" spans="1:6" x14ac:dyDescent="0.25">
      <c r="A3773" s="4">
        <v>39857</v>
      </c>
      <c r="B3773">
        <v>28.888400000000001</v>
      </c>
      <c r="C3773">
        <v>29.1722</v>
      </c>
      <c r="D3773">
        <v>28.888400000000001</v>
      </c>
      <c r="E3773">
        <v>28.983000000000001</v>
      </c>
      <c r="F3773">
        <v>50844</v>
      </c>
    </row>
    <row r="3774" spans="1:6" x14ac:dyDescent="0.25">
      <c r="A3774" s="4">
        <v>39860</v>
      </c>
      <c r="B3774">
        <v>29.613800000000001</v>
      </c>
      <c r="C3774">
        <v>29.613800000000001</v>
      </c>
      <c r="D3774">
        <v>28.8569</v>
      </c>
      <c r="E3774">
        <v>28.919899999999998</v>
      </c>
      <c r="F3774">
        <v>51332</v>
      </c>
    </row>
    <row r="3775" spans="1:6" x14ac:dyDescent="0.25">
      <c r="A3775" s="4">
        <v>39861</v>
      </c>
      <c r="B3775">
        <v>28.446899999999999</v>
      </c>
      <c r="C3775">
        <v>28.636099999999999</v>
      </c>
      <c r="D3775">
        <v>27.1538</v>
      </c>
      <c r="E3775">
        <v>27.626899999999999</v>
      </c>
      <c r="F3775">
        <v>69151</v>
      </c>
    </row>
    <row r="3776" spans="1:6" x14ac:dyDescent="0.25">
      <c r="A3776" s="4">
        <v>39862</v>
      </c>
      <c r="B3776">
        <v>27.753</v>
      </c>
      <c r="C3776">
        <v>28.573</v>
      </c>
      <c r="D3776">
        <v>27.500699999999998</v>
      </c>
      <c r="E3776">
        <v>28.131499999999999</v>
      </c>
      <c r="F3776">
        <v>58724</v>
      </c>
    </row>
    <row r="3777" spans="1:6" x14ac:dyDescent="0.25">
      <c r="A3777" s="4">
        <v>39863</v>
      </c>
      <c r="B3777">
        <v>28.509899999999998</v>
      </c>
      <c r="C3777">
        <v>29.140699999999999</v>
      </c>
      <c r="D3777">
        <v>27.753</v>
      </c>
      <c r="E3777">
        <v>28.636099999999999</v>
      </c>
      <c r="F3777">
        <v>66457</v>
      </c>
    </row>
    <row r="3778" spans="1:6" x14ac:dyDescent="0.25">
      <c r="A3778" s="4">
        <v>39864</v>
      </c>
      <c r="B3778">
        <v>27.8477</v>
      </c>
      <c r="C3778">
        <v>28.2576</v>
      </c>
      <c r="D3778">
        <v>27.6584</v>
      </c>
      <c r="E3778">
        <v>27.69</v>
      </c>
      <c r="F3778">
        <v>81826</v>
      </c>
    </row>
    <row r="3779" spans="1:6" x14ac:dyDescent="0.25">
      <c r="A3779" s="4">
        <v>39867</v>
      </c>
      <c r="B3779">
        <v>27.626899999999999</v>
      </c>
      <c r="C3779">
        <v>28.509899999999998</v>
      </c>
      <c r="D3779">
        <v>27.4377</v>
      </c>
      <c r="E3779">
        <v>28.383800000000001</v>
      </c>
      <c r="F3779">
        <v>66312</v>
      </c>
    </row>
    <row r="3780" spans="1:6" x14ac:dyDescent="0.25">
      <c r="A3780" s="4">
        <v>39868</v>
      </c>
      <c r="B3780">
        <v>27.721499999999999</v>
      </c>
      <c r="C3780">
        <v>28.005299999999998</v>
      </c>
      <c r="D3780">
        <v>27.4377</v>
      </c>
      <c r="E3780">
        <v>27.753</v>
      </c>
      <c r="F3780">
        <v>60256</v>
      </c>
    </row>
    <row r="3781" spans="1:6" x14ac:dyDescent="0.25">
      <c r="A3781" s="4">
        <v>39869</v>
      </c>
      <c r="B3781">
        <v>28.383800000000001</v>
      </c>
      <c r="C3781">
        <v>28.573</v>
      </c>
      <c r="D3781">
        <v>27.942299999999999</v>
      </c>
      <c r="E3781">
        <v>28.194600000000001</v>
      </c>
      <c r="F3781">
        <v>53878</v>
      </c>
    </row>
    <row r="3782" spans="1:6" x14ac:dyDescent="0.25">
      <c r="A3782" s="4">
        <v>39870</v>
      </c>
      <c r="B3782">
        <v>28.383800000000001</v>
      </c>
      <c r="C3782">
        <v>28.541499999999999</v>
      </c>
      <c r="D3782">
        <v>28.131499999999999</v>
      </c>
      <c r="E3782">
        <v>28.383800000000001</v>
      </c>
      <c r="F3782">
        <v>52872</v>
      </c>
    </row>
    <row r="3783" spans="1:6" x14ac:dyDescent="0.25">
      <c r="A3783" s="4">
        <v>39871</v>
      </c>
      <c r="B3783">
        <v>28.573</v>
      </c>
      <c r="C3783">
        <v>28.6676</v>
      </c>
      <c r="D3783">
        <v>28.2576</v>
      </c>
      <c r="E3783">
        <v>28.3523</v>
      </c>
      <c r="F3783">
        <v>59370</v>
      </c>
    </row>
    <row r="3784" spans="1:6" x14ac:dyDescent="0.25">
      <c r="A3784" s="4">
        <v>39874</v>
      </c>
      <c r="B3784">
        <v>29.014500000000002</v>
      </c>
      <c r="C3784">
        <v>29.014500000000002</v>
      </c>
      <c r="D3784">
        <v>27.8477</v>
      </c>
      <c r="E3784">
        <v>28.226099999999999</v>
      </c>
      <c r="F3784">
        <v>101891</v>
      </c>
    </row>
    <row r="3785" spans="1:6" x14ac:dyDescent="0.25">
      <c r="A3785" s="4">
        <v>39875</v>
      </c>
      <c r="B3785">
        <v>28.2576</v>
      </c>
      <c r="C3785">
        <v>28.289200000000001</v>
      </c>
      <c r="D3785">
        <v>27.910699999999999</v>
      </c>
      <c r="E3785">
        <v>28.131499999999999</v>
      </c>
      <c r="F3785">
        <v>58135</v>
      </c>
    </row>
    <row r="3786" spans="1:6" x14ac:dyDescent="0.25">
      <c r="A3786" s="4">
        <v>39876</v>
      </c>
      <c r="B3786">
        <v>28.604600000000001</v>
      </c>
      <c r="C3786">
        <v>29.014500000000002</v>
      </c>
      <c r="D3786">
        <v>28.2576</v>
      </c>
      <c r="E3786">
        <v>29.014500000000002</v>
      </c>
      <c r="F3786">
        <v>85727</v>
      </c>
    </row>
    <row r="3787" spans="1:6" x14ac:dyDescent="0.25">
      <c r="A3787" s="4">
        <v>39877</v>
      </c>
      <c r="B3787">
        <v>29.550699999999999</v>
      </c>
      <c r="C3787">
        <v>29.897600000000001</v>
      </c>
      <c r="D3787">
        <v>29.014500000000002</v>
      </c>
      <c r="E3787">
        <v>29.393000000000001</v>
      </c>
      <c r="F3787">
        <v>77997</v>
      </c>
    </row>
    <row r="3788" spans="1:6" x14ac:dyDescent="0.25">
      <c r="A3788" s="4">
        <v>39878</v>
      </c>
      <c r="B3788">
        <v>29.645299999999999</v>
      </c>
      <c r="C3788">
        <v>30.749099999999999</v>
      </c>
      <c r="D3788">
        <v>29.550699999999999</v>
      </c>
      <c r="E3788">
        <v>30.5914</v>
      </c>
      <c r="F3788">
        <v>103954</v>
      </c>
    </row>
    <row r="3789" spans="1:6" x14ac:dyDescent="0.25">
      <c r="A3789" s="4">
        <v>39881</v>
      </c>
      <c r="B3789">
        <v>30.276</v>
      </c>
      <c r="C3789">
        <v>30.654499999999999</v>
      </c>
      <c r="D3789">
        <v>29.645299999999999</v>
      </c>
      <c r="E3789">
        <v>30.433700000000002</v>
      </c>
      <c r="F3789">
        <v>69599</v>
      </c>
    </row>
    <row r="3790" spans="1:6" x14ac:dyDescent="0.25">
      <c r="A3790" s="4">
        <v>39882</v>
      </c>
      <c r="B3790">
        <v>29.329899999999999</v>
      </c>
      <c r="C3790">
        <v>29.929099999999998</v>
      </c>
      <c r="D3790">
        <v>29.329899999999999</v>
      </c>
      <c r="E3790">
        <v>29.739899999999999</v>
      </c>
      <c r="F3790">
        <v>78143</v>
      </c>
    </row>
    <row r="3791" spans="1:6" x14ac:dyDescent="0.25">
      <c r="A3791" s="4">
        <v>39883</v>
      </c>
      <c r="B3791">
        <v>30.654499999999999</v>
      </c>
      <c r="C3791">
        <v>30.9068</v>
      </c>
      <c r="D3791">
        <v>30.276</v>
      </c>
      <c r="E3791">
        <v>30.717600000000001</v>
      </c>
      <c r="F3791">
        <v>84135</v>
      </c>
    </row>
    <row r="3792" spans="1:6" x14ac:dyDescent="0.25">
      <c r="A3792" s="4">
        <v>39884</v>
      </c>
      <c r="B3792">
        <v>30.654499999999999</v>
      </c>
      <c r="C3792">
        <v>30.717600000000001</v>
      </c>
      <c r="D3792">
        <v>30.244499999999999</v>
      </c>
      <c r="E3792">
        <v>30.433700000000002</v>
      </c>
      <c r="F3792">
        <v>51627</v>
      </c>
    </row>
    <row r="3793" spans="1:6" x14ac:dyDescent="0.25">
      <c r="A3793" s="4">
        <v>39885</v>
      </c>
      <c r="B3793">
        <v>30.9068</v>
      </c>
      <c r="C3793">
        <v>31.537500000000001</v>
      </c>
      <c r="D3793">
        <v>30.7806</v>
      </c>
      <c r="E3793">
        <v>31.222200000000001</v>
      </c>
      <c r="F3793">
        <v>114490</v>
      </c>
    </row>
    <row r="3794" spans="1:6" x14ac:dyDescent="0.25">
      <c r="A3794" s="4">
        <v>39888</v>
      </c>
      <c r="B3794">
        <v>31.537500000000001</v>
      </c>
      <c r="C3794">
        <v>31.6006</v>
      </c>
      <c r="D3794">
        <v>31.442900000000002</v>
      </c>
      <c r="E3794">
        <v>31.537500000000001</v>
      </c>
      <c r="F3794">
        <v>74164</v>
      </c>
    </row>
    <row r="3795" spans="1:6" x14ac:dyDescent="0.25">
      <c r="A3795" s="4">
        <v>39889</v>
      </c>
      <c r="B3795">
        <v>31.537500000000001</v>
      </c>
      <c r="C3795">
        <v>31.663699999999999</v>
      </c>
      <c r="D3795">
        <v>31.316800000000001</v>
      </c>
      <c r="E3795">
        <v>31.537500000000001</v>
      </c>
      <c r="F3795">
        <v>59584</v>
      </c>
    </row>
    <row r="3796" spans="1:6" x14ac:dyDescent="0.25">
      <c r="A3796" s="4">
        <v>39890</v>
      </c>
      <c r="B3796">
        <v>31.663699999999999</v>
      </c>
      <c r="C3796">
        <v>31.852900000000002</v>
      </c>
      <c r="D3796">
        <v>31.379899999999999</v>
      </c>
      <c r="E3796">
        <v>31.789899999999999</v>
      </c>
      <c r="F3796">
        <v>80526</v>
      </c>
    </row>
    <row r="3797" spans="1:6" x14ac:dyDescent="0.25">
      <c r="A3797" s="4">
        <v>39891</v>
      </c>
      <c r="B3797">
        <v>31.852900000000002</v>
      </c>
      <c r="C3797">
        <v>31.916</v>
      </c>
      <c r="D3797">
        <v>30.969899999999999</v>
      </c>
      <c r="E3797">
        <v>31.032900000000001</v>
      </c>
      <c r="F3797">
        <v>51242</v>
      </c>
    </row>
    <row r="3798" spans="1:6" x14ac:dyDescent="0.25">
      <c r="A3798" s="4">
        <v>39892</v>
      </c>
      <c r="B3798">
        <v>31.348299999999998</v>
      </c>
      <c r="C3798">
        <v>31.348299999999998</v>
      </c>
      <c r="D3798">
        <v>30.0868</v>
      </c>
      <c r="E3798">
        <v>30.0868</v>
      </c>
      <c r="F3798">
        <v>62307</v>
      </c>
    </row>
    <row r="3799" spans="1:6" x14ac:dyDescent="0.25">
      <c r="A3799" s="4">
        <v>39895</v>
      </c>
      <c r="B3799">
        <v>30.528300000000002</v>
      </c>
      <c r="C3799">
        <v>31.789899999999999</v>
      </c>
      <c r="D3799">
        <v>30.528300000000002</v>
      </c>
      <c r="E3799">
        <v>31.726800000000001</v>
      </c>
      <c r="F3799">
        <v>59642</v>
      </c>
    </row>
    <row r="3800" spans="1:6" x14ac:dyDescent="0.25">
      <c r="A3800" s="4">
        <v>39896</v>
      </c>
      <c r="B3800">
        <v>32.483699999999999</v>
      </c>
      <c r="C3800">
        <v>33.051400000000001</v>
      </c>
      <c r="D3800">
        <v>32.357500000000002</v>
      </c>
      <c r="E3800">
        <v>33.051400000000001</v>
      </c>
      <c r="F3800">
        <v>62137</v>
      </c>
    </row>
    <row r="3801" spans="1:6" x14ac:dyDescent="0.25">
      <c r="A3801" s="4">
        <v>39897</v>
      </c>
      <c r="B3801">
        <v>32.799100000000003</v>
      </c>
      <c r="C3801">
        <v>33.4298</v>
      </c>
      <c r="D3801">
        <v>32.546799999999998</v>
      </c>
      <c r="E3801">
        <v>32.925199999999997</v>
      </c>
      <c r="F3801">
        <v>75298</v>
      </c>
    </row>
    <row r="3802" spans="1:6" x14ac:dyDescent="0.25">
      <c r="A3802" s="4">
        <v>39898</v>
      </c>
      <c r="B3802">
        <v>32.546799999999998</v>
      </c>
      <c r="C3802">
        <v>33.303699999999999</v>
      </c>
      <c r="D3802">
        <v>32.231400000000001</v>
      </c>
      <c r="E3802">
        <v>32.6098</v>
      </c>
      <c r="F3802">
        <v>61263</v>
      </c>
    </row>
    <row r="3803" spans="1:6" x14ac:dyDescent="0.25">
      <c r="A3803" s="4">
        <v>39899</v>
      </c>
      <c r="B3803">
        <v>33.177500000000002</v>
      </c>
      <c r="C3803">
        <v>33.177500000000002</v>
      </c>
      <c r="D3803">
        <v>32.546799999999998</v>
      </c>
      <c r="E3803">
        <v>32.735999999999997</v>
      </c>
      <c r="F3803">
        <v>53591</v>
      </c>
    </row>
    <row r="3804" spans="1:6" x14ac:dyDescent="0.25">
      <c r="A3804" s="4">
        <v>39902</v>
      </c>
      <c r="B3804">
        <v>32.672899999999998</v>
      </c>
      <c r="C3804">
        <v>32.799100000000003</v>
      </c>
      <c r="D3804">
        <v>32.042200000000001</v>
      </c>
      <c r="E3804">
        <v>32.799100000000003</v>
      </c>
      <c r="F3804">
        <v>46029</v>
      </c>
    </row>
    <row r="3805" spans="1:6" x14ac:dyDescent="0.25">
      <c r="A3805" s="4">
        <v>39903</v>
      </c>
      <c r="B3805">
        <v>32.546799999999998</v>
      </c>
      <c r="C3805">
        <v>33.303699999999999</v>
      </c>
      <c r="D3805">
        <v>32.4206</v>
      </c>
      <c r="E3805">
        <v>32.4206</v>
      </c>
      <c r="F3805">
        <v>69329</v>
      </c>
    </row>
    <row r="3806" spans="1:6" x14ac:dyDescent="0.25">
      <c r="A3806" s="4">
        <v>39904</v>
      </c>
      <c r="B3806">
        <v>32.735999999999997</v>
      </c>
      <c r="C3806">
        <v>32.799100000000003</v>
      </c>
      <c r="D3806">
        <v>31.979099999999999</v>
      </c>
      <c r="E3806">
        <v>31.979099999999999</v>
      </c>
      <c r="F3806">
        <v>52016</v>
      </c>
    </row>
    <row r="3807" spans="1:6" x14ac:dyDescent="0.25">
      <c r="A3807" s="4">
        <v>39905</v>
      </c>
      <c r="B3807">
        <v>32.988300000000002</v>
      </c>
      <c r="C3807">
        <v>33.114400000000003</v>
      </c>
      <c r="D3807">
        <v>32.483699999999999</v>
      </c>
      <c r="E3807">
        <v>33.051400000000001</v>
      </c>
      <c r="F3807">
        <v>84651</v>
      </c>
    </row>
    <row r="3808" spans="1:6" x14ac:dyDescent="0.25">
      <c r="A3808" s="4">
        <v>39906</v>
      </c>
      <c r="B3808">
        <v>33.745199999999997</v>
      </c>
      <c r="C3808">
        <v>33.934399999999997</v>
      </c>
      <c r="D3808">
        <v>32.862099999999998</v>
      </c>
      <c r="E3808">
        <v>33.177500000000002</v>
      </c>
      <c r="F3808">
        <v>86967</v>
      </c>
    </row>
    <row r="3809" spans="1:6" x14ac:dyDescent="0.25">
      <c r="A3809" s="4">
        <v>39909</v>
      </c>
      <c r="B3809">
        <v>33.745199999999997</v>
      </c>
      <c r="C3809">
        <v>33.745199999999997</v>
      </c>
      <c r="D3809">
        <v>32.546799999999998</v>
      </c>
      <c r="E3809">
        <v>33.051400000000001</v>
      </c>
      <c r="F3809">
        <v>85448</v>
      </c>
    </row>
    <row r="3810" spans="1:6" x14ac:dyDescent="0.25">
      <c r="A3810" s="4">
        <v>39910</v>
      </c>
      <c r="B3810">
        <v>32.168300000000002</v>
      </c>
      <c r="C3810">
        <v>32.862099999999998</v>
      </c>
      <c r="D3810">
        <v>32.168300000000002</v>
      </c>
      <c r="E3810">
        <v>32.862099999999998</v>
      </c>
      <c r="F3810">
        <v>75602</v>
      </c>
    </row>
    <row r="3811" spans="1:6" x14ac:dyDescent="0.25">
      <c r="A3811" s="4">
        <v>39911</v>
      </c>
      <c r="B3811">
        <v>32.483699999999999</v>
      </c>
      <c r="C3811">
        <v>32.483699999999999</v>
      </c>
      <c r="D3811">
        <v>31.2852</v>
      </c>
      <c r="E3811">
        <v>31.663699999999999</v>
      </c>
      <c r="F3811">
        <v>114715</v>
      </c>
    </row>
    <row r="3812" spans="1:6" x14ac:dyDescent="0.25">
      <c r="A3812" s="4">
        <v>39912</v>
      </c>
      <c r="B3812">
        <v>32.168300000000002</v>
      </c>
      <c r="C3812">
        <v>33.051400000000001</v>
      </c>
      <c r="D3812">
        <v>32.168300000000002</v>
      </c>
      <c r="E3812">
        <v>33.051400000000001</v>
      </c>
      <c r="F3812">
        <v>85979</v>
      </c>
    </row>
    <row r="3813" spans="1:6" x14ac:dyDescent="0.25">
      <c r="A3813" s="4">
        <v>39913</v>
      </c>
      <c r="B3813">
        <v>33.4298</v>
      </c>
      <c r="C3813">
        <v>33.4298</v>
      </c>
      <c r="D3813">
        <v>32.799100000000003</v>
      </c>
      <c r="E3813">
        <v>33.4298</v>
      </c>
      <c r="F3813">
        <v>43178</v>
      </c>
    </row>
    <row r="3814" spans="1:6" x14ac:dyDescent="0.25">
      <c r="A3814" s="4">
        <v>39916</v>
      </c>
      <c r="B3814">
        <v>33.745199999999997</v>
      </c>
      <c r="C3814">
        <v>33.745199999999997</v>
      </c>
      <c r="D3814">
        <v>32.925199999999997</v>
      </c>
      <c r="E3814">
        <v>33.240600000000001</v>
      </c>
      <c r="F3814">
        <v>57300</v>
      </c>
    </row>
    <row r="3815" spans="1:6" x14ac:dyDescent="0.25">
      <c r="A3815" s="4">
        <v>39917</v>
      </c>
      <c r="B3815">
        <v>32.862099999999998</v>
      </c>
      <c r="C3815">
        <v>33.177500000000002</v>
      </c>
      <c r="D3815">
        <v>32.357500000000002</v>
      </c>
      <c r="E3815">
        <v>33.114400000000003</v>
      </c>
      <c r="F3815">
        <v>72053</v>
      </c>
    </row>
    <row r="3816" spans="1:6" x14ac:dyDescent="0.25">
      <c r="A3816" s="4">
        <v>39918</v>
      </c>
      <c r="B3816">
        <v>33.114400000000003</v>
      </c>
      <c r="C3816">
        <v>33.114400000000003</v>
      </c>
      <c r="D3816">
        <v>32.042200000000001</v>
      </c>
      <c r="E3816">
        <v>32.799100000000003</v>
      </c>
      <c r="F3816">
        <v>89359</v>
      </c>
    </row>
    <row r="3817" spans="1:6" x14ac:dyDescent="0.25">
      <c r="A3817" s="4">
        <v>39919</v>
      </c>
      <c r="B3817">
        <v>32.925199999999997</v>
      </c>
      <c r="C3817">
        <v>33.051400000000001</v>
      </c>
      <c r="D3817">
        <v>32.231400000000001</v>
      </c>
      <c r="E3817">
        <v>32.357500000000002</v>
      </c>
      <c r="F3817">
        <v>93548</v>
      </c>
    </row>
    <row r="3818" spans="1:6" x14ac:dyDescent="0.25">
      <c r="A3818" s="4">
        <v>39920</v>
      </c>
      <c r="B3818">
        <v>32.735999999999997</v>
      </c>
      <c r="C3818">
        <v>33.051400000000001</v>
      </c>
      <c r="D3818">
        <v>31.537500000000001</v>
      </c>
      <c r="E3818">
        <v>31.789899999999999</v>
      </c>
      <c r="F3818">
        <v>152928</v>
      </c>
    </row>
    <row r="3819" spans="1:6" x14ac:dyDescent="0.25">
      <c r="A3819" s="4">
        <v>39923</v>
      </c>
      <c r="B3819">
        <v>32.4206</v>
      </c>
      <c r="C3819">
        <v>32.735999999999997</v>
      </c>
      <c r="D3819">
        <v>31.979099999999999</v>
      </c>
      <c r="E3819">
        <v>32.735999999999997</v>
      </c>
      <c r="F3819">
        <v>78106</v>
      </c>
    </row>
    <row r="3820" spans="1:6" x14ac:dyDescent="0.25">
      <c r="A3820" s="4">
        <v>39924</v>
      </c>
      <c r="B3820">
        <v>31.852900000000002</v>
      </c>
      <c r="C3820">
        <v>32.546799999999998</v>
      </c>
      <c r="D3820">
        <v>31.852900000000002</v>
      </c>
      <c r="E3820">
        <v>32.546799999999998</v>
      </c>
      <c r="F3820">
        <v>64237</v>
      </c>
    </row>
    <row r="3821" spans="1:6" x14ac:dyDescent="0.25">
      <c r="A3821" s="4">
        <v>39925</v>
      </c>
      <c r="B3821">
        <v>32.546799999999998</v>
      </c>
      <c r="C3821">
        <v>32.546799999999998</v>
      </c>
      <c r="D3821">
        <v>31.852900000000002</v>
      </c>
      <c r="E3821">
        <v>31.979099999999999</v>
      </c>
      <c r="F3821">
        <v>67166</v>
      </c>
    </row>
    <row r="3822" spans="1:6" x14ac:dyDescent="0.25">
      <c r="A3822" s="4">
        <v>39926</v>
      </c>
      <c r="B3822">
        <v>32.105200000000004</v>
      </c>
      <c r="C3822">
        <v>32.4206</v>
      </c>
      <c r="D3822">
        <v>31.6006</v>
      </c>
      <c r="E3822">
        <v>32.357500000000002</v>
      </c>
      <c r="F3822">
        <v>80615</v>
      </c>
    </row>
    <row r="3823" spans="1:6" x14ac:dyDescent="0.25">
      <c r="A3823" s="4">
        <v>39927</v>
      </c>
      <c r="B3823">
        <v>32.546799999999998</v>
      </c>
      <c r="C3823">
        <v>32.672899999999998</v>
      </c>
      <c r="D3823">
        <v>31.726800000000001</v>
      </c>
      <c r="E3823">
        <v>31.852900000000002</v>
      </c>
      <c r="F3823">
        <v>82333</v>
      </c>
    </row>
    <row r="3824" spans="1:6" x14ac:dyDescent="0.25">
      <c r="A3824" s="4">
        <v>39930</v>
      </c>
      <c r="B3824">
        <v>31.916</v>
      </c>
      <c r="C3824">
        <v>32.168300000000002</v>
      </c>
      <c r="D3824">
        <v>31.663699999999999</v>
      </c>
      <c r="E3824">
        <v>31.852900000000002</v>
      </c>
      <c r="F3824">
        <v>63095</v>
      </c>
    </row>
    <row r="3825" spans="1:6" x14ac:dyDescent="0.25">
      <c r="A3825" s="4">
        <v>39931</v>
      </c>
      <c r="B3825">
        <v>32.105200000000004</v>
      </c>
      <c r="C3825">
        <v>32.483699999999999</v>
      </c>
      <c r="D3825">
        <v>31.916</v>
      </c>
      <c r="E3825">
        <v>32.168300000000002</v>
      </c>
      <c r="F3825">
        <v>55904</v>
      </c>
    </row>
    <row r="3826" spans="1:6" x14ac:dyDescent="0.25">
      <c r="A3826" s="4">
        <v>39932</v>
      </c>
      <c r="B3826">
        <v>32.546799999999998</v>
      </c>
      <c r="C3826">
        <v>32.672899999999998</v>
      </c>
      <c r="D3826">
        <v>32.357500000000002</v>
      </c>
      <c r="E3826">
        <v>32.546799999999998</v>
      </c>
      <c r="F3826">
        <v>58353</v>
      </c>
    </row>
    <row r="3827" spans="1:6" x14ac:dyDescent="0.25">
      <c r="A3827" s="4">
        <v>39933</v>
      </c>
      <c r="B3827">
        <v>34.817500000000003</v>
      </c>
      <c r="C3827">
        <v>34.817500000000003</v>
      </c>
      <c r="D3827">
        <v>34.312899999999999</v>
      </c>
      <c r="E3827">
        <v>34.817500000000003</v>
      </c>
      <c r="F3827">
        <v>157462</v>
      </c>
    </row>
    <row r="3828" spans="1:6" x14ac:dyDescent="0.25">
      <c r="A3828" s="4">
        <v>39937</v>
      </c>
      <c r="B3828">
        <v>37.151200000000003</v>
      </c>
      <c r="C3828">
        <v>37.214300000000001</v>
      </c>
      <c r="D3828">
        <v>36.4574</v>
      </c>
      <c r="E3828">
        <v>37.214300000000001</v>
      </c>
      <c r="F3828">
        <v>177163</v>
      </c>
    </row>
    <row r="3829" spans="1:6" x14ac:dyDescent="0.25">
      <c r="A3829" s="4">
        <v>39938</v>
      </c>
      <c r="B3829">
        <v>38.160400000000003</v>
      </c>
      <c r="C3829">
        <v>38.412700000000001</v>
      </c>
      <c r="D3829">
        <v>36.2682</v>
      </c>
      <c r="E3829">
        <v>36.583599999999997</v>
      </c>
      <c r="F3829">
        <v>131066</v>
      </c>
    </row>
    <row r="3830" spans="1:6" x14ac:dyDescent="0.25">
      <c r="A3830" s="4">
        <v>39939</v>
      </c>
      <c r="B3830">
        <v>36.583599999999997</v>
      </c>
      <c r="C3830">
        <v>36.583599999999997</v>
      </c>
      <c r="D3830">
        <v>35.700499999999998</v>
      </c>
      <c r="E3830">
        <v>36.2682</v>
      </c>
      <c r="F3830">
        <v>176101</v>
      </c>
    </row>
    <row r="3831" spans="1:6" x14ac:dyDescent="0.25">
      <c r="A3831" s="4">
        <v>39940</v>
      </c>
      <c r="B3831">
        <v>36.2682</v>
      </c>
      <c r="C3831">
        <v>36.2682</v>
      </c>
      <c r="D3831">
        <v>35.385100000000001</v>
      </c>
      <c r="E3831">
        <v>35.6374</v>
      </c>
      <c r="F3831">
        <v>141315</v>
      </c>
    </row>
    <row r="3832" spans="1:6" x14ac:dyDescent="0.25">
      <c r="A3832" s="4">
        <v>39941</v>
      </c>
      <c r="B3832">
        <v>35.069800000000001</v>
      </c>
      <c r="C3832">
        <v>35.511299999999999</v>
      </c>
      <c r="D3832">
        <v>34.943600000000004</v>
      </c>
      <c r="E3832">
        <v>35.511299999999999</v>
      </c>
      <c r="F3832">
        <v>97085</v>
      </c>
    </row>
    <row r="3833" spans="1:6" x14ac:dyDescent="0.25">
      <c r="A3833" s="4">
        <v>39944</v>
      </c>
      <c r="B3833">
        <v>35.6374</v>
      </c>
      <c r="C3833">
        <v>35.952800000000003</v>
      </c>
      <c r="D3833">
        <v>35.069800000000001</v>
      </c>
      <c r="E3833">
        <v>35.4482</v>
      </c>
      <c r="F3833">
        <v>77284</v>
      </c>
    </row>
    <row r="3834" spans="1:6" x14ac:dyDescent="0.25">
      <c r="A3834" s="4">
        <v>39945</v>
      </c>
      <c r="B3834">
        <v>35.322099999999999</v>
      </c>
      <c r="C3834">
        <v>35.322099999999999</v>
      </c>
      <c r="D3834">
        <v>34.691299999999998</v>
      </c>
      <c r="E3834">
        <v>34.943600000000004</v>
      </c>
      <c r="F3834">
        <v>83431</v>
      </c>
    </row>
    <row r="3835" spans="1:6" x14ac:dyDescent="0.25">
      <c r="A3835" s="4">
        <v>39946</v>
      </c>
      <c r="B3835">
        <v>34.880499999999998</v>
      </c>
      <c r="C3835">
        <v>35.826700000000002</v>
      </c>
      <c r="D3835">
        <v>34.880499999999998</v>
      </c>
      <c r="E3835">
        <v>35.574399999999997</v>
      </c>
      <c r="F3835">
        <v>93934</v>
      </c>
    </row>
    <row r="3836" spans="1:6" x14ac:dyDescent="0.25">
      <c r="A3836" s="4">
        <v>39947</v>
      </c>
      <c r="B3836">
        <v>34.691299999999998</v>
      </c>
      <c r="C3836">
        <v>34.943600000000004</v>
      </c>
      <c r="D3836">
        <v>34.312899999999999</v>
      </c>
      <c r="E3836">
        <v>34.375900000000001</v>
      </c>
      <c r="F3836">
        <v>82103</v>
      </c>
    </row>
    <row r="3837" spans="1:6" x14ac:dyDescent="0.25">
      <c r="A3837" s="4">
        <v>39948</v>
      </c>
      <c r="B3837">
        <v>35.195900000000002</v>
      </c>
      <c r="C3837">
        <v>35.195900000000002</v>
      </c>
      <c r="D3837">
        <v>34.565199999999997</v>
      </c>
      <c r="E3837">
        <v>34.565199999999997</v>
      </c>
      <c r="F3837">
        <v>64117</v>
      </c>
    </row>
    <row r="3838" spans="1:6" x14ac:dyDescent="0.25">
      <c r="A3838" s="4">
        <v>39951</v>
      </c>
      <c r="B3838">
        <v>35.006700000000002</v>
      </c>
      <c r="C3838">
        <v>35.322099999999999</v>
      </c>
      <c r="D3838">
        <v>34.186700000000002</v>
      </c>
      <c r="E3838">
        <v>35.322099999999999</v>
      </c>
      <c r="F3838">
        <v>63132</v>
      </c>
    </row>
    <row r="3839" spans="1:6" x14ac:dyDescent="0.25">
      <c r="A3839" s="4">
        <v>39952</v>
      </c>
      <c r="B3839">
        <v>35.952800000000003</v>
      </c>
      <c r="C3839">
        <v>35.952800000000003</v>
      </c>
      <c r="D3839">
        <v>35.574399999999997</v>
      </c>
      <c r="E3839">
        <v>35.952800000000003</v>
      </c>
      <c r="F3839">
        <v>91300</v>
      </c>
    </row>
    <row r="3840" spans="1:6" x14ac:dyDescent="0.25">
      <c r="A3840" s="4">
        <v>39953</v>
      </c>
      <c r="B3840">
        <v>35.826700000000002</v>
      </c>
      <c r="C3840">
        <v>35.826700000000002</v>
      </c>
      <c r="D3840">
        <v>35.132800000000003</v>
      </c>
      <c r="E3840">
        <v>35.4482</v>
      </c>
      <c r="F3840">
        <v>64542</v>
      </c>
    </row>
    <row r="3841" spans="1:6" x14ac:dyDescent="0.25">
      <c r="A3841" s="4">
        <v>39954</v>
      </c>
      <c r="B3841">
        <v>35.4482</v>
      </c>
      <c r="C3841">
        <v>35.826700000000002</v>
      </c>
      <c r="D3841">
        <v>35.195900000000002</v>
      </c>
      <c r="E3841">
        <v>35.700499999999998</v>
      </c>
      <c r="F3841">
        <v>64072</v>
      </c>
    </row>
    <row r="3842" spans="1:6" x14ac:dyDescent="0.25">
      <c r="A3842" s="4">
        <v>39955</v>
      </c>
      <c r="B3842">
        <v>35.700499999999998</v>
      </c>
      <c r="C3842">
        <v>35.763599999999997</v>
      </c>
      <c r="D3842">
        <v>35.259</v>
      </c>
      <c r="E3842">
        <v>35.4482</v>
      </c>
      <c r="F3842">
        <v>57356</v>
      </c>
    </row>
    <row r="3843" spans="1:6" x14ac:dyDescent="0.25">
      <c r="A3843" s="4">
        <v>39958</v>
      </c>
      <c r="B3843">
        <v>35.889699999999998</v>
      </c>
      <c r="C3843">
        <v>35.889699999999998</v>
      </c>
      <c r="D3843">
        <v>34.754399999999997</v>
      </c>
      <c r="E3843">
        <v>35.132800000000003</v>
      </c>
      <c r="F3843">
        <v>50676</v>
      </c>
    </row>
    <row r="3844" spans="1:6" x14ac:dyDescent="0.25">
      <c r="A3844" s="4">
        <v>39959</v>
      </c>
      <c r="B3844">
        <v>35.259</v>
      </c>
      <c r="C3844">
        <v>35.826700000000002</v>
      </c>
      <c r="D3844">
        <v>35.069800000000001</v>
      </c>
      <c r="E3844">
        <v>35.700499999999998</v>
      </c>
      <c r="F3844">
        <v>64761</v>
      </c>
    </row>
    <row r="3845" spans="1:6" x14ac:dyDescent="0.25">
      <c r="A3845" s="4">
        <v>39960</v>
      </c>
      <c r="B3845">
        <v>35.952800000000003</v>
      </c>
      <c r="C3845">
        <v>38.0974</v>
      </c>
      <c r="D3845">
        <v>35.763599999999997</v>
      </c>
      <c r="E3845">
        <v>38.0974</v>
      </c>
      <c r="F3845">
        <v>185666</v>
      </c>
    </row>
    <row r="3846" spans="1:6" x14ac:dyDescent="0.25">
      <c r="A3846" s="4">
        <v>39965</v>
      </c>
      <c r="B3846">
        <v>38.160400000000003</v>
      </c>
      <c r="C3846">
        <v>38.223500000000001</v>
      </c>
      <c r="D3846">
        <v>36.898899999999998</v>
      </c>
      <c r="E3846">
        <v>37.214300000000001</v>
      </c>
      <c r="F3846">
        <v>106442</v>
      </c>
    </row>
    <row r="3847" spans="1:6" x14ac:dyDescent="0.25">
      <c r="A3847" s="4">
        <v>39966</v>
      </c>
      <c r="B3847">
        <v>37.845100000000002</v>
      </c>
      <c r="C3847">
        <v>37.845100000000002</v>
      </c>
      <c r="D3847">
        <v>37.214300000000001</v>
      </c>
      <c r="E3847">
        <v>37.781999999999996</v>
      </c>
      <c r="F3847">
        <v>86481</v>
      </c>
    </row>
    <row r="3848" spans="1:6" x14ac:dyDescent="0.25">
      <c r="A3848" s="4">
        <v>39967</v>
      </c>
      <c r="B3848">
        <v>37.340499999999999</v>
      </c>
      <c r="C3848">
        <v>37.718899999999998</v>
      </c>
      <c r="D3848">
        <v>37.088200000000001</v>
      </c>
      <c r="E3848">
        <v>37.718899999999998</v>
      </c>
      <c r="F3848">
        <v>80051</v>
      </c>
    </row>
    <row r="3849" spans="1:6" x14ac:dyDescent="0.25">
      <c r="A3849" s="4">
        <v>39968</v>
      </c>
      <c r="B3849">
        <v>36.898899999999998</v>
      </c>
      <c r="C3849">
        <v>37.214300000000001</v>
      </c>
      <c r="D3849">
        <v>35.952800000000003</v>
      </c>
      <c r="E3849">
        <v>36.520499999999998</v>
      </c>
      <c r="F3849">
        <v>86581</v>
      </c>
    </row>
    <row r="3850" spans="1:6" x14ac:dyDescent="0.25">
      <c r="A3850" s="4">
        <v>39969</v>
      </c>
      <c r="B3850">
        <v>36.520499999999998</v>
      </c>
      <c r="C3850">
        <v>36.520499999999998</v>
      </c>
      <c r="D3850">
        <v>35.952800000000003</v>
      </c>
      <c r="E3850">
        <v>36.205100000000002</v>
      </c>
      <c r="F3850">
        <v>43823</v>
      </c>
    </row>
    <row r="3851" spans="1:6" x14ac:dyDescent="0.25">
      <c r="A3851" s="4">
        <v>39970</v>
      </c>
      <c r="B3851">
        <v>36.205100000000002</v>
      </c>
      <c r="C3851">
        <v>36.4574</v>
      </c>
      <c r="D3851">
        <v>36.079000000000001</v>
      </c>
      <c r="E3851">
        <v>36.394300000000001</v>
      </c>
      <c r="F3851">
        <v>7191</v>
      </c>
    </row>
    <row r="3852" spans="1:6" x14ac:dyDescent="0.25">
      <c r="A3852" s="4">
        <v>39972</v>
      </c>
      <c r="B3852">
        <v>36.646599999999999</v>
      </c>
      <c r="C3852">
        <v>36.646599999999999</v>
      </c>
      <c r="D3852">
        <v>35.6374</v>
      </c>
      <c r="E3852">
        <v>35.700499999999998</v>
      </c>
      <c r="F3852">
        <v>64153</v>
      </c>
    </row>
    <row r="3853" spans="1:6" x14ac:dyDescent="0.25">
      <c r="A3853" s="4">
        <v>39973</v>
      </c>
      <c r="B3853">
        <v>35.763599999999997</v>
      </c>
      <c r="C3853">
        <v>36.4574</v>
      </c>
      <c r="D3853">
        <v>35.322099999999999</v>
      </c>
      <c r="E3853">
        <v>35.385100000000001</v>
      </c>
      <c r="F3853">
        <v>90545</v>
      </c>
    </row>
    <row r="3854" spans="1:6" x14ac:dyDescent="0.25">
      <c r="A3854" s="4">
        <v>39974</v>
      </c>
      <c r="B3854">
        <v>36.2682</v>
      </c>
      <c r="C3854">
        <v>36.709699999999998</v>
      </c>
      <c r="D3854">
        <v>36.142000000000003</v>
      </c>
      <c r="E3854">
        <v>36.709699999999998</v>
      </c>
      <c r="F3854">
        <v>65753</v>
      </c>
    </row>
    <row r="3855" spans="1:6" x14ac:dyDescent="0.25">
      <c r="A3855" s="4">
        <v>39975</v>
      </c>
      <c r="B3855">
        <v>36.583599999999997</v>
      </c>
      <c r="C3855">
        <v>36.772799999999997</v>
      </c>
      <c r="D3855">
        <v>35.6374</v>
      </c>
      <c r="E3855">
        <v>36.772799999999997</v>
      </c>
      <c r="F3855">
        <v>60245</v>
      </c>
    </row>
    <row r="3856" spans="1:6" x14ac:dyDescent="0.25">
      <c r="A3856" s="4">
        <v>39976</v>
      </c>
      <c r="B3856">
        <v>36.4574</v>
      </c>
      <c r="C3856">
        <v>36.4574</v>
      </c>
      <c r="D3856">
        <v>35.322099999999999</v>
      </c>
      <c r="E3856">
        <v>35.322099999999999</v>
      </c>
      <c r="F3856">
        <v>90897</v>
      </c>
    </row>
    <row r="3857" spans="1:6" x14ac:dyDescent="0.25">
      <c r="A3857" s="4">
        <v>39979</v>
      </c>
      <c r="B3857">
        <v>34.439</v>
      </c>
      <c r="C3857">
        <v>34.691299999999998</v>
      </c>
      <c r="D3857">
        <v>33.177500000000002</v>
      </c>
      <c r="E3857">
        <v>33.619</v>
      </c>
      <c r="F3857">
        <v>101764</v>
      </c>
    </row>
    <row r="3858" spans="1:6" x14ac:dyDescent="0.25">
      <c r="A3858" s="4">
        <v>39980</v>
      </c>
      <c r="B3858">
        <v>33.555999999999997</v>
      </c>
      <c r="C3858">
        <v>34.2498</v>
      </c>
      <c r="D3858">
        <v>33.114400000000003</v>
      </c>
      <c r="E3858">
        <v>33.808300000000003</v>
      </c>
      <c r="F3858">
        <v>78123</v>
      </c>
    </row>
    <row r="3859" spans="1:6" x14ac:dyDescent="0.25">
      <c r="A3859" s="4">
        <v>39981</v>
      </c>
      <c r="B3859">
        <v>33.366700000000002</v>
      </c>
      <c r="C3859">
        <v>33.366700000000002</v>
      </c>
      <c r="D3859">
        <v>32.672899999999998</v>
      </c>
      <c r="E3859">
        <v>32.799100000000003</v>
      </c>
      <c r="F3859">
        <v>83451</v>
      </c>
    </row>
    <row r="3860" spans="1:6" x14ac:dyDescent="0.25">
      <c r="A3860" s="4">
        <v>39982</v>
      </c>
      <c r="B3860">
        <v>33.619</v>
      </c>
      <c r="C3860">
        <v>33.619</v>
      </c>
      <c r="D3860">
        <v>32.799100000000003</v>
      </c>
      <c r="E3860">
        <v>33.240600000000001</v>
      </c>
      <c r="F3860">
        <v>67750</v>
      </c>
    </row>
    <row r="3861" spans="1:6" x14ac:dyDescent="0.25">
      <c r="A3861" s="4">
        <v>39983</v>
      </c>
      <c r="B3861">
        <v>32.925199999999997</v>
      </c>
      <c r="C3861">
        <v>33.114400000000003</v>
      </c>
      <c r="D3861">
        <v>32.6098</v>
      </c>
      <c r="E3861">
        <v>32.988300000000002</v>
      </c>
      <c r="F3861">
        <v>67571</v>
      </c>
    </row>
    <row r="3862" spans="1:6" x14ac:dyDescent="0.25">
      <c r="A3862" s="4">
        <v>39986</v>
      </c>
      <c r="B3862">
        <v>32.168300000000002</v>
      </c>
      <c r="C3862">
        <v>33.492899999999999</v>
      </c>
      <c r="D3862">
        <v>32.168300000000002</v>
      </c>
      <c r="E3862">
        <v>33.4298</v>
      </c>
      <c r="F3862">
        <v>50678</v>
      </c>
    </row>
    <row r="3863" spans="1:6" x14ac:dyDescent="0.25">
      <c r="A3863" s="4">
        <v>39987</v>
      </c>
      <c r="B3863">
        <v>32.672899999999998</v>
      </c>
      <c r="C3863">
        <v>32.672899999999998</v>
      </c>
      <c r="D3863">
        <v>32.357500000000002</v>
      </c>
      <c r="E3863">
        <v>32.357500000000002</v>
      </c>
      <c r="F3863">
        <v>59338</v>
      </c>
    </row>
    <row r="3864" spans="1:6" x14ac:dyDescent="0.25">
      <c r="A3864" s="4">
        <v>39988</v>
      </c>
      <c r="B3864">
        <v>32.546799999999998</v>
      </c>
      <c r="C3864">
        <v>34.565199999999997</v>
      </c>
      <c r="D3864">
        <v>32.483699999999999</v>
      </c>
      <c r="E3864">
        <v>33.366700000000002</v>
      </c>
      <c r="F3864">
        <v>123273</v>
      </c>
    </row>
    <row r="3865" spans="1:6" x14ac:dyDescent="0.25">
      <c r="A3865" s="4">
        <v>39989</v>
      </c>
      <c r="B3865">
        <v>33.745199999999997</v>
      </c>
      <c r="C3865">
        <v>33.997500000000002</v>
      </c>
      <c r="D3865">
        <v>33.492899999999999</v>
      </c>
      <c r="E3865">
        <v>33.871299999999998</v>
      </c>
      <c r="F3865">
        <v>59576</v>
      </c>
    </row>
    <row r="3866" spans="1:6" x14ac:dyDescent="0.25">
      <c r="A3866" s="4">
        <v>39990</v>
      </c>
      <c r="B3866">
        <v>33.934399999999997</v>
      </c>
      <c r="C3866">
        <v>34.375900000000001</v>
      </c>
      <c r="D3866">
        <v>33.745199999999997</v>
      </c>
      <c r="E3866">
        <v>34.312899999999999</v>
      </c>
      <c r="F3866">
        <v>69148</v>
      </c>
    </row>
    <row r="3867" spans="1:6" x14ac:dyDescent="0.25">
      <c r="A3867" s="4">
        <v>39993</v>
      </c>
      <c r="B3867">
        <v>34.375900000000001</v>
      </c>
      <c r="C3867">
        <v>34.375900000000001</v>
      </c>
      <c r="D3867">
        <v>33.492899999999999</v>
      </c>
      <c r="E3867">
        <v>33.682099999999998</v>
      </c>
      <c r="F3867">
        <v>64173</v>
      </c>
    </row>
    <row r="3868" spans="1:6" x14ac:dyDescent="0.25">
      <c r="A3868" s="4">
        <v>39994</v>
      </c>
      <c r="B3868">
        <v>34.439</v>
      </c>
      <c r="C3868">
        <v>34.502099999999999</v>
      </c>
      <c r="D3868">
        <v>33.934399999999997</v>
      </c>
      <c r="E3868">
        <v>34.502099999999999</v>
      </c>
      <c r="F3868">
        <v>45109</v>
      </c>
    </row>
    <row r="3869" spans="1:6" x14ac:dyDescent="0.25">
      <c r="A3869" s="4">
        <v>39995</v>
      </c>
      <c r="B3869">
        <v>34.2498</v>
      </c>
      <c r="C3869">
        <v>35.006700000000002</v>
      </c>
      <c r="D3869">
        <v>33.808300000000003</v>
      </c>
      <c r="E3869">
        <v>34.691299999999998</v>
      </c>
      <c r="F3869">
        <v>46729</v>
      </c>
    </row>
    <row r="3870" spans="1:6" x14ac:dyDescent="0.25">
      <c r="A3870" s="4">
        <v>39996</v>
      </c>
      <c r="B3870">
        <v>34.6282</v>
      </c>
      <c r="C3870">
        <v>34.880499999999998</v>
      </c>
      <c r="D3870">
        <v>34.375900000000001</v>
      </c>
      <c r="E3870">
        <v>34.754399999999997</v>
      </c>
      <c r="F3870">
        <v>34321</v>
      </c>
    </row>
    <row r="3871" spans="1:6" x14ac:dyDescent="0.25">
      <c r="A3871" s="4">
        <v>39997</v>
      </c>
      <c r="B3871">
        <v>34.123600000000003</v>
      </c>
      <c r="C3871">
        <v>34.691299999999998</v>
      </c>
      <c r="D3871">
        <v>34.123600000000003</v>
      </c>
      <c r="E3871">
        <v>34.691299999999998</v>
      </c>
      <c r="F3871">
        <v>27650</v>
      </c>
    </row>
    <row r="3872" spans="1:6" x14ac:dyDescent="0.25">
      <c r="A3872" s="4">
        <v>40000</v>
      </c>
      <c r="B3872">
        <v>34.754399999999997</v>
      </c>
      <c r="C3872">
        <v>34.880499999999998</v>
      </c>
      <c r="D3872">
        <v>34.186700000000002</v>
      </c>
      <c r="E3872">
        <v>34.312899999999999</v>
      </c>
      <c r="F3872">
        <v>33137</v>
      </c>
    </row>
    <row r="3873" spans="1:6" x14ac:dyDescent="0.25">
      <c r="A3873" s="4">
        <v>40001</v>
      </c>
      <c r="B3873">
        <v>34.312899999999999</v>
      </c>
      <c r="C3873">
        <v>35.069800000000001</v>
      </c>
      <c r="D3873">
        <v>34.2498</v>
      </c>
      <c r="E3873">
        <v>34.943600000000004</v>
      </c>
      <c r="F3873">
        <v>39797</v>
      </c>
    </row>
    <row r="3874" spans="1:6" x14ac:dyDescent="0.25">
      <c r="A3874" s="4">
        <v>40002</v>
      </c>
      <c r="B3874">
        <v>34.502099999999999</v>
      </c>
      <c r="C3874">
        <v>34.502099999999999</v>
      </c>
      <c r="D3874">
        <v>34.123600000000003</v>
      </c>
      <c r="E3874">
        <v>34.312899999999999</v>
      </c>
      <c r="F3874">
        <v>59143</v>
      </c>
    </row>
    <row r="3875" spans="1:6" x14ac:dyDescent="0.25">
      <c r="A3875" s="4">
        <v>40003</v>
      </c>
      <c r="B3875">
        <v>34.312899999999999</v>
      </c>
      <c r="C3875">
        <v>35.385100000000001</v>
      </c>
      <c r="D3875">
        <v>34.2498</v>
      </c>
      <c r="E3875">
        <v>34.880499999999998</v>
      </c>
      <c r="F3875">
        <v>66493</v>
      </c>
    </row>
    <row r="3876" spans="1:6" x14ac:dyDescent="0.25">
      <c r="A3876" s="4">
        <v>40004</v>
      </c>
      <c r="B3876">
        <v>35.322099999999999</v>
      </c>
      <c r="C3876">
        <v>35.4482</v>
      </c>
      <c r="D3876">
        <v>34.943600000000004</v>
      </c>
      <c r="E3876">
        <v>35.385100000000001</v>
      </c>
      <c r="F3876">
        <v>57429</v>
      </c>
    </row>
    <row r="3877" spans="1:6" x14ac:dyDescent="0.25">
      <c r="A3877" s="4">
        <v>40007</v>
      </c>
      <c r="B3877">
        <v>36.079000000000001</v>
      </c>
      <c r="C3877">
        <v>36.142000000000003</v>
      </c>
      <c r="D3877">
        <v>34.312899999999999</v>
      </c>
      <c r="E3877">
        <v>34.691299999999998</v>
      </c>
      <c r="F3877">
        <v>69032</v>
      </c>
    </row>
    <row r="3878" spans="1:6" x14ac:dyDescent="0.25">
      <c r="A3878" s="4">
        <v>40008</v>
      </c>
      <c r="B3878">
        <v>35.006700000000002</v>
      </c>
      <c r="C3878">
        <v>35.4482</v>
      </c>
      <c r="D3878">
        <v>34.880499999999998</v>
      </c>
      <c r="E3878">
        <v>35.195900000000002</v>
      </c>
      <c r="F3878">
        <v>89994</v>
      </c>
    </row>
    <row r="3879" spans="1:6" x14ac:dyDescent="0.25">
      <c r="A3879" s="4">
        <v>40009</v>
      </c>
      <c r="B3879">
        <v>35.773800000000001</v>
      </c>
      <c r="C3879">
        <v>36.845599999999997</v>
      </c>
      <c r="D3879">
        <v>35.572800000000001</v>
      </c>
      <c r="E3879">
        <v>35.907699999999998</v>
      </c>
      <c r="F3879">
        <v>73754</v>
      </c>
    </row>
    <row r="3880" spans="1:6" x14ac:dyDescent="0.25">
      <c r="A3880" s="4">
        <v>40010</v>
      </c>
      <c r="B3880">
        <v>36.845599999999997</v>
      </c>
      <c r="C3880">
        <v>36.979599999999998</v>
      </c>
      <c r="D3880">
        <v>36.175699999999999</v>
      </c>
      <c r="E3880">
        <v>36.242699999999999</v>
      </c>
      <c r="F3880">
        <v>49715</v>
      </c>
    </row>
    <row r="3881" spans="1:6" x14ac:dyDescent="0.25">
      <c r="A3881" s="4">
        <v>40011</v>
      </c>
      <c r="B3881">
        <v>36.778599999999997</v>
      </c>
      <c r="C3881">
        <v>36.845599999999997</v>
      </c>
      <c r="D3881">
        <v>36.108699999999999</v>
      </c>
      <c r="E3881">
        <v>36.175699999999999</v>
      </c>
      <c r="F3881">
        <v>62506</v>
      </c>
    </row>
    <row r="3882" spans="1:6" x14ac:dyDescent="0.25">
      <c r="A3882" s="4">
        <v>40014</v>
      </c>
      <c r="B3882">
        <v>36.778599999999997</v>
      </c>
      <c r="C3882">
        <v>36.979599999999998</v>
      </c>
      <c r="D3882">
        <v>36.5107</v>
      </c>
      <c r="E3882">
        <v>36.711599999999997</v>
      </c>
      <c r="F3882">
        <v>69721</v>
      </c>
    </row>
    <row r="3883" spans="1:6" x14ac:dyDescent="0.25">
      <c r="A3883" s="4">
        <v>40015</v>
      </c>
      <c r="B3883">
        <v>36.845599999999997</v>
      </c>
      <c r="C3883">
        <v>37.180599999999998</v>
      </c>
      <c r="D3883">
        <v>36.5777</v>
      </c>
      <c r="E3883">
        <v>37.180599999999998</v>
      </c>
      <c r="F3883">
        <v>76401</v>
      </c>
    </row>
    <row r="3884" spans="1:6" x14ac:dyDescent="0.25">
      <c r="A3884" s="4">
        <v>40016</v>
      </c>
      <c r="B3884">
        <v>36.979599999999998</v>
      </c>
      <c r="C3884">
        <v>37.247599999999998</v>
      </c>
      <c r="D3884">
        <v>36.6447</v>
      </c>
      <c r="E3884">
        <v>37.046599999999998</v>
      </c>
      <c r="F3884">
        <v>57321</v>
      </c>
    </row>
    <row r="3885" spans="1:6" x14ac:dyDescent="0.25">
      <c r="A3885" s="4">
        <v>40017</v>
      </c>
      <c r="B3885">
        <v>37.180599999999998</v>
      </c>
      <c r="C3885">
        <v>37.984499999999997</v>
      </c>
      <c r="D3885">
        <v>37.113599999999998</v>
      </c>
      <c r="E3885">
        <v>37.850499999999997</v>
      </c>
      <c r="F3885">
        <v>73073</v>
      </c>
    </row>
    <row r="3886" spans="1:6" x14ac:dyDescent="0.25">
      <c r="A3886" s="4">
        <v>40018</v>
      </c>
      <c r="B3886">
        <v>38.185499999999998</v>
      </c>
      <c r="C3886">
        <v>38.386400000000002</v>
      </c>
      <c r="D3886">
        <v>38.051499999999997</v>
      </c>
      <c r="E3886">
        <v>38.319499999999998</v>
      </c>
      <c r="F3886">
        <v>89057</v>
      </c>
    </row>
    <row r="3887" spans="1:6" x14ac:dyDescent="0.25">
      <c r="A3887" s="4">
        <v>40021</v>
      </c>
      <c r="B3887">
        <v>38.319499999999998</v>
      </c>
      <c r="C3887">
        <v>38.788400000000003</v>
      </c>
      <c r="D3887">
        <v>38.118499999999997</v>
      </c>
      <c r="E3887">
        <v>38.587400000000002</v>
      </c>
      <c r="F3887">
        <v>54337</v>
      </c>
    </row>
    <row r="3888" spans="1:6" x14ac:dyDescent="0.25">
      <c r="A3888" s="4">
        <v>40022</v>
      </c>
      <c r="B3888">
        <v>38.587400000000002</v>
      </c>
      <c r="C3888">
        <v>38.788400000000003</v>
      </c>
      <c r="D3888">
        <v>38.252499999999998</v>
      </c>
      <c r="E3888">
        <v>38.788400000000003</v>
      </c>
      <c r="F3888">
        <v>48218</v>
      </c>
    </row>
    <row r="3889" spans="1:6" x14ac:dyDescent="0.25">
      <c r="A3889" s="4">
        <v>40023</v>
      </c>
      <c r="B3889">
        <v>38.855400000000003</v>
      </c>
      <c r="C3889">
        <v>38.855400000000003</v>
      </c>
      <c r="D3889">
        <v>37.448599999999999</v>
      </c>
      <c r="E3889">
        <v>37.850499999999997</v>
      </c>
      <c r="F3889">
        <v>57068</v>
      </c>
    </row>
    <row r="3890" spans="1:6" x14ac:dyDescent="0.25">
      <c r="A3890" s="4">
        <v>40024</v>
      </c>
      <c r="B3890">
        <v>37.582500000000003</v>
      </c>
      <c r="C3890">
        <v>37.783499999999997</v>
      </c>
      <c r="D3890">
        <v>36.979599999999998</v>
      </c>
      <c r="E3890">
        <v>37.515599999999999</v>
      </c>
      <c r="F3890">
        <v>62411</v>
      </c>
    </row>
    <row r="3891" spans="1:6" x14ac:dyDescent="0.25">
      <c r="A3891" s="4">
        <v>40025</v>
      </c>
      <c r="B3891">
        <v>39.056399999999996</v>
      </c>
      <c r="C3891">
        <v>39.659300000000002</v>
      </c>
      <c r="D3891">
        <v>38.922400000000003</v>
      </c>
      <c r="E3891">
        <v>39.458300000000001</v>
      </c>
      <c r="F3891">
        <v>198298</v>
      </c>
    </row>
    <row r="3892" spans="1:6" x14ac:dyDescent="0.25">
      <c r="A3892" s="4">
        <v>40028</v>
      </c>
      <c r="B3892">
        <v>39.257300000000001</v>
      </c>
      <c r="C3892">
        <v>39.257300000000001</v>
      </c>
      <c r="D3892">
        <v>38.252499999999998</v>
      </c>
      <c r="E3892">
        <v>39.056399999999996</v>
      </c>
      <c r="F3892">
        <v>70119</v>
      </c>
    </row>
    <row r="3893" spans="1:6" x14ac:dyDescent="0.25">
      <c r="A3893" s="4">
        <v>40029</v>
      </c>
      <c r="B3893">
        <v>39.257300000000001</v>
      </c>
      <c r="C3893">
        <v>39.391300000000001</v>
      </c>
      <c r="D3893">
        <v>37.984499999999997</v>
      </c>
      <c r="E3893">
        <v>38.587400000000002</v>
      </c>
      <c r="F3893">
        <v>62209</v>
      </c>
    </row>
    <row r="3894" spans="1:6" x14ac:dyDescent="0.25">
      <c r="A3894" s="4">
        <v>40030</v>
      </c>
      <c r="B3894">
        <v>38.788400000000003</v>
      </c>
      <c r="C3894">
        <v>38.855400000000003</v>
      </c>
      <c r="D3894">
        <v>37.917499999999997</v>
      </c>
      <c r="E3894">
        <v>38.118499999999997</v>
      </c>
      <c r="F3894">
        <v>53465</v>
      </c>
    </row>
    <row r="3895" spans="1:6" x14ac:dyDescent="0.25">
      <c r="A3895" s="4">
        <v>40031</v>
      </c>
      <c r="B3895">
        <v>38.520400000000002</v>
      </c>
      <c r="C3895">
        <v>38.520400000000002</v>
      </c>
      <c r="D3895">
        <v>37.850499999999997</v>
      </c>
      <c r="E3895">
        <v>38.051499999999997</v>
      </c>
      <c r="F3895">
        <v>54642</v>
      </c>
    </row>
    <row r="3896" spans="1:6" x14ac:dyDescent="0.25">
      <c r="A3896" s="4">
        <v>40035</v>
      </c>
      <c r="B3896">
        <v>38.386400000000002</v>
      </c>
      <c r="C3896">
        <v>39.056399999999996</v>
      </c>
      <c r="D3896">
        <v>38.185499999999998</v>
      </c>
      <c r="E3896">
        <v>38.721400000000003</v>
      </c>
      <c r="F3896">
        <v>69793</v>
      </c>
    </row>
    <row r="3897" spans="1:6" x14ac:dyDescent="0.25">
      <c r="A3897" s="4">
        <v>40036</v>
      </c>
      <c r="B3897">
        <v>38.386400000000002</v>
      </c>
      <c r="C3897">
        <v>38.587400000000002</v>
      </c>
      <c r="D3897">
        <v>37.850499999999997</v>
      </c>
      <c r="E3897">
        <v>38.252499999999998</v>
      </c>
      <c r="F3897">
        <v>64578</v>
      </c>
    </row>
    <row r="3898" spans="1:6" x14ac:dyDescent="0.25">
      <c r="A3898" s="4">
        <v>40037</v>
      </c>
      <c r="B3898">
        <v>38.252499999999998</v>
      </c>
      <c r="C3898">
        <v>38.520400000000002</v>
      </c>
      <c r="D3898">
        <v>37.850499999999997</v>
      </c>
      <c r="E3898">
        <v>38.520400000000002</v>
      </c>
      <c r="F3898">
        <v>43088</v>
      </c>
    </row>
    <row r="3899" spans="1:6" x14ac:dyDescent="0.25">
      <c r="A3899" s="4">
        <v>40038</v>
      </c>
      <c r="B3899">
        <v>38.855400000000003</v>
      </c>
      <c r="C3899">
        <v>39.257300000000001</v>
      </c>
      <c r="D3899">
        <v>38.520400000000002</v>
      </c>
      <c r="E3899">
        <v>39.257300000000001</v>
      </c>
      <c r="F3899">
        <v>80234</v>
      </c>
    </row>
    <row r="3900" spans="1:6" x14ac:dyDescent="0.25">
      <c r="A3900" s="4">
        <v>40039</v>
      </c>
      <c r="B3900">
        <v>39.659300000000002</v>
      </c>
      <c r="C3900">
        <v>39.793300000000002</v>
      </c>
      <c r="D3900">
        <v>39.190399999999997</v>
      </c>
      <c r="E3900">
        <v>39.458300000000001</v>
      </c>
      <c r="F3900">
        <v>53723</v>
      </c>
    </row>
    <row r="3901" spans="1:6" x14ac:dyDescent="0.25">
      <c r="A3901" s="4">
        <v>40042</v>
      </c>
      <c r="B3901">
        <v>39.525300000000001</v>
      </c>
      <c r="C3901">
        <v>39.659300000000002</v>
      </c>
      <c r="D3901">
        <v>38.453400000000002</v>
      </c>
      <c r="E3901">
        <v>38.721400000000003</v>
      </c>
      <c r="F3901">
        <v>50932</v>
      </c>
    </row>
    <row r="3902" spans="1:6" x14ac:dyDescent="0.25">
      <c r="A3902" s="4">
        <v>40043</v>
      </c>
      <c r="B3902">
        <v>38.252499999999998</v>
      </c>
      <c r="C3902">
        <v>38.721400000000003</v>
      </c>
      <c r="D3902">
        <v>37.917499999999997</v>
      </c>
      <c r="E3902">
        <v>38.587400000000002</v>
      </c>
      <c r="F3902">
        <v>32159</v>
      </c>
    </row>
    <row r="3903" spans="1:6" x14ac:dyDescent="0.25">
      <c r="A3903" s="4">
        <v>40044</v>
      </c>
      <c r="B3903">
        <v>38.520400000000002</v>
      </c>
      <c r="C3903">
        <v>38.788400000000003</v>
      </c>
      <c r="D3903">
        <v>38.386400000000002</v>
      </c>
      <c r="E3903">
        <v>38.453400000000002</v>
      </c>
      <c r="F3903">
        <v>21349</v>
      </c>
    </row>
    <row r="3904" spans="1:6" x14ac:dyDescent="0.25">
      <c r="A3904" s="4">
        <v>40045</v>
      </c>
      <c r="B3904">
        <v>38.453400000000002</v>
      </c>
      <c r="C3904">
        <v>38.721400000000003</v>
      </c>
      <c r="D3904">
        <v>37.850499999999997</v>
      </c>
      <c r="E3904">
        <v>38.654400000000003</v>
      </c>
      <c r="F3904">
        <v>26449</v>
      </c>
    </row>
    <row r="3905" spans="1:6" x14ac:dyDescent="0.25">
      <c r="A3905" s="4">
        <v>40046</v>
      </c>
      <c r="B3905">
        <v>38.855400000000003</v>
      </c>
      <c r="C3905">
        <v>38.922400000000003</v>
      </c>
      <c r="D3905">
        <v>37.850499999999997</v>
      </c>
      <c r="E3905">
        <v>38.051499999999997</v>
      </c>
      <c r="F3905">
        <v>42153</v>
      </c>
    </row>
    <row r="3906" spans="1:6" x14ac:dyDescent="0.25">
      <c r="A3906" s="4">
        <v>40049</v>
      </c>
      <c r="B3906">
        <v>38.721400000000003</v>
      </c>
      <c r="C3906">
        <v>39.525300000000001</v>
      </c>
      <c r="D3906">
        <v>38.587400000000002</v>
      </c>
      <c r="E3906">
        <v>39.123399999999997</v>
      </c>
      <c r="F3906">
        <v>59462</v>
      </c>
    </row>
    <row r="3907" spans="1:6" x14ac:dyDescent="0.25">
      <c r="A3907" s="4">
        <v>40050</v>
      </c>
      <c r="B3907">
        <v>39.257300000000001</v>
      </c>
      <c r="C3907">
        <v>39.525300000000001</v>
      </c>
      <c r="D3907">
        <v>39.056399999999996</v>
      </c>
      <c r="E3907">
        <v>39.324300000000001</v>
      </c>
      <c r="F3907">
        <v>35370</v>
      </c>
    </row>
    <row r="3908" spans="1:6" x14ac:dyDescent="0.25">
      <c r="A3908" s="4">
        <v>40051</v>
      </c>
      <c r="B3908">
        <v>39.324300000000001</v>
      </c>
      <c r="C3908">
        <v>39.525300000000001</v>
      </c>
      <c r="D3908">
        <v>38.855400000000003</v>
      </c>
      <c r="E3908">
        <v>39.525300000000001</v>
      </c>
      <c r="F3908">
        <v>50633</v>
      </c>
    </row>
    <row r="3909" spans="1:6" x14ac:dyDescent="0.25">
      <c r="A3909" s="4">
        <v>40052</v>
      </c>
      <c r="B3909">
        <v>39.190399999999997</v>
      </c>
      <c r="C3909">
        <v>39.458300000000001</v>
      </c>
      <c r="D3909">
        <v>38.788400000000003</v>
      </c>
      <c r="E3909">
        <v>39.391300000000001</v>
      </c>
      <c r="F3909">
        <v>30495</v>
      </c>
    </row>
    <row r="3910" spans="1:6" x14ac:dyDescent="0.25">
      <c r="A3910" s="4">
        <v>40053</v>
      </c>
      <c r="B3910">
        <v>39.525300000000001</v>
      </c>
      <c r="C3910">
        <v>39.860300000000002</v>
      </c>
      <c r="D3910">
        <v>39.056399999999996</v>
      </c>
      <c r="E3910">
        <v>39.860300000000002</v>
      </c>
      <c r="F3910">
        <v>52477</v>
      </c>
    </row>
    <row r="3911" spans="1:6" x14ac:dyDescent="0.25">
      <c r="A3911" s="4">
        <v>40056</v>
      </c>
      <c r="B3911">
        <v>39.927300000000002</v>
      </c>
      <c r="C3911">
        <v>40.061300000000003</v>
      </c>
      <c r="D3911">
        <v>39.190399999999997</v>
      </c>
      <c r="E3911">
        <v>39.659300000000002</v>
      </c>
      <c r="F3911">
        <v>45093</v>
      </c>
    </row>
    <row r="3912" spans="1:6" x14ac:dyDescent="0.25">
      <c r="A3912" s="4">
        <v>40057</v>
      </c>
      <c r="B3912">
        <v>39.793300000000002</v>
      </c>
      <c r="C3912">
        <v>40.865200000000002</v>
      </c>
      <c r="D3912">
        <v>39.324300000000001</v>
      </c>
      <c r="E3912">
        <v>40.865200000000002</v>
      </c>
      <c r="F3912">
        <v>85451</v>
      </c>
    </row>
    <row r="3913" spans="1:6" x14ac:dyDescent="0.25">
      <c r="A3913" s="4">
        <v>40058</v>
      </c>
      <c r="B3913">
        <v>40.463200000000001</v>
      </c>
      <c r="C3913">
        <v>40.731200000000001</v>
      </c>
      <c r="D3913">
        <v>39.927300000000002</v>
      </c>
      <c r="E3913">
        <v>39.927300000000002</v>
      </c>
      <c r="F3913">
        <v>61444</v>
      </c>
    </row>
    <row r="3914" spans="1:6" x14ac:dyDescent="0.25">
      <c r="A3914" s="4">
        <v>40059</v>
      </c>
      <c r="B3914">
        <v>40.3292</v>
      </c>
      <c r="C3914">
        <v>40.3292</v>
      </c>
      <c r="D3914">
        <v>39.726300000000002</v>
      </c>
      <c r="E3914">
        <v>40.061300000000003</v>
      </c>
      <c r="F3914">
        <v>43805</v>
      </c>
    </row>
    <row r="3915" spans="1:6" x14ac:dyDescent="0.25">
      <c r="A3915" s="4">
        <v>40060</v>
      </c>
      <c r="B3915">
        <v>40.3292</v>
      </c>
      <c r="C3915">
        <v>40.3292</v>
      </c>
      <c r="D3915">
        <v>39.860300000000002</v>
      </c>
      <c r="E3915">
        <v>40.1952</v>
      </c>
      <c r="F3915">
        <v>44584</v>
      </c>
    </row>
    <row r="3916" spans="1:6" x14ac:dyDescent="0.25">
      <c r="A3916" s="4">
        <v>40063</v>
      </c>
      <c r="B3916">
        <v>40.2622</v>
      </c>
      <c r="C3916">
        <v>41.5351</v>
      </c>
      <c r="D3916">
        <v>39.994300000000003</v>
      </c>
      <c r="E3916">
        <v>41.5351</v>
      </c>
      <c r="F3916">
        <v>75090</v>
      </c>
    </row>
    <row r="3917" spans="1:6" x14ac:dyDescent="0.25">
      <c r="A3917" s="4">
        <v>40064</v>
      </c>
      <c r="B3917">
        <v>41.5351</v>
      </c>
      <c r="C3917">
        <v>42.271999999999998</v>
      </c>
      <c r="D3917">
        <v>41.133099999999999</v>
      </c>
      <c r="E3917">
        <v>42.003999999999998</v>
      </c>
      <c r="F3917">
        <v>72707</v>
      </c>
    </row>
    <row r="3918" spans="1:6" x14ac:dyDescent="0.25">
      <c r="A3918" s="4">
        <v>40065</v>
      </c>
      <c r="B3918">
        <v>42.070999999999998</v>
      </c>
      <c r="C3918">
        <v>42.204999999999998</v>
      </c>
      <c r="D3918">
        <v>41.5351</v>
      </c>
      <c r="E3918">
        <v>41.5351</v>
      </c>
      <c r="F3918">
        <v>53773</v>
      </c>
    </row>
    <row r="3919" spans="1:6" x14ac:dyDescent="0.25">
      <c r="A3919" s="4">
        <v>40066</v>
      </c>
      <c r="B3919">
        <v>43.343899999999998</v>
      </c>
      <c r="C3919">
        <v>43.544800000000002</v>
      </c>
      <c r="D3919">
        <v>41.5351</v>
      </c>
      <c r="E3919">
        <v>42.54</v>
      </c>
      <c r="F3919">
        <v>98902</v>
      </c>
    </row>
    <row r="3920" spans="1:6" x14ac:dyDescent="0.25">
      <c r="A3920" s="4">
        <v>40067</v>
      </c>
      <c r="B3920">
        <v>42.070999999999998</v>
      </c>
      <c r="C3920">
        <v>42.070999999999998</v>
      </c>
      <c r="D3920">
        <v>41.4681</v>
      </c>
      <c r="E3920">
        <v>41.802999999999997</v>
      </c>
      <c r="F3920">
        <v>48334</v>
      </c>
    </row>
    <row r="3921" spans="1:6" x14ac:dyDescent="0.25">
      <c r="A3921" s="4">
        <v>40070</v>
      </c>
      <c r="B3921">
        <v>41.802999999999997</v>
      </c>
      <c r="C3921">
        <v>41.87</v>
      </c>
      <c r="D3921">
        <v>40.731200000000001</v>
      </c>
      <c r="E3921">
        <v>41.200099999999999</v>
      </c>
      <c r="F3921">
        <v>46856</v>
      </c>
    </row>
    <row r="3922" spans="1:6" x14ac:dyDescent="0.25">
      <c r="A3922" s="4">
        <v>40071</v>
      </c>
      <c r="B3922">
        <v>40.865200000000002</v>
      </c>
      <c r="C3922">
        <v>42.003999999999998</v>
      </c>
      <c r="D3922">
        <v>40.865200000000002</v>
      </c>
      <c r="E3922">
        <v>41.87</v>
      </c>
      <c r="F3922">
        <v>38237</v>
      </c>
    </row>
    <row r="3923" spans="1:6" x14ac:dyDescent="0.25">
      <c r="A3923" s="4">
        <v>40072</v>
      </c>
      <c r="B3923">
        <v>41.936999999999998</v>
      </c>
      <c r="C3923">
        <v>42.472999999999999</v>
      </c>
      <c r="D3923">
        <v>41.87</v>
      </c>
      <c r="E3923">
        <v>42.003999999999998</v>
      </c>
      <c r="F3923">
        <v>35250</v>
      </c>
    </row>
    <row r="3924" spans="1:6" x14ac:dyDescent="0.25">
      <c r="A3924" s="4">
        <v>40073</v>
      </c>
      <c r="B3924">
        <v>42.204999999999998</v>
      </c>
      <c r="C3924">
        <v>42.204999999999998</v>
      </c>
      <c r="D3924">
        <v>41.5351</v>
      </c>
      <c r="E3924">
        <v>41.87</v>
      </c>
      <c r="F3924">
        <v>38706</v>
      </c>
    </row>
    <row r="3925" spans="1:6" x14ac:dyDescent="0.25">
      <c r="A3925" s="4">
        <v>40074</v>
      </c>
      <c r="B3925">
        <v>41.5351</v>
      </c>
      <c r="C3925">
        <v>42.003999999999998</v>
      </c>
      <c r="D3925">
        <v>41.4011</v>
      </c>
      <c r="E3925">
        <v>42.003999999999998</v>
      </c>
      <c r="F3925">
        <v>46733</v>
      </c>
    </row>
    <row r="3926" spans="1:6" x14ac:dyDescent="0.25">
      <c r="A3926" s="4">
        <v>40077</v>
      </c>
      <c r="B3926">
        <v>41.87</v>
      </c>
      <c r="C3926">
        <v>41.936999999999998</v>
      </c>
      <c r="D3926">
        <v>41.200099999999999</v>
      </c>
      <c r="E3926">
        <v>41.7361</v>
      </c>
      <c r="F3926">
        <v>33551</v>
      </c>
    </row>
    <row r="3927" spans="1:6" x14ac:dyDescent="0.25">
      <c r="A3927" s="4">
        <v>40078</v>
      </c>
      <c r="B3927">
        <v>41.5351</v>
      </c>
      <c r="C3927">
        <v>42.070999999999998</v>
      </c>
      <c r="D3927">
        <v>41.5351</v>
      </c>
      <c r="E3927">
        <v>41.87</v>
      </c>
      <c r="F3927">
        <v>24797</v>
      </c>
    </row>
    <row r="3928" spans="1:6" x14ac:dyDescent="0.25">
      <c r="A3928" s="4">
        <v>40079</v>
      </c>
      <c r="B3928">
        <v>42.003999999999998</v>
      </c>
      <c r="C3928">
        <v>42.137999999999998</v>
      </c>
      <c r="D3928">
        <v>41.133099999999999</v>
      </c>
      <c r="E3928">
        <v>41.7361</v>
      </c>
      <c r="F3928">
        <v>38654</v>
      </c>
    </row>
    <row r="3929" spans="1:6" x14ac:dyDescent="0.25">
      <c r="A3929" s="4">
        <v>40080</v>
      </c>
      <c r="B3929">
        <v>41.5351</v>
      </c>
      <c r="C3929">
        <v>41.5351</v>
      </c>
      <c r="D3929">
        <v>40.530200000000001</v>
      </c>
      <c r="E3929">
        <v>40.731200000000001</v>
      </c>
      <c r="F3929">
        <v>55229</v>
      </c>
    </row>
    <row r="3930" spans="1:6" x14ac:dyDescent="0.25">
      <c r="A3930" s="4">
        <v>40081</v>
      </c>
      <c r="B3930">
        <v>40.865200000000002</v>
      </c>
      <c r="C3930">
        <v>41.066099999999999</v>
      </c>
      <c r="D3930">
        <v>40.463200000000001</v>
      </c>
      <c r="E3930">
        <v>40.932099999999998</v>
      </c>
      <c r="F3930">
        <v>45173</v>
      </c>
    </row>
    <row r="3931" spans="1:6" x14ac:dyDescent="0.25">
      <c r="A3931" s="4">
        <v>40084</v>
      </c>
      <c r="B3931">
        <v>41.133099999999999</v>
      </c>
      <c r="C3931">
        <v>41.133099999999999</v>
      </c>
      <c r="D3931">
        <v>40.530200000000001</v>
      </c>
      <c r="E3931">
        <v>40.664200000000001</v>
      </c>
      <c r="F3931">
        <v>27539</v>
      </c>
    </row>
    <row r="3932" spans="1:6" x14ac:dyDescent="0.25">
      <c r="A3932" s="4">
        <v>40085</v>
      </c>
      <c r="B3932">
        <v>41.5351</v>
      </c>
      <c r="C3932">
        <v>42.673900000000003</v>
      </c>
      <c r="D3932">
        <v>41.5351</v>
      </c>
      <c r="E3932">
        <v>42.673900000000003</v>
      </c>
      <c r="F3932">
        <v>82738</v>
      </c>
    </row>
    <row r="3933" spans="1:6" x14ac:dyDescent="0.25">
      <c r="A3933" s="4">
        <v>40086</v>
      </c>
      <c r="B3933">
        <v>42.673900000000003</v>
      </c>
      <c r="C3933">
        <v>43.544800000000002</v>
      </c>
      <c r="D3933">
        <v>42.673900000000003</v>
      </c>
      <c r="E3933">
        <v>43.209899999999998</v>
      </c>
      <c r="F3933">
        <v>103320</v>
      </c>
    </row>
    <row r="3934" spans="1:6" x14ac:dyDescent="0.25">
      <c r="A3934" s="4">
        <v>40087</v>
      </c>
      <c r="B3934">
        <v>43.544800000000002</v>
      </c>
      <c r="C3934">
        <v>43.678800000000003</v>
      </c>
      <c r="D3934">
        <v>42.740900000000003</v>
      </c>
      <c r="E3934">
        <v>43.544800000000002</v>
      </c>
      <c r="F3934">
        <v>55067</v>
      </c>
    </row>
    <row r="3935" spans="1:6" x14ac:dyDescent="0.25">
      <c r="A3935" s="4">
        <v>40088</v>
      </c>
      <c r="B3935">
        <v>42.204999999999998</v>
      </c>
      <c r="C3935">
        <v>42.405999999999999</v>
      </c>
      <c r="D3935">
        <v>41.87</v>
      </c>
      <c r="E3935">
        <v>42.003999999999998</v>
      </c>
      <c r="F3935">
        <v>78935</v>
      </c>
    </row>
    <row r="3936" spans="1:6" x14ac:dyDescent="0.25">
      <c r="A3936" s="4">
        <v>40091</v>
      </c>
      <c r="B3936">
        <v>41.5351</v>
      </c>
      <c r="C3936">
        <v>41.6691</v>
      </c>
      <c r="D3936">
        <v>41.200099999999999</v>
      </c>
      <c r="E3936">
        <v>41.5351</v>
      </c>
      <c r="F3936">
        <v>72185</v>
      </c>
    </row>
    <row r="3937" spans="1:6" x14ac:dyDescent="0.25">
      <c r="A3937" s="4">
        <v>40092</v>
      </c>
      <c r="B3937">
        <v>41.5351</v>
      </c>
      <c r="C3937">
        <v>42.204999999999998</v>
      </c>
      <c r="D3937">
        <v>41.267099999999999</v>
      </c>
      <c r="E3937">
        <v>41.802999999999997</v>
      </c>
      <c r="F3937">
        <v>82006</v>
      </c>
    </row>
    <row r="3938" spans="1:6" x14ac:dyDescent="0.25">
      <c r="A3938" s="4">
        <v>40093</v>
      </c>
      <c r="B3938">
        <v>42.204999999999998</v>
      </c>
      <c r="C3938">
        <v>42.204999999999998</v>
      </c>
      <c r="D3938">
        <v>41.334099999999999</v>
      </c>
      <c r="E3938">
        <v>41.6021</v>
      </c>
      <c r="F3938">
        <v>71234</v>
      </c>
    </row>
    <row r="3939" spans="1:6" x14ac:dyDescent="0.25">
      <c r="A3939" s="4">
        <v>40094</v>
      </c>
      <c r="B3939">
        <v>40.999099999999999</v>
      </c>
      <c r="C3939">
        <v>41.4011</v>
      </c>
      <c r="D3939">
        <v>40.798200000000001</v>
      </c>
      <c r="E3939">
        <v>40.798200000000001</v>
      </c>
      <c r="F3939">
        <v>82434</v>
      </c>
    </row>
    <row r="3940" spans="1:6" x14ac:dyDescent="0.25">
      <c r="A3940" s="4">
        <v>40095</v>
      </c>
      <c r="B3940">
        <v>40.731200000000001</v>
      </c>
      <c r="C3940">
        <v>41.066099999999999</v>
      </c>
      <c r="D3940">
        <v>40.664200000000001</v>
      </c>
      <c r="E3940">
        <v>40.932099999999998</v>
      </c>
      <c r="F3940">
        <v>68772</v>
      </c>
    </row>
    <row r="3941" spans="1:6" x14ac:dyDescent="0.25">
      <c r="A3941" s="4">
        <v>40098</v>
      </c>
      <c r="B3941">
        <v>41.4011</v>
      </c>
      <c r="C3941">
        <v>41.4011</v>
      </c>
      <c r="D3941">
        <v>40.597200000000001</v>
      </c>
      <c r="E3941">
        <v>40.999099999999999</v>
      </c>
      <c r="F3941">
        <v>36581</v>
      </c>
    </row>
    <row r="3942" spans="1:6" x14ac:dyDescent="0.25">
      <c r="A3942" s="4">
        <v>40099</v>
      </c>
      <c r="B3942">
        <v>40.597200000000001</v>
      </c>
      <c r="C3942">
        <v>41.4011</v>
      </c>
      <c r="D3942">
        <v>40.3962</v>
      </c>
      <c r="E3942">
        <v>41.4011</v>
      </c>
      <c r="F3942">
        <v>51789</v>
      </c>
    </row>
    <row r="3943" spans="1:6" x14ac:dyDescent="0.25">
      <c r="A3943" s="4">
        <v>40100</v>
      </c>
      <c r="B3943">
        <v>41.87</v>
      </c>
      <c r="C3943">
        <v>42.54</v>
      </c>
      <c r="D3943">
        <v>41.7361</v>
      </c>
      <c r="E3943">
        <v>42.54</v>
      </c>
      <c r="F3943">
        <v>86653</v>
      </c>
    </row>
    <row r="3944" spans="1:6" x14ac:dyDescent="0.25">
      <c r="A3944" s="4">
        <v>40101</v>
      </c>
      <c r="B3944">
        <v>42.874899999999997</v>
      </c>
      <c r="C3944">
        <v>42.874899999999997</v>
      </c>
      <c r="D3944">
        <v>42.204999999999998</v>
      </c>
      <c r="E3944">
        <v>42.740900000000003</v>
      </c>
      <c r="F3944">
        <v>62654</v>
      </c>
    </row>
    <row r="3945" spans="1:6" x14ac:dyDescent="0.25">
      <c r="A3945" s="4">
        <v>40102</v>
      </c>
      <c r="B3945">
        <v>41.87</v>
      </c>
      <c r="C3945">
        <v>42.204999999999998</v>
      </c>
      <c r="D3945">
        <v>41.4011</v>
      </c>
      <c r="E3945">
        <v>41.4681</v>
      </c>
      <c r="F3945">
        <v>75151</v>
      </c>
    </row>
    <row r="3946" spans="1:6" x14ac:dyDescent="0.25">
      <c r="A3946" s="4">
        <v>40105</v>
      </c>
      <c r="B3946">
        <v>41.334099999999999</v>
      </c>
      <c r="C3946">
        <v>41.4681</v>
      </c>
      <c r="D3946">
        <v>40.865200000000002</v>
      </c>
      <c r="E3946">
        <v>41.133099999999999</v>
      </c>
      <c r="F3946">
        <v>103283</v>
      </c>
    </row>
    <row r="3947" spans="1:6" x14ac:dyDescent="0.25">
      <c r="A3947" s="4">
        <v>40106</v>
      </c>
      <c r="B3947">
        <v>41.4011</v>
      </c>
      <c r="C3947">
        <v>41.7361</v>
      </c>
      <c r="D3947">
        <v>41.4011</v>
      </c>
      <c r="E3947">
        <v>41.5351</v>
      </c>
      <c r="F3947">
        <v>75184</v>
      </c>
    </row>
    <row r="3948" spans="1:6" x14ac:dyDescent="0.25">
      <c r="A3948" s="4">
        <v>40107</v>
      </c>
      <c r="B3948">
        <v>41.334099999999999</v>
      </c>
      <c r="C3948">
        <v>41.6691</v>
      </c>
      <c r="D3948">
        <v>41.066099999999999</v>
      </c>
      <c r="E3948">
        <v>41.267099999999999</v>
      </c>
      <c r="F3948">
        <v>50263</v>
      </c>
    </row>
    <row r="3949" spans="1:6" x14ac:dyDescent="0.25">
      <c r="A3949" s="4">
        <v>40108</v>
      </c>
      <c r="B3949">
        <v>41.6691</v>
      </c>
      <c r="C3949">
        <v>41.6691</v>
      </c>
      <c r="D3949">
        <v>40.865200000000002</v>
      </c>
      <c r="E3949">
        <v>41.4011</v>
      </c>
      <c r="F3949">
        <v>72906</v>
      </c>
    </row>
    <row r="3950" spans="1:6" x14ac:dyDescent="0.25">
      <c r="A3950" s="4">
        <v>40109</v>
      </c>
      <c r="B3950">
        <v>41.5351</v>
      </c>
      <c r="C3950">
        <v>41.6021</v>
      </c>
      <c r="D3950">
        <v>41.200099999999999</v>
      </c>
      <c r="E3950">
        <v>41.200099999999999</v>
      </c>
      <c r="F3950">
        <v>45837</v>
      </c>
    </row>
    <row r="3951" spans="1:6" x14ac:dyDescent="0.25">
      <c r="A3951" s="4">
        <v>40112</v>
      </c>
      <c r="B3951">
        <v>41.4011</v>
      </c>
      <c r="C3951">
        <v>41.7361</v>
      </c>
      <c r="D3951">
        <v>41.200099999999999</v>
      </c>
      <c r="E3951">
        <v>41.200099999999999</v>
      </c>
      <c r="F3951">
        <v>36846</v>
      </c>
    </row>
    <row r="3952" spans="1:6" x14ac:dyDescent="0.25">
      <c r="A3952" s="4">
        <v>40113</v>
      </c>
      <c r="B3952">
        <v>41.200099999999999</v>
      </c>
      <c r="C3952">
        <v>41.4681</v>
      </c>
      <c r="D3952">
        <v>40.932099999999998</v>
      </c>
      <c r="E3952">
        <v>41.066099999999999</v>
      </c>
      <c r="F3952">
        <v>50932</v>
      </c>
    </row>
    <row r="3953" spans="1:6" x14ac:dyDescent="0.25">
      <c r="A3953" s="4">
        <v>40114</v>
      </c>
      <c r="B3953">
        <v>41.066099999999999</v>
      </c>
      <c r="C3953">
        <v>41.200099999999999</v>
      </c>
      <c r="D3953">
        <v>40.530200000000001</v>
      </c>
      <c r="E3953">
        <v>40.530200000000001</v>
      </c>
      <c r="F3953">
        <v>62803</v>
      </c>
    </row>
    <row r="3954" spans="1:6" x14ac:dyDescent="0.25">
      <c r="A3954" s="4">
        <v>40115</v>
      </c>
      <c r="B3954">
        <v>40.1952</v>
      </c>
      <c r="C3954">
        <v>40.597200000000001</v>
      </c>
      <c r="D3954">
        <v>39.525300000000001</v>
      </c>
      <c r="E3954">
        <v>40.3962</v>
      </c>
      <c r="F3954">
        <v>104393</v>
      </c>
    </row>
    <row r="3955" spans="1:6" x14ac:dyDescent="0.25">
      <c r="A3955" s="4">
        <v>40116</v>
      </c>
      <c r="B3955">
        <v>41.133099999999999</v>
      </c>
      <c r="C3955">
        <v>41.133099999999999</v>
      </c>
      <c r="D3955">
        <v>40.1952</v>
      </c>
      <c r="E3955">
        <v>40.1952</v>
      </c>
      <c r="F3955">
        <v>66231</v>
      </c>
    </row>
    <row r="3956" spans="1:6" x14ac:dyDescent="0.25">
      <c r="A3956" s="4">
        <v>40119</v>
      </c>
      <c r="B3956">
        <v>39.860300000000002</v>
      </c>
      <c r="C3956">
        <v>40.3292</v>
      </c>
      <c r="D3956">
        <v>39.659300000000002</v>
      </c>
      <c r="E3956">
        <v>40.061300000000003</v>
      </c>
      <c r="F3956">
        <v>38879</v>
      </c>
    </row>
    <row r="3957" spans="1:6" x14ac:dyDescent="0.25">
      <c r="A3957" s="4">
        <v>40120</v>
      </c>
      <c r="B3957">
        <v>39.994300000000003</v>
      </c>
      <c r="C3957">
        <v>39.994300000000003</v>
      </c>
      <c r="D3957">
        <v>39.592300000000002</v>
      </c>
      <c r="E3957">
        <v>39.659300000000002</v>
      </c>
      <c r="F3957">
        <v>52810</v>
      </c>
    </row>
    <row r="3958" spans="1:6" x14ac:dyDescent="0.25">
      <c r="A3958" s="4">
        <v>40121</v>
      </c>
      <c r="B3958">
        <v>39.659300000000002</v>
      </c>
      <c r="C3958">
        <v>39.994300000000003</v>
      </c>
      <c r="D3958">
        <v>39.525300000000001</v>
      </c>
      <c r="E3958">
        <v>39.927300000000002</v>
      </c>
      <c r="F3958">
        <v>66044</v>
      </c>
    </row>
    <row r="3959" spans="1:6" x14ac:dyDescent="0.25">
      <c r="A3959" s="4">
        <v>40122</v>
      </c>
      <c r="B3959">
        <v>40.1282</v>
      </c>
      <c r="C3959">
        <v>40.1952</v>
      </c>
      <c r="D3959">
        <v>39.793300000000002</v>
      </c>
      <c r="E3959">
        <v>39.994300000000003</v>
      </c>
      <c r="F3959">
        <v>43808</v>
      </c>
    </row>
    <row r="3960" spans="1:6" x14ac:dyDescent="0.25">
      <c r="A3960" s="4">
        <v>40123</v>
      </c>
      <c r="B3960">
        <v>40.3962</v>
      </c>
      <c r="C3960">
        <v>40.3962</v>
      </c>
      <c r="D3960">
        <v>39.994300000000003</v>
      </c>
      <c r="E3960">
        <v>40.1952</v>
      </c>
      <c r="F3960">
        <v>47852</v>
      </c>
    </row>
    <row r="3961" spans="1:6" x14ac:dyDescent="0.25">
      <c r="A3961" s="4">
        <v>40126</v>
      </c>
      <c r="B3961">
        <v>40.530200000000001</v>
      </c>
      <c r="C3961">
        <v>40.530200000000001</v>
      </c>
      <c r="D3961">
        <v>40.061300000000003</v>
      </c>
      <c r="E3961">
        <v>40.1952</v>
      </c>
      <c r="F3961">
        <v>34920</v>
      </c>
    </row>
    <row r="3962" spans="1:6" x14ac:dyDescent="0.25">
      <c r="A3962" s="4">
        <v>40127</v>
      </c>
      <c r="B3962">
        <v>40.463200000000001</v>
      </c>
      <c r="C3962">
        <v>40.530200000000001</v>
      </c>
      <c r="D3962">
        <v>40.1952</v>
      </c>
      <c r="E3962">
        <v>40.530200000000001</v>
      </c>
      <c r="F3962">
        <v>43071</v>
      </c>
    </row>
    <row r="3963" spans="1:6" x14ac:dyDescent="0.25">
      <c r="A3963" s="4">
        <v>40128</v>
      </c>
      <c r="B3963">
        <v>40.865200000000002</v>
      </c>
      <c r="C3963">
        <v>41.87</v>
      </c>
      <c r="D3963">
        <v>40.798200000000001</v>
      </c>
      <c r="E3963">
        <v>41.6691</v>
      </c>
      <c r="F3963">
        <v>95053</v>
      </c>
    </row>
    <row r="3964" spans="1:6" x14ac:dyDescent="0.25">
      <c r="A3964" s="4">
        <v>40129</v>
      </c>
      <c r="B3964">
        <v>41.87</v>
      </c>
      <c r="C3964">
        <v>42.070999999999998</v>
      </c>
      <c r="D3964">
        <v>41.4681</v>
      </c>
      <c r="E3964">
        <v>41.6691</v>
      </c>
      <c r="F3964">
        <v>103459</v>
      </c>
    </row>
    <row r="3965" spans="1:6" x14ac:dyDescent="0.25">
      <c r="A3965" s="4">
        <v>40130</v>
      </c>
      <c r="B3965">
        <v>41.4011</v>
      </c>
      <c r="C3965">
        <v>41.6691</v>
      </c>
      <c r="D3965">
        <v>41.200099999999999</v>
      </c>
      <c r="E3965">
        <v>41.4011</v>
      </c>
      <c r="F3965">
        <v>43225</v>
      </c>
    </row>
    <row r="3966" spans="1:6" x14ac:dyDescent="0.25">
      <c r="A3966" s="4">
        <v>40133</v>
      </c>
      <c r="B3966">
        <v>41.802999999999997</v>
      </c>
      <c r="C3966">
        <v>42.003999999999998</v>
      </c>
      <c r="D3966">
        <v>41.6691</v>
      </c>
      <c r="E3966">
        <v>41.802999999999997</v>
      </c>
      <c r="F3966">
        <v>61269</v>
      </c>
    </row>
    <row r="3967" spans="1:6" x14ac:dyDescent="0.25">
      <c r="A3967" s="4">
        <v>40134</v>
      </c>
      <c r="B3967">
        <v>42.204999999999998</v>
      </c>
      <c r="C3967">
        <v>42.338999999999999</v>
      </c>
      <c r="D3967">
        <v>41.6021</v>
      </c>
      <c r="E3967">
        <v>41.936999999999998</v>
      </c>
      <c r="F3967">
        <v>57974</v>
      </c>
    </row>
    <row r="3968" spans="1:6" x14ac:dyDescent="0.25">
      <c r="A3968" s="4">
        <v>40135</v>
      </c>
      <c r="B3968">
        <v>42.204999999999998</v>
      </c>
      <c r="C3968">
        <v>42.338999999999999</v>
      </c>
      <c r="D3968">
        <v>42.003999999999998</v>
      </c>
      <c r="E3968">
        <v>42.137999999999998</v>
      </c>
      <c r="F3968">
        <v>69904</v>
      </c>
    </row>
    <row r="3969" spans="1:6" x14ac:dyDescent="0.25">
      <c r="A3969" s="4">
        <v>40136</v>
      </c>
      <c r="B3969">
        <v>42.137999999999998</v>
      </c>
      <c r="C3969">
        <v>42.338999999999999</v>
      </c>
      <c r="D3969">
        <v>42.003999999999998</v>
      </c>
      <c r="E3969">
        <v>42.137999999999998</v>
      </c>
      <c r="F3969">
        <v>57557</v>
      </c>
    </row>
    <row r="3970" spans="1:6" x14ac:dyDescent="0.25">
      <c r="A3970" s="4">
        <v>40137</v>
      </c>
      <c r="B3970">
        <v>42.070999999999998</v>
      </c>
      <c r="C3970">
        <v>42.070999999999998</v>
      </c>
      <c r="D3970">
        <v>41.133099999999999</v>
      </c>
      <c r="E3970">
        <v>41.334099999999999</v>
      </c>
      <c r="F3970">
        <v>51975</v>
      </c>
    </row>
    <row r="3971" spans="1:6" x14ac:dyDescent="0.25">
      <c r="A3971" s="4">
        <v>40140</v>
      </c>
      <c r="B3971">
        <v>41.133099999999999</v>
      </c>
      <c r="C3971">
        <v>41.6021</v>
      </c>
      <c r="D3971">
        <v>41.133099999999999</v>
      </c>
      <c r="E3971">
        <v>41.5351</v>
      </c>
      <c r="F3971">
        <v>25463</v>
      </c>
    </row>
    <row r="3972" spans="1:6" x14ac:dyDescent="0.25">
      <c r="A3972" s="4">
        <v>40141</v>
      </c>
      <c r="B3972">
        <v>41.6691</v>
      </c>
      <c r="C3972">
        <v>41.87</v>
      </c>
      <c r="D3972">
        <v>41.4011</v>
      </c>
      <c r="E3972">
        <v>41.802999999999997</v>
      </c>
      <c r="F3972">
        <v>26329</v>
      </c>
    </row>
    <row r="3973" spans="1:6" x14ac:dyDescent="0.25">
      <c r="A3973" s="4">
        <v>40142</v>
      </c>
      <c r="B3973">
        <v>41.6691</v>
      </c>
      <c r="C3973">
        <v>42.204999999999998</v>
      </c>
      <c r="D3973">
        <v>41.6691</v>
      </c>
      <c r="E3973">
        <v>42.003999999999998</v>
      </c>
      <c r="F3973">
        <v>53135</v>
      </c>
    </row>
    <row r="3974" spans="1:6" x14ac:dyDescent="0.25">
      <c r="A3974" s="4">
        <v>40143</v>
      </c>
      <c r="B3974">
        <v>42.070999999999998</v>
      </c>
      <c r="C3974">
        <v>42.204999999999998</v>
      </c>
      <c r="D3974">
        <v>41.4011</v>
      </c>
      <c r="E3974">
        <v>41.5351</v>
      </c>
      <c r="F3974">
        <v>32538</v>
      </c>
    </row>
    <row r="3975" spans="1:6" x14ac:dyDescent="0.25">
      <c r="A3975" s="4">
        <v>40144</v>
      </c>
      <c r="B3975">
        <v>40.932099999999998</v>
      </c>
      <c r="C3975">
        <v>41.066099999999999</v>
      </c>
      <c r="D3975">
        <v>40.1952</v>
      </c>
      <c r="E3975">
        <v>40.1952</v>
      </c>
      <c r="F3975">
        <v>95639</v>
      </c>
    </row>
    <row r="3976" spans="1:6" x14ac:dyDescent="0.25">
      <c r="A3976" s="4">
        <v>40147</v>
      </c>
      <c r="B3976">
        <v>40.865200000000002</v>
      </c>
      <c r="C3976">
        <v>41.066099999999999</v>
      </c>
      <c r="D3976">
        <v>40.664200000000001</v>
      </c>
      <c r="E3976">
        <v>40.932099999999998</v>
      </c>
      <c r="F3976">
        <v>33036</v>
      </c>
    </row>
    <row r="3977" spans="1:6" x14ac:dyDescent="0.25">
      <c r="A3977" s="4">
        <v>40148</v>
      </c>
      <c r="B3977">
        <v>41.200099999999999</v>
      </c>
      <c r="C3977">
        <v>41.267099999999999</v>
      </c>
      <c r="D3977">
        <v>40.463200000000001</v>
      </c>
      <c r="E3977">
        <v>40.664200000000001</v>
      </c>
      <c r="F3977">
        <v>56486</v>
      </c>
    </row>
    <row r="3978" spans="1:6" x14ac:dyDescent="0.25">
      <c r="A3978" s="4">
        <v>40149</v>
      </c>
      <c r="B3978">
        <v>41.133099999999999</v>
      </c>
      <c r="C3978">
        <v>41.200099999999999</v>
      </c>
      <c r="D3978">
        <v>40.530200000000001</v>
      </c>
      <c r="E3978">
        <v>40.731200000000001</v>
      </c>
      <c r="F3978">
        <v>43564</v>
      </c>
    </row>
    <row r="3979" spans="1:6" x14ac:dyDescent="0.25">
      <c r="A3979" s="4">
        <v>40150</v>
      </c>
      <c r="B3979">
        <v>41.267099999999999</v>
      </c>
      <c r="C3979">
        <v>41.4011</v>
      </c>
      <c r="D3979">
        <v>40.865200000000002</v>
      </c>
      <c r="E3979">
        <v>41.200099999999999</v>
      </c>
      <c r="F3979">
        <v>55226</v>
      </c>
    </row>
    <row r="3980" spans="1:6" x14ac:dyDescent="0.25">
      <c r="A3980" s="4">
        <v>40151</v>
      </c>
      <c r="B3980">
        <v>41.200099999999999</v>
      </c>
      <c r="C3980">
        <v>41.4681</v>
      </c>
      <c r="D3980">
        <v>41.066099999999999</v>
      </c>
      <c r="E3980">
        <v>41.200099999999999</v>
      </c>
      <c r="F3980">
        <v>27534</v>
      </c>
    </row>
    <row r="3981" spans="1:6" x14ac:dyDescent="0.25">
      <c r="A3981" s="4">
        <v>40154</v>
      </c>
      <c r="B3981">
        <v>41.5351</v>
      </c>
      <c r="C3981">
        <v>42.070999999999998</v>
      </c>
      <c r="D3981">
        <v>41.5351</v>
      </c>
      <c r="E3981">
        <v>41.87</v>
      </c>
      <c r="F3981">
        <v>46816</v>
      </c>
    </row>
    <row r="3982" spans="1:6" x14ac:dyDescent="0.25">
      <c r="A3982" s="4">
        <v>40155</v>
      </c>
      <c r="B3982">
        <v>42.137999999999998</v>
      </c>
      <c r="C3982">
        <v>42.137999999999998</v>
      </c>
      <c r="D3982">
        <v>41.4681</v>
      </c>
      <c r="E3982">
        <v>41.802999999999997</v>
      </c>
      <c r="F3982">
        <v>39771</v>
      </c>
    </row>
    <row r="3983" spans="1:6" x14ac:dyDescent="0.25">
      <c r="A3983" s="4">
        <v>40156</v>
      </c>
      <c r="B3983">
        <v>41.6691</v>
      </c>
      <c r="C3983">
        <v>41.802999999999997</v>
      </c>
      <c r="D3983">
        <v>41.4681</v>
      </c>
      <c r="E3983">
        <v>41.802999999999997</v>
      </c>
      <c r="F3983">
        <v>38673</v>
      </c>
    </row>
    <row r="3984" spans="1:6" x14ac:dyDescent="0.25">
      <c r="A3984" s="4">
        <v>40157</v>
      </c>
      <c r="B3984">
        <v>42.070999999999998</v>
      </c>
      <c r="C3984">
        <v>42.070999999999998</v>
      </c>
      <c r="D3984">
        <v>40.865200000000002</v>
      </c>
      <c r="E3984">
        <v>41.066099999999999</v>
      </c>
      <c r="F3984">
        <v>64164</v>
      </c>
    </row>
    <row r="3985" spans="1:6" x14ac:dyDescent="0.25">
      <c r="A3985" s="4">
        <v>40158</v>
      </c>
      <c r="B3985">
        <v>41.4681</v>
      </c>
      <c r="C3985">
        <v>41.936999999999998</v>
      </c>
      <c r="D3985">
        <v>41.133099999999999</v>
      </c>
      <c r="E3985">
        <v>41.936999999999998</v>
      </c>
      <c r="F3985">
        <v>41259</v>
      </c>
    </row>
    <row r="3986" spans="1:6" x14ac:dyDescent="0.25">
      <c r="A3986" s="4">
        <v>40161</v>
      </c>
      <c r="B3986">
        <v>41.6021</v>
      </c>
      <c r="C3986">
        <v>42.070999999999998</v>
      </c>
      <c r="D3986">
        <v>41.5351</v>
      </c>
      <c r="E3986">
        <v>42.003999999999998</v>
      </c>
      <c r="F3986">
        <v>39768</v>
      </c>
    </row>
    <row r="3987" spans="1:6" x14ac:dyDescent="0.25">
      <c r="A3987" s="4">
        <v>40162</v>
      </c>
      <c r="B3987">
        <v>41.87</v>
      </c>
      <c r="C3987">
        <v>42.003999999999998</v>
      </c>
      <c r="D3987">
        <v>41.6691</v>
      </c>
      <c r="E3987">
        <v>42.003999999999998</v>
      </c>
      <c r="F3987">
        <v>31300</v>
      </c>
    </row>
    <row r="3988" spans="1:6" x14ac:dyDescent="0.25">
      <c r="A3988" s="4">
        <v>40163</v>
      </c>
      <c r="B3988">
        <v>41.87</v>
      </c>
      <c r="C3988">
        <v>41.87</v>
      </c>
      <c r="D3988">
        <v>41.200099999999999</v>
      </c>
      <c r="E3988">
        <v>41.4011</v>
      </c>
      <c r="F3988">
        <v>49635</v>
      </c>
    </row>
    <row r="3989" spans="1:6" x14ac:dyDescent="0.25">
      <c r="A3989" s="4">
        <v>40164</v>
      </c>
      <c r="B3989">
        <v>41.6021</v>
      </c>
      <c r="C3989">
        <v>41.802999999999997</v>
      </c>
      <c r="D3989">
        <v>41.200099999999999</v>
      </c>
      <c r="E3989">
        <v>41.6691</v>
      </c>
      <c r="F3989">
        <v>44783</v>
      </c>
    </row>
    <row r="3990" spans="1:6" x14ac:dyDescent="0.25">
      <c r="A3990" s="4">
        <v>40165</v>
      </c>
      <c r="B3990">
        <v>41.200099999999999</v>
      </c>
      <c r="C3990">
        <v>41.4681</v>
      </c>
      <c r="D3990">
        <v>41.066099999999999</v>
      </c>
      <c r="E3990">
        <v>41.4681</v>
      </c>
      <c r="F3990">
        <v>35394</v>
      </c>
    </row>
    <row r="3991" spans="1:6" x14ac:dyDescent="0.25">
      <c r="A3991" s="4">
        <v>40168</v>
      </c>
      <c r="B3991">
        <v>41.802999999999997</v>
      </c>
      <c r="C3991">
        <v>42.070999999999998</v>
      </c>
      <c r="D3991">
        <v>41.6691</v>
      </c>
      <c r="E3991">
        <v>41.6691</v>
      </c>
      <c r="F3991">
        <v>52682</v>
      </c>
    </row>
    <row r="3992" spans="1:6" x14ac:dyDescent="0.25">
      <c r="A3992" s="4">
        <v>40169</v>
      </c>
      <c r="B3992">
        <v>41.936999999999998</v>
      </c>
      <c r="C3992">
        <v>42.137999999999998</v>
      </c>
      <c r="D3992">
        <v>41.87</v>
      </c>
      <c r="E3992">
        <v>42.137999999999998</v>
      </c>
      <c r="F3992">
        <v>44148</v>
      </c>
    </row>
    <row r="3993" spans="1:6" x14ac:dyDescent="0.25">
      <c r="A3993" s="4">
        <v>40170</v>
      </c>
      <c r="B3993">
        <v>42.204999999999998</v>
      </c>
      <c r="C3993">
        <v>42.54</v>
      </c>
      <c r="D3993">
        <v>42.070999999999998</v>
      </c>
      <c r="E3993">
        <v>42.472999999999999</v>
      </c>
      <c r="F3993">
        <v>66694</v>
      </c>
    </row>
    <row r="3994" spans="1:6" x14ac:dyDescent="0.25">
      <c r="A3994" s="4">
        <v>40171</v>
      </c>
      <c r="B3994">
        <v>42.472999999999999</v>
      </c>
      <c r="C3994">
        <v>42.673900000000003</v>
      </c>
      <c r="D3994">
        <v>42.405999999999999</v>
      </c>
      <c r="E3994">
        <v>42.606900000000003</v>
      </c>
      <c r="F3994">
        <v>57965</v>
      </c>
    </row>
    <row r="3995" spans="1:6" x14ac:dyDescent="0.25">
      <c r="A3995" s="4">
        <v>40172</v>
      </c>
      <c r="B3995">
        <v>42.807899999999997</v>
      </c>
      <c r="C3995">
        <v>42.807899999999997</v>
      </c>
      <c r="D3995">
        <v>42.271999999999998</v>
      </c>
      <c r="E3995">
        <v>42.472999999999999</v>
      </c>
      <c r="F3995">
        <v>20301</v>
      </c>
    </row>
    <row r="3996" spans="1:6" x14ac:dyDescent="0.25">
      <c r="A3996" s="4">
        <v>40175</v>
      </c>
      <c r="B3996">
        <v>42.472999999999999</v>
      </c>
      <c r="C3996">
        <v>42.874899999999997</v>
      </c>
      <c r="D3996">
        <v>42.472999999999999</v>
      </c>
      <c r="E3996">
        <v>42.673900000000003</v>
      </c>
      <c r="F3996">
        <v>41749</v>
      </c>
    </row>
    <row r="3997" spans="1:6" x14ac:dyDescent="0.25">
      <c r="A3997" s="4">
        <v>40176</v>
      </c>
      <c r="B3997">
        <v>42.673900000000003</v>
      </c>
      <c r="C3997">
        <v>42.673900000000003</v>
      </c>
      <c r="D3997">
        <v>42.137999999999998</v>
      </c>
      <c r="E3997">
        <v>42.405999999999999</v>
      </c>
      <c r="F3997">
        <v>28612</v>
      </c>
    </row>
    <row r="3998" spans="1:6" x14ac:dyDescent="0.25">
      <c r="A3998" s="4">
        <v>40177</v>
      </c>
      <c r="B3998">
        <v>42.405999999999999</v>
      </c>
      <c r="C3998">
        <v>42.874899999999997</v>
      </c>
      <c r="D3998">
        <v>42.405999999999999</v>
      </c>
      <c r="E3998">
        <v>42.807899999999997</v>
      </c>
      <c r="F3998">
        <v>59794</v>
      </c>
    </row>
    <row r="3999" spans="1:6" x14ac:dyDescent="0.25">
      <c r="A3999" s="4">
        <v>40178</v>
      </c>
      <c r="B3999">
        <v>43.142899999999997</v>
      </c>
      <c r="C3999">
        <v>43.209899999999998</v>
      </c>
      <c r="D3999">
        <v>42.807899999999997</v>
      </c>
      <c r="E3999">
        <v>43.209899999999998</v>
      </c>
      <c r="F3999">
        <v>52179</v>
      </c>
    </row>
    <row r="4000" spans="1:6" x14ac:dyDescent="0.25">
      <c r="A4000" s="4">
        <v>40182</v>
      </c>
      <c r="B4000">
        <v>43.544800000000002</v>
      </c>
      <c r="C4000">
        <v>43.544800000000002</v>
      </c>
      <c r="D4000">
        <v>42.874899999999997</v>
      </c>
      <c r="E4000">
        <v>43.477800000000002</v>
      </c>
      <c r="F4000">
        <v>39511</v>
      </c>
    </row>
    <row r="4001" spans="1:6" x14ac:dyDescent="0.25">
      <c r="A4001" s="4">
        <v>40183</v>
      </c>
      <c r="B4001">
        <v>43.544800000000002</v>
      </c>
      <c r="C4001">
        <v>43.611800000000002</v>
      </c>
      <c r="D4001">
        <v>42.807899999999997</v>
      </c>
      <c r="E4001">
        <v>43.209899999999998</v>
      </c>
      <c r="F4001">
        <v>38394</v>
      </c>
    </row>
    <row r="4002" spans="1:6" x14ac:dyDescent="0.25">
      <c r="A4002" s="4">
        <v>40184</v>
      </c>
      <c r="B4002">
        <v>43.209899999999998</v>
      </c>
      <c r="C4002">
        <v>43.477800000000002</v>
      </c>
      <c r="D4002">
        <v>42.673900000000003</v>
      </c>
      <c r="E4002">
        <v>43.477800000000002</v>
      </c>
      <c r="F4002">
        <v>52734</v>
      </c>
    </row>
    <row r="4003" spans="1:6" x14ac:dyDescent="0.25">
      <c r="A4003" s="4">
        <v>40185</v>
      </c>
      <c r="B4003">
        <v>43.477800000000002</v>
      </c>
      <c r="C4003">
        <v>43.544800000000002</v>
      </c>
      <c r="D4003">
        <v>43.008899999999997</v>
      </c>
      <c r="E4003">
        <v>43.008899999999997</v>
      </c>
      <c r="F4003">
        <v>53295</v>
      </c>
    </row>
    <row r="4004" spans="1:6" x14ac:dyDescent="0.25">
      <c r="A4004" s="4">
        <v>40186</v>
      </c>
      <c r="B4004">
        <v>42.54</v>
      </c>
      <c r="C4004">
        <v>43.075899999999997</v>
      </c>
      <c r="D4004">
        <v>42.54</v>
      </c>
      <c r="E4004">
        <v>42.874899999999997</v>
      </c>
      <c r="F4004">
        <v>48047</v>
      </c>
    </row>
    <row r="4005" spans="1:6" x14ac:dyDescent="0.25">
      <c r="A4005" s="4">
        <v>40189</v>
      </c>
      <c r="B4005">
        <v>42.874899999999997</v>
      </c>
      <c r="C4005">
        <v>43.477800000000002</v>
      </c>
      <c r="D4005">
        <v>42.54</v>
      </c>
      <c r="E4005">
        <v>43.209899999999998</v>
      </c>
      <c r="F4005">
        <v>37447</v>
      </c>
    </row>
    <row r="4006" spans="1:6" x14ac:dyDescent="0.25">
      <c r="A4006" s="4">
        <v>40190</v>
      </c>
      <c r="B4006">
        <v>43.142899999999997</v>
      </c>
      <c r="C4006">
        <v>43.142899999999997</v>
      </c>
      <c r="D4006">
        <v>42.405999999999999</v>
      </c>
      <c r="E4006">
        <v>42.606900000000003</v>
      </c>
      <c r="F4006">
        <v>52445</v>
      </c>
    </row>
    <row r="4007" spans="1:6" x14ac:dyDescent="0.25">
      <c r="A4007" s="4">
        <v>40191</v>
      </c>
      <c r="B4007">
        <v>42.204999999999998</v>
      </c>
      <c r="C4007">
        <v>42.271999999999998</v>
      </c>
      <c r="D4007">
        <v>41.936999999999998</v>
      </c>
      <c r="E4007">
        <v>42.070999999999998</v>
      </c>
      <c r="F4007">
        <v>49806</v>
      </c>
    </row>
    <row r="4008" spans="1:6" x14ac:dyDescent="0.25">
      <c r="A4008" s="4">
        <v>40192</v>
      </c>
      <c r="B4008">
        <v>42.606900000000003</v>
      </c>
      <c r="C4008">
        <v>42.606900000000003</v>
      </c>
      <c r="D4008">
        <v>42.204999999999998</v>
      </c>
      <c r="E4008">
        <v>42.338999999999999</v>
      </c>
      <c r="F4008">
        <v>39254</v>
      </c>
    </row>
    <row r="4009" spans="1:6" x14ac:dyDescent="0.25">
      <c r="A4009" s="4">
        <v>40193</v>
      </c>
      <c r="B4009">
        <v>42.137999999999998</v>
      </c>
      <c r="C4009">
        <v>42.54</v>
      </c>
      <c r="D4009">
        <v>42.070999999999998</v>
      </c>
      <c r="E4009">
        <v>42.54</v>
      </c>
      <c r="F4009">
        <v>50011</v>
      </c>
    </row>
    <row r="4010" spans="1:6" x14ac:dyDescent="0.25">
      <c r="A4010" s="4">
        <v>40196</v>
      </c>
      <c r="B4010">
        <v>42.070999999999998</v>
      </c>
      <c r="C4010">
        <v>42.271999999999998</v>
      </c>
      <c r="D4010">
        <v>42.070999999999998</v>
      </c>
      <c r="E4010">
        <v>42.137999999999998</v>
      </c>
      <c r="F4010">
        <v>30586</v>
      </c>
    </row>
    <row r="4011" spans="1:6" x14ac:dyDescent="0.25">
      <c r="A4011" s="4">
        <v>40197</v>
      </c>
      <c r="B4011">
        <v>42.204999999999998</v>
      </c>
      <c r="C4011">
        <v>42.338999999999999</v>
      </c>
      <c r="D4011">
        <v>41.5351</v>
      </c>
      <c r="E4011">
        <v>41.87</v>
      </c>
      <c r="F4011">
        <v>47541</v>
      </c>
    </row>
    <row r="4012" spans="1:6" x14ac:dyDescent="0.25">
      <c r="A4012" s="4">
        <v>40198</v>
      </c>
      <c r="B4012">
        <v>42.137999999999998</v>
      </c>
      <c r="C4012">
        <v>42.338999999999999</v>
      </c>
      <c r="D4012">
        <v>41.6691</v>
      </c>
      <c r="E4012">
        <v>42.204999999999998</v>
      </c>
      <c r="F4012">
        <v>52519</v>
      </c>
    </row>
    <row r="4013" spans="1:6" x14ac:dyDescent="0.25">
      <c r="A4013" s="4">
        <v>40199</v>
      </c>
      <c r="B4013">
        <v>42.204999999999998</v>
      </c>
      <c r="C4013">
        <v>42.204999999999998</v>
      </c>
      <c r="D4013">
        <v>41.6021</v>
      </c>
      <c r="E4013">
        <v>41.936999999999998</v>
      </c>
      <c r="F4013">
        <v>24842</v>
      </c>
    </row>
    <row r="4014" spans="1:6" x14ac:dyDescent="0.25">
      <c r="A4014" s="4">
        <v>40200</v>
      </c>
      <c r="B4014">
        <v>41.200099999999999</v>
      </c>
      <c r="C4014">
        <v>41.334099999999999</v>
      </c>
      <c r="D4014">
        <v>40.865200000000002</v>
      </c>
      <c r="E4014">
        <v>40.932099999999998</v>
      </c>
      <c r="F4014">
        <v>64001</v>
      </c>
    </row>
    <row r="4015" spans="1:6" x14ac:dyDescent="0.25">
      <c r="A4015" s="4">
        <v>40203</v>
      </c>
      <c r="B4015">
        <v>40.2622</v>
      </c>
      <c r="C4015">
        <v>40.731200000000001</v>
      </c>
      <c r="D4015">
        <v>40.2622</v>
      </c>
      <c r="E4015">
        <v>40.463200000000001</v>
      </c>
      <c r="F4015">
        <v>62231</v>
      </c>
    </row>
    <row r="4016" spans="1:6" x14ac:dyDescent="0.25">
      <c r="A4016" s="4">
        <v>40204</v>
      </c>
      <c r="B4016">
        <v>40.597200000000001</v>
      </c>
      <c r="C4016">
        <v>40.999099999999999</v>
      </c>
      <c r="D4016">
        <v>40.1952</v>
      </c>
      <c r="E4016">
        <v>40.2622</v>
      </c>
      <c r="F4016">
        <v>80078</v>
      </c>
    </row>
    <row r="4017" spans="1:6" x14ac:dyDescent="0.25">
      <c r="A4017" s="4">
        <v>40205</v>
      </c>
      <c r="B4017">
        <v>40.2622</v>
      </c>
      <c r="C4017">
        <v>40.463200000000001</v>
      </c>
      <c r="D4017">
        <v>39.860300000000002</v>
      </c>
      <c r="E4017">
        <v>39.927300000000002</v>
      </c>
      <c r="F4017">
        <v>53876</v>
      </c>
    </row>
    <row r="4018" spans="1:6" x14ac:dyDescent="0.25">
      <c r="A4018" s="4">
        <v>40206</v>
      </c>
      <c r="B4018">
        <v>40.530200000000001</v>
      </c>
      <c r="C4018">
        <v>41.200099999999999</v>
      </c>
      <c r="D4018">
        <v>40.061300000000003</v>
      </c>
      <c r="E4018">
        <v>40.1952</v>
      </c>
      <c r="F4018">
        <v>44034</v>
      </c>
    </row>
    <row r="4019" spans="1:6" x14ac:dyDescent="0.25">
      <c r="A4019" s="4">
        <v>40207</v>
      </c>
      <c r="B4019">
        <v>40.2622</v>
      </c>
      <c r="C4019">
        <v>41.200099999999999</v>
      </c>
      <c r="D4019">
        <v>39.793300000000002</v>
      </c>
      <c r="E4019">
        <v>41.200099999999999</v>
      </c>
      <c r="F4019">
        <v>98125</v>
      </c>
    </row>
    <row r="4020" spans="1:6" x14ac:dyDescent="0.25">
      <c r="A4020" s="4">
        <v>40210</v>
      </c>
      <c r="B4020">
        <v>40.664200000000001</v>
      </c>
      <c r="C4020">
        <v>40.664200000000001</v>
      </c>
      <c r="D4020">
        <v>39.860300000000002</v>
      </c>
      <c r="E4020">
        <v>40.061300000000003</v>
      </c>
      <c r="F4020">
        <v>82235</v>
      </c>
    </row>
    <row r="4021" spans="1:6" x14ac:dyDescent="0.25">
      <c r="A4021" s="4">
        <v>40211</v>
      </c>
      <c r="B4021">
        <v>40.3292</v>
      </c>
      <c r="C4021">
        <v>40.463200000000001</v>
      </c>
      <c r="D4021">
        <v>39.525300000000001</v>
      </c>
      <c r="E4021">
        <v>39.525300000000001</v>
      </c>
      <c r="F4021">
        <v>72141</v>
      </c>
    </row>
    <row r="4022" spans="1:6" x14ac:dyDescent="0.25">
      <c r="A4022" s="4">
        <v>40212</v>
      </c>
      <c r="B4022">
        <v>40.3292</v>
      </c>
      <c r="C4022">
        <v>40.3962</v>
      </c>
      <c r="D4022">
        <v>39.391300000000001</v>
      </c>
      <c r="E4022">
        <v>40.061300000000003</v>
      </c>
      <c r="F4022">
        <v>42628</v>
      </c>
    </row>
    <row r="4023" spans="1:6" x14ac:dyDescent="0.25">
      <c r="A4023" s="4">
        <v>40213</v>
      </c>
      <c r="B4023">
        <v>40.1952</v>
      </c>
      <c r="C4023">
        <v>40.1952</v>
      </c>
      <c r="D4023">
        <v>39.525300000000001</v>
      </c>
      <c r="E4023">
        <v>39.592300000000002</v>
      </c>
      <c r="F4023">
        <v>46032</v>
      </c>
    </row>
    <row r="4024" spans="1:6" x14ac:dyDescent="0.25">
      <c r="A4024" s="4">
        <v>40214</v>
      </c>
      <c r="B4024">
        <v>38.587400000000002</v>
      </c>
      <c r="C4024">
        <v>38.788400000000003</v>
      </c>
      <c r="D4024">
        <v>38.319499999999998</v>
      </c>
      <c r="E4024">
        <v>38.319499999999998</v>
      </c>
      <c r="F4024">
        <v>66295</v>
      </c>
    </row>
    <row r="4025" spans="1:6" x14ac:dyDescent="0.25">
      <c r="A4025" s="4">
        <v>40215</v>
      </c>
      <c r="B4025">
        <v>38.587400000000002</v>
      </c>
      <c r="C4025">
        <v>38.922400000000003</v>
      </c>
      <c r="D4025">
        <v>38.386400000000002</v>
      </c>
      <c r="E4025">
        <v>38.855400000000003</v>
      </c>
      <c r="F4025">
        <v>16392</v>
      </c>
    </row>
    <row r="4026" spans="1:6" x14ac:dyDescent="0.25">
      <c r="A4026" s="4">
        <v>40217</v>
      </c>
      <c r="B4026">
        <v>38.855400000000003</v>
      </c>
      <c r="C4026">
        <v>38.989400000000003</v>
      </c>
      <c r="D4026">
        <v>38.185499999999998</v>
      </c>
      <c r="E4026">
        <v>38.453400000000002</v>
      </c>
      <c r="F4026">
        <v>45835</v>
      </c>
    </row>
    <row r="4027" spans="1:6" x14ac:dyDescent="0.25">
      <c r="A4027" s="4">
        <v>40218</v>
      </c>
      <c r="B4027">
        <v>39.123399999999997</v>
      </c>
      <c r="C4027">
        <v>39.659300000000002</v>
      </c>
      <c r="D4027">
        <v>38.654400000000003</v>
      </c>
      <c r="E4027">
        <v>39.257300000000001</v>
      </c>
      <c r="F4027">
        <v>49552</v>
      </c>
    </row>
    <row r="4028" spans="1:6" x14ac:dyDescent="0.25">
      <c r="A4028" s="4">
        <v>40219</v>
      </c>
      <c r="B4028">
        <v>39.525300000000001</v>
      </c>
      <c r="C4028">
        <v>39.659300000000002</v>
      </c>
      <c r="D4028">
        <v>38.989400000000003</v>
      </c>
      <c r="E4028">
        <v>39.123399999999997</v>
      </c>
      <c r="F4028">
        <v>53810</v>
      </c>
    </row>
    <row r="4029" spans="1:6" x14ac:dyDescent="0.25">
      <c r="A4029" s="4">
        <v>40231</v>
      </c>
      <c r="B4029">
        <v>40.530200000000001</v>
      </c>
      <c r="C4029">
        <v>40.530200000000001</v>
      </c>
      <c r="D4029">
        <v>39.525300000000001</v>
      </c>
      <c r="E4029">
        <v>39.525300000000001</v>
      </c>
      <c r="F4029">
        <v>49685</v>
      </c>
    </row>
    <row r="4030" spans="1:6" x14ac:dyDescent="0.25">
      <c r="A4030" s="4">
        <v>40232</v>
      </c>
      <c r="B4030">
        <v>39.927300000000002</v>
      </c>
      <c r="C4030">
        <v>40.1282</v>
      </c>
      <c r="D4030">
        <v>39.592300000000002</v>
      </c>
      <c r="E4030">
        <v>40.061300000000003</v>
      </c>
      <c r="F4030">
        <v>52031</v>
      </c>
    </row>
    <row r="4031" spans="1:6" x14ac:dyDescent="0.25">
      <c r="A4031" s="4">
        <v>40233</v>
      </c>
      <c r="B4031">
        <v>39.659300000000002</v>
      </c>
      <c r="C4031">
        <v>39.659300000000002</v>
      </c>
      <c r="D4031">
        <v>39.123399999999997</v>
      </c>
      <c r="E4031">
        <v>39.190399999999997</v>
      </c>
      <c r="F4031">
        <v>60490</v>
      </c>
    </row>
    <row r="4032" spans="1:6" x14ac:dyDescent="0.25">
      <c r="A4032" s="4">
        <v>40234</v>
      </c>
      <c r="B4032">
        <v>39.190399999999997</v>
      </c>
      <c r="C4032">
        <v>39.458300000000001</v>
      </c>
      <c r="D4032">
        <v>38.788400000000003</v>
      </c>
      <c r="E4032">
        <v>38.989400000000003</v>
      </c>
      <c r="F4032">
        <v>57502</v>
      </c>
    </row>
    <row r="4033" spans="1:6" x14ac:dyDescent="0.25">
      <c r="A4033" s="4">
        <v>40235</v>
      </c>
      <c r="B4033">
        <v>38.989400000000003</v>
      </c>
      <c r="C4033">
        <v>39.458300000000001</v>
      </c>
      <c r="D4033">
        <v>38.855400000000003</v>
      </c>
      <c r="E4033">
        <v>39.391300000000001</v>
      </c>
      <c r="F4033">
        <v>31376</v>
      </c>
    </row>
    <row r="4034" spans="1:6" x14ac:dyDescent="0.25">
      <c r="A4034" s="4">
        <v>40238</v>
      </c>
      <c r="B4034">
        <v>39.860300000000002</v>
      </c>
      <c r="C4034">
        <v>40.1282</v>
      </c>
      <c r="D4034">
        <v>38.989400000000003</v>
      </c>
      <c r="E4034">
        <v>39.927300000000002</v>
      </c>
      <c r="F4034">
        <v>65860</v>
      </c>
    </row>
    <row r="4035" spans="1:6" x14ac:dyDescent="0.25">
      <c r="A4035" s="4">
        <v>40239</v>
      </c>
      <c r="B4035">
        <v>40.530200000000001</v>
      </c>
      <c r="C4035">
        <v>40.530200000000001</v>
      </c>
      <c r="D4035">
        <v>39.860300000000002</v>
      </c>
      <c r="E4035">
        <v>40.1282</v>
      </c>
      <c r="F4035">
        <v>54452</v>
      </c>
    </row>
    <row r="4036" spans="1:6" x14ac:dyDescent="0.25">
      <c r="A4036" s="4">
        <v>40240</v>
      </c>
      <c r="B4036">
        <v>39.927300000000002</v>
      </c>
      <c r="C4036">
        <v>40.2622</v>
      </c>
      <c r="D4036">
        <v>39.927300000000002</v>
      </c>
      <c r="E4036">
        <v>40.1952</v>
      </c>
      <c r="F4036">
        <v>34984</v>
      </c>
    </row>
    <row r="4037" spans="1:6" x14ac:dyDescent="0.25">
      <c r="A4037" s="4">
        <v>40241</v>
      </c>
      <c r="B4037">
        <v>40.061300000000003</v>
      </c>
      <c r="C4037">
        <v>40.061300000000003</v>
      </c>
      <c r="D4037">
        <v>39.123399999999997</v>
      </c>
      <c r="E4037">
        <v>39.659300000000002</v>
      </c>
      <c r="F4037">
        <v>54472</v>
      </c>
    </row>
    <row r="4038" spans="1:6" x14ac:dyDescent="0.25">
      <c r="A4038" s="4">
        <v>40242</v>
      </c>
      <c r="B4038">
        <v>40.061300000000003</v>
      </c>
      <c r="C4038">
        <v>40.463200000000001</v>
      </c>
      <c r="D4038">
        <v>39.927300000000002</v>
      </c>
      <c r="E4038">
        <v>40.463200000000001</v>
      </c>
      <c r="F4038">
        <v>60055</v>
      </c>
    </row>
    <row r="4039" spans="1:6" x14ac:dyDescent="0.25">
      <c r="A4039" s="4">
        <v>40245</v>
      </c>
      <c r="B4039">
        <v>40.798200000000001</v>
      </c>
      <c r="C4039">
        <v>40.999099999999999</v>
      </c>
      <c r="D4039">
        <v>40.597200000000001</v>
      </c>
      <c r="E4039">
        <v>40.999099999999999</v>
      </c>
      <c r="F4039">
        <v>44396</v>
      </c>
    </row>
    <row r="4040" spans="1:6" x14ac:dyDescent="0.25">
      <c r="A4040" s="4">
        <v>40246</v>
      </c>
      <c r="B4040">
        <v>40.999099999999999</v>
      </c>
      <c r="C4040">
        <v>41.133099999999999</v>
      </c>
      <c r="D4040">
        <v>40.731200000000001</v>
      </c>
      <c r="E4040">
        <v>41.066099999999999</v>
      </c>
      <c r="F4040">
        <v>31476</v>
      </c>
    </row>
    <row r="4041" spans="1:6" x14ac:dyDescent="0.25">
      <c r="A4041" s="4">
        <v>40247</v>
      </c>
      <c r="B4041">
        <v>41.066099999999999</v>
      </c>
      <c r="C4041">
        <v>41.133099999999999</v>
      </c>
      <c r="D4041">
        <v>40.731200000000001</v>
      </c>
      <c r="E4041">
        <v>41.133099999999999</v>
      </c>
      <c r="F4041">
        <v>30589</v>
      </c>
    </row>
    <row r="4042" spans="1:6" x14ac:dyDescent="0.25">
      <c r="A4042" s="4">
        <v>40248</v>
      </c>
      <c r="B4042">
        <v>41.267099999999999</v>
      </c>
      <c r="C4042">
        <v>41.4011</v>
      </c>
      <c r="D4042">
        <v>40.999099999999999</v>
      </c>
      <c r="E4042">
        <v>41.133099999999999</v>
      </c>
      <c r="F4042">
        <v>30381</v>
      </c>
    </row>
    <row r="4043" spans="1:6" x14ac:dyDescent="0.25">
      <c r="A4043" s="4">
        <v>40249</v>
      </c>
      <c r="B4043">
        <v>41.133099999999999</v>
      </c>
      <c r="C4043">
        <v>41.200099999999999</v>
      </c>
      <c r="D4043">
        <v>40.597200000000001</v>
      </c>
      <c r="E4043">
        <v>40.731200000000001</v>
      </c>
      <c r="F4043">
        <v>69393</v>
      </c>
    </row>
    <row r="4044" spans="1:6" x14ac:dyDescent="0.25">
      <c r="A4044" s="4">
        <v>40252</v>
      </c>
      <c r="B4044">
        <v>41.066099999999999</v>
      </c>
      <c r="C4044">
        <v>41.066099999999999</v>
      </c>
      <c r="D4044">
        <v>40.061300000000003</v>
      </c>
      <c r="E4044">
        <v>40.061300000000003</v>
      </c>
      <c r="F4044">
        <v>41568</v>
      </c>
    </row>
    <row r="4045" spans="1:6" x14ac:dyDescent="0.25">
      <c r="A4045" s="4">
        <v>40253</v>
      </c>
      <c r="B4045">
        <v>40.2622</v>
      </c>
      <c r="C4045">
        <v>40.3292</v>
      </c>
      <c r="D4045">
        <v>39.994300000000003</v>
      </c>
      <c r="E4045">
        <v>39.994300000000003</v>
      </c>
      <c r="F4045">
        <v>29927</v>
      </c>
    </row>
    <row r="4046" spans="1:6" x14ac:dyDescent="0.25">
      <c r="A4046" s="4">
        <v>40254</v>
      </c>
      <c r="B4046">
        <v>40.530200000000001</v>
      </c>
      <c r="C4046">
        <v>40.798200000000001</v>
      </c>
      <c r="D4046">
        <v>40.1282</v>
      </c>
      <c r="E4046">
        <v>40.530200000000001</v>
      </c>
      <c r="F4046">
        <v>69118</v>
      </c>
    </row>
    <row r="4047" spans="1:6" x14ac:dyDescent="0.25">
      <c r="A4047" s="4">
        <v>40255</v>
      </c>
      <c r="B4047">
        <v>40.2622</v>
      </c>
      <c r="C4047">
        <v>40.597200000000001</v>
      </c>
      <c r="D4047">
        <v>40.1952</v>
      </c>
      <c r="E4047">
        <v>40.463200000000001</v>
      </c>
      <c r="F4047">
        <v>70257</v>
      </c>
    </row>
    <row r="4048" spans="1:6" x14ac:dyDescent="0.25">
      <c r="A4048" s="4">
        <v>40256</v>
      </c>
      <c r="B4048">
        <v>40.1952</v>
      </c>
      <c r="C4048">
        <v>40.3962</v>
      </c>
      <c r="D4048">
        <v>39.994300000000003</v>
      </c>
      <c r="E4048">
        <v>40.1952</v>
      </c>
      <c r="F4048">
        <v>46018</v>
      </c>
    </row>
    <row r="4049" spans="1:6" x14ac:dyDescent="0.25">
      <c r="A4049" s="4">
        <v>40259</v>
      </c>
      <c r="B4049">
        <v>39.927300000000002</v>
      </c>
      <c r="C4049">
        <v>39.927300000000002</v>
      </c>
      <c r="D4049">
        <v>39.391300000000001</v>
      </c>
      <c r="E4049">
        <v>39.525300000000001</v>
      </c>
      <c r="F4049">
        <v>47084</v>
      </c>
    </row>
    <row r="4050" spans="1:6" x14ac:dyDescent="0.25">
      <c r="A4050" s="4">
        <v>40260</v>
      </c>
      <c r="B4050">
        <v>39.860300000000002</v>
      </c>
      <c r="C4050">
        <v>40.2622</v>
      </c>
      <c r="D4050">
        <v>39.860300000000002</v>
      </c>
      <c r="E4050">
        <v>39.927300000000002</v>
      </c>
      <c r="F4050">
        <v>51751</v>
      </c>
    </row>
    <row r="4051" spans="1:6" x14ac:dyDescent="0.25">
      <c r="A4051" s="4">
        <v>40261</v>
      </c>
      <c r="B4051">
        <v>40.2622</v>
      </c>
      <c r="C4051">
        <v>40.731200000000001</v>
      </c>
      <c r="D4051">
        <v>40.2622</v>
      </c>
      <c r="E4051">
        <v>40.597200000000001</v>
      </c>
      <c r="F4051">
        <v>48661</v>
      </c>
    </row>
    <row r="4052" spans="1:6" x14ac:dyDescent="0.25">
      <c r="A4052" s="4">
        <v>40262</v>
      </c>
      <c r="B4052">
        <v>40.798200000000001</v>
      </c>
      <c r="C4052">
        <v>41.200099999999999</v>
      </c>
      <c r="D4052">
        <v>40.3292</v>
      </c>
      <c r="E4052">
        <v>41.200099999999999</v>
      </c>
      <c r="F4052">
        <v>64155</v>
      </c>
    </row>
    <row r="4053" spans="1:6" x14ac:dyDescent="0.25">
      <c r="A4053" s="4">
        <v>40263</v>
      </c>
      <c r="B4053">
        <v>41.066099999999999</v>
      </c>
      <c r="C4053">
        <v>41.5351</v>
      </c>
      <c r="D4053">
        <v>40.3962</v>
      </c>
      <c r="E4053">
        <v>41.5351</v>
      </c>
      <c r="F4053">
        <v>81173</v>
      </c>
    </row>
    <row r="4054" spans="1:6" x14ac:dyDescent="0.25">
      <c r="A4054" s="4">
        <v>40266</v>
      </c>
      <c r="B4054">
        <v>41.5351</v>
      </c>
      <c r="C4054">
        <v>41.7361</v>
      </c>
      <c r="D4054">
        <v>41.334099999999999</v>
      </c>
      <c r="E4054">
        <v>41.6691</v>
      </c>
      <c r="F4054">
        <v>37560</v>
      </c>
    </row>
    <row r="4055" spans="1:6" x14ac:dyDescent="0.25">
      <c r="A4055" s="4">
        <v>40267</v>
      </c>
      <c r="B4055">
        <v>41.802999999999997</v>
      </c>
      <c r="C4055">
        <v>41.802999999999997</v>
      </c>
      <c r="D4055">
        <v>41.334099999999999</v>
      </c>
      <c r="E4055">
        <v>41.6691</v>
      </c>
      <c r="F4055">
        <v>30056</v>
      </c>
    </row>
    <row r="4056" spans="1:6" x14ac:dyDescent="0.25">
      <c r="A4056" s="4">
        <v>40268</v>
      </c>
      <c r="B4056">
        <v>41.6691</v>
      </c>
      <c r="C4056">
        <v>41.6691</v>
      </c>
      <c r="D4056">
        <v>41.200099999999999</v>
      </c>
      <c r="E4056">
        <v>41.200099999999999</v>
      </c>
      <c r="F4056">
        <v>39289</v>
      </c>
    </row>
    <row r="4057" spans="1:6" x14ac:dyDescent="0.25">
      <c r="A4057" s="4">
        <v>40269</v>
      </c>
      <c r="B4057">
        <v>41.200099999999999</v>
      </c>
      <c r="C4057">
        <v>41.87</v>
      </c>
      <c r="D4057">
        <v>41.200099999999999</v>
      </c>
      <c r="E4057">
        <v>41.6021</v>
      </c>
      <c r="F4057">
        <v>54740</v>
      </c>
    </row>
    <row r="4058" spans="1:6" x14ac:dyDescent="0.25">
      <c r="A4058" s="4">
        <v>40270</v>
      </c>
      <c r="B4058">
        <v>41.87</v>
      </c>
      <c r="C4058">
        <v>41.87</v>
      </c>
      <c r="D4058">
        <v>41.6021</v>
      </c>
      <c r="E4058">
        <v>41.802999999999997</v>
      </c>
      <c r="F4058">
        <v>17374</v>
      </c>
    </row>
    <row r="4059" spans="1:6" x14ac:dyDescent="0.25">
      <c r="A4059" s="4">
        <v>40274</v>
      </c>
      <c r="B4059">
        <v>42.070999999999998</v>
      </c>
      <c r="C4059">
        <v>42.54</v>
      </c>
      <c r="D4059">
        <v>42.070999999999998</v>
      </c>
      <c r="E4059">
        <v>42.472999999999999</v>
      </c>
      <c r="F4059">
        <v>53216</v>
      </c>
    </row>
    <row r="4060" spans="1:6" x14ac:dyDescent="0.25">
      <c r="A4060" s="4">
        <v>40275</v>
      </c>
      <c r="B4060">
        <v>42.54</v>
      </c>
      <c r="C4060">
        <v>42.54</v>
      </c>
      <c r="D4060">
        <v>42.271999999999998</v>
      </c>
      <c r="E4060">
        <v>42.54</v>
      </c>
      <c r="F4060">
        <v>49686</v>
      </c>
    </row>
    <row r="4061" spans="1:6" x14ac:dyDescent="0.25">
      <c r="A4061" s="4">
        <v>40276</v>
      </c>
      <c r="B4061">
        <v>42.070999999999998</v>
      </c>
      <c r="C4061">
        <v>42.204999999999998</v>
      </c>
      <c r="D4061">
        <v>41.6021</v>
      </c>
      <c r="E4061">
        <v>41.7361</v>
      </c>
      <c r="F4061">
        <v>48608</v>
      </c>
    </row>
    <row r="4062" spans="1:6" x14ac:dyDescent="0.25">
      <c r="A4062" s="4">
        <v>40277</v>
      </c>
      <c r="B4062">
        <v>41.4681</v>
      </c>
      <c r="C4062">
        <v>42.204999999999998</v>
      </c>
      <c r="D4062">
        <v>41.4681</v>
      </c>
      <c r="E4062">
        <v>42.003999999999998</v>
      </c>
      <c r="F4062">
        <v>31648</v>
      </c>
    </row>
    <row r="4063" spans="1:6" x14ac:dyDescent="0.25">
      <c r="A4063" s="4">
        <v>40280</v>
      </c>
      <c r="B4063">
        <v>42.405999999999999</v>
      </c>
      <c r="C4063">
        <v>42.472999999999999</v>
      </c>
      <c r="D4063">
        <v>42.070999999999998</v>
      </c>
      <c r="E4063">
        <v>42.271999999999998</v>
      </c>
      <c r="F4063">
        <v>36943</v>
      </c>
    </row>
    <row r="4064" spans="1:6" x14ac:dyDescent="0.25">
      <c r="A4064" s="4">
        <v>40281</v>
      </c>
      <c r="B4064">
        <v>42.204999999999998</v>
      </c>
      <c r="C4064">
        <v>42.271999999999998</v>
      </c>
      <c r="D4064">
        <v>41.6021</v>
      </c>
      <c r="E4064">
        <v>42.137999999999998</v>
      </c>
      <c r="F4064">
        <v>42767</v>
      </c>
    </row>
    <row r="4065" spans="1:6" x14ac:dyDescent="0.25">
      <c r="A4065" s="4">
        <v>40282</v>
      </c>
      <c r="B4065">
        <v>42.271999999999998</v>
      </c>
      <c r="C4065">
        <v>42.740900000000003</v>
      </c>
      <c r="D4065">
        <v>42.137999999999998</v>
      </c>
      <c r="E4065">
        <v>42.740900000000003</v>
      </c>
      <c r="F4065">
        <v>55677</v>
      </c>
    </row>
    <row r="4066" spans="1:6" x14ac:dyDescent="0.25">
      <c r="A4066" s="4">
        <v>40283</v>
      </c>
      <c r="B4066">
        <v>43.209899999999998</v>
      </c>
      <c r="C4066">
        <v>43.477800000000002</v>
      </c>
      <c r="D4066">
        <v>42.874899999999997</v>
      </c>
      <c r="E4066">
        <v>43.142899999999997</v>
      </c>
      <c r="F4066">
        <v>72063</v>
      </c>
    </row>
    <row r="4067" spans="1:6" x14ac:dyDescent="0.25">
      <c r="A4067" s="4">
        <v>40284</v>
      </c>
      <c r="B4067">
        <v>42.606900000000003</v>
      </c>
      <c r="C4067">
        <v>42.673900000000003</v>
      </c>
      <c r="D4067">
        <v>42.137999999999998</v>
      </c>
      <c r="E4067">
        <v>42.204999999999998</v>
      </c>
      <c r="F4067">
        <v>49739</v>
      </c>
    </row>
    <row r="4068" spans="1:6" x14ac:dyDescent="0.25">
      <c r="A4068" s="4">
        <v>40287</v>
      </c>
      <c r="B4068">
        <v>41.87</v>
      </c>
      <c r="C4068">
        <v>42.338999999999999</v>
      </c>
      <c r="D4068">
        <v>41.802999999999997</v>
      </c>
      <c r="E4068">
        <v>41.936999999999998</v>
      </c>
      <c r="F4068">
        <v>71161</v>
      </c>
    </row>
    <row r="4069" spans="1:6" x14ac:dyDescent="0.25">
      <c r="A4069" s="4">
        <v>40288</v>
      </c>
      <c r="B4069">
        <v>42.137999999999998</v>
      </c>
      <c r="C4069">
        <v>42.204999999999998</v>
      </c>
      <c r="D4069">
        <v>41.802999999999997</v>
      </c>
      <c r="E4069">
        <v>42.070999999999998</v>
      </c>
      <c r="F4069">
        <v>37545</v>
      </c>
    </row>
    <row r="4070" spans="1:6" x14ac:dyDescent="0.25">
      <c r="A4070" s="4">
        <v>40289</v>
      </c>
      <c r="B4070">
        <v>42.137999999999998</v>
      </c>
      <c r="C4070">
        <v>42.271999999999998</v>
      </c>
      <c r="D4070">
        <v>41.7361</v>
      </c>
      <c r="E4070">
        <v>41.802999999999997</v>
      </c>
      <c r="F4070">
        <v>46603</v>
      </c>
    </row>
    <row r="4071" spans="1:6" x14ac:dyDescent="0.25">
      <c r="A4071" s="4">
        <v>40290</v>
      </c>
      <c r="B4071">
        <v>41.4011</v>
      </c>
      <c r="C4071">
        <v>41.4011</v>
      </c>
      <c r="D4071">
        <v>40.731200000000001</v>
      </c>
      <c r="E4071">
        <v>41.267099999999999</v>
      </c>
      <c r="F4071">
        <v>92244</v>
      </c>
    </row>
    <row r="4072" spans="1:6" x14ac:dyDescent="0.25">
      <c r="A4072" s="4">
        <v>40291</v>
      </c>
      <c r="B4072">
        <v>41.4681</v>
      </c>
      <c r="C4072">
        <v>41.802999999999997</v>
      </c>
      <c r="D4072">
        <v>41.267099999999999</v>
      </c>
      <c r="E4072">
        <v>41.334099999999999</v>
      </c>
      <c r="F4072">
        <v>48952</v>
      </c>
    </row>
    <row r="4073" spans="1:6" x14ac:dyDescent="0.25">
      <c r="A4073" s="4">
        <v>40294</v>
      </c>
      <c r="B4073">
        <v>41.802999999999997</v>
      </c>
      <c r="C4073">
        <v>42.606900000000003</v>
      </c>
      <c r="D4073">
        <v>41.802999999999997</v>
      </c>
      <c r="E4073">
        <v>42.54</v>
      </c>
      <c r="F4073">
        <v>67548</v>
      </c>
    </row>
    <row r="4074" spans="1:6" x14ac:dyDescent="0.25">
      <c r="A4074" s="4">
        <v>40295</v>
      </c>
      <c r="B4074">
        <v>42.54</v>
      </c>
      <c r="C4074">
        <v>42.673900000000003</v>
      </c>
      <c r="D4074">
        <v>42.271999999999998</v>
      </c>
      <c r="E4074">
        <v>42.673900000000003</v>
      </c>
      <c r="F4074">
        <v>25421</v>
      </c>
    </row>
    <row r="4075" spans="1:6" x14ac:dyDescent="0.25">
      <c r="A4075" s="4">
        <v>40296</v>
      </c>
      <c r="B4075">
        <v>41.6021</v>
      </c>
      <c r="C4075">
        <v>41.936999999999998</v>
      </c>
      <c r="D4075">
        <v>41.5351</v>
      </c>
      <c r="E4075">
        <v>41.6021</v>
      </c>
      <c r="F4075">
        <v>73212</v>
      </c>
    </row>
    <row r="4076" spans="1:6" x14ac:dyDescent="0.25">
      <c r="A4076" s="4">
        <v>40297</v>
      </c>
      <c r="B4076">
        <v>41.6691</v>
      </c>
      <c r="C4076">
        <v>41.6691</v>
      </c>
      <c r="D4076">
        <v>41.267099999999999</v>
      </c>
      <c r="E4076">
        <v>41.267099999999999</v>
      </c>
      <c r="F4076">
        <v>41236</v>
      </c>
    </row>
    <row r="4077" spans="1:6" x14ac:dyDescent="0.25">
      <c r="A4077" s="4">
        <v>40298</v>
      </c>
      <c r="B4077">
        <v>41.4011</v>
      </c>
      <c r="C4077">
        <v>42.003999999999998</v>
      </c>
      <c r="D4077">
        <v>41.4011</v>
      </c>
      <c r="E4077">
        <v>41.4011</v>
      </c>
      <c r="F4077">
        <v>43450</v>
      </c>
    </row>
    <row r="4078" spans="1:6" x14ac:dyDescent="0.25">
      <c r="A4078" s="4">
        <v>40301</v>
      </c>
      <c r="B4078">
        <v>41.936999999999998</v>
      </c>
      <c r="C4078">
        <v>41.936999999999998</v>
      </c>
      <c r="D4078">
        <v>41.133099999999999</v>
      </c>
      <c r="E4078">
        <v>41.267099999999999</v>
      </c>
      <c r="F4078">
        <v>22440</v>
      </c>
    </row>
    <row r="4079" spans="1:6" x14ac:dyDescent="0.25">
      <c r="A4079" s="4">
        <v>40302</v>
      </c>
      <c r="B4079">
        <v>41.4681</v>
      </c>
      <c r="C4079">
        <v>41.5351</v>
      </c>
      <c r="D4079">
        <v>40.731200000000001</v>
      </c>
      <c r="E4079">
        <v>40.865200000000002</v>
      </c>
      <c r="F4079">
        <v>38778</v>
      </c>
    </row>
    <row r="4080" spans="1:6" x14ac:dyDescent="0.25">
      <c r="A4080" s="4">
        <v>40303</v>
      </c>
      <c r="B4080">
        <v>40.1282</v>
      </c>
      <c r="C4080">
        <v>40.3292</v>
      </c>
      <c r="D4080">
        <v>40.061300000000003</v>
      </c>
      <c r="E4080">
        <v>40.061300000000003</v>
      </c>
      <c r="F4080">
        <v>94194</v>
      </c>
    </row>
    <row r="4081" spans="1:6" x14ac:dyDescent="0.25">
      <c r="A4081" s="4">
        <v>40304</v>
      </c>
      <c r="B4081">
        <v>40.061300000000003</v>
      </c>
      <c r="C4081">
        <v>40.1282</v>
      </c>
      <c r="D4081">
        <v>39.659300000000002</v>
      </c>
      <c r="E4081">
        <v>39.860300000000002</v>
      </c>
      <c r="F4081">
        <v>52112</v>
      </c>
    </row>
    <row r="4082" spans="1:6" x14ac:dyDescent="0.25">
      <c r="A4082" s="4">
        <v>40305</v>
      </c>
      <c r="B4082">
        <v>39.257300000000001</v>
      </c>
      <c r="C4082">
        <v>40.2622</v>
      </c>
      <c r="D4082">
        <v>39.190399999999997</v>
      </c>
      <c r="E4082">
        <v>39.793300000000002</v>
      </c>
      <c r="F4082">
        <v>61576</v>
      </c>
    </row>
    <row r="4083" spans="1:6" x14ac:dyDescent="0.25">
      <c r="A4083" s="4">
        <v>40308</v>
      </c>
      <c r="B4083">
        <v>39.793300000000002</v>
      </c>
      <c r="C4083">
        <v>40.1952</v>
      </c>
      <c r="D4083">
        <v>39.525300000000001</v>
      </c>
      <c r="E4083">
        <v>40.061300000000003</v>
      </c>
      <c r="F4083">
        <v>56311</v>
      </c>
    </row>
    <row r="4084" spans="1:6" x14ac:dyDescent="0.25">
      <c r="A4084" s="4">
        <v>40309</v>
      </c>
      <c r="B4084">
        <v>40.463200000000001</v>
      </c>
      <c r="C4084">
        <v>40.597200000000001</v>
      </c>
      <c r="D4084">
        <v>40.1282</v>
      </c>
      <c r="E4084">
        <v>40.2622</v>
      </c>
      <c r="F4084">
        <v>69348</v>
      </c>
    </row>
    <row r="4085" spans="1:6" x14ac:dyDescent="0.25">
      <c r="A4085" s="4">
        <v>40310</v>
      </c>
      <c r="B4085">
        <v>40.865200000000002</v>
      </c>
      <c r="C4085">
        <v>40.865200000000002</v>
      </c>
      <c r="D4085">
        <v>40.1952</v>
      </c>
      <c r="E4085">
        <v>40.2622</v>
      </c>
      <c r="F4085">
        <v>27731</v>
      </c>
    </row>
    <row r="4086" spans="1:6" x14ac:dyDescent="0.25">
      <c r="A4086" s="4">
        <v>40311</v>
      </c>
      <c r="B4086">
        <v>40.597200000000001</v>
      </c>
      <c r="C4086">
        <v>41.200099999999999</v>
      </c>
      <c r="D4086">
        <v>40.530200000000001</v>
      </c>
      <c r="E4086">
        <v>40.999099999999999</v>
      </c>
      <c r="F4086">
        <v>39909</v>
      </c>
    </row>
    <row r="4087" spans="1:6" x14ac:dyDescent="0.25">
      <c r="A4087" s="4">
        <v>40312</v>
      </c>
      <c r="B4087">
        <v>40.664200000000001</v>
      </c>
      <c r="C4087">
        <v>41.200099999999999</v>
      </c>
      <c r="D4087">
        <v>40.530200000000001</v>
      </c>
      <c r="E4087">
        <v>40.999099999999999</v>
      </c>
      <c r="F4087">
        <v>35601</v>
      </c>
    </row>
    <row r="4088" spans="1:6" x14ac:dyDescent="0.25">
      <c r="A4088" s="4">
        <v>40315</v>
      </c>
      <c r="B4088">
        <v>40.530200000000001</v>
      </c>
      <c r="C4088">
        <v>40.530200000000001</v>
      </c>
      <c r="D4088">
        <v>39.592300000000002</v>
      </c>
      <c r="E4088">
        <v>39.659300000000002</v>
      </c>
      <c r="F4088">
        <v>73215</v>
      </c>
    </row>
    <row r="4089" spans="1:6" x14ac:dyDescent="0.25">
      <c r="A4089" s="4">
        <v>40316</v>
      </c>
      <c r="B4089">
        <v>39.927300000000002</v>
      </c>
      <c r="C4089">
        <v>40.1952</v>
      </c>
      <c r="D4089">
        <v>39.793300000000002</v>
      </c>
      <c r="E4089">
        <v>39.860300000000002</v>
      </c>
      <c r="F4089">
        <v>30477</v>
      </c>
    </row>
    <row r="4090" spans="1:6" x14ac:dyDescent="0.25">
      <c r="A4090" s="4">
        <v>40317</v>
      </c>
      <c r="B4090">
        <v>39.525300000000001</v>
      </c>
      <c r="C4090">
        <v>39.927300000000002</v>
      </c>
      <c r="D4090">
        <v>39.257300000000001</v>
      </c>
      <c r="E4090">
        <v>39.726300000000002</v>
      </c>
      <c r="F4090">
        <v>51605</v>
      </c>
    </row>
    <row r="4091" spans="1:6" x14ac:dyDescent="0.25">
      <c r="A4091" s="4">
        <v>40318</v>
      </c>
      <c r="B4091">
        <v>39.860300000000002</v>
      </c>
      <c r="C4091">
        <v>39.994300000000003</v>
      </c>
      <c r="D4091">
        <v>39.458300000000001</v>
      </c>
      <c r="E4091">
        <v>39.458300000000001</v>
      </c>
      <c r="F4091">
        <v>31740</v>
      </c>
    </row>
    <row r="4092" spans="1:6" x14ac:dyDescent="0.25">
      <c r="A4092" s="4">
        <v>40319</v>
      </c>
      <c r="B4092">
        <v>39.056399999999996</v>
      </c>
      <c r="C4092">
        <v>39.592300000000002</v>
      </c>
      <c r="D4092">
        <v>38.788400000000003</v>
      </c>
      <c r="E4092">
        <v>39.391300000000001</v>
      </c>
      <c r="F4092">
        <v>46257</v>
      </c>
    </row>
    <row r="4093" spans="1:6" x14ac:dyDescent="0.25">
      <c r="A4093" s="4">
        <v>40322</v>
      </c>
      <c r="B4093">
        <v>39.927300000000002</v>
      </c>
      <c r="C4093">
        <v>39.927300000000002</v>
      </c>
      <c r="D4093">
        <v>39.324300000000001</v>
      </c>
      <c r="E4093">
        <v>39.525300000000001</v>
      </c>
      <c r="F4093">
        <v>19318</v>
      </c>
    </row>
    <row r="4094" spans="1:6" x14ac:dyDescent="0.25">
      <c r="A4094" s="4">
        <v>40323</v>
      </c>
      <c r="B4094">
        <v>39.391300000000001</v>
      </c>
      <c r="C4094">
        <v>39.458300000000001</v>
      </c>
      <c r="D4094">
        <v>38.922400000000003</v>
      </c>
      <c r="E4094">
        <v>39.123399999999997</v>
      </c>
      <c r="F4094">
        <v>51282</v>
      </c>
    </row>
    <row r="4095" spans="1:6" x14ac:dyDescent="0.25">
      <c r="A4095" s="4">
        <v>40324</v>
      </c>
      <c r="B4095">
        <v>39.458300000000001</v>
      </c>
      <c r="C4095">
        <v>39.525300000000001</v>
      </c>
      <c r="D4095">
        <v>39.190399999999997</v>
      </c>
      <c r="E4095">
        <v>39.458300000000001</v>
      </c>
      <c r="F4095">
        <v>42972</v>
      </c>
    </row>
    <row r="4096" spans="1:6" x14ac:dyDescent="0.25">
      <c r="A4096" s="4">
        <v>40325</v>
      </c>
      <c r="B4096">
        <v>39.190399999999997</v>
      </c>
      <c r="C4096">
        <v>39.726300000000002</v>
      </c>
      <c r="D4096">
        <v>38.654400000000003</v>
      </c>
      <c r="E4096">
        <v>39.324300000000001</v>
      </c>
      <c r="F4096">
        <v>55503</v>
      </c>
    </row>
    <row r="4097" spans="1:6" x14ac:dyDescent="0.25">
      <c r="A4097" s="4">
        <v>40326</v>
      </c>
      <c r="B4097">
        <v>39.458300000000001</v>
      </c>
      <c r="C4097">
        <v>39.793300000000002</v>
      </c>
      <c r="D4097">
        <v>39.056399999999996</v>
      </c>
      <c r="E4097">
        <v>39.324300000000001</v>
      </c>
      <c r="F4097">
        <v>61149</v>
      </c>
    </row>
    <row r="4098" spans="1:6" x14ac:dyDescent="0.25">
      <c r="A4098" s="4">
        <v>40329</v>
      </c>
      <c r="B4098">
        <v>39.592300000000002</v>
      </c>
      <c r="C4098">
        <v>40.3292</v>
      </c>
      <c r="D4098">
        <v>39.391300000000001</v>
      </c>
      <c r="E4098">
        <v>40.3292</v>
      </c>
      <c r="F4098">
        <v>25401</v>
      </c>
    </row>
    <row r="4099" spans="1:6" x14ac:dyDescent="0.25">
      <c r="A4099" s="4">
        <v>40330</v>
      </c>
      <c r="B4099">
        <v>40.1282</v>
      </c>
      <c r="C4099">
        <v>40.1952</v>
      </c>
      <c r="D4099">
        <v>39.659300000000002</v>
      </c>
      <c r="E4099">
        <v>40.061300000000003</v>
      </c>
      <c r="F4099">
        <v>28375</v>
      </c>
    </row>
    <row r="4100" spans="1:6" x14ac:dyDescent="0.25">
      <c r="A4100" s="4">
        <v>40331</v>
      </c>
      <c r="B4100">
        <v>40.061300000000003</v>
      </c>
      <c r="C4100">
        <v>40.463200000000001</v>
      </c>
      <c r="D4100">
        <v>39.726300000000002</v>
      </c>
      <c r="E4100">
        <v>40.061300000000003</v>
      </c>
      <c r="F4100">
        <v>35324</v>
      </c>
    </row>
    <row r="4101" spans="1:6" x14ac:dyDescent="0.25">
      <c r="A4101" s="4">
        <v>40332</v>
      </c>
      <c r="B4101">
        <v>40.731200000000001</v>
      </c>
      <c r="C4101">
        <v>40.865200000000002</v>
      </c>
      <c r="D4101">
        <v>40.530200000000001</v>
      </c>
      <c r="E4101">
        <v>40.731200000000001</v>
      </c>
      <c r="F4101">
        <v>49529</v>
      </c>
    </row>
    <row r="4102" spans="1:6" x14ac:dyDescent="0.25">
      <c r="A4102" s="4">
        <v>40333</v>
      </c>
      <c r="B4102">
        <v>40.530200000000001</v>
      </c>
      <c r="C4102">
        <v>40.865200000000002</v>
      </c>
      <c r="D4102">
        <v>40.3292</v>
      </c>
      <c r="E4102">
        <v>40.865200000000002</v>
      </c>
      <c r="F4102">
        <v>42722</v>
      </c>
    </row>
    <row r="4103" spans="1:6" x14ac:dyDescent="0.25">
      <c r="A4103" s="4">
        <v>40336</v>
      </c>
      <c r="B4103">
        <v>39.994300000000003</v>
      </c>
      <c r="C4103">
        <v>39.994300000000003</v>
      </c>
      <c r="D4103">
        <v>39.324300000000001</v>
      </c>
      <c r="E4103">
        <v>39.659300000000002</v>
      </c>
      <c r="F4103">
        <v>70649</v>
      </c>
    </row>
    <row r="4104" spans="1:6" x14ac:dyDescent="0.25">
      <c r="A4104" s="4">
        <v>40337</v>
      </c>
      <c r="B4104">
        <v>39.458300000000001</v>
      </c>
      <c r="C4104">
        <v>39.659300000000002</v>
      </c>
      <c r="D4104">
        <v>39.123399999999997</v>
      </c>
      <c r="E4104">
        <v>39.190399999999997</v>
      </c>
      <c r="F4104">
        <v>40431</v>
      </c>
    </row>
    <row r="4105" spans="1:6" x14ac:dyDescent="0.25">
      <c r="A4105" s="4">
        <v>40338</v>
      </c>
      <c r="B4105">
        <v>39.123399999999997</v>
      </c>
      <c r="C4105">
        <v>39.525300000000001</v>
      </c>
      <c r="D4105">
        <v>39.056399999999996</v>
      </c>
      <c r="E4105">
        <v>39.257300000000001</v>
      </c>
      <c r="F4105">
        <v>46105</v>
      </c>
    </row>
    <row r="4106" spans="1:6" x14ac:dyDescent="0.25">
      <c r="A4106" s="4">
        <v>40339</v>
      </c>
      <c r="B4106">
        <v>40.061300000000003</v>
      </c>
      <c r="C4106">
        <v>40.061300000000003</v>
      </c>
      <c r="D4106">
        <v>39.391300000000001</v>
      </c>
      <c r="E4106">
        <v>39.793300000000002</v>
      </c>
      <c r="F4106">
        <v>28817</v>
      </c>
    </row>
    <row r="4107" spans="1:6" x14ac:dyDescent="0.25">
      <c r="A4107" s="4">
        <v>40340</v>
      </c>
      <c r="B4107">
        <v>40.3292</v>
      </c>
      <c r="C4107">
        <v>40.530200000000001</v>
      </c>
      <c r="D4107">
        <v>40.1952</v>
      </c>
      <c r="E4107">
        <v>40.530200000000001</v>
      </c>
      <c r="F4107">
        <v>42325</v>
      </c>
    </row>
    <row r="4108" spans="1:6" x14ac:dyDescent="0.25">
      <c r="A4108" s="4">
        <v>40343</v>
      </c>
      <c r="B4108">
        <v>40.798200000000001</v>
      </c>
      <c r="C4108">
        <v>41.133099999999999</v>
      </c>
      <c r="D4108">
        <v>40.798200000000001</v>
      </c>
      <c r="E4108">
        <v>40.932099999999998</v>
      </c>
      <c r="F4108">
        <v>44942</v>
      </c>
    </row>
    <row r="4109" spans="1:6" x14ac:dyDescent="0.25">
      <c r="A4109" s="4">
        <v>40344</v>
      </c>
      <c r="B4109">
        <v>41.066099999999999</v>
      </c>
      <c r="C4109">
        <v>41.4681</v>
      </c>
      <c r="D4109">
        <v>40.664200000000001</v>
      </c>
      <c r="E4109">
        <v>41.133099999999999</v>
      </c>
      <c r="F4109">
        <v>37547</v>
      </c>
    </row>
    <row r="4110" spans="1:6" x14ac:dyDescent="0.25">
      <c r="A4110" s="4">
        <v>40346</v>
      </c>
      <c r="B4110">
        <v>41.5351</v>
      </c>
      <c r="C4110">
        <v>41.7361</v>
      </c>
      <c r="D4110">
        <v>41.334099999999999</v>
      </c>
      <c r="E4110">
        <v>41.6021</v>
      </c>
      <c r="F4110">
        <v>62016</v>
      </c>
    </row>
    <row r="4111" spans="1:6" x14ac:dyDescent="0.25">
      <c r="A4111" s="4">
        <v>40347</v>
      </c>
      <c r="B4111">
        <v>41.802999999999997</v>
      </c>
      <c r="C4111">
        <v>42.003999999999998</v>
      </c>
      <c r="D4111">
        <v>41.4011</v>
      </c>
      <c r="E4111">
        <v>42.003999999999998</v>
      </c>
      <c r="F4111">
        <v>46333</v>
      </c>
    </row>
    <row r="4112" spans="1:6" x14ac:dyDescent="0.25">
      <c r="A4112" s="4">
        <v>40350</v>
      </c>
      <c r="B4112">
        <v>42.271999999999998</v>
      </c>
      <c r="C4112">
        <v>42.673900000000003</v>
      </c>
      <c r="D4112">
        <v>42.271999999999998</v>
      </c>
      <c r="E4112">
        <v>42.405999999999999</v>
      </c>
      <c r="F4112">
        <v>68410</v>
      </c>
    </row>
    <row r="4113" spans="1:6" x14ac:dyDescent="0.25">
      <c r="A4113" s="4">
        <v>40351</v>
      </c>
      <c r="B4113">
        <v>42.405999999999999</v>
      </c>
      <c r="C4113">
        <v>42.405999999999999</v>
      </c>
      <c r="D4113">
        <v>41.936999999999998</v>
      </c>
      <c r="E4113">
        <v>41.936999999999998</v>
      </c>
      <c r="F4113">
        <v>33390</v>
      </c>
    </row>
    <row r="4114" spans="1:6" x14ac:dyDescent="0.25">
      <c r="A4114" s="4">
        <v>40352</v>
      </c>
      <c r="B4114">
        <v>41.5351</v>
      </c>
      <c r="C4114">
        <v>41.87</v>
      </c>
      <c r="D4114">
        <v>41.5351</v>
      </c>
      <c r="E4114">
        <v>41.6021</v>
      </c>
      <c r="F4114">
        <v>37196</v>
      </c>
    </row>
    <row r="4115" spans="1:6" x14ac:dyDescent="0.25">
      <c r="A4115" s="4">
        <v>40353</v>
      </c>
      <c r="B4115">
        <v>41.6021</v>
      </c>
      <c r="C4115">
        <v>41.6691</v>
      </c>
      <c r="D4115">
        <v>41.334099999999999</v>
      </c>
      <c r="E4115">
        <v>41.5351</v>
      </c>
      <c r="F4115">
        <v>35361</v>
      </c>
    </row>
    <row r="4116" spans="1:6" x14ac:dyDescent="0.25">
      <c r="A4116" s="4">
        <v>40354</v>
      </c>
      <c r="B4116">
        <v>41.200099999999999</v>
      </c>
      <c r="C4116">
        <v>41.4681</v>
      </c>
      <c r="D4116">
        <v>41.066099999999999</v>
      </c>
      <c r="E4116">
        <v>41.133099999999999</v>
      </c>
      <c r="F4116">
        <v>30580</v>
      </c>
    </row>
    <row r="4117" spans="1:6" x14ac:dyDescent="0.25">
      <c r="A4117" s="4">
        <v>40357</v>
      </c>
      <c r="B4117">
        <v>40.999099999999999</v>
      </c>
      <c r="C4117">
        <v>41.334099999999999</v>
      </c>
      <c r="D4117">
        <v>40.932099999999998</v>
      </c>
      <c r="E4117">
        <v>41.334099999999999</v>
      </c>
      <c r="F4117">
        <v>20547</v>
      </c>
    </row>
    <row r="4118" spans="1:6" x14ac:dyDescent="0.25">
      <c r="A4118" s="4">
        <v>40358</v>
      </c>
      <c r="B4118">
        <v>41.5351</v>
      </c>
      <c r="C4118">
        <v>41.936999999999998</v>
      </c>
      <c r="D4118">
        <v>40.865200000000002</v>
      </c>
      <c r="E4118">
        <v>40.865200000000002</v>
      </c>
      <c r="F4118">
        <v>47953</v>
      </c>
    </row>
    <row r="4119" spans="1:6" x14ac:dyDescent="0.25">
      <c r="A4119" s="4">
        <v>40359</v>
      </c>
      <c r="B4119">
        <v>40.3962</v>
      </c>
      <c r="C4119">
        <v>40.865200000000002</v>
      </c>
      <c r="D4119">
        <v>40.3962</v>
      </c>
      <c r="E4119">
        <v>40.597200000000001</v>
      </c>
      <c r="F4119">
        <v>58320</v>
      </c>
    </row>
    <row r="4120" spans="1:6" x14ac:dyDescent="0.25">
      <c r="A4120" s="4">
        <v>40360</v>
      </c>
      <c r="B4120">
        <v>40.597200000000001</v>
      </c>
      <c r="C4120">
        <v>40.597200000000001</v>
      </c>
      <c r="D4120">
        <v>40.1282</v>
      </c>
      <c r="E4120">
        <v>40.1952</v>
      </c>
      <c r="F4120">
        <v>65216</v>
      </c>
    </row>
    <row r="4121" spans="1:6" x14ac:dyDescent="0.25">
      <c r="A4121" s="4">
        <v>40361</v>
      </c>
      <c r="B4121">
        <v>40.1952</v>
      </c>
      <c r="C4121">
        <v>40.664200000000001</v>
      </c>
      <c r="D4121">
        <v>40.1952</v>
      </c>
      <c r="E4121">
        <v>40.3962</v>
      </c>
      <c r="F4121">
        <v>67300</v>
      </c>
    </row>
    <row r="4122" spans="1:6" x14ac:dyDescent="0.25">
      <c r="A4122" s="4">
        <v>40364</v>
      </c>
      <c r="B4122">
        <v>40.3962</v>
      </c>
      <c r="C4122">
        <v>41.4011</v>
      </c>
      <c r="D4122">
        <v>40.3962</v>
      </c>
      <c r="E4122">
        <v>41.133099999999999</v>
      </c>
      <c r="F4122">
        <v>88484</v>
      </c>
    </row>
    <row r="4123" spans="1:6" x14ac:dyDescent="0.25">
      <c r="A4123" s="4">
        <v>40365</v>
      </c>
      <c r="B4123">
        <v>41.485100000000003</v>
      </c>
      <c r="C4123">
        <v>42.189399999999999</v>
      </c>
      <c r="D4123">
        <v>41.414700000000003</v>
      </c>
      <c r="E4123">
        <v>42.189399999999999</v>
      </c>
      <c r="F4123">
        <v>69857</v>
      </c>
    </row>
    <row r="4124" spans="1:6" x14ac:dyDescent="0.25">
      <c r="A4124" s="4">
        <v>40366</v>
      </c>
      <c r="B4124">
        <v>42.119</v>
      </c>
      <c r="C4124">
        <v>42.189399999999999</v>
      </c>
      <c r="D4124">
        <v>41.696399999999997</v>
      </c>
      <c r="E4124">
        <v>41.907699999999998</v>
      </c>
      <c r="F4124">
        <v>59169</v>
      </c>
    </row>
    <row r="4125" spans="1:6" x14ac:dyDescent="0.25">
      <c r="A4125" s="4">
        <v>40367</v>
      </c>
      <c r="B4125">
        <v>42.330300000000001</v>
      </c>
      <c r="C4125">
        <v>42.541600000000003</v>
      </c>
      <c r="D4125">
        <v>42.0486</v>
      </c>
      <c r="E4125">
        <v>42.541600000000003</v>
      </c>
      <c r="F4125">
        <v>50380</v>
      </c>
    </row>
    <row r="4126" spans="1:6" x14ac:dyDescent="0.25">
      <c r="A4126" s="4">
        <v>40368</v>
      </c>
      <c r="B4126">
        <v>42.541600000000003</v>
      </c>
      <c r="C4126">
        <v>42.612000000000002</v>
      </c>
      <c r="D4126">
        <v>42.189399999999999</v>
      </c>
      <c r="E4126">
        <v>42.541600000000003</v>
      </c>
      <c r="F4126">
        <v>38074</v>
      </c>
    </row>
    <row r="4127" spans="1:6" x14ac:dyDescent="0.25">
      <c r="A4127" s="4">
        <v>40371</v>
      </c>
      <c r="B4127">
        <v>42.682499999999997</v>
      </c>
      <c r="C4127">
        <v>42.682499999999997</v>
      </c>
      <c r="D4127">
        <v>42.119</v>
      </c>
      <c r="E4127">
        <v>42.119</v>
      </c>
      <c r="F4127">
        <v>44198</v>
      </c>
    </row>
    <row r="4128" spans="1:6" x14ac:dyDescent="0.25">
      <c r="A4128" s="4">
        <v>40372</v>
      </c>
      <c r="B4128">
        <v>42.189399999999999</v>
      </c>
      <c r="C4128">
        <v>42.400700000000001</v>
      </c>
      <c r="D4128">
        <v>41.907699999999998</v>
      </c>
      <c r="E4128">
        <v>41.978099999999998</v>
      </c>
      <c r="F4128">
        <v>37487</v>
      </c>
    </row>
    <row r="4129" spans="1:6" x14ac:dyDescent="0.25">
      <c r="A4129" s="4">
        <v>40373</v>
      </c>
      <c r="B4129">
        <v>42.541600000000003</v>
      </c>
      <c r="C4129">
        <v>42.752899999999997</v>
      </c>
      <c r="D4129">
        <v>42.400700000000001</v>
      </c>
      <c r="E4129">
        <v>42.541600000000003</v>
      </c>
      <c r="F4129">
        <v>59847</v>
      </c>
    </row>
    <row r="4130" spans="1:6" x14ac:dyDescent="0.25">
      <c r="A4130" s="4">
        <v>40374</v>
      </c>
      <c r="B4130">
        <v>42.541600000000003</v>
      </c>
      <c r="C4130">
        <v>42.612000000000002</v>
      </c>
      <c r="D4130">
        <v>42.330300000000001</v>
      </c>
      <c r="E4130">
        <v>42.471200000000003</v>
      </c>
      <c r="F4130">
        <v>36839</v>
      </c>
    </row>
    <row r="4131" spans="1:6" x14ac:dyDescent="0.25">
      <c r="A4131" s="4">
        <v>40375</v>
      </c>
      <c r="B4131">
        <v>42.612000000000002</v>
      </c>
      <c r="C4131">
        <v>42.612000000000002</v>
      </c>
      <c r="D4131">
        <v>42.119</v>
      </c>
      <c r="E4131">
        <v>42.189399999999999</v>
      </c>
      <c r="F4131">
        <v>29941</v>
      </c>
    </row>
    <row r="4132" spans="1:6" x14ac:dyDescent="0.25">
      <c r="A4132" s="4">
        <v>40378</v>
      </c>
      <c r="B4132">
        <v>41.907699999999998</v>
      </c>
      <c r="C4132">
        <v>43.1755</v>
      </c>
      <c r="D4132">
        <v>41.837299999999999</v>
      </c>
      <c r="E4132">
        <v>43.034599999999998</v>
      </c>
      <c r="F4132">
        <v>63787</v>
      </c>
    </row>
    <row r="4133" spans="1:6" x14ac:dyDescent="0.25">
      <c r="A4133" s="4">
        <v>40379</v>
      </c>
      <c r="B4133">
        <v>43.1755</v>
      </c>
      <c r="C4133">
        <v>43.527700000000003</v>
      </c>
      <c r="D4133">
        <v>42.964199999999998</v>
      </c>
      <c r="E4133">
        <v>43.316400000000002</v>
      </c>
      <c r="F4133">
        <v>53964</v>
      </c>
    </row>
    <row r="4134" spans="1:6" x14ac:dyDescent="0.25">
      <c r="A4134" s="4">
        <v>40380</v>
      </c>
      <c r="B4134">
        <v>43.598100000000002</v>
      </c>
      <c r="C4134">
        <v>43.598100000000002</v>
      </c>
      <c r="D4134">
        <v>43.316400000000002</v>
      </c>
      <c r="E4134">
        <v>43.527700000000003</v>
      </c>
      <c r="F4134">
        <v>41277</v>
      </c>
    </row>
    <row r="4135" spans="1:6" x14ac:dyDescent="0.25">
      <c r="A4135" s="4">
        <v>40381</v>
      </c>
      <c r="B4135">
        <v>43.598100000000002</v>
      </c>
      <c r="C4135">
        <v>43.879800000000003</v>
      </c>
      <c r="D4135">
        <v>43.1755</v>
      </c>
      <c r="E4135">
        <v>43.668500000000002</v>
      </c>
      <c r="F4135">
        <v>45330</v>
      </c>
    </row>
    <row r="4136" spans="1:6" x14ac:dyDescent="0.25">
      <c r="A4136" s="4">
        <v>40382</v>
      </c>
      <c r="B4136">
        <v>44.091099999999997</v>
      </c>
      <c r="C4136">
        <v>44.372900000000001</v>
      </c>
      <c r="D4136">
        <v>43.950299999999999</v>
      </c>
      <c r="E4136">
        <v>44.231999999999999</v>
      </c>
      <c r="F4136">
        <v>66046</v>
      </c>
    </row>
    <row r="4137" spans="1:6" x14ac:dyDescent="0.25">
      <c r="A4137" s="4">
        <v>40385</v>
      </c>
      <c r="B4137">
        <v>44.372900000000001</v>
      </c>
      <c r="C4137">
        <v>44.443300000000001</v>
      </c>
      <c r="D4137">
        <v>43.879800000000003</v>
      </c>
      <c r="E4137">
        <v>44.091099999999997</v>
      </c>
      <c r="F4137">
        <v>27032</v>
      </c>
    </row>
    <row r="4138" spans="1:6" x14ac:dyDescent="0.25">
      <c r="A4138" s="4">
        <v>40386</v>
      </c>
      <c r="B4138">
        <v>44.372900000000001</v>
      </c>
      <c r="C4138">
        <v>44.372900000000001</v>
      </c>
      <c r="D4138">
        <v>43.879800000000003</v>
      </c>
      <c r="E4138">
        <v>44.020699999999998</v>
      </c>
      <c r="F4138">
        <v>21055</v>
      </c>
    </row>
    <row r="4139" spans="1:6" x14ac:dyDescent="0.25">
      <c r="A4139" s="4">
        <v>40387</v>
      </c>
      <c r="B4139">
        <v>43.879800000000003</v>
      </c>
      <c r="C4139">
        <v>44.372900000000001</v>
      </c>
      <c r="D4139">
        <v>43.809399999999997</v>
      </c>
      <c r="E4139">
        <v>44.372900000000001</v>
      </c>
      <c r="F4139">
        <v>27031</v>
      </c>
    </row>
    <row r="4140" spans="1:6" x14ac:dyDescent="0.25">
      <c r="A4140" s="4">
        <v>40388</v>
      </c>
      <c r="B4140">
        <v>44.372900000000001</v>
      </c>
      <c r="C4140">
        <v>44.372900000000001</v>
      </c>
      <c r="D4140">
        <v>44.091099999999997</v>
      </c>
      <c r="E4140">
        <v>44.372900000000001</v>
      </c>
      <c r="F4140">
        <v>38610</v>
      </c>
    </row>
    <row r="4141" spans="1:6" x14ac:dyDescent="0.25">
      <c r="A4141" s="4">
        <v>40389</v>
      </c>
      <c r="B4141">
        <v>43.950299999999999</v>
      </c>
      <c r="C4141">
        <v>43.950299999999999</v>
      </c>
      <c r="D4141">
        <v>43.245899999999999</v>
      </c>
      <c r="E4141">
        <v>43.950299999999999</v>
      </c>
      <c r="F4141">
        <v>43622</v>
      </c>
    </row>
    <row r="4142" spans="1:6" x14ac:dyDescent="0.25">
      <c r="A4142" s="4">
        <v>40392</v>
      </c>
      <c r="B4142">
        <v>44.091099999999997</v>
      </c>
      <c r="C4142">
        <v>44.231999999999999</v>
      </c>
      <c r="D4142">
        <v>43.738999999999997</v>
      </c>
      <c r="E4142">
        <v>43.879800000000003</v>
      </c>
      <c r="F4142">
        <v>48141</v>
      </c>
    </row>
    <row r="4143" spans="1:6" x14ac:dyDescent="0.25">
      <c r="A4143" s="4">
        <v>40393</v>
      </c>
      <c r="B4143">
        <v>44.091099999999997</v>
      </c>
      <c r="C4143">
        <v>44.091099999999997</v>
      </c>
      <c r="D4143">
        <v>43.4572</v>
      </c>
      <c r="E4143">
        <v>43.668500000000002</v>
      </c>
      <c r="F4143">
        <v>32996</v>
      </c>
    </row>
    <row r="4144" spans="1:6" x14ac:dyDescent="0.25">
      <c r="A4144" s="4">
        <v>40394</v>
      </c>
      <c r="B4144">
        <v>43.668500000000002</v>
      </c>
      <c r="C4144">
        <v>43.809399999999997</v>
      </c>
      <c r="D4144">
        <v>43.386800000000001</v>
      </c>
      <c r="E4144">
        <v>43.668500000000002</v>
      </c>
      <c r="F4144">
        <v>28407</v>
      </c>
    </row>
    <row r="4145" spans="1:6" x14ac:dyDescent="0.25">
      <c r="A4145" s="4">
        <v>40395</v>
      </c>
      <c r="B4145">
        <v>43.668500000000002</v>
      </c>
      <c r="C4145">
        <v>43.668500000000002</v>
      </c>
      <c r="D4145">
        <v>43.527700000000003</v>
      </c>
      <c r="E4145">
        <v>43.598100000000002</v>
      </c>
      <c r="F4145">
        <v>22213</v>
      </c>
    </row>
    <row r="4146" spans="1:6" x14ac:dyDescent="0.25">
      <c r="A4146" s="4">
        <v>40396</v>
      </c>
      <c r="B4146">
        <v>43.386800000000001</v>
      </c>
      <c r="C4146">
        <v>43.4572</v>
      </c>
      <c r="D4146">
        <v>42.682499999999997</v>
      </c>
      <c r="E4146">
        <v>42.893799999999999</v>
      </c>
      <c r="F4146">
        <v>62494</v>
      </c>
    </row>
    <row r="4147" spans="1:6" x14ac:dyDescent="0.25">
      <c r="A4147" s="4">
        <v>40399</v>
      </c>
      <c r="B4147">
        <v>42.612000000000002</v>
      </c>
      <c r="C4147">
        <v>42.893799999999999</v>
      </c>
      <c r="D4147">
        <v>42.541600000000003</v>
      </c>
      <c r="E4147">
        <v>42.752899999999997</v>
      </c>
      <c r="F4147">
        <v>57034</v>
      </c>
    </row>
    <row r="4148" spans="1:6" x14ac:dyDescent="0.25">
      <c r="A4148" s="4">
        <v>40400</v>
      </c>
      <c r="B4148">
        <v>42.893799999999999</v>
      </c>
      <c r="C4148">
        <v>43.245899999999999</v>
      </c>
      <c r="D4148">
        <v>42.823300000000003</v>
      </c>
      <c r="E4148">
        <v>42.964199999999998</v>
      </c>
      <c r="F4148">
        <v>63935</v>
      </c>
    </row>
    <row r="4149" spans="1:6" x14ac:dyDescent="0.25">
      <c r="A4149" s="4">
        <v>40401</v>
      </c>
      <c r="B4149">
        <v>42.823300000000003</v>
      </c>
      <c r="C4149">
        <v>43.1051</v>
      </c>
      <c r="D4149">
        <v>42.752899999999997</v>
      </c>
      <c r="E4149">
        <v>42.964199999999998</v>
      </c>
      <c r="F4149">
        <v>28647</v>
      </c>
    </row>
    <row r="4150" spans="1:6" x14ac:dyDescent="0.25">
      <c r="A4150" s="4">
        <v>40402</v>
      </c>
      <c r="B4150">
        <v>42.400700000000001</v>
      </c>
      <c r="C4150">
        <v>42.682499999999997</v>
      </c>
      <c r="D4150">
        <v>42.330300000000001</v>
      </c>
      <c r="E4150">
        <v>42.400700000000001</v>
      </c>
      <c r="F4150">
        <v>66230</v>
      </c>
    </row>
    <row r="4151" spans="1:6" x14ac:dyDescent="0.25">
      <c r="A4151" s="4">
        <v>40403</v>
      </c>
      <c r="B4151">
        <v>42.400700000000001</v>
      </c>
      <c r="C4151">
        <v>42.682499999999997</v>
      </c>
      <c r="D4151">
        <v>42.189399999999999</v>
      </c>
      <c r="E4151">
        <v>42.330300000000001</v>
      </c>
      <c r="F4151">
        <v>65691</v>
      </c>
    </row>
    <row r="4152" spans="1:6" x14ac:dyDescent="0.25">
      <c r="A4152" s="4">
        <v>40406</v>
      </c>
      <c r="B4152">
        <v>42.259900000000002</v>
      </c>
      <c r="C4152">
        <v>42.471200000000003</v>
      </c>
      <c r="D4152">
        <v>41.978099999999998</v>
      </c>
      <c r="E4152">
        <v>42.471200000000003</v>
      </c>
      <c r="F4152">
        <v>39764</v>
      </c>
    </row>
    <row r="4153" spans="1:6" x14ac:dyDescent="0.25">
      <c r="A4153" s="4">
        <v>40407</v>
      </c>
      <c r="B4153">
        <v>42.612000000000002</v>
      </c>
      <c r="C4153">
        <v>42.612000000000002</v>
      </c>
      <c r="D4153">
        <v>42.119</v>
      </c>
      <c r="E4153">
        <v>42.119</v>
      </c>
      <c r="F4153">
        <v>37585</v>
      </c>
    </row>
    <row r="4154" spans="1:6" x14ac:dyDescent="0.25">
      <c r="A4154" s="4">
        <v>40408</v>
      </c>
      <c r="B4154">
        <v>42.259900000000002</v>
      </c>
      <c r="C4154">
        <v>42.471200000000003</v>
      </c>
      <c r="D4154">
        <v>41.907699999999998</v>
      </c>
      <c r="E4154">
        <v>41.978099999999998</v>
      </c>
      <c r="F4154">
        <v>42902</v>
      </c>
    </row>
    <row r="4155" spans="1:6" x14ac:dyDescent="0.25">
      <c r="A4155" s="4">
        <v>40409</v>
      </c>
      <c r="B4155">
        <v>41.907699999999998</v>
      </c>
      <c r="C4155">
        <v>42.541600000000003</v>
      </c>
      <c r="D4155">
        <v>41.907699999999998</v>
      </c>
      <c r="E4155">
        <v>42.330300000000001</v>
      </c>
      <c r="F4155">
        <v>45817</v>
      </c>
    </row>
    <row r="4156" spans="1:6" x14ac:dyDescent="0.25">
      <c r="A4156" s="4">
        <v>40410</v>
      </c>
      <c r="B4156">
        <v>42.119</v>
      </c>
      <c r="C4156">
        <v>42.400700000000001</v>
      </c>
      <c r="D4156">
        <v>42.0486</v>
      </c>
      <c r="E4156">
        <v>42.189399999999999</v>
      </c>
      <c r="F4156">
        <v>30113</v>
      </c>
    </row>
    <row r="4157" spans="1:6" x14ac:dyDescent="0.25">
      <c r="A4157" s="4">
        <v>40413</v>
      </c>
      <c r="B4157">
        <v>42.189399999999999</v>
      </c>
      <c r="C4157">
        <v>42.893799999999999</v>
      </c>
      <c r="D4157">
        <v>41.978099999999998</v>
      </c>
      <c r="E4157">
        <v>42.330300000000001</v>
      </c>
      <c r="F4157">
        <v>27932</v>
      </c>
    </row>
    <row r="4158" spans="1:6" x14ac:dyDescent="0.25">
      <c r="A4158" s="4">
        <v>40414</v>
      </c>
      <c r="B4158">
        <v>42.259900000000002</v>
      </c>
      <c r="C4158">
        <v>42.330300000000001</v>
      </c>
      <c r="D4158">
        <v>41.978099999999998</v>
      </c>
      <c r="E4158">
        <v>41.978099999999998</v>
      </c>
      <c r="F4158">
        <v>31276</v>
      </c>
    </row>
    <row r="4159" spans="1:6" x14ac:dyDescent="0.25">
      <c r="A4159" s="4">
        <v>40415</v>
      </c>
      <c r="B4159">
        <v>41.837299999999999</v>
      </c>
      <c r="C4159">
        <v>41.837299999999999</v>
      </c>
      <c r="D4159">
        <v>41.273800000000001</v>
      </c>
      <c r="E4159">
        <v>41.344200000000001</v>
      </c>
      <c r="F4159">
        <v>70619</v>
      </c>
    </row>
    <row r="4160" spans="1:6" x14ac:dyDescent="0.25">
      <c r="A4160" s="4">
        <v>40416</v>
      </c>
      <c r="B4160">
        <v>41.273800000000001</v>
      </c>
      <c r="C4160">
        <v>41.625999999999998</v>
      </c>
      <c r="D4160">
        <v>41.203400000000002</v>
      </c>
      <c r="E4160">
        <v>41.414700000000003</v>
      </c>
      <c r="F4160">
        <v>35256</v>
      </c>
    </row>
    <row r="4161" spans="1:6" x14ac:dyDescent="0.25">
      <c r="A4161" s="4">
        <v>40417</v>
      </c>
      <c r="B4161">
        <v>41.344200000000001</v>
      </c>
      <c r="C4161">
        <v>41.485100000000003</v>
      </c>
      <c r="D4161">
        <v>41.203400000000002</v>
      </c>
      <c r="E4161">
        <v>41.414700000000003</v>
      </c>
      <c r="F4161">
        <v>46789</v>
      </c>
    </row>
    <row r="4162" spans="1:6" x14ac:dyDescent="0.25">
      <c r="A4162" s="4">
        <v>40420</v>
      </c>
      <c r="B4162">
        <v>41.696399999999997</v>
      </c>
      <c r="C4162">
        <v>41.978099999999998</v>
      </c>
      <c r="D4162">
        <v>41.485100000000003</v>
      </c>
      <c r="E4162">
        <v>41.837299999999999</v>
      </c>
      <c r="F4162">
        <v>27639</v>
      </c>
    </row>
    <row r="4163" spans="1:6" x14ac:dyDescent="0.25">
      <c r="A4163" s="4">
        <v>40421</v>
      </c>
      <c r="B4163">
        <v>41.555500000000002</v>
      </c>
      <c r="C4163">
        <v>41.555500000000002</v>
      </c>
      <c r="D4163">
        <v>41.132899999999999</v>
      </c>
      <c r="E4163">
        <v>41.485100000000003</v>
      </c>
      <c r="F4163">
        <v>78363</v>
      </c>
    </row>
    <row r="4164" spans="1:6" x14ac:dyDescent="0.25">
      <c r="A4164" s="4">
        <v>40422</v>
      </c>
      <c r="B4164">
        <v>41.766800000000003</v>
      </c>
      <c r="C4164">
        <v>41.766800000000003</v>
      </c>
      <c r="D4164">
        <v>41.344200000000001</v>
      </c>
      <c r="E4164">
        <v>41.625999999999998</v>
      </c>
      <c r="F4164">
        <v>38481</v>
      </c>
    </row>
    <row r="4165" spans="1:6" x14ac:dyDescent="0.25">
      <c r="A4165" s="4">
        <v>40423</v>
      </c>
      <c r="B4165">
        <v>42.259900000000002</v>
      </c>
      <c r="C4165">
        <v>42.330300000000001</v>
      </c>
      <c r="D4165">
        <v>41.837299999999999</v>
      </c>
      <c r="E4165">
        <v>41.907699999999998</v>
      </c>
      <c r="F4165">
        <v>27402</v>
      </c>
    </row>
    <row r="4166" spans="1:6" x14ac:dyDescent="0.25">
      <c r="A4166" s="4">
        <v>40424</v>
      </c>
      <c r="B4166">
        <v>41.766800000000003</v>
      </c>
      <c r="C4166">
        <v>42.189399999999999</v>
      </c>
      <c r="D4166">
        <v>41.766800000000003</v>
      </c>
      <c r="E4166">
        <v>42.119</v>
      </c>
      <c r="F4166">
        <v>38340</v>
      </c>
    </row>
    <row r="4167" spans="1:6" x14ac:dyDescent="0.25">
      <c r="A4167" s="4">
        <v>40427</v>
      </c>
      <c r="B4167">
        <v>42.541600000000003</v>
      </c>
      <c r="C4167">
        <v>42.612000000000002</v>
      </c>
      <c r="D4167">
        <v>42.330300000000001</v>
      </c>
      <c r="E4167">
        <v>42.612000000000002</v>
      </c>
      <c r="F4167">
        <v>28121</v>
      </c>
    </row>
    <row r="4168" spans="1:6" x14ac:dyDescent="0.25">
      <c r="A4168" s="4">
        <v>40428</v>
      </c>
      <c r="B4168">
        <v>42.612000000000002</v>
      </c>
      <c r="C4168">
        <v>42.682499999999997</v>
      </c>
      <c r="D4168">
        <v>42.330300000000001</v>
      </c>
      <c r="E4168">
        <v>42.400700000000001</v>
      </c>
      <c r="F4168">
        <v>20268</v>
      </c>
    </row>
    <row r="4169" spans="1:6" x14ac:dyDescent="0.25">
      <c r="A4169" s="4">
        <v>40429</v>
      </c>
      <c r="B4169">
        <v>41.978099999999998</v>
      </c>
      <c r="C4169">
        <v>42.189399999999999</v>
      </c>
      <c r="D4169">
        <v>41.485100000000003</v>
      </c>
      <c r="E4169">
        <v>41.766800000000003</v>
      </c>
      <c r="F4169">
        <v>67149</v>
      </c>
    </row>
    <row r="4170" spans="1:6" x14ac:dyDescent="0.25">
      <c r="A4170" s="4">
        <v>40430</v>
      </c>
      <c r="B4170">
        <v>42.0486</v>
      </c>
      <c r="C4170">
        <v>42.0486</v>
      </c>
      <c r="D4170">
        <v>41.696399999999997</v>
      </c>
      <c r="E4170">
        <v>41.907699999999998</v>
      </c>
      <c r="F4170">
        <v>21238</v>
      </c>
    </row>
    <row r="4171" spans="1:6" x14ac:dyDescent="0.25">
      <c r="A4171" s="4">
        <v>40431</v>
      </c>
      <c r="B4171">
        <v>41.907699999999998</v>
      </c>
      <c r="C4171">
        <v>42.0486</v>
      </c>
      <c r="D4171">
        <v>41.625999999999998</v>
      </c>
      <c r="E4171">
        <v>41.766800000000003</v>
      </c>
      <c r="F4171">
        <v>32650</v>
      </c>
    </row>
    <row r="4172" spans="1:6" x14ac:dyDescent="0.25">
      <c r="A4172" s="4">
        <v>40434</v>
      </c>
      <c r="B4172">
        <v>41.978099999999998</v>
      </c>
      <c r="C4172">
        <v>42.893799999999999</v>
      </c>
      <c r="D4172">
        <v>41.837299999999999</v>
      </c>
      <c r="E4172">
        <v>42.893799999999999</v>
      </c>
      <c r="F4172">
        <v>86956</v>
      </c>
    </row>
    <row r="4173" spans="1:6" x14ac:dyDescent="0.25">
      <c r="A4173" s="4">
        <v>40435</v>
      </c>
      <c r="B4173">
        <v>43.1051</v>
      </c>
      <c r="C4173">
        <v>43.1051</v>
      </c>
      <c r="D4173">
        <v>42.752899999999997</v>
      </c>
      <c r="E4173">
        <v>42.964199999999998</v>
      </c>
      <c r="F4173">
        <v>33545</v>
      </c>
    </row>
    <row r="4174" spans="1:6" x14ac:dyDescent="0.25">
      <c r="A4174" s="4">
        <v>40436</v>
      </c>
      <c r="B4174">
        <v>43.1051</v>
      </c>
      <c r="C4174">
        <v>43.1051</v>
      </c>
      <c r="D4174">
        <v>42.612000000000002</v>
      </c>
      <c r="E4174">
        <v>43.1051</v>
      </c>
      <c r="F4174">
        <v>42376</v>
      </c>
    </row>
    <row r="4175" spans="1:6" x14ac:dyDescent="0.25">
      <c r="A4175" s="4">
        <v>40437</v>
      </c>
      <c r="B4175">
        <v>42.823300000000003</v>
      </c>
      <c r="C4175">
        <v>42.964199999999998</v>
      </c>
      <c r="D4175">
        <v>42.612000000000002</v>
      </c>
      <c r="E4175">
        <v>42.612000000000002</v>
      </c>
      <c r="F4175">
        <v>27919</v>
      </c>
    </row>
    <row r="4176" spans="1:6" x14ac:dyDescent="0.25">
      <c r="A4176" s="4">
        <v>40438</v>
      </c>
      <c r="B4176">
        <v>42.964199999999998</v>
      </c>
      <c r="C4176">
        <v>43.245899999999999</v>
      </c>
      <c r="D4176">
        <v>42.682499999999997</v>
      </c>
      <c r="E4176">
        <v>43.1051</v>
      </c>
      <c r="F4176">
        <v>49430</v>
      </c>
    </row>
    <row r="4177" spans="1:6" x14ac:dyDescent="0.25">
      <c r="A4177" s="4">
        <v>40441</v>
      </c>
      <c r="B4177">
        <v>43.316400000000002</v>
      </c>
      <c r="C4177">
        <v>43.668500000000002</v>
      </c>
      <c r="D4177">
        <v>43.1755</v>
      </c>
      <c r="E4177">
        <v>43.668500000000002</v>
      </c>
      <c r="F4177">
        <v>66010</v>
      </c>
    </row>
    <row r="4178" spans="1:6" x14ac:dyDescent="0.25">
      <c r="A4178" s="4">
        <v>40442</v>
      </c>
      <c r="B4178">
        <v>43.879800000000003</v>
      </c>
      <c r="C4178">
        <v>43.879800000000003</v>
      </c>
      <c r="D4178">
        <v>43.386800000000001</v>
      </c>
      <c r="E4178">
        <v>43.527700000000003</v>
      </c>
      <c r="F4178">
        <v>32746</v>
      </c>
    </row>
    <row r="4179" spans="1:6" x14ac:dyDescent="0.25">
      <c r="A4179" s="4">
        <v>40444</v>
      </c>
      <c r="B4179">
        <v>42.893799999999999</v>
      </c>
      <c r="C4179">
        <v>42.893799999999999</v>
      </c>
      <c r="D4179">
        <v>42.189399999999999</v>
      </c>
      <c r="E4179">
        <v>42.259900000000002</v>
      </c>
      <c r="F4179">
        <v>106308</v>
      </c>
    </row>
    <row r="4180" spans="1:6" x14ac:dyDescent="0.25">
      <c r="A4180" s="4">
        <v>40445</v>
      </c>
      <c r="B4180">
        <v>42.0486</v>
      </c>
      <c r="C4180">
        <v>42.400700000000001</v>
      </c>
      <c r="D4180">
        <v>41.978099999999998</v>
      </c>
      <c r="E4180">
        <v>42.330300000000001</v>
      </c>
      <c r="F4180">
        <v>60417</v>
      </c>
    </row>
    <row r="4181" spans="1:6" x14ac:dyDescent="0.25">
      <c r="A4181" s="4">
        <v>40448</v>
      </c>
      <c r="B4181">
        <v>42.823300000000003</v>
      </c>
      <c r="C4181">
        <v>42.823300000000003</v>
      </c>
      <c r="D4181">
        <v>42.541600000000003</v>
      </c>
      <c r="E4181">
        <v>42.752899999999997</v>
      </c>
      <c r="F4181">
        <v>60796</v>
      </c>
    </row>
    <row r="4182" spans="1:6" x14ac:dyDescent="0.25">
      <c r="A4182" s="4">
        <v>40449</v>
      </c>
      <c r="B4182">
        <v>42.752899999999997</v>
      </c>
      <c r="C4182">
        <v>43.1051</v>
      </c>
      <c r="D4182">
        <v>42.682499999999997</v>
      </c>
      <c r="E4182">
        <v>42.964199999999998</v>
      </c>
      <c r="F4182">
        <v>48385</v>
      </c>
    </row>
    <row r="4183" spans="1:6" x14ac:dyDescent="0.25">
      <c r="A4183" s="4">
        <v>40450</v>
      </c>
      <c r="B4183">
        <v>43.316400000000002</v>
      </c>
      <c r="C4183">
        <v>43.598100000000002</v>
      </c>
      <c r="D4183">
        <v>42.964199999999998</v>
      </c>
      <c r="E4183">
        <v>43.316400000000002</v>
      </c>
      <c r="F4183">
        <v>79797</v>
      </c>
    </row>
    <row r="4184" spans="1:6" x14ac:dyDescent="0.25">
      <c r="A4184" s="4">
        <v>40451</v>
      </c>
      <c r="B4184">
        <v>43.4572</v>
      </c>
      <c r="C4184">
        <v>43.668500000000002</v>
      </c>
      <c r="D4184">
        <v>43.386800000000001</v>
      </c>
      <c r="E4184">
        <v>43.668500000000002</v>
      </c>
      <c r="F4184">
        <v>59692</v>
      </c>
    </row>
    <row r="4185" spans="1:6" x14ac:dyDescent="0.25">
      <c r="A4185" s="4">
        <v>40452</v>
      </c>
      <c r="B4185">
        <v>43.809399999999997</v>
      </c>
      <c r="C4185">
        <v>43.879800000000003</v>
      </c>
      <c r="D4185">
        <v>43.4572</v>
      </c>
      <c r="E4185">
        <v>43.668500000000002</v>
      </c>
      <c r="F4185">
        <v>39001</v>
      </c>
    </row>
    <row r="4186" spans="1:6" x14ac:dyDescent="0.25">
      <c r="A4186" s="4">
        <v>40455</v>
      </c>
      <c r="B4186">
        <v>43.668500000000002</v>
      </c>
      <c r="C4186">
        <v>43.738999999999997</v>
      </c>
      <c r="D4186">
        <v>43.386800000000001</v>
      </c>
      <c r="E4186">
        <v>43.598100000000002</v>
      </c>
      <c r="F4186">
        <v>25797</v>
      </c>
    </row>
    <row r="4187" spans="1:6" x14ac:dyDescent="0.25">
      <c r="A4187" s="4">
        <v>40456</v>
      </c>
      <c r="B4187">
        <v>43.4572</v>
      </c>
      <c r="C4187">
        <v>43.4572</v>
      </c>
      <c r="D4187">
        <v>42.893799999999999</v>
      </c>
      <c r="E4187">
        <v>43.034599999999998</v>
      </c>
      <c r="F4187">
        <v>30389</v>
      </c>
    </row>
    <row r="4188" spans="1:6" x14ac:dyDescent="0.25">
      <c r="A4188" s="4">
        <v>40457</v>
      </c>
      <c r="B4188">
        <v>43.598100000000002</v>
      </c>
      <c r="C4188">
        <v>43.668500000000002</v>
      </c>
      <c r="D4188">
        <v>43.316400000000002</v>
      </c>
      <c r="E4188">
        <v>43.527700000000003</v>
      </c>
      <c r="F4188">
        <v>34184</v>
      </c>
    </row>
    <row r="4189" spans="1:6" x14ac:dyDescent="0.25">
      <c r="A4189" s="4">
        <v>40458</v>
      </c>
      <c r="B4189">
        <v>43.245899999999999</v>
      </c>
      <c r="C4189">
        <v>43.4572</v>
      </c>
      <c r="D4189">
        <v>42.964199999999998</v>
      </c>
      <c r="E4189">
        <v>43.1755</v>
      </c>
      <c r="F4189">
        <v>39334</v>
      </c>
    </row>
    <row r="4190" spans="1:6" x14ac:dyDescent="0.25">
      <c r="A4190" s="4">
        <v>40459</v>
      </c>
      <c r="B4190">
        <v>42.964199999999998</v>
      </c>
      <c r="C4190">
        <v>43.527700000000003</v>
      </c>
      <c r="D4190">
        <v>42.964199999999998</v>
      </c>
      <c r="E4190">
        <v>43.527700000000003</v>
      </c>
      <c r="F4190">
        <v>58237</v>
      </c>
    </row>
    <row r="4191" spans="1:6" x14ac:dyDescent="0.25">
      <c r="A4191" s="4">
        <v>40462</v>
      </c>
      <c r="B4191">
        <v>43.668500000000002</v>
      </c>
      <c r="C4191">
        <v>43.668500000000002</v>
      </c>
      <c r="D4191">
        <v>43.034599999999998</v>
      </c>
      <c r="E4191">
        <v>43.316400000000002</v>
      </c>
      <c r="F4191">
        <v>24647</v>
      </c>
    </row>
    <row r="4192" spans="1:6" x14ac:dyDescent="0.25">
      <c r="A4192" s="4">
        <v>40463</v>
      </c>
      <c r="B4192">
        <v>43.316400000000002</v>
      </c>
      <c r="C4192">
        <v>43.316400000000002</v>
      </c>
      <c r="D4192">
        <v>42.541600000000003</v>
      </c>
      <c r="E4192">
        <v>42.964199999999998</v>
      </c>
      <c r="F4192">
        <v>28094</v>
      </c>
    </row>
    <row r="4193" spans="1:6" x14ac:dyDescent="0.25">
      <c r="A4193" s="4">
        <v>40464</v>
      </c>
      <c r="B4193">
        <v>43.1755</v>
      </c>
      <c r="C4193">
        <v>43.1755</v>
      </c>
      <c r="D4193">
        <v>42.541600000000003</v>
      </c>
      <c r="E4193">
        <v>42.964199999999998</v>
      </c>
      <c r="F4193">
        <v>31040</v>
      </c>
    </row>
    <row r="4194" spans="1:6" x14ac:dyDescent="0.25">
      <c r="A4194" s="4">
        <v>40465</v>
      </c>
      <c r="B4194">
        <v>43.245899999999999</v>
      </c>
      <c r="C4194">
        <v>43.668500000000002</v>
      </c>
      <c r="D4194">
        <v>43.1755</v>
      </c>
      <c r="E4194">
        <v>43.527700000000003</v>
      </c>
      <c r="F4194">
        <v>48828</v>
      </c>
    </row>
    <row r="4195" spans="1:6" x14ac:dyDescent="0.25">
      <c r="A4195" s="4">
        <v>40466</v>
      </c>
      <c r="B4195">
        <v>43.1755</v>
      </c>
      <c r="C4195">
        <v>43.598100000000002</v>
      </c>
      <c r="D4195">
        <v>43.1051</v>
      </c>
      <c r="E4195">
        <v>43.598100000000002</v>
      </c>
      <c r="F4195">
        <v>30492</v>
      </c>
    </row>
    <row r="4196" spans="1:6" x14ac:dyDescent="0.25">
      <c r="A4196" s="4">
        <v>40469</v>
      </c>
      <c r="B4196">
        <v>43.245899999999999</v>
      </c>
      <c r="C4196">
        <v>43.527700000000003</v>
      </c>
      <c r="D4196">
        <v>42.541600000000003</v>
      </c>
      <c r="E4196">
        <v>42.612000000000002</v>
      </c>
      <c r="F4196">
        <v>32531</v>
      </c>
    </row>
    <row r="4197" spans="1:6" x14ac:dyDescent="0.25">
      <c r="A4197" s="4">
        <v>40470</v>
      </c>
      <c r="B4197">
        <v>42.682499999999997</v>
      </c>
      <c r="C4197">
        <v>42.752899999999997</v>
      </c>
      <c r="D4197">
        <v>42.330300000000001</v>
      </c>
      <c r="E4197">
        <v>42.752899999999997</v>
      </c>
      <c r="F4197">
        <v>36090</v>
      </c>
    </row>
    <row r="4198" spans="1:6" x14ac:dyDescent="0.25">
      <c r="A4198" s="4">
        <v>40471</v>
      </c>
      <c r="B4198">
        <v>42.612000000000002</v>
      </c>
      <c r="C4198">
        <v>43.034599999999998</v>
      </c>
      <c r="D4198">
        <v>42.541600000000003</v>
      </c>
      <c r="E4198">
        <v>42.964199999999998</v>
      </c>
      <c r="F4198">
        <v>34491</v>
      </c>
    </row>
    <row r="4199" spans="1:6" x14ac:dyDescent="0.25">
      <c r="A4199" s="4">
        <v>40472</v>
      </c>
      <c r="B4199">
        <v>43.1755</v>
      </c>
      <c r="C4199">
        <v>43.245899999999999</v>
      </c>
      <c r="D4199">
        <v>42.823300000000003</v>
      </c>
      <c r="E4199">
        <v>42.964199999999998</v>
      </c>
      <c r="F4199">
        <v>40237</v>
      </c>
    </row>
    <row r="4200" spans="1:6" x14ac:dyDescent="0.25">
      <c r="A4200" s="4">
        <v>40473</v>
      </c>
      <c r="B4200">
        <v>43.4572</v>
      </c>
      <c r="C4200">
        <v>43.527700000000003</v>
      </c>
      <c r="D4200">
        <v>43.245899999999999</v>
      </c>
      <c r="E4200">
        <v>43.527700000000003</v>
      </c>
      <c r="F4200">
        <v>42971</v>
      </c>
    </row>
    <row r="4201" spans="1:6" x14ac:dyDescent="0.25">
      <c r="A4201" s="4">
        <v>40476</v>
      </c>
      <c r="B4201">
        <v>43.668500000000002</v>
      </c>
      <c r="C4201">
        <v>43.809399999999997</v>
      </c>
      <c r="D4201">
        <v>43.527700000000003</v>
      </c>
      <c r="E4201">
        <v>43.668500000000002</v>
      </c>
      <c r="F4201">
        <v>38700</v>
      </c>
    </row>
    <row r="4202" spans="1:6" x14ac:dyDescent="0.25">
      <c r="A4202" s="4">
        <v>40477</v>
      </c>
      <c r="B4202">
        <v>43.809399999999997</v>
      </c>
      <c r="C4202">
        <v>43.879800000000003</v>
      </c>
      <c r="D4202">
        <v>43.668500000000002</v>
      </c>
      <c r="E4202">
        <v>43.879800000000003</v>
      </c>
      <c r="F4202">
        <v>37964</v>
      </c>
    </row>
    <row r="4203" spans="1:6" x14ac:dyDescent="0.25">
      <c r="A4203" s="4">
        <v>40478</v>
      </c>
      <c r="B4203">
        <v>43.879800000000003</v>
      </c>
      <c r="C4203">
        <v>43.950299999999999</v>
      </c>
      <c r="D4203">
        <v>43.598100000000002</v>
      </c>
      <c r="E4203">
        <v>43.668500000000002</v>
      </c>
      <c r="F4203">
        <v>28106</v>
      </c>
    </row>
    <row r="4204" spans="1:6" x14ac:dyDescent="0.25">
      <c r="A4204" s="4">
        <v>40479</v>
      </c>
      <c r="B4204">
        <v>43.950299999999999</v>
      </c>
      <c r="C4204">
        <v>44.372900000000001</v>
      </c>
      <c r="D4204">
        <v>43.738999999999997</v>
      </c>
      <c r="E4204">
        <v>44.1616</v>
      </c>
      <c r="F4204">
        <v>62152</v>
      </c>
    </row>
    <row r="4205" spans="1:6" x14ac:dyDescent="0.25">
      <c r="A4205" s="4">
        <v>40480</v>
      </c>
      <c r="B4205">
        <v>44.372900000000001</v>
      </c>
      <c r="C4205">
        <v>44.443300000000001</v>
      </c>
      <c r="D4205">
        <v>44.020699999999998</v>
      </c>
      <c r="E4205">
        <v>44.231999999999999</v>
      </c>
      <c r="F4205">
        <v>67950</v>
      </c>
    </row>
    <row r="4206" spans="1:6" x14ac:dyDescent="0.25">
      <c r="A4206" s="4">
        <v>40483</v>
      </c>
      <c r="B4206">
        <v>44.654600000000002</v>
      </c>
      <c r="C4206">
        <v>44.725000000000001</v>
      </c>
      <c r="D4206">
        <v>44.372900000000001</v>
      </c>
      <c r="E4206">
        <v>44.725000000000001</v>
      </c>
      <c r="F4206">
        <v>76412</v>
      </c>
    </row>
    <row r="4207" spans="1:6" x14ac:dyDescent="0.25">
      <c r="A4207" s="4">
        <v>40484</v>
      </c>
      <c r="B4207">
        <v>44.372900000000001</v>
      </c>
      <c r="C4207">
        <v>44.654600000000002</v>
      </c>
      <c r="D4207">
        <v>44.372900000000001</v>
      </c>
      <c r="E4207">
        <v>44.584200000000003</v>
      </c>
      <c r="F4207">
        <v>24423</v>
      </c>
    </row>
    <row r="4208" spans="1:6" x14ac:dyDescent="0.25">
      <c r="A4208" s="4">
        <v>40485</v>
      </c>
      <c r="B4208">
        <v>44.725000000000001</v>
      </c>
      <c r="C4208">
        <v>45.077199999999998</v>
      </c>
      <c r="D4208">
        <v>44.584200000000003</v>
      </c>
      <c r="E4208">
        <v>45.006799999999998</v>
      </c>
      <c r="F4208">
        <v>45945</v>
      </c>
    </row>
    <row r="4209" spans="1:6" x14ac:dyDescent="0.25">
      <c r="A4209" s="4">
        <v>40486</v>
      </c>
      <c r="B4209">
        <v>45.006799999999998</v>
      </c>
      <c r="C4209">
        <v>45.147599999999997</v>
      </c>
      <c r="D4209">
        <v>44.795499999999997</v>
      </c>
      <c r="E4209">
        <v>45.006799999999998</v>
      </c>
      <c r="F4209">
        <v>32789</v>
      </c>
    </row>
    <row r="4210" spans="1:6" x14ac:dyDescent="0.25">
      <c r="A4210" s="4">
        <v>40487</v>
      </c>
      <c r="B4210">
        <v>45.429400000000001</v>
      </c>
      <c r="C4210">
        <v>45.4998</v>
      </c>
      <c r="D4210">
        <v>44.936300000000003</v>
      </c>
      <c r="E4210">
        <v>45.2181</v>
      </c>
      <c r="F4210">
        <v>44439</v>
      </c>
    </row>
    <row r="4211" spans="1:6" x14ac:dyDescent="0.25">
      <c r="A4211" s="4">
        <v>40490</v>
      </c>
      <c r="B4211">
        <v>45.2181</v>
      </c>
      <c r="C4211">
        <v>45.2181</v>
      </c>
      <c r="D4211">
        <v>44.443300000000001</v>
      </c>
      <c r="E4211">
        <v>44.584200000000003</v>
      </c>
      <c r="F4211">
        <v>25993</v>
      </c>
    </row>
    <row r="4212" spans="1:6" x14ac:dyDescent="0.25">
      <c r="A4212" s="4">
        <v>40491</v>
      </c>
      <c r="B4212">
        <v>44.584200000000003</v>
      </c>
      <c r="C4212">
        <v>45.077199999999998</v>
      </c>
      <c r="D4212">
        <v>44.443300000000001</v>
      </c>
      <c r="E4212">
        <v>45.077199999999998</v>
      </c>
      <c r="F4212">
        <v>25860</v>
      </c>
    </row>
    <row r="4213" spans="1:6" x14ac:dyDescent="0.25">
      <c r="A4213" s="4">
        <v>40492</v>
      </c>
      <c r="B4213">
        <v>45.077199999999998</v>
      </c>
      <c r="C4213">
        <v>45.288499999999999</v>
      </c>
      <c r="D4213">
        <v>44.865900000000003</v>
      </c>
      <c r="E4213">
        <v>45.2181</v>
      </c>
      <c r="F4213">
        <v>40351</v>
      </c>
    </row>
    <row r="4214" spans="1:6" x14ac:dyDescent="0.25">
      <c r="A4214" s="4">
        <v>40493</v>
      </c>
      <c r="B4214">
        <v>45.006799999999998</v>
      </c>
      <c r="C4214">
        <v>45.2181</v>
      </c>
      <c r="D4214">
        <v>44.865900000000003</v>
      </c>
      <c r="E4214">
        <v>44.865900000000003</v>
      </c>
      <c r="F4214">
        <v>31730</v>
      </c>
    </row>
    <row r="4215" spans="1:6" x14ac:dyDescent="0.25">
      <c r="A4215" s="4">
        <v>40494</v>
      </c>
      <c r="B4215">
        <v>44.795499999999997</v>
      </c>
      <c r="C4215">
        <v>45.077199999999998</v>
      </c>
      <c r="D4215">
        <v>44.372900000000001</v>
      </c>
      <c r="E4215">
        <v>44.372900000000001</v>
      </c>
      <c r="F4215">
        <v>29718</v>
      </c>
    </row>
    <row r="4216" spans="1:6" x14ac:dyDescent="0.25">
      <c r="A4216" s="4">
        <v>40497</v>
      </c>
      <c r="B4216">
        <v>44.936300000000003</v>
      </c>
      <c r="C4216">
        <v>45.077199999999998</v>
      </c>
      <c r="D4216">
        <v>44.5137</v>
      </c>
      <c r="E4216">
        <v>45.006799999999998</v>
      </c>
      <c r="F4216">
        <v>27655</v>
      </c>
    </row>
    <row r="4217" spans="1:6" x14ac:dyDescent="0.25">
      <c r="A4217" s="4">
        <v>40498</v>
      </c>
      <c r="B4217">
        <v>45.288499999999999</v>
      </c>
      <c r="C4217">
        <v>45.5702</v>
      </c>
      <c r="D4217">
        <v>45.147599999999997</v>
      </c>
      <c r="E4217">
        <v>45.429400000000001</v>
      </c>
      <c r="F4217">
        <v>57575</v>
      </c>
    </row>
    <row r="4218" spans="1:6" x14ac:dyDescent="0.25">
      <c r="A4218" s="4">
        <v>40499</v>
      </c>
      <c r="B4218">
        <v>45.2181</v>
      </c>
      <c r="C4218">
        <v>45.429400000000001</v>
      </c>
      <c r="D4218">
        <v>44.795499999999997</v>
      </c>
      <c r="E4218">
        <v>44.936300000000003</v>
      </c>
      <c r="F4218">
        <v>51390</v>
      </c>
    </row>
    <row r="4219" spans="1:6" x14ac:dyDescent="0.25">
      <c r="A4219" s="4">
        <v>40500</v>
      </c>
      <c r="B4219">
        <v>44.865900000000003</v>
      </c>
      <c r="C4219">
        <v>45.006799999999998</v>
      </c>
      <c r="D4219">
        <v>44.372900000000001</v>
      </c>
      <c r="E4219">
        <v>44.584200000000003</v>
      </c>
      <c r="F4219">
        <v>39099</v>
      </c>
    </row>
    <row r="4220" spans="1:6" x14ac:dyDescent="0.25">
      <c r="A4220" s="4">
        <v>40501</v>
      </c>
      <c r="B4220">
        <v>44.795499999999997</v>
      </c>
      <c r="C4220">
        <v>45.077199999999998</v>
      </c>
      <c r="D4220">
        <v>44.372900000000001</v>
      </c>
      <c r="E4220">
        <v>44.865900000000003</v>
      </c>
      <c r="F4220">
        <v>23828</v>
      </c>
    </row>
    <row r="4221" spans="1:6" x14ac:dyDescent="0.25">
      <c r="A4221" s="4">
        <v>40504</v>
      </c>
      <c r="B4221">
        <v>44.795499999999997</v>
      </c>
      <c r="C4221">
        <v>45.288499999999999</v>
      </c>
      <c r="D4221">
        <v>44.5137</v>
      </c>
      <c r="E4221">
        <v>44.936300000000003</v>
      </c>
      <c r="F4221">
        <v>25455</v>
      </c>
    </row>
    <row r="4222" spans="1:6" x14ac:dyDescent="0.25">
      <c r="A4222" s="4">
        <v>40505</v>
      </c>
      <c r="B4222">
        <v>44.865900000000003</v>
      </c>
      <c r="C4222">
        <v>44.936300000000003</v>
      </c>
      <c r="D4222">
        <v>44.584200000000003</v>
      </c>
      <c r="E4222">
        <v>44.654600000000002</v>
      </c>
      <c r="F4222">
        <v>31197</v>
      </c>
    </row>
    <row r="4223" spans="1:6" x14ac:dyDescent="0.25">
      <c r="A4223" s="4">
        <v>40506</v>
      </c>
      <c r="B4223">
        <v>44.372900000000001</v>
      </c>
      <c r="C4223">
        <v>45.077199999999998</v>
      </c>
      <c r="D4223">
        <v>44.372900000000001</v>
      </c>
      <c r="E4223">
        <v>44.5137</v>
      </c>
      <c r="F4223">
        <v>29839</v>
      </c>
    </row>
    <row r="4224" spans="1:6" x14ac:dyDescent="0.25">
      <c r="A4224" s="4">
        <v>40507</v>
      </c>
      <c r="B4224">
        <v>44.936300000000003</v>
      </c>
      <c r="C4224">
        <v>45.429400000000001</v>
      </c>
      <c r="D4224">
        <v>44.725000000000001</v>
      </c>
      <c r="E4224">
        <v>45.358899999999998</v>
      </c>
      <c r="F4224">
        <v>35240</v>
      </c>
    </row>
    <row r="4225" spans="1:6" x14ac:dyDescent="0.25">
      <c r="A4225" s="4">
        <v>40508</v>
      </c>
      <c r="B4225">
        <v>45.006799999999998</v>
      </c>
      <c r="C4225">
        <v>45.429400000000001</v>
      </c>
      <c r="D4225">
        <v>45.006799999999998</v>
      </c>
      <c r="E4225">
        <v>45.358899999999998</v>
      </c>
      <c r="F4225">
        <v>34465</v>
      </c>
    </row>
    <row r="4226" spans="1:6" x14ac:dyDescent="0.25">
      <c r="A4226" s="4">
        <v>40511</v>
      </c>
      <c r="B4226">
        <v>45.4998</v>
      </c>
      <c r="C4226">
        <v>45.5702</v>
      </c>
      <c r="D4226">
        <v>44.936300000000003</v>
      </c>
      <c r="E4226">
        <v>45.288499999999999</v>
      </c>
      <c r="F4226">
        <v>35817</v>
      </c>
    </row>
    <row r="4227" spans="1:6" x14ac:dyDescent="0.25">
      <c r="A4227" s="4">
        <v>40512</v>
      </c>
      <c r="B4227">
        <v>44.936300000000003</v>
      </c>
      <c r="C4227">
        <v>45.358899999999998</v>
      </c>
      <c r="D4227">
        <v>44.654600000000002</v>
      </c>
      <c r="E4227">
        <v>44.654600000000002</v>
      </c>
      <c r="F4227">
        <v>70250</v>
      </c>
    </row>
    <row r="4228" spans="1:6" x14ac:dyDescent="0.25">
      <c r="A4228" s="4">
        <v>40513</v>
      </c>
      <c r="B4228">
        <v>44.936300000000003</v>
      </c>
      <c r="C4228">
        <v>45.4998</v>
      </c>
      <c r="D4228">
        <v>44.936300000000003</v>
      </c>
      <c r="E4228">
        <v>45.4998</v>
      </c>
      <c r="F4228">
        <v>58437</v>
      </c>
    </row>
    <row r="4229" spans="1:6" x14ac:dyDescent="0.25">
      <c r="A4229" s="4">
        <v>40514</v>
      </c>
      <c r="B4229">
        <v>45.781500000000001</v>
      </c>
      <c r="C4229">
        <v>46.767600000000002</v>
      </c>
      <c r="D4229">
        <v>45.711100000000002</v>
      </c>
      <c r="E4229">
        <v>46.6267</v>
      </c>
      <c r="F4229">
        <v>88027</v>
      </c>
    </row>
    <row r="4230" spans="1:6" x14ac:dyDescent="0.25">
      <c r="A4230" s="4">
        <v>40515</v>
      </c>
      <c r="B4230">
        <v>47.049300000000002</v>
      </c>
      <c r="C4230">
        <v>49.303199999999997</v>
      </c>
      <c r="D4230">
        <v>46.978900000000003</v>
      </c>
      <c r="E4230">
        <v>48.105800000000002</v>
      </c>
      <c r="F4230">
        <v>130917</v>
      </c>
    </row>
    <row r="4231" spans="1:6" x14ac:dyDescent="0.25">
      <c r="A4231" s="4">
        <v>40518</v>
      </c>
      <c r="B4231">
        <v>48.528399999999998</v>
      </c>
      <c r="C4231">
        <v>48.951000000000001</v>
      </c>
      <c r="D4231">
        <v>48.176200000000001</v>
      </c>
      <c r="E4231">
        <v>48.246699999999997</v>
      </c>
      <c r="F4231">
        <v>58842</v>
      </c>
    </row>
    <row r="4232" spans="1:6" x14ac:dyDescent="0.25">
      <c r="A4232" s="4">
        <v>40519</v>
      </c>
      <c r="B4232">
        <v>48.246699999999997</v>
      </c>
      <c r="C4232">
        <v>48.317100000000003</v>
      </c>
      <c r="D4232">
        <v>47.6128</v>
      </c>
      <c r="E4232">
        <v>47.894500000000001</v>
      </c>
      <c r="F4232">
        <v>59040</v>
      </c>
    </row>
    <row r="4233" spans="1:6" x14ac:dyDescent="0.25">
      <c r="A4233" s="4">
        <v>40520</v>
      </c>
      <c r="B4233">
        <v>48.317100000000003</v>
      </c>
      <c r="C4233">
        <v>48.387500000000003</v>
      </c>
      <c r="D4233">
        <v>47.753599999999999</v>
      </c>
      <c r="E4233">
        <v>47.894500000000001</v>
      </c>
      <c r="F4233">
        <v>47351</v>
      </c>
    </row>
    <row r="4234" spans="1:6" x14ac:dyDescent="0.25">
      <c r="A4234" s="4">
        <v>40521</v>
      </c>
      <c r="B4234">
        <v>48.598799999999997</v>
      </c>
      <c r="C4234">
        <v>49.373600000000003</v>
      </c>
      <c r="D4234">
        <v>48.457999999999998</v>
      </c>
      <c r="E4234">
        <v>49.303199999999997</v>
      </c>
      <c r="F4234">
        <v>91627</v>
      </c>
    </row>
    <row r="4235" spans="1:6" x14ac:dyDescent="0.25">
      <c r="A4235" s="4">
        <v>40522</v>
      </c>
      <c r="B4235">
        <v>49.0214</v>
      </c>
      <c r="C4235">
        <v>49.232700000000001</v>
      </c>
      <c r="D4235">
        <v>48.810099999999998</v>
      </c>
      <c r="E4235">
        <v>49.091900000000003</v>
      </c>
      <c r="F4235">
        <v>32865</v>
      </c>
    </row>
    <row r="4236" spans="1:6" x14ac:dyDescent="0.25">
      <c r="A4236" s="4">
        <v>40525</v>
      </c>
      <c r="B4236">
        <v>49.303199999999997</v>
      </c>
      <c r="C4236">
        <v>49.584899999999998</v>
      </c>
      <c r="D4236">
        <v>48.598799999999997</v>
      </c>
      <c r="E4236">
        <v>48.880600000000001</v>
      </c>
      <c r="F4236">
        <v>38256</v>
      </c>
    </row>
    <row r="4237" spans="1:6" x14ac:dyDescent="0.25">
      <c r="A4237" s="4">
        <v>40526</v>
      </c>
      <c r="B4237">
        <v>49.232700000000001</v>
      </c>
      <c r="C4237">
        <v>49.232700000000001</v>
      </c>
      <c r="D4237">
        <v>48.387500000000003</v>
      </c>
      <c r="E4237">
        <v>48.598799999999997</v>
      </c>
      <c r="F4237">
        <v>58490</v>
      </c>
    </row>
    <row r="4238" spans="1:6" x14ac:dyDescent="0.25">
      <c r="A4238" s="4">
        <v>40527</v>
      </c>
      <c r="B4238">
        <v>48.317100000000003</v>
      </c>
      <c r="C4238">
        <v>49.373600000000003</v>
      </c>
      <c r="D4238">
        <v>48.246699999999997</v>
      </c>
      <c r="E4238">
        <v>49.303199999999997</v>
      </c>
      <c r="F4238">
        <v>57590</v>
      </c>
    </row>
    <row r="4239" spans="1:6" x14ac:dyDescent="0.25">
      <c r="A4239" s="4">
        <v>40528</v>
      </c>
      <c r="B4239">
        <v>49.303199999999997</v>
      </c>
      <c r="C4239">
        <v>50.430100000000003</v>
      </c>
      <c r="D4239">
        <v>49.162300000000002</v>
      </c>
      <c r="E4239">
        <v>50.148400000000002</v>
      </c>
      <c r="F4239">
        <v>66209</v>
      </c>
    </row>
    <row r="4240" spans="1:6" x14ac:dyDescent="0.25">
      <c r="A4240" s="4">
        <v>40529</v>
      </c>
      <c r="B4240">
        <v>50.711799999999997</v>
      </c>
      <c r="C4240">
        <v>52.824800000000003</v>
      </c>
      <c r="D4240">
        <v>50.430100000000003</v>
      </c>
      <c r="E4240">
        <v>51.345700000000001</v>
      </c>
      <c r="F4240">
        <v>111499</v>
      </c>
    </row>
    <row r="4241" spans="1:6" x14ac:dyDescent="0.25">
      <c r="A4241" s="4">
        <v>40532</v>
      </c>
      <c r="B4241">
        <v>51.416200000000003</v>
      </c>
      <c r="C4241">
        <v>51.416200000000003</v>
      </c>
      <c r="D4241">
        <v>49.937100000000001</v>
      </c>
      <c r="E4241">
        <v>50.148400000000002</v>
      </c>
      <c r="F4241">
        <v>93320</v>
      </c>
    </row>
    <row r="4242" spans="1:6" x14ac:dyDescent="0.25">
      <c r="A4242" s="4">
        <v>40533</v>
      </c>
      <c r="B4242">
        <v>50.359699999999997</v>
      </c>
      <c r="C4242">
        <v>50.430100000000003</v>
      </c>
      <c r="D4242">
        <v>49.866599999999998</v>
      </c>
      <c r="E4242">
        <v>50.218800000000002</v>
      </c>
      <c r="F4242">
        <v>63310</v>
      </c>
    </row>
    <row r="4243" spans="1:6" x14ac:dyDescent="0.25">
      <c r="A4243" s="4">
        <v>40534</v>
      </c>
      <c r="B4243">
        <v>50.0779</v>
      </c>
      <c r="C4243">
        <v>50.430100000000003</v>
      </c>
      <c r="D4243">
        <v>49.796199999999999</v>
      </c>
      <c r="E4243">
        <v>50.148400000000002</v>
      </c>
      <c r="F4243">
        <v>27073</v>
      </c>
    </row>
    <row r="4244" spans="1:6" x14ac:dyDescent="0.25">
      <c r="A4244" s="4">
        <v>40535</v>
      </c>
      <c r="B4244">
        <v>50.570999999999998</v>
      </c>
      <c r="C4244">
        <v>50.570999999999998</v>
      </c>
      <c r="D4244">
        <v>49.796199999999999</v>
      </c>
      <c r="E4244">
        <v>50.0075</v>
      </c>
      <c r="F4244">
        <v>35615</v>
      </c>
    </row>
    <row r="4245" spans="1:6" x14ac:dyDescent="0.25">
      <c r="A4245" s="4">
        <v>40536</v>
      </c>
      <c r="B4245">
        <v>50.0075</v>
      </c>
      <c r="C4245">
        <v>50.0075</v>
      </c>
      <c r="D4245">
        <v>49.655299999999997</v>
      </c>
      <c r="E4245">
        <v>49.866599999999998</v>
      </c>
      <c r="F4245">
        <v>56587</v>
      </c>
    </row>
    <row r="4246" spans="1:6" x14ac:dyDescent="0.25">
      <c r="A4246" s="4">
        <v>40539</v>
      </c>
      <c r="B4246">
        <v>49.866599999999998</v>
      </c>
      <c r="C4246">
        <v>49.866599999999998</v>
      </c>
      <c r="D4246">
        <v>49.303199999999997</v>
      </c>
      <c r="E4246">
        <v>49.796199999999999</v>
      </c>
      <c r="F4246">
        <v>45211</v>
      </c>
    </row>
    <row r="4247" spans="1:6" x14ac:dyDescent="0.25">
      <c r="A4247" s="4">
        <v>40540</v>
      </c>
      <c r="B4247">
        <v>49.937100000000001</v>
      </c>
      <c r="C4247">
        <v>50.0075</v>
      </c>
      <c r="D4247">
        <v>49.7258</v>
      </c>
      <c r="E4247">
        <v>49.937100000000001</v>
      </c>
      <c r="F4247">
        <v>36610</v>
      </c>
    </row>
    <row r="4248" spans="1:6" x14ac:dyDescent="0.25">
      <c r="A4248" s="4">
        <v>40541</v>
      </c>
      <c r="B4248">
        <v>49.866599999999998</v>
      </c>
      <c r="C4248">
        <v>49.866599999999998</v>
      </c>
      <c r="D4248">
        <v>49.444000000000003</v>
      </c>
      <c r="E4248">
        <v>49.7258</v>
      </c>
      <c r="F4248">
        <v>40415</v>
      </c>
    </row>
    <row r="4249" spans="1:6" x14ac:dyDescent="0.25">
      <c r="A4249" s="4">
        <v>40542</v>
      </c>
      <c r="B4249">
        <v>49.7258</v>
      </c>
      <c r="C4249">
        <v>49.866599999999998</v>
      </c>
      <c r="D4249">
        <v>49.373600000000003</v>
      </c>
      <c r="E4249">
        <v>49.7258</v>
      </c>
      <c r="F4249">
        <v>55579</v>
      </c>
    </row>
    <row r="4250" spans="1:6" x14ac:dyDescent="0.25">
      <c r="A4250" s="4">
        <v>40543</v>
      </c>
      <c r="B4250">
        <v>49.655299999999997</v>
      </c>
      <c r="C4250">
        <v>50.923099999999998</v>
      </c>
      <c r="D4250">
        <v>49.514499999999998</v>
      </c>
      <c r="E4250">
        <v>50.0075</v>
      </c>
      <c r="F4250">
        <v>143762</v>
      </c>
    </row>
    <row r="4251" spans="1:6" x14ac:dyDescent="0.25">
      <c r="A4251" s="4">
        <v>40546</v>
      </c>
      <c r="B4251">
        <v>50.359699999999997</v>
      </c>
      <c r="C4251">
        <v>50.430100000000003</v>
      </c>
      <c r="D4251">
        <v>49.866599999999998</v>
      </c>
      <c r="E4251">
        <v>50.0779</v>
      </c>
      <c r="F4251">
        <v>35747</v>
      </c>
    </row>
    <row r="4252" spans="1:6" x14ac:dyDescent="0.25">
      <c r="A4252" s="4">
        <v>40547</v>
      </c>
      <c r="B4252">
        <v>50.0075</v>
      </c>
      <c r="C4252">
        <v>50.430100000000003</v>
      </c>
      <c r="D4252">
        <v>49.866599999999998</v>
      </c>
      <c r="E4252">
        <v>50.148400000000002</v>
      </c>
      <c r="F4252">
        <v>36048</v>
      </c>
    </row>
    <row r="4253" spans="1:6" x14ac:dyDescent="0.25">
      <c r="A4253" s="4">
        <v>40548</v>
      </c>
      <c r="B4253">
        <v>49.937100000000001</v>
      </c>
      <c r="C4253">
        <v>50.0779</v>
      </c>
      <c r="D4253">
        <v>49.0214</v>
      </c>
      <c r="E4253">
        <v>49.162300000000002</v>
      </c>
      <c r="F4253">
        <v>54327</v>
      </c>
    </row>
    <row r="4254" spans="1:6" x14ac:dyDescent="0.25">
      <c r="A4254" s="4">
        <v>40549</v>
      </c>
      <c r="B4254">
        <v>49.162300000000002</v>
      </c>
      <c r="C4254">
        <v>50.0075</v>
      </c>
      <c r="D4254">
        <v>49.091900000000003</v>
      </c>
      <c r="E4254">
        <v>50.0075</v>
      </c>
      <c r="F4254">
        <v>46802</v>
      </c>
    </row>
    <row r="4255" spans="1:6" x14ac:dyDescent="0.25">
      <c r="A4255" s="4">
        <v>40550</v>
      </c>
      <c r="B4255">
        <v>50.641399999999997</v>
      </c>
      <c r="C4255">
        <v>51.416200000000003</v>
      </c>
      <c r="D4255">
        <v>50.641399999999997</v>
      </c>
      <c r="E4255">
        <v>51.064</v>
      </c>
      <c r="F4255">
        <v>170329</v>
      </c>
    </row>
    <row r="4256" spans="1:6" x14ac:dyDescent="0.25">
      <c r="A4256" s="4">
        <v>40553</v>
      </c>
      <c r="B4256">
        <v>51.416200000000003</v>
      </c>
      <c r="C4256">
        <v>52.261400000000002</v>
      </c>
      <c r="D4256">
        <v>51.134399999999999</v>
      </c>
      <c r="E4256">
        <v>52.261400000000002</v>
      </c>
      <c r="F4256">
        <v>69704</v>
      </c>
    </row>
    <row r="4257" spans="1:6" x14ac:dyDescent="0.25">
      <c r="A4257" s="4">
        <v>40554</v>
      </c>
      <c r="B4257">
        <v>52.190899999999999</v>
      </c>
      <c r="C4257">
        <v>52.754399999999997</v>
      </c>
      <c r="D4257">
        <v>51.979599999999998</v>
      </c>
      <c r="E4257">
        <v>52.472700000000003</v>
      </c>
      <c r="F4257">
        <v>82759</v>
      </c>
    </row>
    <row r="4258" spans="1:6" x14ac:dyDescent="0.25">
      <c r="A4258" s="4">
        <v>40555</v>
      </c>
      <c r="B4258">
        <v>52.613500000000002</v>
      </c>
      <c r="C4258">
        <v>52.824800000000003</v>
      </c>
      <c r="D4258">
        <v>52.613500000000002</v>
      </c>
      <c r="E4258">
        <v>52.754399999999997</v>
      </c>
      <c r="F4258">
        <v>53638</v>
      </c>
    </row>
    <row r="4259" spans="1:6" x14ac:dyDescent="0.25">
      <c r="A4259" s="4">
        <v>40556</v>
      </c>
      <c r="B4259">
        <v>52.895299999999999</v>
      </c>
      <c r="C4259">
        <v>53.036099999999998</v>
      </c>
      <c r="D4259">
        <v>52.261400000000002</v>
      </c>
      <c r="E4259">
        <v>52.543100000000003</v>
      </c>
      <c r="F4259">
        <v>93105</v>
      </c>
    </row>
    <row r="4260" spans="1:6" x14ac:dyDescent="0.25">
      <c r="A4260" s="4">
        <v>40557</v>
      </c>
      <c r="B4260">
        <v>52.402200000000001</v>
      </c>
      <c r="C4260">
        <v>52.683999999999997</v>
      </c>
      <c r="D4260">
        <v>52.190899999999999</v>
      </c>
      <c r="E4260">
        <v>52.683999999999997</v>
      </c>
      <c r="F4260">
        <v>29817</v>
      </c>
    </row>
    <row r="4261" spans="1:6" x14ac:dyDescent="0.25">
      <c r="A4261" s="4">
        <v>40560</v>
      </c>
      <c r="B4261">
        <v>53.1066</v>
      </c>
      <c r="C4261">
        <v>53.4587</v>
      </c>
      <c r="D4261">
        <v>53.036099999999998</v>
      </c>
      <c r="E4261">
        <v>53.388300000000001</v>
      </c>
      <c r="F4261">
        <v>67400</v>
      </c>
    </row>
    <row r="4262" spans="1:6" x14ac:dyDescent="0.25">
      <c r="A4262" s="4">
        <v>40561</v>
      </c>
      <c r="B4262">
        <v>53.177</v>
      </c>
      <c r="C4262">
        <v>54.5152</v>
      </c>
      <c r="D4262">
        <v>52.965699999999998</v>
      </c>
      <c r="E4262">
        <v>54.092599999999997</v>
      </c>
      <c r="F4262">
        <v>57357</v>
      </c>
    </row>
    <row r="4263" spans="1:6" x14ac:dyDescent="0.25">
      <c r="A4263" s="4">
        <v>40562</v>
      </c>
      <c r="B4263">
        <v>54.1631</v>
      </c>
      <c r="C4263">
        <v>55.149099999999997</v>
      </c>
      <c r="D4263">
        <v>53.951799999999999</v>
      </c>
      <c r="E4263">
        <v>54.937800000000003</v>
      </c>
      <c r="F4263">
        <v>87298</v>
      </c>
    </row>
    <row r="4264" spans="1:6" x14ac:dyDescent="0.25">
      <c r="A4264" s="4">
        <v>40563</v>
      </c>
      <c r="B4264">
        <v>54.233499999999999</v>
      </c>
      <c r="C4264">
        <v>54.233499999999999</v>
      </c>
      <c r="D4264">
        <v>53.599600000000002</v>
      </c>
      <c r="E4264">
        <v>53.810899999999997</v>
      </c>
      <c r="F4264">
        <v>43718</v>
      </c>
    </row>
    <row r="4265" spans="1:6" x14ac:dyDescent="0.25">
      <c r="A4265" s="4">
        <v>40564</v>
      </c>
      <c r="B4265">
        <v>52.1205</v>
      </c>
      <c r="C4265">
        <v>52.965699999999998</v>
      </c>
      <c r="D4265">
        <v>52.1205</v>
      </c>
      <c r="E4265">
        <v>52.543100000000003</v>
      </c>
      <c r="F4265">
        <v>81476</v>
      </c>
    </row>
    <row r="4266" spans="1:6" x14ac:dyDescent="0.25">
      <c r="A4266" s="4">
        <v>40567</v>
      </c>
      <c r="B4266">
        <v>52.965699999999998</v>
      </c>
      <c r="C4266">
        <v>53.1066</v>
      </c>
      <c r="D4266">
        <v>52.543100000000003</v>
      </c>
      <c r="E4266">
        <v>53.036099999999998</v>
      </c>
      <c r="F4266">
        <v>46169</v>
      </c>
    </row>
    <row r="4267" spans="1:6" x14ac:dyDescent="0.25">
      <c r="A4267" s="4">
        <v>40568</v>
      </c>
      <c r="B4267">
        <v>53.4587</v>
      </c>
      <c r="C4267">
        <v>53.4587</v>
      </c>
      <c r="D4267">
        <v>52.754399999999997</v>
      </c>
      <c r="E4267">
        <v>52.824800000000003</v>
      </c>
      <c r="F4267">
        <v>50795</v>
      </c>
    </row>
    <row r="4268" spans="1:6" x14ac:dyDescent="0.25">
      <c r="A4268" s="4">
        <v>40569</v>
      </c>
      <c r="B4268">
        <v>52.543100000000003</v>
      </c>
      <c r="C4268">
        <v>52.965699999999998</v>
      </c>
      <c r="D4268">
        <v>52.331800000000001</v>
      </c>
      <c r="E4268">
        <v>52.543100000000003</v>
      </c>
      <c r="F4268">
        <v>66830</v>
      </c>
    </row>
    <row r="4269" spans="1:6" x14ac:dyDescent="0.25">
      <c r="A4269" s="4">
        <v>40570</v>
      </c>
      <c r="B4269">
        <v>52.754399999999997</v>
      </c>
      <c r="C4269">
        <v>53.1066</v>
      </c>
      <c r="D4269">
        <v>52.683999999999997</v>
      </c>
      <c r="E4269">
        <v>52.965699999999998</v>
      </c>
      <c r="F4269">
        <v>69892</v>
      </c>
    </row>
    <row r="4270" spans="1:6" x14ac:dyDescent="0.25">
      <c r="A4270" s="4">
        <v>40571</v>
      </c>
      <c r="B4270">
        <v>52.965699999999998</v>
      </c>
      <c r="C4270">
        <v>54.1631</v>
      </c>
      <c r="D4270">
        <v>52.754399999999997</v>
      </c>
      <c r="E4270">
        <v>53.740499999999997</v>
      </c>
      <c r="F4270">
        <v>110404</v>
      </c>
    </row>
    <row r="4271" spans="1:6" x14ac:dyDescent="0.25">
      <c r="A4271" s="4">
        <v>40582</v>
      </c>
      <c r="B4271">
        <v>54.233499999999999</v>
      </c>
      <c r="C4271">
        <v>54.233499999999999</v>
      </c>
      <c r="D4271">
        <v>52.683999999999997</v>
      </c>
      <c r="E4271">
        <v>53.177</v>
      </c>
      <c r="F4271">
        <v>110970</v>
      </c>
    </row>
    <row r="4272" spans="1:6" x14ac:dyDescent="0.25">
      <c r="A4272" s="4">
        <v>40583</v>
      </c>
      <c r="B4272">
        <v>53.177</v>
      </c>
      <c r="C4272">
        <v>53.247399999999999</v>
      </c>
      <c r="D4272">
        <v>51.979599999999998</v>
      </c>
      <c r="E4272">
        <v>51.979599999999998</v>
      </c>
      <c r="F4272">
        <v>81247</v>
      </c>
    </row>
    <row r="4273" spans="1:6" x14ac:dyDescent="0.25">
      <c r="A4273" s="4">
        <v>40584</v>
      </c>
      <c r="B4273">
        <v>51.486600000000003</v>
      </c>
      <c r="C4273">
        <v>51.697899999999997</v>
      </c>
      <c r="D4273">
        <v>50.711799999999997</v>
      </c>
      <c r="E4273">
        <v>50.711799999999997</v>
      </c>
      <c r="F4273">
        <v>83633</v>
      </c>
    </row>
    <row r="4274" spans="1:6" x14ac:dyDescent="0.25">
      <c r="A4274" s="4">
        <v>40585</v>
      </c>
      <c r="B4274">
        <v>50.852699999999999</v>
      </c>
      <c r="C4274">
        <v>50.993600000000001</v>
      </c>
      <c r="D4274">
        <v>49.937100000000001</v>
      </c>
      <c r="E4274">
        <v>50.289200000000001</v>
      </c>
      <c r="F4274">
        <v>112430</v>
      </c>
    </row>
    <row r="4275" spans="1:6" x14ac:dyDescent="0.25">
      <c r="A4275" s="4">
        <v>40588</v>
      </c>
      <c r="B4275">
        <v>50.711799999999997</v>
      </c>
      <c r="C4275">
        <v>51.345700000000001</v>
      </c>
      <c r="D4275">
        <v>50.359699999999997</v>
      </c>
      <c r="E4275">
        <v>51.064</v>
      </c>
      <c r="F4275">
        <v>66890</v>
      </c>
    </row>
    <row r="4276" spans="1:6" x14ac:dyDescent="0.25">
      <c r="A4276" s="4">
        <v>40589</v>
      </c>
      <c r="B4276">
        <v>50.993600000000001</v>
      </c>
      <c r="C4276">
        <v>51.486600000000003</v>
      </c>
      <c r="D4276">
        <v>50.289200000000001</v>
      </c>
      <c r="E4276">
        <v>51.064</v>
      </c>
      <c r="F4276">
        <v>56495</v>
      </c>
    </row>
    <row r="4277" spans="1:6" x14ac:dyDescent="0.25">
      <c r="A4277" s="4">
        <v>40590</v>
      </c>
      <c r="B4277">
        <v>50.993600000000001</v>
      </c>
      <c r="C4277">
        <v>51.204900000000002</v>
      </c>
      <c r="D4277">
        <v>50.641399999999997</v>
      </c>
      <c r="E4277">
        <v>50.782299999999999</v>
      </c>
      <c r="F4277">
        <v>54424</v>
      </c>
    </row>
    <row r="4278" spans="1:6" x14ac:dyDescent="0.25">
      <c r="A4278" s="4">
        <v>40591</v>
      </c>
      <c r="B4278">
        <v>50.993600000000001</v>
      </c>
      <c r="C4278">
        <v>51.345700000000001</v>
      </c>
      <c r="D4278">
        <v>50.430100000000003</v>
      </c>
      <c r="E4278">
        <v>51.064</v>
      </c>
      <c r="F4278">
        <v>49331</v>
      </c>
    </row>
    <row r="4279" spans="1:6" x14ac:dyDescent="0.25">
      <c r="A4279" s="4">
        <v>40592</v>
      </c>
      <c r="B4279">
        <v>51.486600000000003</v>
      </c>
      <c r="C4279">
        <v>52.0501</v>
      </c>
      <c r="D4279">
        <v>51.416200000000003</v>
      </c>
      <c r="E4279">
        <v>51.416200000000003</v>
      </c>
      <c r="F4279">
        <v>74600</v>
      </c>
    </row>
    <row r="4280" spans="1:6" x14ac:dyDescent="0.25">
      <c r="A4280" s="4">
        <v>40595</v>
      </c>
      <c r="B4280">
        <v>51.486600000000003</v>
      </c>
      <c r="C4280">
        <v>51.697899999999997</v>
      </c>
      <c r="D4280">
        <v>50.923099999999998</v>
      </c>
      <c r="E4280">
        <v>51.697899999999997</v>
      </c>
      <c r="F4280">
        <v>39070</v>
      </c>
    </row>
    <row r="4281" spans="1:6" x14ac:dyDescent="0.25">
      <c r="A4281" s="4">
        <v>40596</v>
      </c>
      <c r="B4281">
        <v>50.852699999999999</v>
      </c>
      <c r="C4281">
        <v>51.064</v>
      </c>
      <c r="D4281">
        <v>50.148400000000002</v>
      </c>
      <c r="E4281">
        <v>51.064</v>
      </c>
      <c r="F4281">
        <v>82661</v>
      </c>
    </row>
    <row r="4282" spans="1:6" x14ac:dyDescent="0.25">
      <c r="A4282" s="4">
        <v>40597</v>
      </c>
      <c r="B4282">
        <v>50.359699999999997</v>
      </c>
      <c r="C4282">
        <v>50.641399999999997</v>
      </c>
      <c r="D4282">
        <v>49.655299999999997</v>
      </c>
      <c r="E4282">
        <v>50.0075</v>
      </c>
      <c r="F4282">
        <v>80263</v>
      </c>
    </row>
    <row r="4283" spans="1:6" x14ac:dyDescent="0.25">
      <c r="A4283" s="4">
        <v>40598</v>
      </c>
      <c r="B4283">
        <v>50.0075</v>
      </c>
      <c r="C4283">
        <v>50.289200000000001</v>
      </c>
      <c r="D4283">
        <v>49.655299999999997</v>
      </c>
      <c r="E4283">
        <v>49.655299999999997</v>
      </c>
      <c r="F4283">
        <v>62768</v>
      </c>
    </row>
    <row r="4284" spans="1:6" x14ac:dyDescent="0.25">
      <c r="A4284" s="4">
        <v>40599</v>
      </c>
      <c r="B4284">
        <v>49.7258</v>
      </c>
      <c r="C4284">
        <v>50.0779</v>
      </c>
      <c r="D4284">
        <v>49.232700000000001</v>
      </c>
      <c r="E4284">
        <v>49.655299999999997</v>
      </c>
      <c r="F4284">
        <v>78873</v>
      </c>
    </row>
    <row r="4285" spans="1:6" x14ac:dyDescent="0.25">
      <c r="A4285" s="4">
        <v>40603</v>
      </c>
      <c r="B4285">
        <v>49.303199999999997</v>
      </c>
      <c r="C4285">
        <v>50.570999999999998</v>
      </c>
      <c r="D4285">
        <v>49.303199999999997</v>
      </c>
      <c r="E4285">
        <v>50.289200000000001</v>
      </c>
      <c r="F4285">
        <v>84618</v>
      </c>
    </row>
    <row r="4286" spans="1:6" x14ac:dyDescent="0.25">
      <c r="A4286" s="4">
        <v>40604</v>
      </c>
      <c r="B4286">
        <v>49.866599999999998</v>
      </c>
      <c r="C4286">
        <v>50.0075</v>
      </c>
      <c r="D4286">
        <v>49.584899999999998</v>
      </c>
      <c r="E4286">
        <v>49.584899999999998</v>
      </c>
      <c r="F4286">
        <v>53047</v>
      </c>
    </row>
    <row r="4287" spans="1:6" x14ac:dyDescent="0.25">
      <c r="A4287" s="4">
        <v>40605</v>
      </c>
      <c r="B4287">
        <v>49.373600000000003</v>
      </c>
      <c r="C4287">
        <v>50.430100000000003</v>
      </c>
      <c r="D4287">
        <v>49.373600000000003</v>
      </c>
      <c r="E4287">
        <v>49.866599999999998</v>
      </c>
      <c r="F4287">
        <v>59498</v>
      </c>
    </row>
    <row r="4288" spans="1:6" x14ac:dyDescent="0.25">
      <c r="A4288" s="4">
        <v>40606</v>
      </c>
      <c r="B4288">
        <v>50.359699999999997</v>
      </c>
      <c r="C4288">
        <v>50.711799999999997</v>
      </c>
      <c r="D4288">
        <v>50.218800000000002</v>
      </c>
      <c r="E4288">
        <v>50.570999999999998</v>
      </c>
      <c r="F4288">
        <v>60660</v>
      </c>
    </row>
    <row r="4289" spans="1:6" x14ac:dyDescent="0.25">
      <c r="A4289" s="4">
        <v>40609</v>
      </c>
      <c r="B4289">
        <v>50.430100000000003</v>
      </c>
      <c r="C4289">
        <v>50.500500000000002</v>
      </c>
      <c r="D4289">
        <v>49.937100000000001</v>
      </c>
      <c r="E4289">
        <v>49.937100000000001</v>
      </c>
      <c r="F4289">
        <v>30172</v>
      </c>
    </row>
    <row r="4290" spans="1:6" x14ac:dyDescent="0.25">
      <c r="A4290" s="4">
        <v>40610</v>
      </c>
      <c r="B4290">
        <v>49.655299999999997</v>
      </c>
      <c r="C4290">
        <v>50.570999999999998</v>
      </c>
      <c r="D4290">
        <v>49.655299999999997</v>
      </c>
      <c r="E4290">
        <v>50.359699999999997</v>
      </c>
      <c r="F4290">
        <v>55819</v>
      </c>
    </row>
    <row r="4291" spans="1:6" x14ac:dyDescent="0.25">
      <c r="A4291" s="4">
        <v>40611</v>
      </c>
      <c r="B4291">
        <v>50.852699999999999</v>
      </c>
      <c r="C4291">
        <v>50.852699999999999</v>
      </c>
      <c r="D4291">
        <v>50.0779</v>
      </c>
      <c r="E4291">
        <v>50.289200000000001</v>
      </c>
      <c r="F4291">
        <v>46797</v>
      </c>
    </row>
    <row r="4292" spans="1:6" x14ac:dyDescent="0.25">
      <c r="A4292" s="4">
        <v>40612</v>
      </c>
      <c r="B4292">
        <v>50.782299999999999</v>
      </c>
      <c r="C4292">
        <v>50.782299999999999</v>
      </c>
      <c r="D4292">
        <v>49.373600000000003</v>
      </c>
      <c r="E4292">
        <v>49.655299999999997</v>
      </c>
      <c r="F4292">
        <v>64180</v>
      </c>
    </row>
    <row r="4293" spans="1:6" x14ac:dyDescent="0.25">
      <c r="A4293" s="4">
        <v>40613</v>
      </c>
      <c r="B4293">
        <v>49.303199999999997</v>
      </c>
      <c r="C4293">
        <v>49.7258</v>
      </c>
      <c r="D4293">
        <v>48.951000000000001</v>
      </c>
      <c r="E4293">
        <v>49.303199999999997</v>
      </c>
      <c r="F4293">
        <v>52601</v>
      </c>
    </row>
    <row r="4294" spans="1:6" x14ac:dyDescent="0.25">
      <c r="A4294" s="4">
        <v>40616</v>
      </c>
      <c r="B4294">
        <v>49.514499999999998</v>
      </c>
      <c r="C4294">
        <v>49.655299999999997</v>
      </c>
      <c r="D4294">
        <v>48.6693</v>
      </c>
      <c r="E4294">
        <v>49.514499999999998</v>
      </c>
      <c r="F4294">
        <v>48041</v>
      </c>
    </row>
    <row r="4295" spans="1:6" x14ac:dyDescent="0.25">
      <c r="A4295" s="4">
        <v>40617</v>
      </c>
      <c r="B4295">
        <v>49.303199999999997</v>
      </c>
      <c r="C4295">
        <v>49.373600000000003</v>
      </c>
      <c r="D4295">
        <v>46.6267</v>
      </c>
      <c r="E4295">
        <v>47.894500000000001</v>
      </c>
      <c r="F4295">
        <v>117025</v>
      </c>
    </row>
    <row r="4296" spans="1:6" x14ac:dyDescent="0.25">
      <c r="A4296" s="4">
        <v>40618</v>
      </c>
      <c r="B4296">
        <v>48.457999999999998</v>
      </c>
      <c r="C4296">
        <v>48.6693</v>
      </c>
      <c r="D4296">
        <v>47.9649</v>
      </c>
      <c r="E4296">
        <v>48.246699999999997</v>
      </c>
      <c r="F4296">
        <v>62389</v>
      </c>
    </row>
    <row r="4297" spans="1:6" x14ac:dyDescent="0.25">
      <c r="A4297" s="4">
        <v>40619</v>
      </c>
      <c r="B4297">
        <v>47.049300000000002</v>
      </c>
      <c r="C4297">
        <v>47.542299999999997</v>
      </c>
      <c r="D4297">
        <v>46.2746</v>
      </c>
      <c r="E4297">
        <v>47.471899999999998</v>
      </c>
      <c r="F4297">
        <v>105442</v>
      </c>
    </row>
    <row r="4298" spans="1:6" x14ac:dyDescent="0.25">
      <c r="A4298" s="4">
        <v>40620</v>
      </c>
      <c r="B4298">
        <v>47.753599999999999</v>
      </c>
      <c r="C4298">
        <v>48.176200000000001</v>
      </c>
      <c r="D4298">
        <v>47.331000000000003</v>
      </c>
      <c r="E4298">
        <v>48.105800000000002</v>
      </c>
      <c r="F4298">
        <v>55721</v>
      </c>
    </row>
    <row r="4299" spans="1:6" x14ac:dyDescent="0.25">
      <c r="A4299" s="4">
        <v>40623</v>
      </c>
      <c r="B4299">
        <v>48.105800000000002</v>
      </c>
      <c r="C4299">
        <v>48.6693</v>
      </c>
      <c r="D4299">
        <v>47.894500000000001</v>
      </c>
      <c r="E4299">
        <v>48.598799999999997</v>
      </c>
      <c r="F4299">
        <v>36535</v>
      </c>
    </row>
    <row r="4300" spans="1:6" x14ac:dyDescent="0.25">
      <c r="A4300" s="4">
        <v>40624</v>
      </c>
      <c r="B4300">
        <v>48.951000000000001</v>
      </c>
      <c r="C4300">
        <v>48.951000000000001</v>
      </c>
      <c r="D4300">
        <v>48.176200000000001</v>
      </c>
      <c r="E4300">
        <v>48.317100000000003</v>
      </c>
      <c r="F4300">
        <v>34737</v>
      </c>
    </row>
    <row r="4301" spans="1:6" x14ac:dyDescent="0.25">
      <c r="A4301" s="4">
        <v>40625</v>
      </c>
      <c r="B4301">
        <v>48.6693</v>
      </c>
      <c r="C4301">
        <v>48.6693</v>
      </c>
      <c r="D4301">
        <v>47.9649</v>
      </c>
      <c r="E4301">
        <v>48.387500000000003</v>
      </c>
      <c r="F4301">
        <v>31239</v>
      </c>
    </row>
    <row r="4302" spans="1:6" x14ac:dyDescent="0.25">
      <c r="A4302" s="4">
        <v>40626</v>
      </c>
      <c r="B4302">
        <v>48.6693</v>
      </c>
      <c r="C4302">
        <v>49.373600000000003</v>
      </c>
      <c r="D4302">
        <v>48.598799999999997</v>
      </c>
      <c r="E4302">
        <v>48.880600000000001</v>
      </c>
      <c r="F4302">
        <v>44748</v>
      </c>
    </row>
    <row r="4303" spans="1:6" x14ac:dyDescent="0.25">
      <c r="A4303" s="4">
        <v>40627</v>
      </c>
      <c r="B4303">
        <v>49.584899999999998</v>
      </c>
      <c r="C4303">
        <v>50.148400000000002</v>
      </c>
      <c r="D4303">
        <v>49.303199999999997</v>
      </c>
      <c r="E4303">
        <v>50.148400000000002</v>
      </c>
      <c r="F4303">
        <v>51712</v>
      </c>
    </row>
    <row r="4304" spans="1:6" x14ac:dyDescent="0.25">
      <c r="A4304" s="4">
        <v>40630</v>
      </c>
      <c r="B4304">
        <v>49.7258</v>
      </c>
      <c r="C4304">
        <v>50.0075</v>
      </c>
      <c r="D4304">
        <v>49.514499999999998</v>
      </c>
      <c r="E4304">
        <v>50.0075</v>
      </c>
      <c r="F4304">
        <v>31031</v>
      </c>
    </row>
    <row r="4305" spans="1:6" x14ac:dyDescent="0.25">
      <c r="A4305" s="4">
        <v>40631</v>
      </c>
      <c r="B4305">
        <v>49.7258</v>
      </c>
      <c r="C4305">
        <v>50.148400000000002</v>
      </c>
      <c r="D4305">
        <v>49.584899999999998</v>
      </c>
      <c r="E4305">
        <v>49.866599999999998</v>
      </c>
      <c r="F4305">
        <v>34871</v>
      </c>
    </row>
    <row r="4306" spans="1:6" x14ac:dyDescent="0.25">
      <c r="A4306" s="4">
        <v>40632</v>
      </c>
      <c r="B4306">
        <v>49.514499999999998</v>
      </c>
      <c r="C4306">
        <v>49.866599999999998</v>
      </c>
      <c r="D4306">
        <v>49.303199999999997</v>
      </c>
      <c r="E4306">
        <v>49.514499999999998</v>
      </c>
      <c r="F4306">
        <v>60975</v>
      </c>
    </row>
    <row r="4307" spans="1:6" x14ac:dyDescent="0.25">
      <c r="A4307" s="4">
        <v>40633</v>
      </c>
      <c r="B4307">
        <v>50.0075</v>
      </c>
      <c r="C4307">
        <v>50.0075</v>
      </c>
      <c r="D4307">
        <v>49.303199999999997</v>
      </c>
      <c r="E4307">
        <v>49.7258</v>
      </c>
      <c r="F4307">
        <v>46429</v>
      </c>
    </row>
    <row r="4308" spans="1:6" x14ac:dyDescent="0.25">
      <c r="A4308" s="4">
        <v>40634</v>
      </c>
      <c r="B4308">
        <v>49.796199999999999</v>
      </c>
      <c r="C4308">
        <v>49.866599999999998</v>
      </c>
      <c r="D4308">
        <v>49.373600000000003</v>
      </c>
      <c r="E4308">
        <v>49.796199999999999</v>
      </c>
      <c r="F4308">
        <v>30274</v>
      </c>
    </row>
    <row r="4309" spans="1:6" x14ac:dyDescent="0.25">
      <c r="A4309" s="4">
        <v>40639</v>
      </c>
      <c r="B4309">
        <v>50.359699999999997</v>
      </c>
      <c r="C4309">
        <v>51.345700000000001</v>
      </c>
      <c r="D4309">
        <v>50.359699999999997</v>
      </c>
      <c r="E4309">
        <v>51.345700000000001</v>
      </c>
      <c r="F4309">
        <v>114460</v>
      </c>
    </row>
    <row r="4310" spans="1:6" x14ac:dyDescent="0.25">
      <c r="A4310" s="4">
        <v>40640</v>
      </c>
      <c r="B4310">
        <v>51.416200000000003</v>
      </c>
      <c r="C4310">
        <v>51.416200000000003</v>
      </c>
      <c r="D4310">
        <v>50.923099999999998</v>
      </c>
      <c r="E4310">
        <v>51.275300000000001</v>
      </c>
      <c r="F4310">
        <v>45216</v>
      </c>
    </row>
    <row r="4311" spans="1:6" x14ac:dyDescent="0.25">
      <c r="A4311" s="4">
        <v>40641</v>
      </c>
      <c r="B4311">
        <v>51.345700000000001</v>
      </c>
      <c r="C4311">
        <v>51.416200000000003</v>
      </c>
      <c r="D4311">
        <v>50.993600000000001</v>
      </c>
      <c r="E4311">
        <v>51.345700000000001</v>
      </c>
      <c r="F4311">
        <v>65764</v>
      </c>
    </row>
    <row r="4312" spans="1:6" x14ac:dyDescent="0.25">
      <c r="A4312" s="4">
        <v>40644</v>
      </c>
      <c r="B4312">
        <v>51.416200000000003</v>
      </c>
      <c r="C4312">
        <v>51.416200000000003</v>
      </c>
      <c r="D4312">
        <v>49.937100000000001</v>
      </c>
      <c r="E4312">
        <v>50.0779</v>
      </c>
      <c r="F4312">
        <v>62602</v>
      </c>
    </row>
    <row r="4313" spans="1:6" x14ac:dyDescent="0.25">
      <c r="A4313" s="4">
        <v>40645</v>
      </c>
      <c r="B4313">
        <v>49.655299999999997</v>
      </c>
      <c r="C4313">
        <v>49.796199999999999</v>
      </c>
      <c r="D4313">
        <v>49.373600000000003</v>
      </c>
      <c r="E4313">
        <v>49.373600000000003</v>
      </c>
      <c r="F4313">
        <v>45965</v>
      </c>
    </row>
    <row r="4314" spans="1:6" x14ac:dyDescent="0.25">
      <c r="A4314" s="4">
        <v>40646</v>
      </c>
      <c r="B4314">
        <v>49.373600000000003</v>
      </c>
      <c r="C4314">
        <v>49.866599999999998</v>
      </c>
      <c r="D4314">
        <v>49.303199999999997</v>
      </c>
      <c r="E4314">
        <v>49.796199999999999</v>
      </c>
      <c r="F4314">
        <v>27892</v>
      </c>
    </row>
    <row r="4315" spans="1:6" x14ac:dyDescent="0.25">
      <c r="A4315" s="4">
        <v>40647</v>
      </c>
      <c r="B4315">
        <v>49.514499999999998</v>
      </c>
      <c r="C4315">
        <v>49.655299999999997</v>
      </c>
      <c r="D4315">
        <v>49.0214</v>
      </c>
      <c r="E4315">
        <v>49.162300000000002</v>
      </c>
      <c r="F4315">
        <v>53757</v>
      </c>
    </row>
    <row r="4316" spans="1:6" x14ac:dyDescent="0.25">
      <c r="A4316" s="4">
        <v>40648</v>
      </c>
      <c r="B4316">
        <v>49.303199999999997</v>
      </c>
      <c r="C4316">
        <v>49.303199999999997</v>
      </c>
      <c r="D4316">
        <v>48.6693</v>
      </c>
      <c r="E4316">
        <v>48.739699999999999</v>
      </c>
      <c r="F4316">
        <v>52232</v>
      </c>
    </row>
    <row r="4317" spans="1:6" x14ac:dyDescent="0.25">
      <c r="A4317" s="4">
        <v>40651</v>
      </c>
      <c r="B4317">
        <v>49.162300000000002</v>
      </c>
      <c r="C4317">
        <v>49.162300000000002</v>
      </c>
      <c r="D4317">
        <v>48.457999999999998</v>
      </c>
      <c r="E4317">
        <v>48.598799999999997</v>
      </c>
      <c r="F4317">
        <v>27185</v>
      </c>
    </row>
    <row r="4318" spans="1:6" x14ac:dyDescent="0.25">
      <c r="A4318" s="4">
        <v>40652</v>
      </c>
      <c r="B4318">
        <v>48.246699999999997</v>
      </c>
      <c r="C4318">
        <v>48.246699999999997</v>
      </c>
      <c r="D4318">
        <v>47.894500000000001</v>
      </c>
      <c r="E4318">
        <v>47.9649</v>
      </c>
      <c r="F4318">
        <v>42733</v>
      </c>
    </row>
    <row r="4319" spans="1:6" x14ac:dyDescent="0.25">
      <c r="A4319" s="4">
        <v>40653</v>
      </c>
      <c r="B4319">
        <v>48.598799999999997</v>
      </c>
      <c r="C4319">
        <v>49.162300000000002</v>
      </c>
      <c r="D4319">
        <v>48.246699999999997</v>
      </c>
      <c r="E4319">
        <v>49.162300000000002</v>
      </c>
      <c r="F4319">
        <v>48245</v>
      </c>
    </row>
    <row r="4320" spans="1:6" x14ac:dyDescent="0.25">
      <c r="A4320" s="4">
        <v>40654</v>
      </c>
      <c r="B4320">
        <v>49.796199999999999</v>
      </c>
      <c r="C4320">
        <v>50.218800000000002</v>
      </c>
      <c r="D4320">
        <v>49.514499999999998</v>
      </c>
      <c r="E4320">
        <v>49.796199999999999</v>
      </c>
      <c r="F4320">
        <v>50937</v>
      </c>
    </row>
    <row r="4321" spans="1:6" x14ac:dyDescent="0.25">
      <c r="A4321" s="4">
        <v>40655</v>
      </c>
      <c r="B4321">
        <v>49.937100000000001</v>
      </c>
      <c r="C4321">
        <v>50.0075</v>
      </c>
      <c r="D4321">
        <v>49.514499999999998</v>
      </c>
      <c r="E4321">
        <v>49.937100000000001</v>
      </c>
      <c r="F4321">
        <v>25372</v>
      </c>
    </row>
    <row r="4322" spans="1:6" x14ac:dyDescent="0.25">
      <c r="A4322" s="4">
        <v>40658</v>
      </c>
      <c r="B4322">
        <v>50.0075</v>
      </c>
      <c r="C4322">
        <v>50.0779</v>
      </c>
      <c r="D4322">
        <v>49.373600000000003</v>
      </c>
      <c r="E4322">
        <v>49.514499999999998</v>
      </c>
      <c r="F4322">
        <v>22104</v>
      </c>
    </row>
    <row r="4323" spans="1:6" x14ac:dyDescent="0.25">
      <c r="A4323" s="4">
        <v>40659</v>
      </c>
      <c r="B4323">
        <v>49.091900000000003</v>
      </c>
      <c r="C4323">
        <v>49.514499999999998</v>
      </c>
      <c r="D4323">
        <v>48.6693</v>
      </c>
      <c r="E4323">
        <v>49.514499999999998</v>
      </c>
      <c r="F4323">
        <v>31931</v>
      </c>
    </row>
    <row r="4324" spans="1:6" x14ac:dyDescent="0.25">
      <c r="A4324" s="4">
        <v>40660</v>
      </c>
      <c r="B4324">
        <v>50.359699999999997</v>
      </c>
      <c r="C4324">
        <v>51.204900000000002</v>
      </c>
      <c r="D4324">
        <v>50.359699999999997</v>
      </c>
      <c r="E4324">
        <v>50.923099999999998</v>
      </c>
      <c r="F4324">
        <v>59308</v>
      </c>
    </row>
    <row r="4325" spans="1:6" x14ac:dyDescent="0.25">
      <c r="A4325" s="4">
        <v>40661</v>
      </c>
      <c r="B4325">
        <v>51.697899999999997</v>
      </c>
      <c r="C4325">
        <v>51.909199999999998</v>
      </c>
      <c r="D4325">
        <v>51.345700000000001</v>
      </c>
      <c r="E4325">
        <v>51.416200000000003</v>
      </c>
      <c r="F4325">
        <v>83614</v>
      </c>
    </row>
    <row r="4326" spans="1:6" x14ac:dyDescent="0.25">
      <c r="A4326" s="4">
        <v>40662</v>
      </c>
      <c r="B4326">
        <v>51.909199999999998</v>
      </c>
      <c r="C4326">
        <v>52.0501</v>
      </c>
      <c r="D4326">
        <v>51.345700000000001</v>
      </c>
      <c r="E4326">
        <v>51.557000000000002</v>
      </c>
      <c r="F4326">
        <v>93588</v>
      </c>
    </row>
    <row r="4327" spans="1:6" x14ac:dyDescent="0.25">
      <c r="A4327" s="4">
        <v>40666</v>
      </c>
      <c r="B4327">
        <v>52.0501</v>
      </c>
      <c r="C4327">
        <v>52.683999999999997</v>
      </c>
      <c r="D4327">
        <v>51.838799999999999</v>
      </c>
      <c r="E4327">
        <v>52.543100000000003</v>
      </c>
      <c r="F4327">
        <v>81669</v>
      </c>
    </row>
    <row r="4328" spans="1:6" x14ac:dyDescent="0.25">
      <c r="A4328" s="4">
        <v>40667</v>
      </c>
      <c r="B4328">
        <v>52.402200000000001</v>
      </c>
      <c r="C4328">
        <v>52.402200000000001</v>
      </c>
      <c r="D4328">
        <v>51.416200000000003</v>
      </c>
      <c r="E4328">
        <v>51.979599999999998</v>
      </c>
      <c r="F4328">
        <v>46678</v>
      </c>
    </row>
    <row r="4329" spans="1:6" x14ac:dyDescent="0.25">
      <c r="A4329" s="4">
        <v>40668</v>
      </c>
      <c r="B4329">
        <v>52.1205</v>
      </c>
      <c r="C4329">
        <v>52.683999999999997</v>
      </c>
      <c r="D4329">
        <v>51.838799999999999</v>
      </c>
      <c r="E4329">
        <v>52.683999999999997</v>
      </c>
      <c r="F4329">
        <v>45484</v>
      </c>
    </row>
    <row r="4330" spans="1:6" x14ac:dyDescent="0.25">
      <c r="A4330" s="4">
        <v>40669</v>
      </c>
      <c r="B4330">
        <v>52.824800000000003</v>
      </c>
      <c r="C4330">
        <v>53.247399999999999</v>
      </c>
      <c r="D4330">
        <v>52.402200000000001</v>
      </c>
      <c r="E4330">
        <v>52.824800000000003</v>
      </c>
      <c r="F4330">
        <v>54112</v>
      </c>
    </row>
    <row r="4331" spans="1:6" x14ac:dyDescent="0.25">
      <c r="A4331" s="4">
        <v>40672</v>
      </c>
      <c r="B4331">
        <v>53.247399999999999</v>
      </c>
      <c r="C4331">
        <v>53.599600000000002</v>
      </c>
      <c r="D4331">
        <v>52.965699999999998</v>
      </c>
      <c r="E4331">
        <v>53.177</v>
      </c>
      <c r="F4331">
        <v>64708</v>
      </c>
    </row>
    <row r="4332" spans="1:6" x14ac:dyDescent="0.25">
      <c r="A4332" s="4">
        <v>40673</v>
      </c>
      <c r="B4332">
        <v>53.247399999999999</v>
      </c>
      <c r="C4332">
        <v>53.247399999999999</v>
      </c>
      <c r="D4332">
        <v>52.402200000000001</v>
      </c>
      <c r="E4332">
        <v>52.402200000000001</v>
      </c>
      <c r="F4332">
        <v>43356</v>
      </c>
    </row>
    <row r="4333" spans="1:6" x14ac:dyDescent="0.25">
      <c r="A4333" s="4">
        <v>40674</v>
      </c>
      <c r="B4333">
        <v>53.036099999999998</v>
      </c>
      <c r="C4333">
        <v>53.036099999999998</v>
      </c>
      <c r="D4333">
        <v>52.543100000000003</v>
      </c>
      <c r="E4333">
        <v>52.824800000000003</v>
      </c>
      <c r="F4333">
        <v>43256</v>
      </c>
    </row>
    <row r="4334" spans="1:6" x14ac:dyDescent="0.25">
      <c r="A4334" s="4">
        <v>40675</v>
      </c>
      <c r="B4334">
        <v>52.261400000000002</v>
      </c>
      <c r="C4334">
        <v>53.529200000000003</v>
      </c>
      <c r="D4334">
        <v>52.190899999999999</v>
      </c>
      <c r="E4334">
        <v>53.317900000000002</v>
      </c>
      <c r="F4334">
        <v>59056</v>
      </c>
    </row>
    <row r="4335" spans="1:6" x14ac:dyDescent="0.25">
      <c r="A4335" s="4">
        <v>40676</v>
      </c>
      <c r="B4335">
        <v>53.529200000000003</v>
      </c>
      <c r="C4335">
        <v>53.599600000000002</v>
      </c>
      <c r="D4335">
        <v>53.177</v>
      </c>
      <c r="E4335">
        <v>53.4587</v>
      </c>
      <c r="F4335">
        <v>40118</v>
      </c>
    </row>
    <row r="4336" spans="1:6" x14ac:dyDescent="0.25">
      <c r="A4336" s="4">
        <v>40679</v>
      </c>
      <c r="B4336">
        <v>53.4587</v>
      </c>
      <c r="C4336">
        <v>53.4587</v>
      </c>
      <c r="D4336">
        <v>52.613500000000002</v>
      </c>
      <c r="E4336">
        <v>52.754399999999997</v>
      </c>
      <c r="F4336">
        <v>34106</v>
      </c>
    </row>
    <row r="4337" spans="1:6" x14ac:dyDescent="0.25">
      <c r="A4337" s="4">
        <v>40680</v>
      </c>
      <c r="B4337">
        <v>52.543100000000003</v>
      </c>
      <c r="C4337">
        <v>53.529200000000003</v>
      </c>
      <c r="D4337">
        <v>52.543100000000003</v>
      </c>
      <c r="E4337">
        <v>53.247399999999999</v>
      </c>
      <c r="F4337">
        <v>41402</v>
      </c>
    </row>
    <row r="4338" spans="1:6" x14ac:dyDescent="0.25">
      <c r="A4338" s="4">
        <v>40681</v>
      </c>
      <c r="B4338">
        <v>53.036099999999998</v>
      </c>
      <c r="C4338">
        <v>53.388300000000001</v>
      </c>
      <c r="D4338">
        <v>52.754399999999997</v>
      </c>
      <c r="E4338">
        <v>53.036099999999998</v>
      </c>
      <c r="F4338">
        <v>28263</v>
      </c>
    </row>
    <row r="4339" spans="1:6" x14ac:dyDescent="0.25">
      <c r="A4339" s="4">
        <v>40682</v>
      </c>
      <c r="B4339">
        <v>52.754399999999997</v>
      </c>
      <c r="C4339">
        <v>53.740499999999997</v>
      </c>
      <c r="D4339">
        <v>52.754399999999997</v>
      </c>
      <c r="E4339">
        <v>52.965699999999998</v>
      </c>
      <c r="F4339">
        <v>58824</v>
      </c>
    </row>
    <row r="4340" spans="1:6" x14ac:dyDescent="0.25">
      <c r="A4340" s="4">
        <v>40683</v>
      </c>
      <c r="B4340">
        <v>53.529200000000003</v>
      </c>
      <c r="C4340">
        <v>53.529200000000003</v>
      </c>
      <c r="D4340">
        <v>52.754399999999997</v>
      </c>
      <c r="E4340">
        <v>53.177</v>
      </c>
      <c r="F4340">
        <v>33000</v>
      </c>
    </row>
    <row r="4341" spans="1:6" x14ac:dyDescent="0.25">
      <c r="A4341" s="4">
        <v>40686</v>
      </c>
      <c r="B4341">
        <v>52.613500000000002</v>
      </c>
      <c r="C4341">
        <v>53.177</v>
      </c>
      <c r="D4341">
        <v>52.472700000000003</v>
      </c>
      <c r="E4341">
        <v>52.895299999999999</v>
      </c>
      <c r="F4341">
        <v>39033</v>
      </c>
    </row>
    <row r="4342" spans="1:6" x14ac:dyDescent="0.25">
      <c r="A4342" s="4">
        <v>40687</v>
      </c>
      <c r="B4342">
        <v>52.754399999999997</v>
      </c>
      <c r="C4342">
        <v>52.895299999999999</v>
      </c>
      <c r="D4342">
        <v>52.261400000000002</v>
      </c>
      <c r="E4342">
        <v>52.683999999999997</v>
      </c>
      <c r="F4342">
        <v>34788</v>
      </c>
    </row>
    <row r="4343" spans="1:6" x14ac:dyDescent="0.25">
      <c r="A4343" s="4">
        <v>40688</v>
      </c>
      <c r="B4343">
        <v>52.261400000000002</v>
      </c>
      <c r="C4343">
        <v>52.754399999999997</v>
      </c>
      <c r="D4343">
        <v>51.627499999999998</v>
      </c>
      <c r="E4343">
        <v>52.472700000000003</v>
      </c>
      <c r="F4343">
        <v>59580</v>
      </c>
    </row>
    <row r="4344" spans="1:6" x14ac:dyDescent="0.25">
      <c r="A4344" s="4">
        <v>40689</v>
      </c>
      <c r="B4344">
        <v>52.824800000000003</v>
      </c>
      <c r="C4344">
        <v>52.824800000000003</v>
      </c>
      <c r="D4344">
        <v>52.1205</v>
      </c>
      <c r="E4344">
        <v>52.261400000000002</v>
      </c>
      <c r="F4344">
        <v>33241</v>
      </c>
    </row>
    <row r="4345" spans="1:6" x14ac:dyDescent="0.25">
      <c r="A4345" s="4">
        <v>40690</v>
      </c>
      <c r="B4345">
        <v>51.979599999999998</v>
      </c>
      <c r="C4345">
        <v>52.472700000000003</v>
      </c>
      <c r="D4345">
        <v>51.979599999999998</v>
      </c>
      <c r="E4345">
        <v>52.1205</v>
      </c>
      <c r="F4345">
        <v>49929</v>
      </c>
    </row>
    <row r="4346" spans="1:6" x14ac:dyDescent="0.25">
      <c r="A4346" s="4">
        <v>40693</v>
      </c>
      <c r="B4346">
        <v>52.1205</v>
      </c>
      <c r="C4346">
        <v>53.036099999999998</v>
      </c>
      <c r="D4346">
        <v>52.1205</v>
      </c>
      <c r="E4346">
        <v>52.895299999999999</v>
      </c>
      <c r="F4346">
        <v>33733</v>
      </c>
    </row>
    <row r="4347" spans="1:6" x14ac:dyDescent="0.25">
      <c r="A4347" s="4">
        <v>40694</v>
      </c>
      <c r="B4347">
        <v>53.177</v>
      </c>
      <c r="C4347">
        <v>54.1631</v>
      </c>
      <c r="D4347">
        <v>53.1066</v>
      </c>
      <c r="E4347">
        <v>54.022199999999998</v>
      </c>
      <c r="F4347">
        <v>62918</v>
      </c>
    </row>
    <row r="4348" spans="1:6" x14ac:dyDescent="0.25">
      <c r="A4348" s="4">
        <v>40695</v>
      </c>
      <c r="B4348">
        <v>53.740499999999997</v>
      </c>
      <c r="C4348">
        <v>54.444800000000001</v>
      </c>
      <c r="D4348">
        <v>53.740499999999997</v>
      </c>
      <c r="E4348">
        <v>54.233499999999999</v>
      </c>
      <c r="F4348">
        <v>45322</v>
      </c>
    </row>
    <row r="4349" spans="1:6" x14ac:dyDescent="0.25">
      <c r="A4349" s="4">
        <v>40696</v>
      </c>
      <c r="B4349">
        <v>53.740499999999997</v>
      </c>
      <c r="C4349">
        <v>54.5152</v>
      </c>
      <c r="D4349">
        <v>53.740499999999997</v>
      </c>
      <c r="E4349">
        <v>53.810899999999997</v>
      </c>
      <c r="F4349">
        <v>61881</v>
      </c>
    </row>
    <row r="4350" spans="1:6" x14ac:dyDescent="0.25">
      <c r="A4350" s="4">
        <v>40697</v>
      </c>
      <c r="B4350">
        <v>54.233499999999999</v>
      </c>
      <c r="C4350">
        <v>54.374400000000001</v>
      </c>
      <c r="D4350">
        <v>53.599600000000002</v>
      </c>
      <c r="E4350">
        <v>54.374400000000001</v>
      </c>
      <c r="F4350">
        <v>36771</v>
      </c>
    </row>
    <row r="4351" spans="1:6" x14ac:dyDescent="0.25">
      <c r="A4351" s="4">
        <v>40701</v>
      </c>
      <c r="B4351">
        <v>54.374400000000001</v>
      </c>
      <c r="C4351">
        <v>55.078699999999998</v>
      </c>
      <c r="D4351">
        <v>53.951799999999999</v>
      </c>
      <c r="E4351">
        <v>54.585700000000003</v>
      </c>
      <c r="F4351">
        <v>41426</v>
      </c>
    </row>
    <row r="4352" spans="1:6" x14ac:dyDescent="0.25">
      <c r="A4352" s="4">
        <v>40702</v>
      </c>
      <c r="B4352">
        <v>54.303899999999999</v>
      </c>
      <c r="C4352">
        <v>54.937800000000003</v>
      </c>
      <c r="D4352">
        <v>54.303899999999999</v>
      </c>
      <c r="E4352">
        <v>54.585700000000003</v>
      </c>
      <c r="F4352">
        <v>58253</v>
      </c>
    </row>
    <row r="4353" spans="1:6" x14ac:dyDescent="0.25">
      <c r="A4353" s="4">
        <v>40703</v>
      </c>
      <c r="B4353">
        <v>54.937800000000003</v>
      </c>
      <c r="C4353">
        <v>54.937800000000003</v>
      </c>
      <c r="D4353">
        <v>54.092599999999997</v>
      </c>
      <c r="E4353">
        <v>54.1631</v>
      </c>
      <c r="F4353">
        <v>36965</v>
      </c>
    </row>
    <row r="4354" spans="1:6" x14ac:dyDescent="0.25">
      <c r="A4354" s="4">
        <v>40704</v>
      </c>
      <c r="B4354">
        <v>54.233499999999999</v>
      </c>
      <c r="C4354">
        <v>54.585700000000003</v>
      </c>
      <c r="D4354">
        <v>52.895299999999999</v>
      </c>
      <c r="E4354">
        <v>53.036099999999998</v>
      </c>
      <c r="F4354">
        <v>55349</v>
      </c>
    </row>
    <row r="4355" spans="1:6" x14ac:dyDescent="0.25">
      <c r="A4355" s="4">
        <v>40707</v>
      </c>
      <c r="B4355">
        <v>52.472700000000003</v>
      </c>
      <c r="C4355">
        <v>52.824800000000003</v>
      </c>
      <c r="D4355">
        <v>52.0501</v>
      </c>
      <c r="E4355">
        <v>52.613500000000002</v>
      </c>
      <c r="F4355">
        <v>72548</v>
      </c>
    </row>
    <row r="4356" spans="1:6" x14ac:dyDescent="0.25">
      <c r="A4356" s="4">
        <v>40708</v>
      </c>
      <c r="B4356">
        <v>52.472700000000003</v>
      </c>
      <c r="C4356">
        <v>53.810899999999997</v>
      </c>
      <c r="D4356">
        <v>52.472700000000003</v>
      </c>
      <c r="E4356">
        <v>53.67</v>
      </c>
      <c r="F4356">
        <v>52975</v>
      </c>
    </row>
    <row r="4357" spans="1:6" x14ac:dyDescent="0.25">
      <c r="A4357" s="4">
        <v>40709</v>
      </c>
      <c r="B4357">
        <v>54.233499999999999</v>
      </c>
      <c r="C4357">
        <v>54.5152</v>
      </c>
      <c r="D4357">
        <v>53.599600000000002</v>
      </c>
      <c r="E4357">
        <v>54.233499999999999</v>
      </c>
      <c r="F4357">
        <v>91840</v>
      </c>
    </row>
    <row r="4358" spans="1:6" x14ac:dyDescent="0.25">
      <c r="A4358" s="4">
        <v>40710</v>
      </c>
      <c r="B4358">
        <v>53.529200000000003</v>
      </c>
      <c r="C4358">
        <v>53.67</v>
      </c>
      <c r="D4358">
        <v>53.1066</v>
      </c>
      <c r="E4358">
        <v>53.177</v>
      </c>
      <c r="F4358">
        <v>63135</v>
      </c>
    </row>
    <row r="4359" spans="1:6" x14ac:dyDescent="0.25">
      <c r="A4359" s="4">
        <v>40711</v>
      </c>
      <c r="B4359">
        <v>52.824800000000003</v>
      </c>
      <c r="C4359">
        <v>52.895299999999999</v>
      </c>
      <c r="D4359">
        <v>52.190899999999999</v>
      </c>
      <c r="E4359">
        <v>52.261400000000002</v>
      </c>
      <c r="F4359">
        <v>91732</v>
      </c>
    </row>
    <row r="4360" spans="1:6" x14ac:dyDescent="0.25">
      <c r="A4360" s="4">
        <v>40714</v>
      </c>
      <c r="B4360">
        <v>52.543100000000003</v>
      </c>
      <c r="C4360">
        <v>53.1066</v>
      </c>
      <c r="D4360">
        <v>52.190899999999999</v>
      </c>
      <c r="E4360">
        <v>52.754399999999997</v>
      </c>
      <c r="F4360">
        <v>31787</v>
      </c>
    </row>
    <row r="4361" spans="1:6" x14ac:dyDescent="0.25">
      <c r="A4361" s="4">
        <v>40715</v>
      </c>
      <c r="B4361">
        <v>53.1066</v>
      </c>
      <c r="C4361">
        <v>53.67</v>
      </c>
      <c r="D4361">
        <v>53.036099999999998</v>
      </c>
      <c r="E4361">
        <v>53.4587</v>
      </c>
      <c r="F4361">
        <v>42663</v>
      </c>
    </row>
    <row r="4362" spans="1:6" x14ac:dyDescent="0.25">
      <c r="A4362" s="4">
        <v>40716</v>
      </c>
      <c r="B4362">
        <v>53.740499999999997</v>
      </c>
      <c r="C4362">
        <v>53.740499999999997</v>
      </c>
      <c r="D4362">
        <v>52.543100000000003</v>
      </c>
      <c r="E4362">
        <v>52.824800000000003</v>
      </c>
      <c r="F4362">
        <v>46703</v>
      </c>
    </row>
    <row r="4363" spans="1:6" x14ac:dyDescent="0.25">
      <c r="A4363" s="4">
        <v>40717</v>
      </c>
      <c r="B4363">
        <v>52.613500000000002</v>
      </c>
      <c r="C4363">
        <v>52.754399999999997</v>
      </c>
      <c r="D4363">
        <v>51.979599999999998</v>
      </c>
      <c r="E4363">
        <v>52.261400000000002</v>
      </c>
      <c r="F4363">
        <v>70233</v>
      </c>
    </row>
    <row r="4364" spans="1:6" x14ac:dyDescent="0.25">
      <c r="A4364" s="4">
        <v>40718</v>
      </c>
      <c r="B4364">
        <v>51.838799999999999</v>
      </c>
      <c r="C4364">
        <v>51.838799999999999</v>
      </c>
      <c r="D4364">
        <v>50.641399999999997</v>
      </c>
      <c r="E4364">
        <v>51.345700000000001</v>
      </c>
      <c r="F4364">
        <v>86769</v>
      </c>
    </row>
    <row r="4365" spans="1:6" x14ac:dyDescent="0.25">
      <c r="A4365" s="4">
        <v>40721</v>
      </c>
      <c r="B4365">
        <v>50.711799999999997</v>
      </c>
      <c r="C4365">
        <v>50.782299999999999</v>
      </c>
      <c r="D4365">
        <v>50.430100000000003</v>
      </c>
      <c r="E4365">
        <v>50.711799999999997</v>
      </c>
      <c r="F4365">
        <v>65176</v>
      </c>
    </row>
    <row r="4366" spans="1:6" x14ac:dyDescent="0.25">
      <c r="A4366" s="4">
        <v>40722</v>
      </c>
      <c r="B4366">
        <v>50.782299999999999</v>
      </c>
      <c r="C4366">
        <v>51.134399999999999</v>
      </c>
      <c r="D4366">
        <v>50.570999999999998</v>
      </c>
      <c r="E4366">
        <v>51.064</v>
      </c>
      <c r="F4366">
        <v>101716</v>
      </c>
    </row>
    <row r="4367" spans="1:6" x14ac:dyDescent="0.25">
      <c r="A4367" s="4">
        <v>40723</v>
      </c>
      <c r="B4367">
        <v>52.092300000000002</v>
      </c>
      <c r="C4367">
        <v>52.9739</v>
      </c>
      <c r="D4367">
        <v>51.724899999999998</v>
      </c>
      <c r="E4367">
        <v>52.459600000000002</v>
      </c>
      <c r="F4367">
        <v>93106</v>
      </c>
    </row>
    <row r="4368" spans="1:6" x14ac:dyDescent="0.25">
      <c r="A4368" s="4">
        <v>40724</v>
      </c>
      <c r="B4368">
        <v>52.459600000000002</v>
      </c>
      <c r="C4368">
        <v>53.047400000000003</v>
      </c>
      <c r="D4368">
        <v>52.386200000000002</v>
      </c>
      <c r="E4368">
        <v>53.047400000000003</v>
      </c>
      <c r="F4368">
        <v>48913</v>
      </c>
    </row>
    <row r="4369" spans="1:6" x14ac:dyDescent="0.25">
      <c r="A4369" s="4">
        <v>40725</v>
      </c>
      <c r="B4369">
        <v>53.047400000000003</v>
      </c>
      <c r="C4369">
        <v>53.635199999999998</v>
      </c>
      <c r="D4369">
        <v>52.900500000000001</v>
      </c>
      <c r="E4369">
        <v>53.488300000000002</v>
      </c>
      <c r="F4369">
        <v>41925</v>
      </c>
    </row>
    <row r="4370" spans="1:6" x14ac:dyDescent="0.25">
      <c r="A4370" s="4">
        <v>40728</v>
      </c>
      <c r="B4370">
        <v>54.296500000000002</v>
      </c>
      <c r="C4370">
        <v>54.296500000000002</v>
      </c>
      <c r="D4370">
        <v>53.7087</v>
      </c>
      <c r="E4370">
        <v>54.002600000000001</v>
      </c>
      <c r="F4370">
        <v>44330</v>
      </c>
    </row>
    <row r="4371" spans="1:6" x14ac:dyDescent="0.25">
      <c r="A4371" s="4">
        <v>40729</v>
      </c>
      <c r="B4371">
        <v>53.7821</v>
      </c>
      <c r="C4371">
        <v>53.855600000000003</v>
      </c>
      <c r="D4371">
        <v>53.194400000000002</v>
      </c>
      <c r="E4371">
        <v>53.7821</v>
      </c>
      <c r="F4371">
        <v>39009</v>
      </c>
    </row>
    <row r="4372" spans="1:6" x14ac:dyDescent="0.25">
      <c r="A4372" s="4">
        <v>40730</v>
      </c>
      <c r="B4372">
        <v>53.7821</v>
      </c>
      <c r="C4372">
        <v>53.929099999999998</v>
      </c>
      <c r="D4372">
        <v>53.267800000000001</v>
      </c>
      <c r="E4372">
        <v>53.488300000000002</v>
      </c>
      <c r="F4372">
        <v>43444</v>
      </c>
    </row>
    <row r="4373" spans="1:6" x14ac:dyDescent="0.25">
      <c r="A4373" s="4">
        <v>40731</v>
      </c>
      <c r="B4373">
        <v>52.9739</v>
      </c>
      <c r="C4373">
        <v>53.120899999999999</v>
      </c>
      <c r="D4373">
        <v>52.533099999999997</v>
      </c>
      <c r="E4373">
        <v>52.6066</v>
      </c>
      <c r="F4373">
        <v>47743</v>
      </c>
    </row>
    <row r="4374" spans="1:6" x14ac:dyDescent="0.25">
      <c r="A4374" s="4">
        <v>40732</v>
      </c>
      <c r="B4374">
        <v>52.9739</v>
      </c>
      <c r="C4374">
        <v>53.488300000000002</v>
      </c>
      <c r="D4374">
        <v>52.900500000000001</v>
      </c>
      <c r="E4374">
        <v>53.267800000000001</v>
      </c>
      <c r="F4374">
        <v>52962</v>
      </c>
    </row>
    <row r="4375" spans="1:6" x14ac:dyDescent="0.25">
      <c r="A4375" s="4">
        <v>40735</v>
      </c>
      <c r="B4375">
        <v>53.341299999999997</v>
      </c>
      <c r="C4375">
        <v>53.341299999999997</v>
      </c>
      <c r="D4375">
        <v>51.578000000000003</v>
      </c>
      <c r="E4375">
        <v>52.386200000000002</v>
      </c>
      <c r="F4375">
        <v>52113</v>
      </c>
    </row>
    <row r="4376" spans="1:6" x14ac:dyDescent="0.25">
      <c r="A4376" s="4">
        <v>40736</v>
      </c>
      <c r="B4376">
        <v>51.8718</v>
      </c>
      <c r="C4376">
        <v>52.018799999999999</v>
      </c>
      <c r="D4376">
        <v>51.5045</v>
      </c>
      <c r="E4376">
        <v>51.651400000000002</v>
      </c>
      <c r="F4376">
        <v>40008</v>
      </c>
    </row>
    <row r="4377" spans="1:6" x14ac:dyDescent="0.25">
      <c r="A4377" s="4">
        <v>40737</v>
      </c>
      <c r="B4377">
        <v>51.798400000000001</v>
      </c>
      <c r="C4377">
        <v>53.267800000000001</v>
      </c>
      <c r="D4377">
        <v>51.5045</v>
      </c>
      <c r="E4377">
        <v>53.047400000000003</v>
      </c>
      <c r="F4377">
        <v>69110</v>
      </c>
    </row>
    <row r="4378" spans="1:6" x14ac:dyDescent="0.25">
      <c r="A4378" s="4">
        <v>40738</v>
      </c>
      <c r="B4378">
        <v>51.798400000000001</v>
      </c>
      <c r="C4378">
        <v>52.459600000000002</v>
      </c>
      <c r="D4378">
        <v>51.5045</v>
      </c>
      <c r="E4378">
        <v>51.945300000000003</v>
      </c>
      <c r="F4378">
        <v>54412</v>
      </c>
    </row>
    <row r="4379" spans="1:6" x14ac:dyDescent="0.25">
      <c r="A4379" s="4">
        <v>40739</v>
      </c>
      <c r="B4379">
        <v>51.430999999999997</v>
      </c>
      <c r="C4379">
        <v>51.578000000000003</v>
      </c>
      <c r="D4379">
        <v>51.063600000000001</v>
      </c>
      <c r="E4379">
        <v>51.357500000000002</v>
      </c>
      <c r="F4379">
        <v>89122</v>
      </c>
    </row>
    <row r="4380" spans="1:6" x14ac:dyDescent="0.25">
      <c r="A4380" s="4">
        <v>40742</v>
      </c>
      <c r="B4380">
        <v>51.210599999999999</v>
      </c>
      <c r="C4380">
        <v>51.578000000000003</v>
      </c>
      <c r="D4380">
        <v>50.990200000000002</v>
      </c>
      <c r="E4380">
        <v>51.210599999999999</v>
      </c>
      <c r="F4380">
        <v>37966</v>
      </c>
    </row>
    <row r="4381" spans="1:6" x14ac:dyDescent="0.25">
      <c r="A4381" s="4">
        <v>40743</v>
      </c>
      <c r="B4381">
        <v>51.137099999999997</v>
      </c>
      <c r="C4381">
        <v>51.284100000000002</v>
      </c>
      <c r="D4381">
        <v>50.328899999999997</v>
      </c>
      <c r="E4381">
        <v>50.328899999999997</v>
      </c>
      <c r="F4381">
        <v>57460</v>
      </c>
    </row>
    <row r="4382" spans="1:6" x14ac:dyDescent="0.25">
      <c r="A4382" s="4">
        <v>40744</v>
      </c>
      <c r="B4382">
        <v>51.210599999999999</v>
      </c>
      <c r="C4382">
        <v>52.68</v>
      </c>
      <c r="D4382">
        <v>50.990200000000002</v>
      </c>
      <c r="E4382">
        <v>52.6066</v>
      </c>
      <c r="F4382">
        <v>58272</v>
      </c>
    </row>
    <row r="4383" spans="1:6" x14ac:dyDescent="0.25">
      <c r="A4383" s="4">
        <v>40745</v>
      </c>
      <c r="B4383">
        <v>52.459600000000002</v>
      </c>
      <c r="C4383">
        <v>52.6066</v>
      </c>
      <c r="D4383">
        <v>51.8718</v>
      </c>
      <c r="E4383">
        <v>52.6066</v>
      </c>
      <c r="F4383">
        <v>33277</v>
      </c>
    </row>
    <row r="4384" spans="1:6" x14ac:dyDescent="0.25">
      <c r="A4384" s="4">
        <v>40746</v>
      </c>
      <c r="B4384">
        <v>53.194400000000002</v>
      </c>
      <c r="C4384">
        <v>53.194400000000002</v>
      </c>
      <c r="D4384">
        <v>52.68</v>
      </c>
      <c r="E4384">
        <v>52.900500000000001</v>
      </c>
      <c r="F4384">
        <v>38244</v>
      </c>
    </row>
    <row r="4385" spans="1:6" x14ac:dyDescent="0.25">
      <c r="A4385" s="4">
        <v>40749</v>
      </c>
      <c r="B4385">
        <v>53.194400000000002</v>
      </c>
      <c r="C4385">
        <v>53.267800000000001</v>
      </c>
      <c r="D4385">
        <v>52.459600000000002</v>
      </c>
      <c r="E4385">
        <v>52.900500000000001</v>
      </c>
      <c r="F4385">
        <v>34963</v>
      </c>
    </row>
    <row r="4386" spans="1:6" x14ac:dyDescent="0.25">
      <c r="A4386" s="4">
        <v>40750</v>
      </c>
      <c r="B4386">
        <v>53.120899999999999</v>
      </c>
      <c r="C4386">
        <v>54.149500000000003</v>
      </c>
      <c r="D4386">
        <v>53.120899999999999</v>
      </c>
      <c r="E4386">
        <v>54.149500000000003</v>
      </c>
      <c r="F4386">
        <v>53159</v>
      </c>
    </row>
    <row r="4387" spans="1:6" x14ac:dyDescent="0.25">
      <c r="A4387" s="4">
        <v>40751</v>
      </c>
      <c r="B4387">
        <v>54.149500000000003</v>
      </c>
      <c r="C4387">
        <v>54.296500000000002</v>
      </c>
      <c r="D4387">
        <v>53.635199999999998</v>
      </c>
      <c r="E4387">
        <v>53.929099999999998</v>
      </c>
      <c r="F4387">
        <v>45636</v>
      </c>
    </row>
    <row r="4388" spans="1:6" x14ac:dyDescent="0.25">
      <c r="A4388" s="4">
        <v>40752</v>
      </c>
      <c r="B4388">
        <v>53.488300000000002</v>
      </c>
      <c r="C4388">
        <v>53.929099999999998</v>
      </c>
      <c r="D4388">
        <v>53.120899999999999</v>
      </c>
      <c r="E4388">
        <v>53.635199999999998</v>
      </c>
      <c r="F4388">
        <v>33721</v>
      </c>
    </row>
    <row r="4389" spans="1:6" x14ac:dyDescent="0.25">
      <c r="A4389" s="4">
        <v>40753</v>
      </c>
      <c r="B4389">
        <v>52.753500000000003</v>
      </c>
      <c r="C4389">
        <v>53.194400000000002</v>
      </c>
      <c r="D4389">
        <v>52.386200000000002</v>
      </c>
      <c r="E4389">
        <v>52.900500000000001</v>
      </c>
      <c r="F4389">
        <v>60693</v>
      </c>
    </row>
    <row r="4390" spans="1:6" x14ac:dyDescent="0.25">
      <c r="A4390" s="4">
        <v>40756</v>
      </c>
      <c r="B4390">
        <v>52.900500000000001</v>
      </c>
      <c r="C4390">
        <v>53.488300000000002</v>
      </c>
      <c r="D4390">
        <v>52.900500000000001</v>
      </c>
      <c r="E4390">
        <v>53.341299999999997</v>
      </c>
      <c r="F4390">
        <v>41139</v>
      </c>
    </row>
    <row r="4391" spans="1:6" x14ac:dyDescent="0.25">
      <c r="A4391" s="4">
        <v>40757</v>
      </c>
      <c r="B4391">
        <v>52.900500000000001</v>
      </c>
      <c r="C4391">
        <v>52.9739</v>
      </c>
      <c r="D4391">
        <v>52.3127</v>
      </c>
      <c r="E4391">
        <v>52.459600000000002</v>
      </c>
      <c r="F4391">
        <v>33521</v>
      </c>
    </row>
    <row r="4392" spans="1:6" x14ac:dyDescent="0.25">
      <c r="A4392" s="4">
        <v>40758</v>
      </c>
      <c r="B4392">
        <v>51.5045</v>
      </c>
      <c r="C4392">
        <v>51.798400000000001</v>
      </c>
      <c r="D4392">
        <v>51.284100000000002</v>
      </c>
      <c r="E4392">
        <v>51.5045</v>
      </c>
      <c r="F4392">
        <v>46026</v>
      </c>
    </row>
    <row r="4393" spans="1:6" x14ac:dyDescent="0.25">
      <c r="A4393" s="4">
        <v>40759</v>
      </c>
      <c r="B4393">
        <v>51.137099999999997</v>
      </c>
      <c r="C4393">
        <v>51.945300000000003</v>
      </c>
      <c r="D4393">
        <v>51.137099999999997</v>
      </c>
      <c r="E4393">
        <v>51.430999999999997</v>
      </c>
      <c r="F4393">
        <v>45104</v>
      </c>
    </row>
    <row r="4394" spans="1:6" x14ac:dyDescent="0.25">
      <c r="A4394" s="4">
        <v>40760</v>
      </c>
      <c r="B4394">
        <v>48.492100000000001</v>
      </c>
      <c r="C4394">
        <v>49.961599999999997</v>
      </c>
      <c r="D4394">
        <v>48.492100000000001</v>
      </c>
      <c r="E4394">
        <v>48.932899999999997</v>
      </c>
      <c r="F4394">
        <v>89691</v>
      </c>
    </row>
    <row r="4395" spans="1:6" x14ac:dyDescent="0.25">
      <c r="A4395" s="4">
        <v>40763</v>
      </c>
      <c r="B4395">
        <v>48.492100000000001</v>
      </c>
      <c r="C4395">
        <v>49.520699999999998</v>
      </c>
      <c r="D4395">
        <v>47.022599999999997</v>
      </c>
      <c r="E4395">
        <v>47.904299999999999</v>
      </c>
      <c r="F4395">
        <v>97536</v>
      </c>
    </row>
    <row r="4396" spans="1:6" x14ac:dyDescent="0.25">
      <c r="A4396" s="4">
        <v>40764</v>
      </c>
      <c r="B4396">
        <v>45.920499999999997</v>
      </c>
      <c r="C4396">
        <v>47.830800000000004</v>
      </c>
      <c r="D4396">
        <v>45.700099999999999</v>
      </c>
      <c r="E4396">
        <v>46.508299999999998</v>
      </c>
      <c r="F4396">
        <v>116036</v>
      </c>
    </row>
    <row r="4397" spans="1:6" x14ac:dyDescent="0.25">
      <c r="A4397" s="4">
        <v>40765</v>
      </c>
      <c r="B4397">
        <v>47.830800000000004</v>
      </c>
      <c r="C4397">
        <v>49.226799999999997</v>
      </c>
      <c r="D4397">
        <v>47.757399999999997</v>
      </c>
      <c r="E4397">
        <v>48.345100000000002</v>
      </c>
      <c r="F4397">
        <v>109804</v>
      </c>
    </row>
    <row r="4398" spans="1:6" x14ac:dyDescent="0.25">
      <c r="A4398" s="4">
        <v>40766</v>
      </c>
      <c r="B4398">
        <v>47.463500000000003</v>
      </c>
      <c r="C4398">
        <v>49.079900000000002</v>
      </c>
      <c r="D4398">
        <v>47.022599999999997</v>
      </c>
      <c r="E4398">
        <v>48.786000000000001</v>
      </c>
      <c r="F4398">
        <v>54378</v>
      </c>
    </row>
    <row r="4399" spans="1:6" x14ac:dyDescent="0.25">
      <c r="A4399" s="4">
        <v>40767</v>
      </c>
      <c r="B4399">
        <v>49.373800000000003</v>
      </c>
      <c r="C4399">
        <v>49.667700000000004</v>
      </c>
      <c r="D4399">
        <v>47.830800000000004</v>
      </c>
      <c r="E4399">
        <v>47.830800000000004</v>
      </c>
      <c r="F4399">
        <v>64349</v>
      </c>
    </row>
    <row r="4400" spans="1:6" x14ac:dyDescent="0.25">
      <c r="A4400" s="4">
        <v>40770</v>
      </c>
      <c r="B4400">
        <v>49.153399999999998</v>
      </c>
      <c r="C4400">
        <v>49.153399999999998</v>
      </c>
      <c r="D4400">
        <v>48.418599999999998</v>
      </c>
      <c r="E4400">
        <v>49.079900000000002</v>
      </c>
      <c r="F4400">
        <v>40240</v>
      </c>
    </row>
    <row r="4401" spans="1:6" x14ac:dyDescent="0.25">
      <c r="A4401" s="4">
        <v>40771</v>
      </c>
      <c r="B4401">
        <v>49.079900000000002</v>
      </c>
      <c r="C4401">
        <v>49.079900000000002</v>
      </c>
      <c r="D4401">
        <v>48.492100000000001</v>
      </c>
      <c r="E4401">
        <v>48.492100000000001</v>
      </c>
      <c r="F4401">
        <v>39029</v>
      </c>
    </row>
    <row r="4402" spans="1:6" x14ac:dyDescent="0.25">
      <c r="A4402" s="4">
        <v>40772</v>
      </c>
      <c r="B4402">
        <v>48.492100000000001</v>
      </c>
      <c r="C4402">
        <v>48.639000000000003</v>
      </c>
      <c r="D4402">
        <v>47.977800000000002</v>
      </c>
      <c r="E4402">
        <v>48.345100000000002</v>
      </c>
      <c r="F4402">
        <v>35881</v>
      </c>
    </row>
    <row r="4403" spans="1:6" x14ac:dyDescent="0.25">
      <c r="A4403" s="4">
        <v>40773</v>
      </c>
      <c r="B4403">
        <v>48.345100000000002</v>
      </c>
      <c r="C4403">
        <v>48.345100000000002</v>
      </c>
      <c r="D4403">
        <v>46.508299999999998</v>
      </c>
      <c r="E4403">
        <v>47.316499999999998</v>
      </c>
      <c r="F4403">
        <v>73320</v>
      </c>
    </row>
    <row r="4404" spans="1:6" x14ac:dyDescent="0.25">
      <c r="A4404" s="4">
        <v>40774</v>
      </c>
      <c r="B4404">
        <v>46.361400000000003</v>
      </c>
      <c r="C4404">
        <v>46.949199999999998</v>
      </c>
      <c r="D4404">
        <v>46.2879</v>
      </c>
      <c r="E4404">
        <v>46.949199999999998</v>
      </c>
      <c r="F4404">
        <v>49269</v>
      </c>
    </row>
    <row r="4405" spans="1:6" x14ac:dyDescent="0.25">
      <c r="A4405" s="4">
        <v>40777</v>
      </c>
      <c r="B4405">
        <v>46.728700000000003</v>
      </c>
      <c r="C4405">
        <v>48.124699999999997</v>
      </c>
      <c r="D4405">
        <v>46.2879</v>
      </c>
      <c r="E4405">
        <v>47.757399999999997</v>
      </c>
      <c r="F4405">
        <v>46372</v>
      </c>
    </row>
    <row r="4406" spans="1:6" x14ac:dyDescent="0.25">
      <c r="A4406" s="4">
        <v>40778</v>
      </c>
      <c r="B4406">
        <v>47.757399999999997</v>
      </c>
      <c r="C4406">
        <v>49.3003</v>
      </c>
      <c r="D4406">
        <v>47.757399999999997</v>
      </c>
      <c r="E4406">
        <v>49.079900000000002</v>
      </c>
      <c r="F4406">
        <v>46548</v>
      </c>
    </row>
    <row r="4407" spans="1:6" x14ac:dyDescent="0.25">
      <c r="A4407" s="4">
        <v>40779</v>
      </c>
      <c r="B4407">
        <v>49.741100000000003</v>
      </c>
      <c r="C4407">
        <v>49.741100000000003</v>
      </c>
      <c r="D4407">
        <v>48.786000000000001</v>
      </c>
      <c r="E4407">
        <v>49.594200000000001</v>
      </c>
      <c r="F4407">
        <v>50480</v>
      </c>
    </row>
    <row r="4408" spans="1:6" x14ac:dyDescent="0.25">
      <c r="A4408" s="4">
        <v>40780</v>
      </c>
      <c r="B4408">
        <v>49.520699999999998</v>
      </c>
      <c r="C4408">
        <v>49.667700000000004</v>
      </c>
      <c r="D4408">
        <v>48.786000000000001</v>
      </c>
      <c r="E4408">
        <v>49.226799999999997</v>
      </c>
      <c r="F4408">
        <v>30883</v>
      </c>
    </row>
    <row r="4409" spans="1:6" x14ac:dyDescent="0.25">
      <c r="A4409" s="4">
        <v>40781</v>
      </c>
      <c r="B4409">
        <v>49.3003</v>
      </c>
      <c r="C4409">
        <v>50.182000000000002</v>
      </c>
      <c r="D4409">
        <v>49.226799999999997</v>
      </c>
      <c r="E4409">
        <v>49.888100000000001</v>
      </c>
      <c r="F4409">
        <v>40513</v>
      </c>
    </row>
    <row r="4410" spans="1:6" x14ac:dyDescent="0.25">
      <c r="A4410" s="4">
        <v>40784</v>
      </c>
      <c r="B4410">
        <v>50.4024</v>
      </c>
      <c r="C4410">
        <v>51.357500000000002</v>
      </c>
      <c r="D4410">
        <v>50.034999999999997</v>
      </c>
      <c r="E4410">
        <v>50.990200000000002</v>
      </c>
      <c r="F4410">
        <v>38635</v>
      </c>
    </row>
    <row r="4411" spans="1:6" x14ac:dyDescent="0.25">
      <c r="A4411" s="4">
        <v>40785</v>
      </c>
      <c r="B4411">
        <v>51.651400000000002</v>
      </c>
      <c r="C4411">
        <v>51.651400000000002</v>
      </c>
      <c r="D4411">
        <v>50.4024</v>
      </c>
      <c r="E4411">
        <v>50.696300000000001</v>
      </c>
      <c r="F4411">
        <v>33757</v>
      </c>
    </row>
    <row r="4412" spans="1:6" x14ac:dyDescent="0.25">
      <c r="A4412" s="4">
        <v>40786</v>
      </c>
      <c r="B4412">
        <v>50.769799999999996</v>
      </c>
      <c r="C4412">
        <v>50.990200000000002</v>
      </c>
      <c r="D4412">
        <v>49.814599999999999</v>
      </c>
      <c r="E4412">
        <v>50.990200000000002</v>
      </c>
      <c r="F4412">
        <v>47790</v>
      </c>
    </row>
    <row r="4413" spans="1:6" x14ac:dyDescent="0.25">
      <c r="A4413" s="4">
        <v>40787</v>
      </c>
      <c r="B4413">
        <v>50.990200000000002</v>
      </c>
      <c r="C4413">
        <v>51.284100000000002</v>
      </c>
      <c r="D4413">
        <v>50.4024</v>
      </c>
      <c r="E4413">
        <v>50.4024</v>
      </c>
      <c r="F4413">
        <v>47995</v>
      </c>
    </row>
    <row r="4414" spans="1:6" x14ac:dyDescent="0.25">
      <c r="A4414" s="4">
        <v>40788</v>
      </c>
      <c r="B4414">
        <v>51.063600000000001</v>
      </c>
      <c r="C4414">
        <v>51.063600000000001</v>
      </c>
      <c r="D4414">
        <v>49.3003</v>
      </c>
      <c r="E4414">
        <v>49.594200000000001</v>
      </c>
      <c r="F4414">
        <v>44964</v>
      </c>
    </row>
    <row r="4415" spans="1:6" x14ac:dyDescent="0.25">
      <c r="A4415" s="4">
        <v>40791</v>
      </c>
      <c r="B4415">
        <v>48.565600000000003</v>
      </c>
      <c r="C4415">
        <v>49.3003</v>
      </c>
      <c r="D4415">
        <v>48.418599999999998</v>
      </c>
      <c r="E4415">
        <v>48.932899999999997</v>
      </c>
      <c r="F4415">
        <v>49912</v>
      </c>
    </row>
    <row r="4416" spans="1:6" x14ac:dyDescent="0.25">
      <c r="A4416" s="4">
        <v>40792</v>
      </c>
      <c r="B4416">
        <v>48.859499999999997</v>
      </c>
      <c r="C4416">
        <v>49.373800000000003</v>
      </c>
      <c r="D4416">
        <v>48.565600000000003</v>
      </c>
      <c r="E4416">
        <v>48.565600000000003</v>
      </c>
      <c r="F4416">
        <v>40851</v>
      </c>
    </row>
    <row r="4417" spans="1:6" x14ac:dyDescent="0.25">
      <c r="A4417" s="4">
        <v>40793</v>
      </c>
      <c r="B4417">
        <v>49.226799999999997</v>
      </c>
      <c r="C4417">
        <v>50.4024</v>
      </c>
      <c r="D4417">
        <v>49.079900000000002</v>
      </c>
      <c r="E4417">
        <v>50.4024</v>
      </c>
      <c r="F4417">
        <v>40117</v>
      </c>
    </row>
    <row r="4418" spans="1:6" x14ac:dyDescent="0.25">
      <c r="A4418" s="4">
        <v>40794</v>
      </c>
      <c r="B4418">
        <v>51.137099999999997</v>
      </c>
      <c r="C4418">
        <v>51.137099999999997</v>
      </c>
      <c r="D4418">
        <v>50.255400000000002</v>
      </c>
      <c r="E4418">
        <v>50.475900000000003</v>
      </c>
      <c r="F4418">
        <v>43046</v>
      </c>
    </row>
    <row r="4419" spans="1:6" x14ac:dyDescent="0.25">
      <c r="A4419" s="4">
        <v>40795</v>
      </c>
      <c r="B4419">
        <v>51.063600000000001</v>
      </c>
      <c r="C4419">
        <v>51.5045</v>
      </c>
      <c r="D4419">
        <v>50.622799999999998</v>
      </c>
      <c r="E4419">
        <v>50.916699999999999</v>
      </c>
      <c r="F4419">
        <v>38351</v>
      </c>
    </row>
    <row r="4420" spans="1:6" x14ac:dyDescent="0.25">
      <c r="A4420" s="4">
        <v>40799</v>
      </c>
      <c r="B4420">
        <v>51.137099999999997</v>
      </c>
      <c r="C4420">
        <v>51.430999999999997</v>
      </c>
      <c r="D4420">
        <v>50.255400000000002</v>
      </c>
      <c r="E4420">
        <v>50.255400000000002</v>
      </c>
      <c r="F4420">
        <v>34951</v>
      </c>
    </row>
    <row r="4421" spans="1:6" x14ac:dyDescent="0.25">
      <c r="A4421" s="4">
        <v>40800</v>
      </c>
      <c r="B4421">
        <v>51.063600000000001</v>
      </c>
      <c r="C4421">
        <v>51.137099999999997</v>
      </c>
      <c r="D4421">
        <v>49.153399999999998</v>
      </c>
      <c r="E4421">
        <v>49.373800000000003</v>
      </c>
      <c r="F4421">
        <v>60846</v>
      </c>
    </row>
    <row r="4422" spans="1:6" x14ac:dyDescent="0.25">
      <c r="A4422" s="4">
        <v>40801</v>
      </c>
      <c r="B4422">
        <v>50.696300000000001</v>
      </c>
      <c r="C4422">
        <v>51.284100000000002</v>
      </c>
      <c r="D4422">
        <v>50.328899999999997</v>
      </c>
      <c r="E4422">
        <v>50.769799999999996</v>
      </c>
      <c r="F4422">
        <v>44237</v>
      </c>
    </row>
    <row r="4423" spans="1:6" x14ac:dyDescent="0.25">
      <c r="A4423" s="4">
        <v>40802</v>
      </c>
      <c r="B4423">
        <v>51.724899999999998</v>
      </c>
      <c r="C4423">
        <v>52.900500000000001</v>
      </c>
      <c r="D4423">
        <v>51.651400000000002</v>
      </c>
      <c r="E4423">
        <v>52.239199999999997</v>
      </c>
      <c r="F4423">
        <v>78609</v>
      </c>
    </row>
    <row r="4424" spans="1:6" x14ac:dyDescent="0.25">
      <c r="A4424" s="4">
        <v>40805</v>
      </c>
      <c r="B4424">
        <v>52.459600000000002</v>
      </c>
      <c r="C4424">
        <v>52.68</v>
      </c>
      <c r="D4424">
        <v>51.945300000000003</v>
      </c>
      <c r="E4424">
        <v>52.3127</v>
      </c>
      <c r="F4424">
        <v>28799</v>
      </c>
    </row>
    <row r="4425" spans="1:6" x14ac:dyDescent="0.25">
      <c r="A4425" s="4">
        <v>40806</v>
      </c>
      <c r="B4425">
        <v>52.165700000000001</v>
      </c>
      <c r="C4425">
        <v>52.68</v>
      </c>
      <c r="D4425">
        <v>51.210599999999999</v>
      </c>
      <c r="E4425">
        <v>51.798400000000001</v>
      </c>
      <c r="F4425">
        <v>46911</v>
      </c>
    </row>
    <row r="4426" spans="1:6" x14ac:dyDescent="0.25">
      <c r="A4426" s="4">
        <v>40807</v>
      </c>
      <c r="B4426">
        <v>52.165700000000001</v>
      </c>
      <c r="C4426">
        <v>52.9739</v>
      </c>
      <c r="D4426">
        <v>52.092300000000002</v>
      </c>
      <c r="E4426">
        <v>52.900500000000001</v>
      </c>
      <c r="F4426">
        <v>54414</v>
      </c>
    </row>
    <row r="4427" spans="1:6" x14ac:dyDescent="0.25">
      <c r="A4427" s="4">
        <v>40808</v>
      </c>
      <c r="B4427">
        <v>51.578000000000003</v>
      </c>
      <c r="C4427">
        <v>51.798400000000001</v>
      </c>
      <c r="D4427">
        <v>50.696300000000001</v>
      </c>
      <c r="E4427">
        <v>50.696300000000001</v>
      </c>
      <c r="F4427">
        <v>64921</v>
      </c>
    </row>
    <row r="4428" spans="1:6" x14ac:dyDescent="0.25">
      <c r="A4428" s="4">
        <v>40809</v>
      </c>
      <c r="B4428">
        <v>50.108499999999999</v>
      </c>
      <c r="C4428">
        <v>50.622799999999998</v>
      </c>
      <c r="D4428">
        <v>49.520699999999998</v>
      </c>
      <c r="E4428">
        <v>49.594200000000001</v>
      </c>
      <c r="F4428">
        <v>89409</v>
      </c>
    </row>
    <row r="4429" spans="1:6" x14ac:dyDescent="0.25">
      <c r="A4429" s="4">
        <v>40812</v>
      </c>
      <c r="B4429">
        <v>49.741100000000003</v>
      </c>
      <c r="C4429">
        <v>50.182000000000002</v>
      </c>
      <c r="D4429">
        <v>49.153399999999998</v>
      </c>
      <c r="E4429">
        <v>49.373800000000003</v>
      </c>
      <c r="F4429">
        <v>61686</v>
      </c>
    </row>
    <row r="4430" spans="1:6" x14ac:dyDescent="0.25">
      <c r="A4430" s="4">
        <v>40813</v>
      </c>
      <c r="B4430">
        <v>50.622799999999998</v>
      </c>
      <c r="C4430">
        <v>51.578000000000003</v>
      </c>
      <c r="D4430">
        <v>50.475900000000003</v>
      </c>
      <c r="E4430">
        <v>51.357500000000002</v>
      </c>
      <c r="F4430">
        <v>56720</v>
      </c>
    </row>
    <row r="4431" spans="1:6" x14ac:dyDescent="0.25">
      <c r="A4431" s="4">
        <v>40814</v>
      </c>
      <c r="B4431">
        <v>52.018799999999999</v>
      </c>
      <c r="C4431">
        <v>52.092300000000002</v>
      </c>
      <c r="D4431">
        <v>51.284100000000002</v>
      </c>
      <c r="E4431">
        <v>51.651400000000002</v>
      </c>
      <c r="F4431">
        <v>46783</v>
      </c>
    </row>
    <row r="4432" spans="1:6" x14ac:dyDescent="0.25">
      <c r="A4432" s="4">
        <v>40815</v>
      </c>
      <c r="B4432">
        <v>51.137099999999997</v>
      </c>
      <c r="C4432">
        <v>52.092300000000002</v>
      </c>
      <c r="D4432">
        <v>50.916699999999999</v>
      </c>
      <c r="E4432">
        <v>51.651400000000002</v>
      </c>
      <c r="F4432">
        <v>39956</v>
      </c>
    </row>
    <row r="4433" spans="1:6" x14ac:dyDescent="0.25">
      <c r="A4433" s="4">
        <v>40816</v>
      </c>
      <c r="B4433">
        <v>51.651400000000002</v>
      </c>
      <c r="C4433">
        <v>52.018799999999999</v>
      </c>
      <c r="D4433">
        <v>50.696300000000001</v>
      </c>
      <c r="E4433">
        <v>51.430999999999997</v>
      </c>
      <c r="F4433">
        <v>60518</v>
      </c>
    </row>
    <row r="4434" spans="1:6" x14ac:dyDescent="0.25">
      <c r="A4434" s="4">
        <v>40819</v>
      </c>
      <c r="B4434">
        <v>51.430999999999997</v>
      </c>
      <c r="C4434">
        <v>51.430999999999997</v>
      </c>
      <c r="D4434">
        <v>50.034999999999997</v>
      </c>
      <c r="E4434">
        <v>50.4024</v>
      </c>
      <c r="F4434">
        <v>33969</v>
      </c>
    </row>
    <row r="4435" spans="1:6" x14ac:dyDescent="0.25">
      <c r="A4435" s="4">
        <v>40820</v>
      </c>
      <c r="B4435">
        <v>51.430999999999997</v>
      </c>
      <c r="C4435">
        <v>51.430999999999997</v>
      </c>
      <c r="D4435">
        <v>50.108499999999999</v>
      </c>
      <c r="E4435">
        <v>50.769799999999996</v>
      </c>
      <c r="F4435">
        <v>36568</v>
      </c>
    </row>
    <row r="4436" spans="1:6" x14ac:dyDescent="0.25">
      <c r="A4436" s="4">
        <v>40821</v>
      </c>
      <c r="B4436">
        <v>50.622799999999998</v>
      </c>
      <c r="C4436">
        <v>51.210599999999999</v>
      </c>
      <c r="D4436">
        <v>50.475900000000003</v>
      </c>
      <c r="E4436">
        <v>50.769799999999996</v>
      </c>
      <c r="F4436">
        <v>36350</v>
      </c>
    </row>
    <row r="4437" spans="1:6" x14ac:dyDescent="0.25">
      <c r="A4437" s="4">
        <v>40822</v>
      </c>
      <c r="B4437">
        <v>51.210599999999999</v>
      </c>
      <c r="C4437">
        <v>51.357500000000002</v>
      </c>
      <c r="D4437">
        <v>50.475900000000003</v>
      </c>
      <c r="E4437">
        <v>50.696300000000001</v>
      </c>
      <c r="F4437">
        <v>57264</v>
      </c>
    </row>
    <row r="4438" spans="1:6" x14ac:dyDescent="0.25">
      <c r="A4438" s="4">
        <v>40823</v>
      </c>
      <c r="B4438">
        <v>51.063600000000001</v>
      </c>
      <c r="C4438">
        <v>51.137099999999997</v>
      </c>
      <c r="D4438">
        <v>50.475900000000003</v>
      </c>
      <c r="E4438">
        <v>50.769799999999996</v>
      </c>
      <c r="F4438">
        <v>47924</v>
      </c>
    </row>
    <row r="4439" spans="1:6" x14ac:dyDescent="0.25">
      <c r="A4439" s="4">
        <v>40827</v>
      </c>
      <c r="B4439">
        <v>51.430999999999997</v>
      </c>
      <c r="C4439">
        <v>51.724899999999998</v>
      </c>
      <c r="D4439">
        <v>51.137099999999997</v>
      </c>
      <c r="E4439">
        <v>51.430999999999997</v>
      </c>
      <c r="F4439">
        <v>55727</v>
      </c>
    </row>
    <row r="4440" spans="1:6" x14ac:dyDescent="0.25">
      <c r="A4440" s="4">
        <v>40828</v>
      </c>
      <c r="B4440">
        <v>51.798400000000001</v>
      </c>
      <c r="C4440">
        <v>51.798400000000001</v>
      </c>
      <c r="D4440">
        <v>51.137099999999997</v>
      </c>
      <c r="E4440">
        <v>51.724899999999998</v>
      </c>
      <c r="F4440">
        <v>41639</v>
      </c>
    </row>
    <row r="4441" spans="1:6" x14ac:dyDescent="0.25">
      <c r="A4441" s="4">
        <v>40829</v>
      </c>
      <c r="B4441">
        <v>51.284100000000002</v>
      </c>
      <c r="C4441">
        <v>51.724899999999998</v>
      </c>
      <c r="D4441">
        <v>50.549300000000002</v>
      </c>
      <c r="E4441">
        <v>51.724899999999998</v>
      </c>
      <c r="F4441">
        <v>58477</v>
      </c>
    </row>
    <row r="4442" spans="1:6" x14ac:dyDescent="0.25">
      <c r="A4442" s="4">
        <v>40830</v>
      </c>
      <c r="B4442">
        <v>52.018799999999999</v>
      </c>
      <c r="C4442">
        <v>52.018799999999999</v>
      </c>
      <c r="D4442">
        <v>51.357500000000002</v>
      </c>
      <c r="E4442">
        <v>51.651400000000002</v>
      </c>
      <c r="F4442">
        <v>38791</v>
      </c>
    </row>
    <row r="4443" spans="1:6" x14ac:dyDescent="0.25">
      <c r="A4443" s="4">
        <v>40833</v>
      </c>
      <c r="B4443">
        <v>52.018799999999999</v>
      </c>
      <c r="C4443">
        <v>52.239199999999997</v>
      </c>
      <c r="D4443">
        <v>51.798400000000001</v>
      </c>
      <c r="E4443">
        <v>52.239199999999997</v>
      </c>
      <c r="F4443">
        <v>39054</v>
      </c>
    </row>
    <row r="4444" spans="1:6" x14ac:dyDescent="0.25">
      <c r="A4444" s="4">
        <v>40834</v>
      </c>
      <c r="B4444">
        <v>51.5045</v>
      </c>
      <c r="C4444">
        <v>51.945300000000003</v>
      </c>
      <c r="D4444">
        <v>51.430999999999997</v>
      </c>
      <c r="E4444">
        <v>51.945300000000003</v>
      </c>
      <c r="F4444">
        <v>25860</v>
      </c>
    </row>
    <row r="4445" spans="1:6" x14ac:dyDescent="0.25">
      <c r="A4445" s="4">
        <v>40835</v>
      </c>
      <c r="B4445">
        <v>52.165700000000001</v>
      </c>
      <c r="C4445">
        <v>52.239199999999997</v>
      </c>
      <c r="D4445">
        <v>51.578000000000003</v>
      </c>
      <c r="E4445">
        <v>52.239199999999997</v>
      </c>
      <c r="F4445">
        <v>32281</v>
      </c>
    </row>
    <row r="4446" spans="1:6" x14ac:dyDescent="0.25">
      <c r="A4446" s="4">
        <v>40836</v>
      </c>
      <c r="B4446">
        <v>51.798400000000001</v>
      </c>
      <c r="C4446">
        <v>51.945300000000003</v>
      </c>
      <c r="D4446">
        <v>51.137099999999997</v>
      </c>
      <c r="E4446">
        <v>51.210599999999999</v>
      </c>
      <c r="F4446">
        <v>27287</v>
      </c>
    </row>
    <row r="4447" spans="1:6" x14ac:dyDescent="0.25">
      <c r="A4447" s="4">
        <v>40837</v>
      </c>
      <c r="B4447">
        <v>51.945300000000003</v>
      </c>
      <c r="C4447">
        <v>51.945300000000003</v>
      </c>
      <c r="D4447">
        <v>51.137099999999997</v>
      </c>
      <c r="E4447">
        <v>51.651400000000002</v>
      </c>
      <c r="F4447">
        <v>17966</v>
      </c>
    </row>
    <row r="4448" spans="1:6" x14ac:dyDescent="0.25">
      <c r="A4448" s="4">
        <v>40840</v>
      </c>
      <c r="B4448">
        <v>52.3127</v>
      </c>
      <c r="C4448">
        <v>52.826999999999998</v>
      </c>
      <c r="D4448">
        <v>52.3127</v>
      </c>
      <c r="E4448">
        <v>52.68</v>
      </c>
      <c r="F4448">
        <v>50146</v>
      </c>
    </row>
    <row r="4449" spans="1:6" x14ac:dyDescent="0.25">
      <c r="A4449" s="4">
        <v>40841</v>
      </c>
      <c r="B4449">
        <v>52.753500000000003</v>
      </c>
      <c r="C4449">
        <v>52.900500000000001</v>
      </c>
      <c r="D4449">
        <v>52.165700000000001</v>
      </c>
      <c r="E4449">
        <v>52.533099999999997</v>
      </c>
      <c r="F4449">
        <v>43179</v>
      </c>
    </row>
    <row r="4450" spans="1:6" x14ac:dyDescent="0.25">
      <c r="A4450" s="4">
        <v>40842</v>
      </c>
      <c r="B4450">
        <v>52.459600000000002</v>
      </c>
      <c r="C4450">
        <v>52.900500000000001</v>
      </c>
      <c r="D4450">
        <v>52.239199999999997</v>
      </c>
      <c r="E4450">
        <v>52.826999999999998</v>
      </c>
      <c r="F4450">
        <v>25727</v>
      </c>
    </row>
    <row r="4451" spans="1:6" x14ac:dyDescent="0.25">
      <c r="A4451" s="4">
        <v>40843</v>
      </c>
      <c r="B4451">
        <v>52.900500000000001</v>
      </c>
      <c r="C4451">
        <v>53.047400000000003</v>
      </c>
      <c r="D4451">
        <v>52.459600000000002</v>
      </c>
      <c r="E4451">
        <v>52.826999999999998</v>
      </c>
      <c r="F4451">
        <v>39438</v>
      </c>
    </row>
    <row r="4452" spans="1:6" x14ac:dyDescent="0.25">
      <c r="A4452" s="4">
        <v>40844</v>
      </c>
      <c r="B4452">
        <v>54.002600000000001</v>
      </c>
      <c r="C4452">
        <v>54.369900000000001</v>
      </c>
      <c r="D4452">
        <v>52.9739</v>
      </c>
      <c r="E4452">
        <v>53.7087</v>
      </c>
      <c r="F4452">
        <v>93383</v>
      </c>
    </row>
    <row r="4453" spans="1:6" x14ac:dyDescent="0.25">
      <c r="A4453" s="4">
        <v>40847</v>
      </c>
      <c r="B4453">
        <v>54.002600000000001</v>
      </c>
      <c r="C4453">
        <v>54.222999999999999</v>
      </c>
      <c r="D4453">
        <v>53.7087</v>
      </c>
      <c r="E4453">
        <v>54.076000000000001</v>
      </c>
      <c r="F4453">
        <v>46792</v>
      </c>
    </row>
    <row r="4454" spans="1:6" x14ac:dyDescent="0.25">
      <c r="A4454" s="4">
        <v>40848</v>
      </c>
      <c r="B4454">
        <v>54.002600000000001</v>
      </c>
      <c r="C4454">
        <v>54.369900000000001</v>
      </c>
      <c r="D4454">
        <v>53.635199999999998</v>
      </c>
      <c r="E4454">
        <v>54.222999999999999</v>
      </c>
      <c r="F4454">
        <v>37363</v>
      </c>
    </row>
    <row r="4455" spans="1:6" x14ac:dyDescent="0.25">
      <c r="A4455" s="4">
        <v>40849</v>
      </c>
      <c r="B4455">
        <v>53.7087</v>
      </c>
      <c r="C4455">
        <v>54.296500000000002</v>
      </c>
      <c r="D4455">
        <v>53.194400000000002</v>
      </c>
      <c r="E4455">
        <v>54.296500000000002</v>
      </c>
      <c r="F4455">
        <v>34694</v>
      </c>
    </row>
    <row r="4456" spans="1:6" x14ac:dyDescent="0.25">
      <c r="A4456" s="4">
        <v>40850</v>
      </c>
      <c r="B4456">
        <v>54.5169</v>
      </c>
      <c r="C4456">
        <v>54.5169</v>
      </c>
      <c r="D4456">
        <v>53.120899999999999</v>
      </c>
      <c r="E4456">
        <v>54.002600000000001</v>
      </c>
      <c r="F4456">
        <v>43448</v>
      </c>
    </row>
    <row r="4457" spans="1:6" x14ac:dyDescent="0.25">
      <c r="A4457" s="4">
        <v>40851</v>
      </c>
      <c r="B4457">
        <v>54.737299999999998</v>
      </c>
      <c r="C4457">
        <v>55.031199999999998</v>
      </c>
      <c r="D4457">
        <v>54.296500000000002</v>
      </c>
      <c r="E4457">
        <v>54.8108</v>
      </c>
      <c r="F4457">
        <v>57309</v>
      </c>
    </row>
    <row r="4458" spans="1:6" x14ac:dyDescent="0.25">
      <c r="A4458" s="4">
        <v>40854</v>
      </c>
      <c r="B4458">
        <v>55.104700000000001</v>
      </c>
      <c r="C4458">
        <v>55.251600000000003</v>
      </c>
      <c r="D4458">
        <v>54.590299999999999</v>
      </c>
      <c r="E4458">
        <v>55.104700000000001</v>
      </c>
      <c r="F4458">
        <v>29686</v>
      </c>
    </row>
    <row r="4459" spans="1:6" x14ac:dyDescent="0.25">
      <c r="A4459" s="4">
        <v>40855</v>
      </c>
      <c r="B4459">
        <v>55.104700000000001</v>
      </c>
      <c r="C4459">
        <v>55.104700000000001</v>
      </c>
      <c r="D4459">
        <v>54.369900000000001</v>
      </c>
      <c r="E4459">
        <v>54.737299999999998</v>
      </c>
      <c r="F4459">
        <v>21482</v>
      </c>
    </row>
    <row r="4460" spans="1:6" x14ac:dyDescent="0.25">
      <c r="A4460" s="4">
        <v>40856</v>
      </c>
      <c r="B4460">
        <v>55.031199999999998</v>
      </c>
      <c r="C4460">
        <v>55.031199999999998</v>
      </c>
      <c r="D4460">
        <v>54.443399999999997</v>
      </c>
      <c r="E4460">
        <v>54.443399999999997</v>
      </c>
      <c r="F4460">
        <v>20576</v>
      </c>
    </row>
    <row r="4461" spans="1:6" x14ac:dyDescent="0.25">
      <c r="A4461" s="4">
        <v>40857</v>
      </c>
      <c r="B4461">
        <v>53.267800000000001</v>
      </c>
      <c r="C4461">
        <v>53.929099999999998</v>
      </c>
      <c r="D4461">
        <v>53.267800000000001</v>
      </c>
      <c r="E4461">
        <v>53.341299999999997</v>
      </c>
      <c r="F4461">
        <v>49449</v>
      </c>
    </row>
    <row r="4462" spans="1:6" x14ac:dyDescent="0.25">
      <c r="A4462" s="4">
        <v>40858</v>
      </c>
      <c r="B4462">
        <v>54.002600000000001</v>
      </c>
      <c r="C4462">
        <v>54.076000000000001</v>
      </c>
      <c r="D4462">
        <v>53.341299999999997</v>
      </c>
      <c r="E4462">
        <v>53.929099999999998</v>
      </c>
      <c r="F4462">
        <v>27528</v>
      </c>
    </row>
    <row r="4463" spans="1:6" x14ac:dyDescent="0.25">
      <c r="A4463" s="4">
        <v>40861</v>
      </c>
      <c r="B4463">
        <v>55.031199999999998</v>
      </c>
      <c r="C4463">
        <v>55.839399999999998</v>
      </c>
      <c r="D4463">
        <v>54.8108</v>
      </c>
      <c r="E4463">
        <v>55.765900000000002</v>
      </c>
      <c r="F4463">
        <v>63725</v>
      </c>
    </row>
    <row r="4464" spans="1:6" x14ac:dyDescent="0.25">
      <c r="A4464" s="4">
        <v>40862</v>
      </c>
      <c r="B4464">
        <v>55.472000000000001</v>
      </c>
      <c r="C4464">
        <v>55.839399999999998</v>
      </c>
      <c r="D4464">
        <v>55.104700000000001</v>
      </c>
      <c r="E4464">
        <v>55.839399999999998</v>
      </c>
      <c r="F4464">
        <v>37165</v>
      </c>
    </row>
    <row r="4465" spans="1:6" x14ac:dyDescent="0.25">
      <c r="A4465" s="4">
        <v>40863</v>
      </c>
      <c r="B4465">
        <v>55.839399999999998</v>
      </c>
      <c r="C4465">
        <v>55.839399999999998</v>
      </c>
      <c r="D4465">
        <v>55.031199999999998</v>
      </c>
      <c r="E4465">
        <v>55.398499999999999</v>
      </c>
      <c r="F4465">
        <v>39988</v>
      </c>
    </row>
    <row r="4466" spans="1:6" x14ac:dyDescent="0.25">
      <c r="A4466" s="4">
        <v>40864</v>
      </c>
      <c r="B4466">
        <v>55.251600000000003</v>
      </c>
      <c r="C4466">
        <v>55.839399999999998</v>
      </c>
      <c r="D4466">
        <v>54.957700000000003</v>
      </c>
      <c r="E4466">
        <v>55.619</v>
      </c>
      <c r="F4466">
        <v>34945</v>
      </c>
    </row>
    <row r="4467" spans="1:6" x14ac:dyDescent="0.25">
      <c r="A4467" s="4">
        <v>40865</v>
      </c>
      <c r="B4467">
        <v>55.104700000000001</v>
      </c>
      <c r="C4467">
        <v>55.251600000000003</v>
      </c>
      <c r="D4467">
        <v>54.149500000000003</v>
      </c>
      <c r="E4467">
        <v>54.5169</v>
      </c>
      <c r="F4467">
        <v>56459</v>
      </c>
    </row>
    <row r="4468" spans="1:6" x14ac:dyDescent="0.25">
      <c r="A4468" s="4">
        <v>40868</v>
      </c>
      <c r="B4468">
        <v>53.7821</v>
      </c>
      <c r="C4468">
        <v>54.296500000000002</v>
      </c>
      <c r="D4468">
        <v>53.635199999999998</v>
      </c>
      <c r="E4468">
        <v>53.855600000000003</v>
      </c>
      <c r="F4468">
        <v>23406</v>
      </c>
    </row>
    <row r="4469" spans="1:6" x14ac:dyDescent="0.25">
      <c r="A4469" s="4">
        <v>40869</v>
      </c>
      <c r="B4469">
        <v>55.251600000000003</v>
      </c>
      <c r="C4469">
        <v>55.251600000000003</v>
      </c>
      <c r="D4469">
        <v>54.222999999999999</v>
      </c>
      <c r="E4469">
        <v>54.369900000000001</v>
      </c>
      <c r="F4469">
        <v>47492</v>
      </c>
    </row>
    <row r="4470" spans="1:6" x14ac:dyDescent="0.25">
      <c r="A4470" s="4">
        <v>40870</v>
      </c>
      <c r="B4470">
        <v>54.369900000000001</v>
      </c>
      <c r="C4470">
        <v>54.737299999999998</v>
      </c>
      <c r="D4470">
        <v>53.7087</v>
      </c>
      <c r="E4470">
        <v>53.929099999999998</v>
      </c>
      <c r="F4470">
        <v>43985</v>
      </c>
    </row>
    <row r="4471" spans="1:6" x14ac:dyDescent="0.25">
      <c r="A4471" s="4">
        <v>40871</v>
      </c>
      <c r="B4471">
        <v>53.561700000000002</v>
      </c>
      <c r="C4471">
        <v>53.7821</v>
      </c>
      <c r="D4471">
        <v>53.341299999999997</v>
      </c>
      <c r="E4471">
        <v>53.488300000000002</v>
      </c>
      <c r="F4471">
        <v>47609</v>
      </c>
    </row>
    <row r="4472" spans="1:6" x14ac:dyDescent="0.25">
      <c r="A4472" s="4">
        <v>40872</v>
      </c>
      <c r="B4472">
        <v>53.635199999999998</v>
      </c>
      <c r="C4472">
        <v>53.855600000000003</v>
      </c>
      <c r="D4472">
        <v>52.386200000000002</v>
      </c>
      <c r="E4472">
        <v>52.6066</v>
      </c>
      <c r="F4472">
        <v>38314</v>
      </c>
    </row>
    <row r="4473" spans="1:6" x14ac:dyDescent="0.25">
      <c r="A4473" s="4">
        <v>40875</v>
      </c>
      <c r="B4473">
        <v>52.6066</v>
      </c>
      <c r="C4473">
        <v>54.663800000000002</v>
      </c>
      <c r="D4473">
        <v>52.6066</v>
      </c>
      <c r="E4473">
        <v>54.076000000000001</v>
      </c>
      <c r="F4473">
        <v>34957</v>
      </c>
    </row>
    <row r="4474" spans="1:6" x14ac:dyDescent="0.25">
      <c r="A4474" s="4">
        <v>40876</v>
      </c>
      <c r="B4474">
        <v>54.222999999999999</v>
      </c>
      <c r="C4474">
        <v>54.5169</v>
      </c>
      <c r="D4474">
        <v>53.561700000000002</v>
      </c>
      <c r="E4474">
        <v>54.076000000000001</v>
      </c>
      <c r="F4474">
        <v>42725</v>
      </c>
    </row>
    <row r="4475" spans="1:6" x14ac:dyDescent="0.25">
      <c r="A4475" s="4">
        <v>40877</v>
      </c>
      <c r="B4475">
        <v>54.369900000000001</v>
      </c>
      <c r="C4475">
        <v>54.8108</v>
      </c>
      <c r="D4475">
        <v>53.635199999999998</v>
      </c>
      <c r="E4475">
        <v>54.8108</v>
      </c>
      <c r="F4475">
        <v>51450</v>
      </c>
    </row>
    <row r="4476" spans="1:6" x14ac:dyDescent="0.25">
      <c r="A4476" s="4">
        <v>40878</v>
      </c>
      <c r="B4476">
        <v>55.472000000000001</v>
      </c>
      <c r="C4476">
        <v>56.280200000000001</v>
      </c>
      <c r="D4476">
        <v>55.472000000000001</v>
      </c>
      <c r="E4476">
        <v>56.280200000000001</v>
      </c>
      <c r="F4476">
        <v>78593</v>
      </c>
    </row>
    <row r="4477" spans="1:6" x14ac:dyDescent="0.25">
      <c r="A4477" s="4">
        <v>40879</v>
      </c>
      <c r="B4477">
        <v>56.280200000000001</v>
      </c>
      <c r="C4477">
        <v>56.427199999999999</v>
      </c>
      <c r="D4477">
        <v>55.398499999999999</v>
      </c>
      <c r="E4477">
        <v>55.839399999999998</v>
      </c>
      <c r="F4477">
        <v>35343</v>
      </c>
    </row>
    <row r="4478" spans="1:6" x14ac:dyDescent="0.25">
      <c r="A4478" s="4">
        <v>40882</v>
      </c>
      <c r="B4478">
        <v>55.839399999999998</v>
      </c>
      <c r="C4478">
        <v>56.059800000000003</v>
      </c>
      <c r="D4478">
        <v>55.398499999999999</v>
      </c>
      <c r="E4478">
        <v>56.059800000000003</v>
      </c>
      <c r="F4478">
        <v>30151</v>
      </c>
    </row>
    <row r="4479" spans="1:6" x14ac:dyDescent="0.25">
      <c r="A4479" s="4">
        <v>40883</v>
      </c>
      <c r="B4479">
        <v>56.059800000000003</v>
      </c>
      <c r="C4479">
        <v>56.059800000000003</v>
      </c>
      <c r="D4479">
        <v>55.325099999999999</v>
      </c>
      <c r="E4479">
        <v>55.398499999999999</v>
      </c>
      <c r="F4479">
        <v>43140</v>
      </c>
    </row>
    <row r="4480" spans="1:6" x14ac:dyDescent="0.25">
      <c r="A4480" s="4">
        <v>40884</v>
      </c>
      <c r="B4480">
        <v>56.206699999999998</v>
      </c>
      <c r="C4480">
        <v>56.206699999999998</v>
      </c>
      <c r="D4480">
        <v>55.398499999999999</v>
      </c>
      <c r="E4480">
        <v>56.133299999999998</v>
      </c>
      <c r="F4480">
        <v>40913</v>
      </c>
    </row>
    <row r="4481" spans="1:6" x14ac:dyDescent="0.25">
      <c r="A4481" s="4">
        <v>40885</v>
      </c>
      <c r="B4481">
        <v>56.353700000000003</v>
      </c>
      <c r="C4481">
        <v>56.353700000000003</v>
      </c>
      <c r="D4481">
        <v>55.325099999999999</v>
      </c>
      <c r="E4481">
        <v>56.059800000000003</v>
      </c>
      <c r="F4481">
        <v>31711</v>
      </c>
    </row>
    <row r="4482" spans="1:6" x14ac:dyDescent="0.25">
      <c r="A4482" s="4">
        <v>40886</v>
      </c>
      <c r="B4482">
        <v>55.839399999999998</v>
      </c>
      <c r="C4482">
        <v>55.839399999999998</v>
      </c>
      <c r="D4482">
        <v>54.002600000000001</v>
      </c>
      <c r="E4482">
        <v>54.443399999999997</v>
      </c>
      <c r="F4482">
        <v>42028</v>
      </c>
    </row>
    <row r="4483" spans="1:6" x14ac:dyDescent="0.25">
      <c r="A4483" s="4">
        <v>40889</v>
      </c>
      <c r="B4483">
        <v>55.178100000000001</v>
      </c>
      <c r="C4483">
        <v>55.251600000000003</v>
      </c>
      <c r="D4483">
        <v>54.443399999999997</v>
      </c>
      <c r="E4483">
        <v>55.104700000000001</v>
      </c>
      <c r="F4483">
        <v>28590</v>
      </c>
    </row>
    <row r="4484" spans="1:6" x14ac:dyDescent="0.25">
      <c r="A4484" s="4">
        <v>40890</v>
      </c>
      <c r="B4484">
        <v>54.149500000000003</v>
      </c>
      <c r="C4484">
        <v>55.251600000000003</v>
      </c>
      <c r="D4484">
        <v>54.149500000000003</v>
      </c>
      <c r="E4484">
        <v>55.251600000000003</v>
      </c>
      <c r="F4484">
        <v>31354</v>
      </c>
    </row>
    <row r="4485" spans="1:6" x14ac:dyDescent="0.25">
      <c r="A4485" s="4">
        <v>40891</v>
      </c>
      <c r="B4485">
        <v>55.178100000000001</v>
      </c>
      <c r="C4485">
        <v>55.178100000000001</v>
      </c>
      <c r="D4485">
        <v>54.296500000000002</v>
      </c>
      <c r="E4485">
        <v>54.737299999999998</v>
      </c>
      <c r="F4485">
        <v>29241</v>
      </c>
    </row>
    <row r="4486" spans="1:6" x14ac:dyDescent="0.25">
      <c r="A4486" s="4">
        <v>40892</v>
      </c>
      <c r="B4486">
        <v>54.443399999999997</v>
      </c>
      <c r="C4486">
        <v>54.443399999999997</v>
      </c>
      <c r="D4486">
        <v>53.267800000000001</v>
      </c>
      <c r="E4486">
        <v>53.267800000000001</v>
      </c>
      <c r="F4486">
        <v>36002</v>
      </c>
    </row>
    <row r="4487" spans="1:6" x14ac:dyDescent="0.25">
      <c r="A4487" s="4">
        <v>40893</v>
      </c>
      <c r="B4487">
        <v>53.488300000000002</v>
      </c>
      <c r="C4487">
        <v>53.929099999999998</v>
      </c>
      <c r="D4487">
        <v>53.267800000000001</v>
      </c>
      <c r="E4487">
        <v>53.4148</v>
      </c>
      <c r="F4487">
        <v>22605</v>
      </c>
    </row>
    <row r="4488" spans="1:6" x14ac:dyDescent="0.25">
      <c r="A4488" s="4">
        <v>40896</v>
      </c>
      <c r="B4488">
        <v>54.002600000000001</v>
      </c>
      <c r="C4488">
        <v>54.002600000000001</v>
      </c>
      <c r="D4488">
        <v>52.900500000000001</v>
      </c>
      <c r="E4488">
        <v>53.267800000000001</v>
      </c>
      <c r="F4488">
        <v>24542</v>
      </c>
    </row>
    <row r="4489" spans="1:6" x14ac:dyDescent="0.25">
      <c r="A4489" s="4">
        <v>40897</v>
      </c>
      <c r="B4489">
        <v>53.561700000000002</v>
      </c>
      <c r="C4489">
        <v>53.561700000000002</v>
      </c>
      <c r="D4489">
        <v>52.900500000000001</v>
      </c>
      <c r="E4489">
        <v>53.488300000000002</v>
      </c>
      <c r="F4489">
        <v>27359</v>
      </c>
    </row>
    <row r="4490" spans="1:6" x14ac:dyDescent="0.25">
      <c r="A4490" s="4">
        <v>40898</v>
      </c>
      <c r="B4490">
        <v>55.031199999999998</v>
      </c>
      <c r="C4490">
        <v>55.839399999999998</v>
      </c>
      <c r="D4490">
        <v>54.443399999999997</v>
      </c>
      <c r="E4490">
        <v>55.839399999999998</v>
      </c>
      <c r="F4490">
        <v>54091</v>
      </c>
    </row>
    <row r="4491" spans="1:6" x14ac:dyDescent="0.25">
      <c r="A4491" s="4">
        <v>40899</v>
      </c>
      <c r="B4491">
        <v>55.325099999999999</v>
      </c>
      <c r="C4491">
        <v>55.472000000000001</v>
      </c>
      <c r="D4491">
        <v>54.663800000000002</v>
      </c>
      <c r="E4491">
        <v>55.104700000000001</v>
      </c>
      <c r="F4491">
        <v>26771</v>
      </c>
    </row>
    <row r="4492" spans="1:6" x14ac:dyDescent="0.25">
      <c r="A4492" s="4">
        <v>40900</v>
      </c>
      <c r="B4492">
        <v>55.692399999999999</v>
      </c>
      <c r="C4492">
        <v>55.692399999999999</v>
      </c>
      <c r="D4492">
        <v>54.8108</v>
      </c>
      <c r="E4492">
        <v>55.398499999999999</v>
      </c>
      <c r="F4492">
        <v>30277</v>
      </c>
    </row>
    <row r="4493" spans="1:6" x14ac:dyDescent="0.25">
      <c r="A4493" s="4">
        <v>40903</v>
      </c>
      <c r="B4493">
        <v>55.398499999999999</v>
      </c>
      <c r="C4493">
        <v>55.472000000000001</v>
      </c>
      <c r="D4493">
        <v>54.8842</v>
      </c>
      <c r="E4493">
        <v>55.104700000000001</v>
      </c>
      <c r="F4493">
        <v>11335</v>
      </c>
    </row>
    <row r="4494" spans="1:6" x14ac:dyDescent="0.25">
      <c r="A4494" s="4">
        <v>40904</v>
      </c>
      <c r="B4494">
        <v>54.957700000000003</v>
      </c>
      <c r="C4494">
        <v>55.472000000000001</v>
      </c>
      <c r="D4494">
        <v>54.8842</v>
      </c>
      <c r="E4494">
        <v>55.472000000000001</v>
      </c>
      <c r="F4494">
        <v>14642</v>
      </c>
    </row>
    <row r="4495" spans="1:6" x14ac:dyDescent="0.25">
      <c r="A4495" s="4">
        <v>40905</v>
      </c>
      <c r="B4495">
        <v>55.325099999999999</v>
      </c>
      <c r="C4495">
        <v>55.619</v>
      </c>
      <c r="D4495">
        <v>55.031199999999998</v>
      </c>
      <c r="E4495">
        <v>55.619</v>
      </c>
      <c r="F4495">
        <v>20047</v>
      </c>
    </row>
    <row r="4496" spans="1:6" x14ac:dyDescent="0.25">
      <c r="A4496" s="4">
        <v>40906</v>
      </c>
      <c r="B4496">
        <v>55.398499999999999</v>
      </c>
      <c r="C4496">
        <v>55.765900000000002</v>
      </c>
      <c r="D4496">
        <v>55.251600000000003</v>
      </c>
      <c r="E4496">
        <v>55.692399999999999</v>
      </c>
      <c r="F4496">
        <v>24791</v>
      </c>
    </row>
    <row r="4497" spans="1:6" x14ac:dyDescent="0.25">
      <c r="A4497" s="4">
        <v>40907</v>
      </c>
      <c r="B4497">
        <v>55.619</v>
      </c>
      <c r="C4497">
        <v>55.765900000000002</v>
      </c>
      <c r="D4497">
        <v>55.031199999999998</v>
      </c>
      <c r="E4497">
        <v>55.692399999999999</v>
      </c>
      <c r="F4497">
        <v>32284</v>
      </c>
    </row>
    <row r="4498" spans="1:6" x14ac:dyDescent="0.25">
      <c r="A4498" s="4">
        <v>40910</v>
      </c>
      <c r="B4498">
        <v>55.104700000000001</v>
      </c>
      <c r="C4498">
        <v>55.398499999999999</v>
      </c>
      <c r="D4498">
        <v>54.8842</v>
      </c>
      <c r="E4498">
        <v>55.104700000000001</v>
      </c>
      <c r="F4498">
        <v>14945</v>
      </c>
    </row>
    <row r="4499" spans="1:6" x14ac:dyDescent="0.25">
      <c r="A4499" s="4">
        <v>40911</v>
      </c>
      <c r="B4499">
        <v>55.472000000000001</v>
      </c>
      <c r="C4499">
        <v>55.765900000000002</v>
      </c>
      <c r="D4499">
        <v>55.251600000000003</v>
      </c>
      <c r="E4499">
        <v>55.619</v>
      </c>
      <c r="F4499">
        <v>21224</v>
      </c>
    </row>
    <row r="4500" spans="1:6" x14ac:dyDescent="0.25">
      <c r="A4500" s="4">
        <v>40912</v>
      </c>
      <c r="B4500">
        <v>55.9129</v>
      </c>
      <c r="C4500">
        <v>55.9129</v>
      </c>
      <c r="D4500">
        <v>55.472000000000001</v>
      </c>
      <c r="E4500">
        <v>55.692399999999999</v>
      </c>
      <c r="F4500">
        <v>34126</v>
      </c>
    </row>
    <row r="4501" spans="1:6" x14ac:dyDescent="0.25">
      <c r="A4501" s="4">
        <v>40913</v>
      </c>
      <c r="B4501">
        <v>55.839399999999998</v>
      </c>
      <c r="C4501">
        <v>55.839399999999998</v>
      </c>
      <c r="D4501">
        <v>55.325099999999999</v>
      </c>
      <c r="E4501">
        <v>55.839399999999998</v>
      </c>
      <c r="F4501">
        <v>28077</v>
      </c>
    </row>
    <row r="4502" spans="1:6" x14ac:dyDescent="0.25">
      <c r="A4502" s="4">
        <v>40914</v>
      </c>
      <c r="B4502">
        <v>55.765900000000002</v>
      </c>
      <c r="C4502">
        <v>55.765900000000002</v>
      </c>
      <c r="D4502">
        <v>55.031199999999998</v>
      </c>
      <c r="E4502">
        <v>55.545499999999997</v>
      </c>
      <c r="F4502">
        <v>30123</v>
      </c>
    </row>
    <row r="4503" spans="1:6" x14ac:dyDescent="0.25">
      <c r="A4503" s="4">
        <v>40917</v>
      </c>
      <c r="B4503">
        <v>55.251600000000003</v>
      </c>
      <c r="C4503">
        <v>55.545499999999997</v>
      </c>
      <c r="D4503">
        <v>54.8108</v>
      </c>
      <c r="E4503">
        <v>55.545499999999997</v>
      </c>
      <c r="F4503">
        <v>27656</v>
      </c>
    </row>
    <row r="4504" spans="1:6" x14ac:dyDescent="0.25">
      <c r="A4504" s="4">
        <v>40918</v>
      </c>
      <c r="B4504">
        <v>55.839399999999998</v>
      </c>
      <c r="C4504">
        <v>56.206699999999998</v>
      </c>
      <c r="D4504">
        <v>55.692399999999999</v>
      </c>
      <c r="E4504">
        <v>56.206699999999998</v>
      </c>
      <c r="F4504">
        <v>62064</v>
      </c>
    </row>
    <row r="4505" spans="1:6" x14ac:dyDescent="0.25">
      <c r="A4505" s="4">
        <v>40919</v>
      </c>
      <c r="B4505">
        <v>56.427199999999999</v>
      </c>
      <c r="C4505">
        <v>56.574100000000001</v>
      </c>
      <c r="D4505">
        <v>55.9129</v>
      </c>
      <c r="E4505">
        <v>56.206699999999998</v>
      </c>
      <c r="F4505">
        <v>44295</v>
      </c>
    </row>
    <row r="4506" spans="1:6" x14ac:dyDescent="0.25">
      <c r="A4506" s="4">
        <v>40920</v>
      </c>
      <c r="B4506">
        <v>56.353700000000003</v>
      </c>
      <c r="C4506">
        <v>56.647599999999997</v>
      </c>
      <c r="D4506">
        <v>56.206699999999998</v>
      </c>
      <c r="E4506">
        <v>56.574100000000001</v>
      </c>
      <c r="F4506">
        <v>55521</v>
      </c>
    </row>
    <row r="4507" spans="1:6" x14ac:dyDescent="0.25">
      <c r="A4507" s="4">
        <v>40921</v>
      </c>
      <c r="B4507">
        <v>56.7211</v>
      </c>
      <c r="C4507">
        <v>57.308799999999998</v>
      </c>
      <c r="D4507">
        <v>56.574100000000001</v>
      </c>
      <c r="E4507">
        <v>56.941499999999998</v>
      </c>
      <c r="F4507">
        <v>57758</v>
      </c>
    </row>
    <row r="4508" spans="1:6" x14ac:dyDescent="0.25">
      <c r="A4508" s="4">
        <v>40924</v>
      </c>
      <c r="B4508">
        <v>55.9129</v>
      </c>
      <c r="C4508">
        <v>56.500599999999999</v>
      </c>
      <c r="D4508">
        <v>54.8108</v>
      </c>
      <c r="E4508">
        <v>55.325099999999999</v>
      </c>
      <c r="F4508">
        <v>37711</v>
      </c>
    </row>
    <row r="4509" spans="1:6" x14ac:dyDescent="0.25">
      <c r="A4509" s="4">
        <v>40925</v>
      </c>
      <c r="B4509">
        <v>55.765900000000002</v>
      </c>
      <c r="C4509">
        <v>55.765900000000002</v>
      </c>
      <c r="D4509">
        <v>55.031199999999998</v>
      </c>
      <c r="E4509">
        <v>55.545499999999997</v>
      </c>
      <c r="F4509">
        <v>43995</v>
      </c>
    </row>
    <row r="4510" spans="1:6" x14ac:dyDescent="0.25">
      <c r="A4510" s="4">
        <v>40926</v>
      </c>
      <c r="B4510">
        <v>55.765900000000002</v>
      </c>
      <c r="C4510">
        <v>56.353700000000003</v>
      </c>
      <c r="D4510">
        <v>55.545499999999997</v>
      </c>
      <c r="E4510">
        <v>56.353700000000003</v>
      </c>
      <c r="F4510">
        <v>57182</v>
      </c>
    </row>
    <row r="4511" spans="1:6" x14ac:dyDescent="0.25">
      <c r="A4511" s="4">
        <v>40938</v>
      </c>
      <c r="B4511">
        <v>57.308799999999998</v>
      </c>
      <c r="C4511">
        <v>58.410899999999998</v>
      </c>
      <c r="D4511">
        <v>56.7211</v>
      </c>
      <c r="E4511">
        <v>57.8232</v>
      </c>
      <c r="F4511">
        <v>147548</v>
      </c>
    </row>
    <row r="4512" spans="1:6" x14ac:dyDescent="0.25">
      <c r="A4512" s="4">
        <v>40939</v>
      </c>
      <c r="B4512">
        <v>57.382300000000001</v>
      </c>
      <c r="C4512">
        <v>57.676200000000001</v>
      </c>
      <c r="D4512">
        <v>56.059800000000003</v>
      </c>
      <c r="E4512">
        <v>57.676200000000001</v>
      </c>
      <c r="F4512">
        <v>87917</v>
      </c>
    </row>
    <row r="4513" spans="1:6" x14ac:dyDescent="0.25">
      <c r="A4513" s="4">
        <v>40940</v>
      </c>
      <c r="B4513">
        <v>56.941499999999998</v>
      </c>
      <c r="C4513">
        <v>57.0884</v>
      </c>
      <c r="D4513">
        <v>56.353700000000003</v>
      </c>
      <c r="E4513">
        <v>56.574100000000001</v>
      </c>
      <c r="F4513">
        <v>47222</v>
      </c>
    </row>
    <row r="4514" spans="1:6" x14ac:dyDescent="0.25">
      <c r="A4514" s="4">
        <v>40941</v>
      </c>
      <c r="B4514">
        <v>56.941499999999998</v>
      </c>
      <c r="C4514">
        <v>56.941499999999998</v>
      </c>
      <c r="D4514">
        <v>55.9129</v>
      </c>
      <c r="E4514">
        <v>56.427199999999999</v>
      </c>
      <c r="F4514">
        <v>54066</v>
      </c>
    </row>
    <row r="4515" spans="1:6" x14ac:dyDescent="0.25">
      <c r="A4515" s="4">
        <v>40942</v>
      </c>
      <c r="B4515">
        <v>56.059800000000003</v>
      </c>
      <c r="C4515">
        <v>56.133299999999998</v>
      </c>
      <c r="D4515">
        <v>55.545499999999997</v>
      </c>
      <c r="E4515">
        <v>55.9863</v>
      </c>
      <c r="F4515">
        <v>49362</v>
      </c>
    </row>
    <row r="4516" spans="1:6" x14ac:dyDescent="0.25">
      <c r="A4516" s="4">
        <v>40943</v>
      </c>
      <c r="B4516">
        <v>56.133299999999998</v>
      </c>
      <c r="C4516">
        <v>56.353700000000003</v>
      </c>
      <c r="D4516">
        <v>55.839399999999998</v>
      </c>
      <c r="E4516">
        <v>56.206699999999998</v>
      </c>
      <c r="F4516">
        <v>22961</v>
      </c>
    </row>
    <row r="4517" spans="1:6" x14ac:dyDescent="0.25">
      <c r="A4517" s="4">
        <v>40945</v>
      </c>
      <c r="B4517">
        <v>56.794499999999999</v>
      </c>
      <c r="C4517">
        <v>56.941499999999998</v>
      </c>
      <c r="D4517">
        <v>56.280200000000001</v>
      </c>
      <c r="E4517">
        <v>56.868000000000002</v>
      </c>
      <c r="F4517">
        <v>47596</v>
      </c>
    </row>
    <row r="4518" spans="1:6" x14ac:dyDescent="0.25">
      <c r="A4518" s="4">
        <v>40946</v>
      </c>
      <c r="B4518">
        <v>56.941499999999998</v>
      </c>
      <c r="C4518">
        <v>56.941499999999998</v>
      </c>
      <c r="D4518">
        <v>56.427199999999999</v>
      </c>
      <c r="E4518">
        <v>56.868000000000002</v>
      </c>
      <c r="F4518">
        <v>30009</v>
      </c>
    </row>
    <row r="4519" spans="1:6" x14ac:dyDescent="0.25">
      <c r="A4519" s="4">
        <v>40947</v>
      </c>
      <c r="B4519">
        <v>56.941499999999998</v>
      </c>
      <c r="C4519">
        <v>56.941499999999998</v>
      </c>
      <c r="D4519">
        <v>56.500599999999999</v>
      </c>
      <c r="E4519">
        <v>56.941499999999998</v>
      </c>
      <c r="F4519">
        <v>35601</v>
      </c>
    </row>
    <row r="4520" spans="1:6" x14ac:dyDescent="0.25">
      <c r="A4520" s="4">
        <v>40948</v>
      </c>
      <c r="B4520">
        <v>56.574100000000001</v>
      </c>
      <c r="C4520">
        <v>57.308799999999998</v>
      </c>
      <c r="D4520">
        <v>56.206699999999998</v>
      </c>
      <c r="E4520">
        <v>57.308799999999998</v>
      </c>
      <c r="F4520">
        <v>70988</v>
      </c>
    </row>
    <row r="4521" spans="1:6" x14ac:dyDescent="0.25">
      <c r="A4521" s="4">
        <v>40949</v>
      </c>
      <c r="B4521">
        <v>57.308799999999998</v>
      </c>
      <c r="C4521">
        <v>57.308799999999998</v>
      </c>
      <c r="D4521">
        <v>56.353700000000003</v>
      </c>
      <c r="E4521">
        <v>56.500599999999999</v>
      </c>
      <c r="F4521">
        <v>47270</v>
      </c>
    </row>
    <row r="4522" spans="1:6" x14ac:dyDescent="0.25">
      <c r="A4522" s="4">
        <v>40952</v>
      </c>
      <c r="B4522">
        <v>56.133299999999998</v>
      </c>
      <c r="C4522">
        <v>56.647599999999997</v>
      </c>
      <c r="D4522">
        <v>55.9863</v>
      </c>
      <c r="E4522">
        <v>56.280200000000001</v>
      </c>
      <c r="F4522">
        <v>36415</v>
      </c>
    </row>
    <row r="4523" spans="1:6" x14ac:dyDescent="0.25">
      <c r="A4523" s="4">
        <v>40953</v>
      </c>
      <c r="B4523">
        <v>56.647599999999997</v>
      </c>
      <c r="C4523">
        <v>56.868000000000002</v>
      </c>
      <c r="D4523">
        <v>55.9863</v>
      </c>
      <c r="E4523">
        <v>56.794499999999999</v>
      </c>
      <c r="F4523">
        <v>42110</v>
      </c>
    </row>
    <row r="4524" spans="1:6" x14ac:dyDescent="0.25">
      <c r="A4524" s="4">
        <v>40954</v>
      </c>
      <c r="B4524">
        <v>57.014899999999997</v>
      </c>
      <c r="C4524">
        <v>57.676200000000001</v>
      </c>
      <c r="D4524">
        <v>57.014899999999997</v>
      </c>
      <c r="E4524">
        <v>57.676200000000001</v>
      </c>
      <c r="F4524">
        <v>71500</v>
      </c>
    </row>
    <row r="4525" spans="1:6" x14ac:dyDescent="0.25">
      <c r="A4525" s="4">
        <v>40955</v>
      </c>
      <c r="B4525">
        <v>57.676200000000001</v>
      </c>
      <c r="C4525">
        <v>57.970100000000002</v>
      </c>
      <c r="D4525">
        <v>57.308799999999998</v>
      </c>
      <c r="E4525">
        <v>57.676200000000001</v>
      </c>
      <c r="F4525">
        <v>59907</v>
      </c>
    </row>
    <row r="4526" spans="1:6" x14ac:dyDescent="0.25">
      <c r="A4526" s="4">
        <v>40956</v>
      </c>
      <c r="B4526">
        <v>58.410899999999998</v>
      </c>
      <c r="C4526">
        <v>59.586500000000001</v>
      </c>
      <c r="D4526">
        <v>58.337499999999999</v>
      </c>
      <c r="E4526">
        <v>58.778300000000002</v>
      </c>
      <c r="F4526">
        <v>78980</v>
      </c>
    </row>
    <row r="4527" spans="1:6" x14ac:dyDescent="0.25">
      <c r="A4527" s="4">
        <v>40959</v>
      </c>
      <c r="B4527">
        <v>59.219099999999997</v>
      </c>
      <c r="C4527">
        <v>59.366100000000003</v>
      </c>
      <c r="D4527">
        <v>58.557899999999997</v>
      </c>
      <c r="E4527">
        <v>58.778300000000002</v>
      </c>
      <c r="F4527">
        <v>31811</v>
      </c>
    </row>
    <row r="4528" spans="1:6" x14ac:dyDescent="0.25">
      <c r="A4528" s="4">
        <v>40960</v>
      </c>
      <c r="B4528">
        <v>58.778300000000002</v>
      </c>
      <c r="C4528">
        <v>58.778300000000002</v>
      </c>
      <c r="D4528">
        <v>58.264000000000003</v>
      </c>
      <c r="E4528">
        <v>58.778300000000002</v>
      </c>
      <c r="F4528">
        <v>28138</v>
      </c>
    </row>
    <row r="4529" spans="1:6" x14ac:dyDescent="0.25">
      <c r="A4529" s="4">
        <v>40961</v>
      </c>
      <c r="B4529">
        <v>58.704799999999999</v>
      </c>
      <c r="C4529">
        <v>58.778300000000002</v>
      </c>
      <c r="D4529">
        <v>58.043599999999998</v>
      </c>
      <c r="E4529">
        <v>58.557899999999997</v>
      </c>
      <c r="F4529">
        <v>41143</v>
      </c>
    </row>
    <row r="4530" spans="1:6" x14ac:dyDescent="0.25">
      <c r="A4530" s="4">
        <v>40962</v>
      </c>
      <c r="B4530">
        <v>58.043599999999998</v>
      </c>
      <c r="C4530">
        <v>58.337499999999999</v>
      </c>
      <c r="D4530">
        <v>57.0884</v>
      </c>
      <c r="E4530">
        <v>57.382300000000001</v>
      </c>
      <c r="F4530">
        <v>59975</v>
      </c>
    </row>
    <row r="4531" spans="1:6" x14ac:dyDescent="0.25">
      <c r="A4531" s="4">
        <v>40963</v>
      </c>
      <c r="B4531">
        <v>56.941499999999998</v>
      </c>
      <c r="C4531">
        <v>58.116999999999997</v>
      </c>
      <c r="D4531">
        <v>56.7211</v>
      </c>
      <c r="E4531">
        <v>58.116999999999997</v>
      </c>
      <c r="F4531">
        <v>41026</v>
      </c>
    </row>
    <row r="4532" spans="1:6" x14ac:dyDescent="0.25">
      <c r="A4532" s="4">
        <v>40968</v>
      </c>
      <c r="B4532">
        <v>58.925199999999997</v>
      </c>
      <c r="C4532">
        <v>59.586500000000001</v>
      </c>
      <c r="D4532">
        <v>58.337499999999999</v>
      </c>
      <c r="E4532">
        <v>59.586500000000001</v>
      </c>
      <c r="F4532">
        <v>78339</v>
      </c>
    </row>
    <row r="4533" spans="1:6" x14ac:dyDescent="0.25">
      <c r="A4533" s="4">
        <v>40969</v>
      </c>
      <c r="B4533">
        <v>59.512999999999998</v>
      </c>
      <c r="C4533">
        <v>59.512999999999998</v>
      </c>
      <c r="D4533">
        <v>58.851799999999997</v>
      </c>
      <c r="E4533">
        <v>58.851799999999997</v>
      </c>
      <c r="F4533">
        <v>21240</v>
      </c>
    </row>
    <row r="4534" spans="1:6" x14ac:dyDescent="0.25">
      <c r="A4534" s="4">
        <v>40970</v>
      </c>
      <c r="B4534">
        <v>58.778300000000002</v>
      </c>
      <c r="C4534">
        <v>58.851799999999997</v>
      </c>
      <c r="D4534">
        <v>58.1905</v>
      </c>
      <c r="E4534">
        <v>58.778300000000002</v>
      </c>
      <c r="F4534">
        <v>23913</v>
      </c>
    </row>
    <row r="4535" spans="1:6" x14ac:dyDescent="0.25">
      <c r="A4535" s="4">
        <v>40971</v>
      </c>
      <c r="B4535">
        <v>58.116999999999997</v>
      </c>
      <c r="C4535">
        <v>58.484400000000001</v>
      </c>
      <c r="D4535">
        <v>58.116999999999997</v>
      </c>
      <c r="E4535">
        <v>58.264000000000003</v>
      </c>
      <c r="F4535">
        <v>7342</v>
      </c>
    </row>
    <row r="4536" spans="1:6" x14ac:dyDescent="0.25">
      <c r="A4536" s="4">
        <v>40973</v>
      </c>
      <c r="B4536">
        <v>57.8232</v>
      </c>
      <c r="C4536">
        <v>58.484400000000001</v>
      </c>
      <c r="D4536">
        <v>57.676200000000001</v>
      </c>
      <c r="E4536">
        <v>57.970100000000002</v>
      </c>
      <c r="F4536">
        <v>22825</v>
      </c>
    </row>
    <row r="4537" spans="1:6" x14ac:dyDescent="0.25">
      <c r="A4537" s="4">
        <v>40974</v>
      </c>
      <c r="B4537">
        <v>58.484400000000001</v>
      </c>
      <c r="C4537">
        <v>58.484400000000001</v>
      </c>
      <c r="D4537">
        <v>57.529299999999999</v>
      </c>
      <c r="E4537">
        <v>58.410899999999998</v>
      </c>
      <c r="F4537">
        <v>27780</v>
      </c>
    </row>
    <row r="4538" spans="1:6" x14ac:dyDescent="0.25">
      <c r="A4538" s="4">
        <v>40975</v>
      </c>
      <c r="B4538">
        <v>58.043599999999998</v>
      </c>
      <c r="C4538">
        <v>58.264000000000003</v>
      </c>
      <c r="D4538">
        <v>57.8232</v>
      </c>
      <c r="E4538">
        <v>58.116999999999997</v>
      </c>
      <c r="F4538">
        <v>30335</v>
      </c>
    </row>
    <row r="4539" spans="1:6" x14ac:dyDescent="0.25">
      <c r="A4539" s="4">
        <v>40976</v>
      </c>
      <c r="B4539">
        <v>58.631399999999999</v>
      </c>
      <c r="C4539">
        <v>58.925199999999997</v>
      </c>
      <c r="D4539">
        <v>58.1905</v>
      </c>
      <c r="E4539">
        <v>58.557899999999997</v>
      </c>
      <c r="F4539">
        <v>36967</v>
      </c>
    </row>
    <row r="4540" spans="1:6" x14ac:dyDescent="0.25">
      <c r="A4540" s="4">
        <v>40977</v>
      </c>
      <c r="B4540">
        <v>58.410899999999998</v>
      </c>
      <c r="C4540">
        <v>58.778300000000002</v>
      </c>
      <c r="D4540">
        <v>57.896599999999999</v>
      </c>
      <c r="E4540">
        <v>58.778300000000002</v>
      </c>
      <c r="F4540">
        <v>22731</v>
      </c>
    </row>
    <row r="4541" spans="1:6" x14ac:dyDescent="0.25">
      <c r="A4541" s="4">
        <v>40980</v>
      </c>
      <c r="B4541">
        <v>58.925199999999997</v>
      </c>
      <c r="C4541">
        <v>59.145699999999998</v>
      </c>
      <c r="D4541">
        <v>58.484400000000001</v>
      </c>
      <c r="E4541">
        <v>58.778300000000002</v>
      </c>
      <c r="F4541">
        <v>28952</v>
      </c>
    </row>
    <row r="4542" spans="1:6" x14ac:dyDescent="0.25">
      <c r="A4542" s="4">
        <v>40981</v>
      </c>
      <c r="B4542">
        <v>59.219099999999997</v>
      </c>
      <c r="C4542">
        <v>59.733400000000003</v>
      </c>
      <c r="D4542">
        <v>58.851799999999997</v>
      </c>
      <c r="E4542">
        <v>59.733400000000003</v>
      </c>
      <c r="F4542">
        <v>48137</v>
      </c>
    </row>
    <row r="4543" spans="1:6" x14ac:dyDescent="0.25">
      <c r="A4543" s="4">
        <v>40982</v>
      </c>
      <c r="B4543">
        <v>60.541600000000003</v>
      </c>
      <c r="C4543">
        <v>61.129399999999997</v>
      </c>
      <c r="D4543">
        <v>60.247799999999998</v>
      </c>
      <c r="E4543">
        <v>61.129399999999997</v>
      </c>
      <c r="F4543">
        <v>63310</v>
      </c>
    </row>
    <row r="4544" spans="1:6" x14ac:dyDescent="0.25">
      <c r="A4544" s="4">
        <v>40983</v>
      </c>
      <c r="B4544">
        <v>61.129399999999997</v>
      </c>
      <c r="C4544">
        <v>61.129399999999997</v>
      </c>
      <c r="D4544">
        <v>60.615099999999998</v>
      </c>
      <c r="E4544">
        <v>61.129399999999997</v>
      </c>
      <c r="F4544">
        <v>30609</v>
      </c>
    </row>
    <row r="4545" spans="1:6" x14ac:dyDescent="0.25">
      <c r="A4545" s="4">
        <v>40984</v>
      </c>
      <c r="B4545">
        <v>61.129399999999997</v>
      </c>
      <c r="C4545">
        <v>61.570300000000003</v>
      </c>
      <c r="D4545">
        <v>59.586500000000001</v>
      </c>
      <c r="E4545">
        <v>59.586500000000001</v>
      </c>
      <c r="F4545">
        <v>29210</v>
      </c>
    </row>
    <row r="4546" spans="1:6" x14ac:dyDescent="0.25">
      <c r="A4546" s="4">
        <v>40987</v>
      </c>
      <c r="B4546">
        <v>61.4968</v>
      </c>
      <c r="C4546">
        <v>61.864199999999997</v>
      </c>
      <c r="D4546">
        <v>60.541600000000003</v>
      </c>
      <c r="E4546">
        <v>61.4968</v>
      </c>
      <c r="F4546">
        <v>37508</v>
      </c>
    </row>
    <row r="4547" spans="1:6" x14ac:dyDescent="0.25">
      <c r="A4547" s="4">
        <v>40988</v>
      </c>
      <c r="B4547">
        <v>61.717199999999998</v>
      </c>
      <c r="C4547">
        <v>61.790700000000001</v>
      </c>
      <c r="D4547">
        <v>60.835500000000003</v>
      </c>
      <c r="E4547">
        <v>61.129399999999997</v>
      </c>
      <c r="F4547">
        <v>30106</v>
      </c>
    </row>
    <row r="4548" spans="1:6" x14ac:dyDescent="0.25">
      <c r="A4548" s="4">
        <v>40989</v>
      </c>
      <c r="B4548">
        <v>62.305</v>
      </c>
      <c r="C4548">
        <v>62.5989</v>
      </c>
      <c r="D4548">
        <v>61.570300000000003</v>
      </c>
      <c r="E4548">
        <v>62.378500000000003</v>
      </c>
      <c r="F4548">
        <v>76184</v>
      </c>
    </row>
    <row r="4549" spans="1:6" x14ac:dyDescent="0.25">
      <c r="A4549" s="4">
        <v>40990</v>
      </c>
      <c r="B4549">
        <v>62.451900000000002</v>
      </c>
      <c r="C4549">
        <v>62.966299999999997</v>
      </c>
      <c r="D4549">
        <v>61.937600000000003</v>
      </c>
      <c r="E4549">
        <v>62.5989</v>
      </c>
      <c r="F4549">
        <v>38057</v>
      </c>
    </row>
    <row r="4550" spans="1:6" x14ac:dyDescent="0.25">
      <c r="A4550" s="4">
        <v>40991</v>
      </c>
      <c r="B4550">
        <v>62.451900000000002</v>
      </c>
      <c r="C4550">
        <v>62.745800000000003</v>
      </c>
      <c r="D4550">
        <v>62.011099999999999</v>
      </c>
      <c r="E4550">
        <v>62.745800000000003</v>
      </c>
      <c r="F4550">
        <v>29495</v>
      </c>
    </row>
    <row r="4551" spans="1:6" x14ac:dyDescent="0.25">
      <c r="A4551" s="4">
        <v>40994</v>
      </c>
      <c r="B4551">
        <v>62.525399999999998</v>
      </c>
      <c r="C4551">
        <v>62.525399999999998</v>
      </c>
      <c r="D4551">
        <v>60.615099999999998</v>
      </c>
      <c r="E4551">
        <v>61.423299999999998</v>
      </c>
      <c r="F4551">
        <v>59941</v>
      </c>
    </row>
    <row r="4552" spans="1:6" x14ac:dyDescent="0.25">
      <c r="A4552" s="4">
        <v>40995</v>
      </c>
      <c r="B4552">
        <v>62.451900000000002</v>
      </c>
      <c r="C4552">
        <v>63.039700000000003</v>
      </c>
      <c r="D4552">
        <v>61.937600000000003</v>
      </c>
      <c r="E4552">
        <v>63.039700000000003</v>
      </c>
      <c r="F4552">
        <v>38560</v>
      </c>
    </row>
    <row r="4553" spans="1:6" x14ac:dyDescent="0.25">
      <c r="A4553" s="4">
        <v>40996</v>
      </c>
      <c r="B4553">
        <v>63.554000000000002</v>
      </c>
      <c r="C4553">
        <v>63.554000000000002</v>
      </c>
      <c r="D4553">
        <v>62.158000000000001</v>
      </c>
      <c r="E4553">
        <v>62.819299999999998</v>
      </c>
      <c r="F4553">
        <v>28304</v>
      </c>
    </row>
    <row r="4554" spans="1:6" x14ac:dyDescent="0.25">
      <c r="A4554" s="4">
        <v>40997</v>
      </c>
      <c r="B4554">
        <v>62.084600000000002</v>
      </c>
      <c r="C4554">
        <v>62.084600000000002</v>
      </c>
      <c r="D4554">
        <v>61.276400000000002</v>
      </c>
      <c r="E4554">
        <v>61.790700000000001</v>
      </c>
      <c r="F4554">
        <v>49940</v>
      </c>
    </row>
    <row r="4555" spans="1:6" x14ac:dyDescent="0.25">
      <c r="A4555" s="4">
        <v>40998</v>
      </c>
      <c r="B4555">
        <v>61.4968</v>
      </c>
      <c r="C4555">
        <v>62.378500000000003</v>
      </c>
      <c r="D4555">
        <v>60.908999999999999</v>
      </c>
      <c r="E4555">
        <v>62.378500000000003</v>
      </c>
      <c r="F4555">
        <v>43825</v>
      </c>
    </row>
    <row r="4556" spans="1:6" x14ac:dyDescent="0.25">
      <c r="A4556" s="4">
        <v>41001</v>
      </c>
      <c r="B4556">
        <v>62.305</v>
      </c>
      <c r="C4556">
        <v>62.5989</v>
      </c>
      <c r="D4556">
        <v>61.717199999999998</v>
      </c>
      <c r="E4556">
        <v>62.525399999999998</v>
      </c>
      <c r="F4556">
        <v>23686</v>
      </c>
    </row>
    <row r="4557" spans="1:6" x14ac:dyDescent="0.25">
      <c r="A4557" s="4">
        <v>41002</v>
      </c>
      <c r="B4557">
        <v>62.451900000000002</v>
      </c>
      <c r="C4557">
        <v>62.451900000000002</v>
      </c>
      <c r="D4557">
        <v>61.570300000000003</v>
      </c>
      <c r="E4557">
        <v>62.451900000000002</v>
      </c>
      <c r="F4557">
        <v>31283</v>
      </c>
    </row>
    <row r="4558" spans="1:6" x14ac:dyDescent="0.25">
      <c r="A4558" s="4">
        <v>41004</v>
      </c>
      <c r="B4558">
        <v>61.2029</v>
      </c>
      <c r="C4558">
        <v>61.717199999999998</v>
      </c>
      <c r="D4558">
        <v>61.055999999999997</v>
      </c>
      <c r="E4558">
        <v>61.055999999999997</v>
      </c>
      <c r="F4558">
        <v>47674</v>
      </c>
    </row>
    <row r="4559" spans="1:6" x14ac:dyDescent="0.25">
      <c r="A4559" s="4">
        <v>41005</v>
      </c>
      <c r="B4559">
        <v>61.717199999999998</v>
      </c>
      <c r="C4559">
        <v>61.717199999999998</v>
      </c>
      <c r="D4559">
        <v>61.055999999999997</v>
      </c>
      <c r="E4559">
        <v>61.570300000000003</v>
      </c>
      <c r="F4559">
        <v>34113</v>
      </c>
    </row>
    <row r="4560" spans="1:6" x14ac:dyDescent="0.25">
      <c r="A4560" s="4">
        <v>41008</v>
      </c>
      <c r="B4560">
        <v>60.247799999999998</v>
      </c>
      <c r="C4560">
        <v>61.423299999999998</v>
      </c>
      <c r="D4560">
        <v>60.247799999999998</v>
      </c>
      <c r="E4560">
        <v>60.982500000000002</v>
      </c>
      <c r="F4560">
        <v>23247</v>
      </c>
    </row>
    <row r="4561" spans="1:6" x14ac:dyDescent="0.25">
      <c r="A4561" s="4">
        <v>41009</v>
      </c>
      <c r="B4561">
        <v>61.055999999999997</v>
      </c>
      <c r="C4561">
        <v>61.349800000000002</v>
      </c>
      <c r="D4561">
        <v>60.1008</v>
      </c>
      <c r="E4561">
        <v>60.247799999999998</v>
      </c>
      <c r="F4561">
        <v>33387</v>
      </c>
    </row>
    <row r="4562" spans="1:6" x14ac:dyDescent="0.25">
      <c r="A4562" s="4">
        <v>41010</v>
      </c>
      <c r="B4562">
        <v>60.247799999999998</v>
      </c>
      <c r="C4562">
        <v>61.349800000000002</v>
      </c>
      <c r="D4562">
        <v>60.027299999999997</v>
      </c>
      <c r="E4562">
        <v>60.541600000000003</v>
      </c>
      <c r="F4562">
        <v>40770</v>
      </c>
    </row>
    <row r="4563" spans="1:6" x14ac:dyDescent="0.25">
      <c r="A4563" s="4">
        <v>41011</v>
      </c>
      <c r="B4563">
        <v>60.615099999999998</v>
      </c>
      <c r="C4563">
        <v>60.762099999999997</v>
      </c>
      <c r="D4563">
        <v>59.880400000000002</v>
      </c>
      <c r="E4563">
        <v>60.688600000000001</v>
      </c>
      <c r="F4563">
        <v>39455</v>
      </c>
    </row>
    <row r="4564" spans="1:6" x14ac:dyDescent="0.25">
      <c r="A4564" s="4">
        <v>41012</v>
      </c>
      <c r="B4564">
        <v>61.276400000000002</v>
      </c>
      <c r="C4564">
        <v>62.451900000000002</v>
      </c>
      <c r="D4564">
        <v>60.762099999999997</v>
      </c>
      <c r="E4564">
        <v>62.378500000000003</v>
      </c>
      <c r="F4564">
        <v>44743</v>
      </c>
    </row>
    <row r="4565" spans="1:6" x14ac:dyDescent="0.25">
      <c r="A4565" s="4">
        <v>41015</v>
      </c>
      <c r="B4565">
        <v>62.158000000000001</v>
      </c>
      <c r="C4565">
        <v>62.451900000000002</v>
      </c>
      <c r="D4565">
        <v>61.570300000000003</v>
      </c>
      <c r="E4565">
        <v>62.378500000000003</v>
      </c>
      <c r="F4565">
        <v>19776</v>
      </c>
    </row>
    <row r="4566" spans="1:6" x14ac:dyDescent="0.25">
      <c r="A4566" s="4">
        <v>41016</v>
      </c>
      <c r="B4566">
        <v>62.378500000000003</v>
      </c>
      <c r="C4566">
        <v>62.378500000000003</v>
      </c>
      <c r="D4566">
        <v>61.276400000000002</v>
      </c>
      <c r="E4566">
        <v>61.570300000000003</v>
      </c>
      <c r="F4566">
        <v>29503</v>
      </c>
    </row>
    <row r="4567" spans="1:6" x14ac:dyDescent="0.25">
      <c r="A4567" s="4">
        <v>41017</v>
      </c>
      <c r="B4567">
        <v>62.451900000000002</v>
      </c>
      <c r="C4567">
        <v>62.451900000000002</v>
      </c>
      <c r="D4567">
        <v>62.011099999999999</v>
      </c>
      <c r="E4567">
        <v>62.451900000000002</v>
      </c>
      <c r="F4567">
        <v>32819</v>
      </c>
    </row>
    <row r="4568" spans="1:6" x14ac:dyDescent="0.25">
      <c r="A4568" s="4">
        <v>41018</v>
      </c>
      <c r="B4568">
        <v>62.084600000000002</v>
      </c>
      <c r="C4568">
        <v>63.039700000000003</v>
      </c>
      <c r="D4568">
        <v>61.937600000000003</v>
      </c>
      <c r="E4568">
        <v>63.039700000000003</v>
      </c>
      <c r="F4568">
        <v>31618</v>
      </c>
    </row>
    <row r="4569" spans="1:6" x14ac:dyDescent="0.25">
      <c r="A4569" s="4">
        <v>41019</v>
      </c>
      <c r="B4569">
        <v>62.451900000000002</v>
      </c>
      <c r="C4569">
        <v>62.966299999999997</v>
      </c>
      <c r="D4569">
        <v>61.790700000000001</v>
      </c>
      <c r="E4569">
        <v>61.937600000000003</v>
      </c>
      <c r="F4569">
        <v>29213</v>
      </c>
    </row>
    <row r="4570" spans="1:6" x14ac:dyDescent="0.25">
      <c r="A4570" s="4">
        <v>41022</v>
      </c>
      <c r="B4570">
        <v>61.864199999999997</v>
      </c>
      <c r="C4570">
        <v>62.158000000000001</v>
      </c>
      <c r="D4570">
        <v>61.276400000000002</v>
      </c>
      <c r="E4570">
        <v>61.937600000000003</v>
      </c>
      <c r="F4570">
        <v>20352</v>
      </c>
    </row>
    <row r="4571" spans="1:6" x14ac:dyDescent="0.25">
      <c r="A4571" s="4">
        <v>41023</v>
      </c>
      <c r="B4571">
        <v>61.570300000000003</v>
      </c>
      <c r="C4571">
        <v>62.158000000000001</v>
      </c>
      <c r="D4571">
        <v>61.423299999999998</v>
      </c>
      <c r="E4571">
        <v>62.158000000000001</v>
      </c>
      <c r="F4571">
        <v>33320</v>
      </c>
    </row>
    <row r="4572" spans="1:6" x14ac:dyDescent="0.25">
      <c r="A4572" s="4">
        <v>41024</v>
      </c>
      <c r="B4572">
        <v>62.378500000000003</v>
      </c>
      <c r="C4572">
        <v>62.378500000000003</v>
      </c>
      <c r="D4572">
        <v>61.643700000000003</v>
      </c>
      <c r="E4572">
        <v>61.864199999999997</v>
      </c>
      <c r="F4572">
        <v>49611</v>
      </c>
    </row>
    <row r="4573" spans="1:6" x14ac:dyDescent="0.25">
      <c r="A4573" s="4">
        <v>41025</v>
      </c>
      <c r="B4573">
        <v>61.864199999999997</v>
      </c>
      <c r="C4573">
        <v>61.864199999999997</v>
      </c>
      <c r="D4573">
        <v>61.349800000000002</v>
      </c>
      <c r="E4573">
        <v>61.717199999999998</v>
      </c>
      <c r="F4573">
        <v>21066</v>
      </c>
    </row>
    <row r="4574" spans="1:6" x14ac:dyDescent="0.25">
      <c r="A4574" s="4">
        <v>41026</v>
      </c>
      <c r="B4574">
        <v>63.921399999999998</v>
      </c>
      <c r="C4574">
        <v>65.9786</v>
      </c>
      <c r="D4574">
        <v>63.186700000000002</v>
      </c>
      <c r="E4574">
        <v>63.186700000000002</v>
      </c>
      <c r="F4574">
        <v>118849</v>
      </c>
    </row>
    <row r="4575" spans="1:6" x14ac:dyDescent="0.25">
      <c r="A4575" s="4">
        <v>41029</v>
      </c>
      <c r="B4575">
        <v>63.4071</v>
      </c>
      <c r="C4575">
        <v>64.215299999999999</v>
      </c>
      <c r="D4575">
        <v>62.966299999999997</v>
      </c>
      <c r="E4575">
        <v>63.774500000000003</v>
      </c>
      <c r="F4575">
        <v>47647</v>
      </c>
    </row>
    <row r="4576" spans="1:6" x14ac:dyDescent="0.25">
      <c r="A4576" s="4">
        <v>41031</v>
      </c>
      <c r="B4576">
        <v>63.921399999999998</v>
      </c>
      <c r="C4576">
        <v>65.317400000000006</v>
      </c>
      <c r="D4576">
        <v>63.774500000000003</v>
      </c>
      <c r="E4576">
        <v>64.95</v>
      </c>
      <c r="F4576">
        <v>48250</v>
      </c>
    </row>
    <row r="4577" spans="1:6" x14ac:dyDescent="0.25">
      <c r="A4577" s="4">
        <v>41032</v>
      </c>
      <c r="B4577">
        <v>64.95</v>
      </c>
      <c r="C4577">
        <v>65.390900000000002</v>
      </c>
      <c r="D4577">
        <v>64.582700000000003</v>
      </c>
      <c r="E4577">
        <v>65.317400000000006</v>
      </c>
      <c r="F4577">
        <v>27728</v>
      </c>
    </row>
    <row r="4578" spans="1:6" x14ac:dyDescent="0.25">
      <c r="A4578" s="4">
        <v>41033</v>
      </c>
      <c r="B4578">
        <v>63.701000000000001</v>
      </c>
      <c r="C4578">
        <v>64.656099999999995</v>
      </c>
      <c r="D4578">
        <v>63.701000000000001</v>
      </c>
      <c r="E4578">
        <v>64.362200000000001</v>
      </c>
      <c r="F4578">
        <v>37720</v>
      </c>
    </row>
    <row r="4579" spans="1:6" x14ac:dyDescent="0.25">
      <c r="A4579" s="4">
        <v>41036</v>
      </c>
      <c r="B4579">
        <v>63.554000000000002</v>
      </c>
      <c r="C4579">
        <v>63.554000000000002</v>
      </c>
      <c r="D4579">
        <v>62.451900000000002</v>
      </c>
      <c r="E4579">
        <v>62.892800000000001</v>
      </c>
      <c r="F4579">
        <v>47917</v>
      </c>
    </row>
    <row r="4580" spans="1:6" x14ac:dyDescent="0.25">
      <c r="A4580" s="4">
        <v>41037</v>
      </c>
      <c r="B4580">
        <v>63.186700000000002</v>
      </c>
      <c r="C4580">
        <v>63.186700000000002</v>
      </c>
      <c r="D4580">
        <v>62.011099999999999</v>
      </c>
      <c r="E4580">
        <v>62.011099999999999</v>
      </c>
      <c r="F4580">
        <v>45836</v>
      </c>
    </row>
    <row r="4581" spans="1:6" x14ac:dyDescent="0.25">
      <c r="A4581" s="4">
        <v>41038</v>
      </c>
      <c r="B4581">
        <v>61.643700000000003</v>
      </c>
      <c r="C4581">
        <v>62.5989</v>
      </c>
      <c r="D4581">
        <v>61.349800000000002</v>
      </c>
      <c r="E4581">
        <v>62.158000000000001</v>
      </c>
      <c r="F4581">
        <v>41264</v>
      </c>
    </row>
    <row r="4582" spans="1:6" x14ac:dyDescent="0.25">
      <c r="A4582" s="4">
        <v>41039</v>
      </c>
      <c r="B4582">
        <v>62.451900000000002</v>
      </c>
      <c r="C4582">
        <v>62.966299999999997</v>
      </c>
      <c r="D4582">
        <v>61.937600000000003</v>
      </c>
      <c r="E4582">
        <v>62.672400000000003</v>
      </c>
      <c r="F4582">
        <v>28689</v>
      </c>
    </row>
    <row r="4583" spans="1:6" x14ac:dyDescent="0.25">
      <c r="A4583" s="4">
        <v>41040</v>
      </c>
      <c r="B4583">
        <v>62.966299999999997</v>
      </c>
      <c r="C4583">
        <v>62.966299999999997</v>
      </c>
      <c r="D4583">
        <v>62.084600000000002</v>
      </c>
      <c r="E4583">
        <v>62.819299999999998</v>
      </c>
      <c r="F4583">
        <v>33627</v>
      </c>
    </row>
    <row r="4584" spans="1:6" x14ac:dyDescent="0.25">
      <c r="A4584" s="4">
        <v>41043</v>
      </c>
      <c r="B4584">
        <v>62.305</v>
      </c>
      <c r="C4584">
        <v>62.819299999999998</v>
      </c>
      <c r="D4584">
        <v>62.305</v>
      </c>
      <c r="E4584">
        <v>62.745800000000003</v>
      </c>
      <c r="F4584">
        <v>14136</v>
      </c>
    </row>
    <row r="4585" spans="1:6" x14ac:dyDescent="0.25">
      <c r="A4585" s="4">
        <v>41044</v>
      </c>
      <c r="B4585">
        <v>62.745800000000003</v>
      </c>
      <c r="C4585">
        <v>62.966299999999997</v>
      </c>
      <c r="D4585">
        <v>61.790700000000001</v>
      </c>
      <c r="E4585">
        <v>62.819299999999998</v>
      </c>
      <c r="F4585">
        <v>30740</v>
      </c>
    </row>
    <row r="4586" spans="1:6" x14ac:dyDescent="0.25">
      <c r="A4586" s="4">
        <v>41045</v>
      </c>
      <c r="B4586">
        <v>61.864199999999997</v>
      </c>
      <c r="C4586">
        <v>62.084600000000002</v>
      </c>
      <c r="D4586">
        <v>61.276400000000002</v>
      </c>
      <c r="E4586">
        <v>61.276400000000002</v>
      </c>
      <c r="F4586">
        <v>65470</v>
      </c>
    </row>
    <row r="4587" spans="1:6" x14ac:dyDescent="0.25">
      <c r="A4587" s="4">
        <v>41046</v>
      </c>
      <c r="B4587">
        <v>62.305</v>
      </c>
      <c r="C4587">
        <v>62.525399999999998</v>
      </c>
      <c r="D4587">
        <v>61.790700000000001</v>
      </c>
      <c r="E4587">
        <v>62.525399999999998</v>
      </c>
      <c r="F4587">
        <v>33658</v>
      </c>
    </row>
    <row r="4588" spans="1:6" x14ac:dyDescent="0.25">
      <c r="A4588" s="4">
        <v>41047</v>
      </c>
      <c r="B4588">
        <v>61.643700000000003</v>
      </c>
      <c r="C4588">
        <v>61.643700000000003</v>
      </c>
      <c r="D4588">
        <v>60.1008</v>
      </c>
      <c r="E4588">
        <v>60.1008</v>
      </c>
      <c r="F4588">
        <v>57621</v>
      </c>
    </row>
    <row r="4589" spans="1:6" x14ac:dyDescent="0.25">
      <c r="A4589" s="4">
        <v>41050</v>
      </c>
      <c r="B4589">
        <v>59.512999999999998</v>
      </c>
      <c r="C4589">
        <v>60.835500000000003</v>
      </c>
      <c r="D4589">
        <v>59.512999999999998</v>
      </c>
      <c r="E4589">
        <v>60.615099999999998</v>
      </c>
      <c r="F4589">
        <v>32415</v>
      </c>
    </row>
    <row r="4590" spans="1:6" x14ac:dyDescent="0.25">
      <c r="A4590" s="4">
        <v>41051</v>
      </c>
      <c r="B4590">
        <v>60.762099999999997</v>
      </c>
      <c r="C4590">
        <v>60.908999999999999</v>
      </c>
      <c r="D4590">
        <v>60.3947</v>
      </c>
      <c r="E4590">
        <v>60.3947</v>
      </c>
      <c r="F4590">
        <v>33978</v>
      </c>
    </row>
    <row r="4591" spans="1:6" x14ac:dyDescent="0.25">
      <c r="A4591" s="4">
        <v>41052</v>
      </c>
      <c r="B4591">
        <v>59.512999999999998</v>
      </c>
      <c r="C4591">
        <v>59.66</v>
      </c>
      <c r="D4591">
        <v>58.043599999999998</v>
      </c>
      <c r="E4591">
        <v>58.116999999999997</v>
      </c>
      <c r="F4591">
        <v>63270</v>
      </c>
    </row>
    <row r="4592" spans="1:6" x14ac:dyDescent="0.25">
      <c r="A4592" s="4">
        <v>41053</v>
      </c>
      <c r="B4592">
        <v>57.970100000000002</v>
      </c>
      <c r="C4592">
        <v>59.219099999999997</v>
      </c>
      <c r="D4592">
        <v>57.382300000000001</v>
      </c>
      <c r="E4592">
        <v>59.219099999999997</v>
      </c>
      <c r="F4592">
        <v>40984</v>
      </c>
    </row>
    <row r="4593" spans="1:6" x14ac:dyDescent="0.25">
      <c r="A4593" s="4">
        <v>41054</v>
      </c>
      <c r="B4593">
        <v>58.631399999999999</v>
      </c>
      <c r="C4593">
        <v>59.145699999999998</v>
      </c>
      <c r="D4593">
        <v>58.1905</v>
      </c>
      <c r="E4593">
        <v>58.778300000000002</v>
      </c>
      <c r="F4593">
        <v>28279</v>
      </c>
    </row>
    <row r="4594" spans="1:6" x14ac:dyDescent="0.25">
      <c r="A4594" s="4">
        <v>41057</v>
      </c>
      <c r="B4594">
        <v>58.778300000000002</v>
      </c>
      <c r="C4594">
        <v>60.027299999999997</v>
      </c>
      <c r="D4594">
        <v>58.631399999999999</v>
      </c>
      <c r="E4594">
        <v>59.953899999999997</v>
      </c>
      <c r="F4594">
        <v>30137</v>
      </c>
    </row>
    <row r="4595" spans="1:6" x14ac:dyDescent="0.25">
      <c r="A4595" s="4">
        <v>41058</v>
      </c>
      <c r="B4595">
        <v>60.615099999999998</v>
      </c>
      <c r="C4595">
        <v>61.129399999999997</v>
      </c>
      <c r="D4595">
        <v>60.247799999999998</v>
      </c>
      <c r="E4595">
        <v>60.468200000000003</v>
      </c>
      <c r="F4595">
        <v>41172</v>
      </c>
    </row>
    <row r="4596" spans="1:6" x14ac:dyDescent="0.25">
      <c r="A4596" s="4">
        <v>41059</v>
      </c>
      <c r="B4596">
        <v>59.953899999999997</v>
      </c>
      <c r="C4596">
        <v>60.247799999999998</v>
      </c>
      <c r="D4596">
        <v>58.998699999999999</v>
      </c>
      <c r="E4596">
        <v>60.027299999999997</v>
      </c>
      <c r="F4596">
        <v>75752</v>
      </c>
    </row>
    <row r="4597" spans="1:6" x14ac:dyDescent="0.25">
      <c r="A4597" s="4">
        <v>41060</v>
      </c>
      <c r="B4597">
        <v>59.145699999999998</v>
      </c>
      <c r="C4597">
        <v>62.525399999999998</v>
      </c>
      <c r="D4597">
        <v>58.557899999999997</v>
      </c>
      <c r="E4597">
        <v>62.525399999999998</v>
      </c>
      <c r="F4597">
        <v>89332</v>
      </c>
    </row>
    <row r="4598" spans="1:6" x14ac:dyDescent="0.25">
      <c r="A4598" s="4">
        <v>41061</v>
      </c>
      <c r="B4598">
        <v>60.027299999999997</v>
      </c>
      <c r="C4598">
        <v>60.027299999999997</v>
      </c>
      <c r="D4598">
        <v>58.704799999999999</v>
      </c>
      <c r="E4598">
        <v>58.704799999999999</v>
      </c>
      <c r="F4598">
        <v>66925</v>
      </c>
    </row>
    <row r="4599" spans="1:6" x14ac:dyDescent="0.25">
      <c r="A4599" s="4">
        <v>41064</v>
      </c>
      <c r="B4599">
        <v>56.206699999999998</v>
      </c>
      <c r="C4599">
        <v>56.647599999999997</v>
      </c>
      <c r="D4599">
        <v>55.9129</v>
      </c>
      <c r="E4599">
        <v>56.206699999999998</v>
      </c>
      <c r="F4599">
        <v>66009</v>
      </c>
    </row>
    <row r="4600" spans="1:6" x14ac:dyDescent="0.25">
      <c r="A4600" s="4">
        <v>41065</v>
      </c>
      <c r="B4600">
        <v>56.941499999999998</v>
      </c>
      <c r="C4600">
        <v>57.455800000000004</v>
      </c>
      <c r="D4600">
        <v>56.7211</v>
      </c>
      <c r="E4600">
        <v>57.455800000000004</v>
      </c>
      <c r="F4600">
        <v>37617</v>
      </c>
    </row>
    <row r="4601" spans="1:6" x14ac:dyDescent="0.25">
      <c r="A4601" s="4">
        <v>41066</v>
      </c>
      <c r="B4601">
        <v>57.455800000000004</v>
      </c>
      <c r="C4601">
        <v>57.749699999999997</v>
      </c>
      <c r="D4601">
        <v>56.941499999999998</v>
      </c>
      <c r="E4601">
        <v>57.161900000000003</v>
      </c>
      <c r="F4601">
        <v>33715</v>
      </c>
    </row>
    <row r="4602" spans="1:6" x14ac:dyDescent="0.25">
      <c r="A4602" s="4">
        <v>41067</v>
      </c>
      <c r="B4602">
        <v>58.337499999999999</v>
      </c>
      <c r="C4602">
        <v>58.631399999999999</v>
      </c>
      <c r="D4602">
        <v>57.749699999999997</v>
      </c>
      <c r="E4602">
        <v>58.631399999999999</v>
      </c>
      <c r="F4602">
        <v>47700</v>
      </c>
    </row>
    <row r="4603" spans="1:6" x14ac:dyDescent="0.25">
      <c r="A4603" s="4">
        <v>41068</v>
      </c>
      <c r="B4603">
        <v>56.574100000000001</v>
      </c>
      <c r="C4603">
        <v>57.8232</v>
      </c>
      <c r="D4603">
        <v>56.574100000000001</v>
      </c>
      <c r="E4603">
        <v>57.235399999999998</v>
      </c>
      <c r="F4603">
        <v>35988</v>
      </c>
    </row>
    <row r="4604" spans="1:6" x14ac:dyDescent="0.25">
      <c r="A4604" s="4">
        <v>41071</v>
      </c>
      <c r="B4604">
        <v>58.704799999999999</v>
      </c>
      <c r="C4604">
        <v>59.145699999999998</v>
      </c>
      <c r="D4604">
        <v>58.484400000000001</v>
      </c>
      <c r="E4604">
        <v>59.072200000000002</v>
      </c>
      <c r="F4604">
        <v>40596</v>
      </c>
    </row>
    <row r="4605" spans="1:6" x14ac:dyDescent="0.25">
      <c r="A4605" s="4">
        <v>41072</v>
      </c>
      <c r="B4605">
        <v>57.676200000000001</v>
      </c>
      <c r="C4605">
        <v>58.631399999999999</v>
      </c>
      <c r="D4605">
        <v>57.676200000000001</v>
      </c>
      <c r="E4605">
        <v>58.337499999999999</v>
      </c>
      <c r="F4605">
        <v>38319</v>
      </c>
    </row>
    <row r="4606" spans="1:6" x14ac:dyDescent="0.25">
      <c r="A4606" s="4">
        <v>41073</v>
      </c>
      <c r="B4606">
        <v>59.366100000000003</v>
      </c>
      <c r="C4606">
        <v>59.366100000000003</v>
      </c>
      <c r="D4606">
        <v>58.410899999999998</v>
      </c>
      <c r="E4606">
        <v>58.778300000000002</v>
      </c>
      <c r="F4606">
        <v>32284</v>
      </c>
    </row>
    <row r="4607" spans="1:6" x14ac:dyDescent="0.25">
      <c r="A4607" s="4">
        <v>41074</v>
      </c>
      <c r="B4607">
        <v>58.778300000000002</v>
      </c>
      <c r="C4607">
        <v>58.925199999999997</v>
      </c>
      <c r="D4607">
        <v>58.116999999999997</v>
      </c>
      <c r="E4607">
        <v>58.1905</v>
      </c>
      <c r="F4607">
        <v>31162</v>
      </c>
    </row>
    <row r="4608" spans="1:6" x14ac:dyDescent="0.25">
      <c r="A4608" s="4">
        <v>41075</v>
      </c>
      <c r="B4608">
        <v>58.1905</v>
      </c>
      <c r="C4608">
        <v>58.410899999999998</v>
      </c>
      <c r="D4608">
        <v>57.382300000000001</v>
      </c>
      <c r="E4608">
        <v>57.382300000000001</v>
      </c>
      <c r="F4608">
        <v>89900</v>
      </c>
    </row>
    <row r="4609" spans="1:6" x14ac:dyDescent="0.25">
      <c r="A4609" s="4">
        <v>41078</v>
      </c>
      <c r="B4609">
        <v>58.778300000000002</v>
      </c>
      <c r="C4609">
        <v>59.512999999999998</v>
      </c>
      <c r="D4609">
        <v>58.778300000000002</v>
      </c>
      <c r="E4609">
        <v>59.366100000000003</v>
      </c>
      <c r="F4609">
        <v>33738</v>
      </c>
    </row>
    <row r="4610" spans="1:6" x14ac:dyDescent="0.25">
      <c r="A4610" s="4">
        <v>41079</v>
      </c>
      <c r="B4610">
        <v>59.439599999999999</v>
      </c>
      <c r="C4610">
        <v>59.439599999999999</v>
      </c>
      <c r="D4610">
        <v>58.778300000000002</v>
      </c>
      <c r="E4610">
        <v>59.145699999999998</v>
      </c>
      <c r="F4610">
        <v>28911</v>
      </c>
    </row>
    <row r="4611" spans="1:6" x14ac:dyDescent="0.25">
      <c r="A4611" s="4">
        <v>41080</v>
      </c>
      <c r="B4611">
        <v>59.733400000000003</v>
      </c>
      <c r="C4611">
        <v>59.953899999999997</v>
      </c>
      <c r="D4611">
        <v>59.145699999999998</v>
      </c>
      <c r="E4611">
        <v>59.953899999999997</v>
      </c>
      <c r="F4611">
        <v>35326</v>
      </c>
    </row>
    <row r="4612" spans="1:6" x14ac:dyDescent="0.25">
      <c r="A4612" s="4">
        <v>41081</v>
      </c>
      <c r="B4612">
        <v>59.145699999999998</v>
      </c>
      <c r="C4612">
        <v>59.512999999999998</v>
      </c>
      <c r="D4612">
        <v>58.998699999999999</v>
      </c>
      <c r="E4612">
        <v>59.219099999999997</v>
      </c>
      <c r="F4612">
        <v>27064</v>
      </c>
    </row>
    <row r="4613" spans="1:6" x14ac:dyDescent="0.25">
      <c r="A4613" s="4">
        <v>41082</v>
      </c>
      <c r="B4613">
        <v>58.778300000000002</v>
      </c>
      <c r="C4613">
        <v>59.512999999999998</v>
      </c>
      <c r="D4613">
        <v>58.704799999999999</v>
      </c>
      <c r="E4613">
        <v>58.851799999999997</v>
      </c>
      <c r="F4613">
        <v>31118</v>
      </c>
    </row>
    <row r="4614" spans="1:6" x14ac:dyDescent="0.25">
      <c r="A4614" s="4">
        <v>41085</v>
      </c>
      <c r="B4614">
        <v>59.366100000000003</v>
      </c>
      <c r="C4614">
        <v>59.366100000000003</v>
      </c>
      <c r="D4614">
        <v>58.116999999999997</v>
      </c>
      <c r="E4614">
        <v>58.484400000000001</v>
      </c>
      <c r="F4614">
        <v>40787</v>
      </c>
    </row>
    <row r="4615" spans="1:6" x14ac:dyDescent="0.25">
      <c r="A4615" s="4">
        <v>41086</v>
      </c>
      <c r="B4615">
        <v>58.043599999999998</v>
      </c>
      <c r="C4615">
        <v>58.116999999999997</v>
      </c>
      <c r="D4615">
        <v>57.529299999999999</v>
      </c>
      <c r="E4615">
        <v>57.8232</v>
      </c>
      <c r="F4615">
        <v>42391</v>
      </c>
    </row>
    <row r="4616" spans="1:6" x14ac:dyDescent="0.25">
      <c r="A4616" s="4">
        <v>41087</v>
      </c>
      <c r="B4616">
        <v>57.529299999999999</v>
      </c>
      <c r="C4616">
        <v>58.410899999999998</v>
      </c>
      <c r="D4616">
        <v>57.455800000000004</v>
      </c>
      <c r="E4616">
        <v>58.264000000000003</v>
      </c>
      <c r="F4616">
        <v>32771</v>
      </c>
    </row>
    <row r="4617" spans="1:6" x14ac:dyDescent="0.25">
      <c r="A4617" s="4">
        <v>41088</v>
      </c>
      <c r="B4617">
        <v>58.778300000000002</v>
      </c>
      <c r="C4617">
        <v>58.998699999999999</v>
      </c>
      <c r="D4617">
        <v>58.410899999999998</v>
      </c>
      <c r="E4617">
        <v>58.704799999999999</v>
      </c>
      <c r="F4617">
        <v>33114</v>
      </c>
    </row>
    <row r="4618" spans="1:6" x14ac:dyDescent="0.25">
      <c r="A4618" s="4">
        <v>41089</v>
      </c>
      <c r="B4618">
        <v>58.484400000000001</v>
      </c>
      <c r="C4618">
        <v>59.733400000000003</v>
      </c>
      <c r="D4618">
        <v>58.264000000000003</v>
      </c>
      <c r="E4618">
        <v>59.733400000000003</v>
      </c>
      <c r="F4618">
        <v>50919</v>
      </c>
    </row>
    <row r="4619" spans="1:6" x14ac:dyDescent="0.25">
      <c r="A4619" s="4">
        <v>41092</v>
      </c>
      <c r="B4619">
        <v>59.880400000000002</v>
      </c>
      <c r="C4619">
        <v>61.4968</v>
      </c>
      <c r="D4619">
        <v>59.880400000000002</v>
      </c>
      <c r="E4619">
        <v>61.2029</v>
      </c>
      <c r="F4619">
        <v>64377</v>
      </c>
    </row>
    <row r="4620" spans="1:6" x14ac:dyDescent="0.25">
      <c r="A4620" s="4">
        <v>41093</v>
      </c>
      <c r="B4620">
        <v>61.423299999999998</v>
      </c>
      <c r="C4620">
        <v>62.378500000000003</v>
      </c>
      <c r="D4620">
        <v>61.276400000000002</v>
      </c>
      <c r="E4620">
        <v>61.864199999999997</v>
      </c>
      <c r="F4620">
        <v>60850</v>
      </c>
    </row>
    <row r="4621" spans="1:6" x14ac:dyDescent="0.25">
      <c r="A4621" s="4">
        <v>41094</v>
      </c>
      <c r="B4621">
        <v>62.549399999999999</v>
      </c>
      <c r="C4621">
        <v>62.549399999999999</v>
      </c>
      <c r="D4621">
        <v>61.863799999999998</v>
      </c>
      <c r="E4621">
        <v>61.863799999999998</v>
      </c>
      <c r="F4621">
        <v>44221</v>
      </c>
    </row>
    <row r="4622" spans="1:6" x14ac:dyDescent="0.25">
      <c r="A4622" s="4">
        <v>41095</v>
      </c>
      <c r="B4622">
        <v>62.473300000000002</v>
      </c>
      <c r="C4622">
        <v>62.473300000000002</v>
      </c>
      <c r="D4622">
        <v>61.482799999999997</v>
      </c>
      <c r="E4622">
        <v>61.711399999999998</v>
      </c>
      <c r="F4622">
        <v>28556</v>
      </c>
    </row>
    <row r="4623" spans="1:6" x14ac:dyDescent="0.25">
      <c r="A4623" s="4">
        <v>41096</v>
      </c>
      <c r="B4623">
        <v>61.711399999999998</v>
      </c>
      <c r="C4623">
        <v>61.711399999999998</v>
      </c>
      <c r="D4623">
        <v>61.025700000000001</v>
      </c>
      <c r="E4623">
        <v>61.635199999999998</v>
      </c>
      <c r="F4623">
        <v>38188</v>
      </c>
    </row>
    <row r="4624" spans="1:6" x14ac:dyDescent="0.25">
      <c r="A4624" s="4">
        <v>41099</v>
      </c>
      <c r="B4624">
        <v>60.8733</v>
      </c>
      <c r="C4624">
        <v>61.178100000000001</v>
      </c>
      <c r="D4624">
        <v>60.644799999999996</v>
      </c>
      <c r="E4624">
        <v>60.9495</v>
      </c>
      <c r="F4624">
        <v>45061</v>
      </c>
    </row>
    <row r="4625" spans="1:6" x14ac:dyDescent="0.25">
      <c r="A4625" s="4">
        <v>41100</v>
      </c>
      <c r="B4625">
        <v>60.492400000000004</v>
      </c>
      <c r="C4625">
        <v>60.8733</v>
      </c>
      <c r="D4625">
        <v>59.882899999999999</v>
      </c>
      <c r="E4625">
        <v>60.263800000000003</v>
      </c>
      <c r="F4625">
        <v>37142</v>
      </c>
    </row>
    <row r="4626" spans="1:6" x14ac:dyDescent="0.25">
      <c r="A4626" s="4">
        <v>41101</v>
      </c>
      <c r="B4626">
        <v>59.502000000000002</v>
      </c>
      <c r="C4626">
        <v>59.654299999999999</v>
      </c>
      <c r="D4626">
        <v>58.968699999999998</v>
      </c>
      <c r="E4626">
        <v>59.502000000000002</v>
      </c>
      <c r="F4626">
        <v>59420</v>
      </c>
    </row>
    <row r="4627" spans="1:6" x14ac:dyDescent="0.25">
      <c r="A4627" s="4">
        <v>41102</v>
      </c>
      <c r="B4627">
        <v>59.044800000000002</v>
      </c>
      <c r="C4627">
        <v>59.044800000000002</v>
      </c>
      <c r="D4627">
        <v>57.673499999999997</v>
      </c>
      <c r="E4627">
        <v>57.673499999999997</v>
      </c>
      <c r="F4627">
        <v>69235</v>
      </c>
    </row>
    <row r="4628" spans="1:6" x14ac:dyDescent="0.25">
      <c r="A4628" s="4">
        <v>41103</v>
      </c>
      <c r="B4628">
        <v>57.064</v>
      </c>
      <c r="C4628">
        <v>57.902000000000001</v>
      </c>
      <c r="D4628">
        <v>56.7592</v>
      </c>
      <c r="E4628">
        <v>57.749699999999997</v>
      </c>
      <c r="F4628">
        <v>52311</v>
      </c>
    </row>
    <row r="4629" spans="1:6" x14ac:dyDescent="0.25">
      <c r="A4629" s="4">
        <v>41106</v>
      </c>
      <c r="B4629">
        <v>58.130600000000001</v>
      </c>
      <c r="C4629">
        <v>58.130600000000001</v>
      </c>
      <c r="D4629">
        <v>57.521099999999997</v>
      </c>
      <c r="E4629">
        <v>57.521099999999997</v>
      </c>
      <c r="F4629">
        <v>41995</v>
      </c>
    </row>
    <row r="4630" spans="1:6" x14ac:dyDescent="0.25">
      <c r="A4630" s="4">
        <v>41107</v>
      </c>
      <c r="B4630">
        <v>56.7592</v>
      </c>
      <c r="C4630">
        <v>57.292499999999997</v>
      </c>
      <c r="D4630">
        <v>56.7592</v>
      </c>
      <c r="E4630">
        <v>56.9878</v>
      </c>
      <c r="F4630">
        <v>51880</v>
      </c>
    </row>
    <row r="4631" spans="1:6" x14ac:dyDescent="0.25">
      <c r="A4631" s="4">
        <v>41108</v>
      </c>
      <c r="B4631">
        <v>57.1402</v>
      </c>
      <c r="C4631">
        <v>57.368699999999997</v>
      </c>
      <c r="D4631">
        <v>56.9878</v>
      </c>
      <c r="E4631">
        <v>56.9878</v>
      </c>
      <c r="F4631">
        <v>38711</v>
      </c>
    </row>
    <row r="4632" spans="1:6" x14ac:dyDescent="0.25">
      <c r="A4632" s="4">
        <v>41109</v>
      </c>
      <c r="B4632">
        <v>58.511499999999998</v>
      </c>
      <c r="C4632">
        <v>59.425800000000002</v>
      </c>
      <c r="D4632">
        <v>58.511499999999998</v>
      </c>
      <c r="E4632">
        <v>59.044800000000002</v>
      </c>
      <c r="F4632">
        <v>62113</v>
      </c>
    </row>
    <row r="4633" spans="1:6" x14ac:dyDescent="0.25">
      <c r="A4633" s="4">
        <v>41110</v>
      </c>
      <c r="B4633">
        <v>58.206800000000001</v>
      </c>
      <c r="C4633">
        <v>58.663899999999998</v>
      </c>
      <c r="D4633">
        <v>58.054400000000001</v>
      </c>
      <c r="E4633">
        <v>58.435400000000001</v>
      </c>
      <c r="F4633">
        <v>49933</v>
      </c>
    </row>
    <row r="4634" spans="1:6" x14ac:dyDescent="0.25">
      <c r="A4634" s="4">
        <v>41113</v>
      </c>
      <c r="B4634">
        <v>57.2164</v>
      </c>
      <c r="C4634">
        <v>57.2164</v>
      </c>
      <c r="D4634">
        <v>56.225900000000003</v>
      </c>
      <c r="E4634">
        <v>56.606900000000003</v>
      </c>
      <c r="F4634">
        <v>57536</v>
      </c>
    </row>
    <row r="4635" spans="1:6" x14ac:dyDescent="0.25">
      <c r="A4635" s="4">
        <v>41114</v>
      </c>
      <c r="B4635">
        <v>56.606900000000003</v>
      </c>
      <c r="C4635">
        <v>56.9878</v>
      </c>
      <c r="D4635">
        <v>56.530700000000003</v>
      </c>
      <c r="E4635">
        <v>56.9878</v>
      </c>
      <c r="F4635">
        <v>39973</v>
      </c>
    </row>
    <row r="4636" spans="1:6" x14ac:dyDescent="0.25">
      <c r="A4636" s="4">
        <v>41115</v>
      </c>
      <c r="B4636">
        <v>57.1402</v>
      </c>
      <c r="C4636">
        <v>57.292499999999997</v>
      </c>
      <c r="D4636">
        <v>56.683100000000003</v>
      </c>
      <c r="E4636">
        <v>56.8354</v>
      </c>
      <c r="F4636">
        <v>72481</v>
      </c>
    </row>
    <row r="4637" spans="1:6" x14ac:dyDescent="0.25">
      <c r="A4637" s="4">
        <v>41116</v>
      </c>
      <c r="B4637">
        <v>57.673499999999997</v>
      </c>
      <c r="C4637">
        <v>58.435400000000001</v>
      </c>
      <c r="D4637">
        <v>57.292499999999997</v>
      </c>
      <c r="E4637">
        <v>58.130600000000001</v>
      </c>
      <c r="F4637">
        <v>47156</v>
      </c>
    </row>
    <row r="4638" spans="1:6" x14ac:dyDescent="0.25">
      <c r="A4638" s="4">
        <v>41117</v>
      </c>
      <c r="B4638">
        <v>59.349600000000002</v>
      </c>
      <c r="C4638">
        <v>60.492400000000004</v>
      </c>
      <c r="D4638">
        <v>58.816299999999998</v>
      </c>
      <c r="E4638">
        <v>60.416200000000003</v>
      </c>
      <c r="F4638">
        <v>73460</v>
      </c>
    </row>
    <row r="4639" spans="1:6" x14ac:dyDescent="0.25">
      <c r="A4639" s="4">
        <v>41120</v>
      </c>
      <c r="B4639">
        <v>60.9495</v>
      </c>
      <c r="C4639">
        <v>61.254300000000001</v>
      </c>
      <c r="D4639">
        <v>60.035299999999999</v>
      </c>
      <c r="E4639">
        <v>60.1877</v>
      </c>
      <c r="F4639">
        <v>51382</v>
      </c>
    </row>
    <row r="4640" spans="1:6" x14ac:dyDescent="0.25">
      <c r="A4640" s="4">
        <v>41121</v>
      </c>
      <c r="B4640">
        <v>59.806699999999999</v>
      </c>
      <c r="C4640">
        <v>61.711399999999998</v>
      </c>
      <c r="D4640">
        <v>59.806699999999999</v>
      </c>
      <c r="E4640">
        <v>61.711399999999998</v>
      </c>
      <c r="F4640">
        <v>68249</v>
      </c>
    </row>
    <row r="4641" spans="1:6" x14ac:dyDescent="0.25">
      <c r="A4641" s="4">
        <v>41122</v>
      </c>
      <c r="B4641">
        <v>61.025700000000001</v>
      </c>
      <c r="C4641">
        <v>61.330500000000001</v>
      </c>
      <c r="D4641">
        <v>60.492400000000004</v>
      </c>
      <c r="E4641">
        <v>60.9495</v>
      </c>
      <c r="F4641">
        <v>43525</v>
      </c>
    </row>
    <row r="4642" spans="1:6" x14ac:dyDescent="0.25">
      <c r="A4642" s="4">
        <v>41124</v>
      </c>
      <c r="B4642">
        <v>60.568600000000004</v>
      </c>
      <c r="C4642">
        <v>61.025700000000001</v>
      </c>
      <c r="D4642">
        <v>60.34</v>
      </c>
      <c r="E4642">
        <v>60.7971</v>
      </c>
      <c r="F4642">
        <v>47301</v>
      </c>
    </row>
    <row r="4643" spans="1:6" x14ac:dyDescent="0.25">
      <c r="A4643" s="4">
        <v>41127</v>
      </c>
      <c r="B4643">
        <v>61.635199999999998</v>
      </c>
      <c r="C4643">
        <v>62.092300000000002</v>
      </c>
      <c r="D4643">
        <v>61.482799999999997</v>
      </c>
      <c r="E4643">
        <v>61.635199999999998</v>
      </c>
      <c r="F4643">
        <v>58470</v>
      </c>
    </row>
    <row r="4644" spans="1:6" x14ac:dyDescent="0.25">
      <c r="A4644" s="4">
        <v>41128</v>
      </c>
      <c r="B4644">
        <v>61.939900000000002</v>
      </c>
      <c r="C4644">
        <v>62.016100000000002</v>
      </c>
      <c r="D4644">
        <v>61.482799999999997</v>
      </c>
      <c r="E4644">
        <v>62.016100000000002</v>
      </c>
      <c r="F4644">
        <v>40187</v>
      </c>
    </row>
    <row r="4645" spans="1:6" x14ac:dyDescent="0.25">
      <c r="A4645" s="4">
        <v>41129</v>
      </c>
      <c r="B4645">
        <v>62.397100000000002</v>
      </c>
      <c r="C4645">
        <v>62.397100000000002</v>
      </c>
      <c r="D4645">
        <v>61.025700000000001</v>
      </c>
      <c r="E4645">
        <v>61.330500000000001</v>
      </c>
      <c r="F4645">
        <v>40138</v>
      </c>
    </row>
    <row r="4646" spans="1:6" x14ac:dyDescent="0.25">
      <c r="A4646" s="4">
        <v>41130</v>
      </c>
      <c r="B4646">
        <v>61.939900000000002</v>
      </c>
      <c r="C4646">
        <v>62.701799999999999</v>
      </c>
      <c r="D4646">
        <v>61.939900000000002</v>
      </c>
      <c r="E4646">
        <v>62.701799999999999</v>
      </c>
      <c r="F4646">
        <v>54300</v>
      </c>
    </row>
    <row r="4647" spans="1:6" x14ac:dyDescent="0.25">
      <c r="A4647" s="4">
        <v>41131</v>
      </c>
      <c r="B4647">
        <v>62.701799999999999</v>
      </c>
      <c r="C4647">
        <v>62.777999999999999</v>
      </c>
      <c r="D4647">
        <v>61.863799999999998</v>
      </c>
      <c r="E4647">
        <v>62.473300000000002</v>
      </c>
      <c r="F4647">
        <v>30075</v>
      </c>
    </row>
    <row r="4648" spans="1:6" x14ac:dyDescent="0.25">
      <c r="A4648" s="4">
        <v>41134</v>
      </c>
      <c r="B4648">
        <v>63.8446</v>
      </c>
      <c r="C4648">
        <v>63.8446</v>
      </c>
      <c r="D4648">
        <v>62.854199999999999</v>
      </c>
      <c r="E4648">
        <v>63.006599999999999</v>
      </c>
      <c r="F4648">
        <v>30295</v>
      </c>
    </row>
    <row r="4649" spans="1:6" x14ac:dyDescent="0.25">
      <c r="A4649" s="4">
        <v>41135</v>
      </c>
      <c r="B4649">
        <v>63.235100000000003</v>
      </c>
      <c r="C4649">
        <v>63.8446</v>
      </c>
      <c r="D4649">
        <v>63.082799999999999</v>
      </c>
      <c r="E4649">
        <v>63.387500000000003</v>
      </c>
      <c r="F4649">
        <v>33337</v>
      </c>
    </row>
    <row r="4650" spans="1:6" x14ac:dyDescent="0.25">
      <c r="A4650" s="4">
        <v>41136</v>
      </c>
      <c r="B4650">
        <v>63.7684</v>
      </c>
      <c r="C4650">
        <v>63.7684</v>
      </c>
      <c r="D4650">
        <v>62.854199999999999</v>
      </c>
      <c r="E4650">
        <v>63.235100000000003</v>
      </c>
      <c r="F4650">
        <v>27501</v>
      </c>
    </row>
    <row r="4651" spans="1:6" x14ac:dyDescent="0.25">
      <c r="A4651" s="4">
        <v>41137</v>
      </c>
      <c r="B4651">
        <v>63.235100000000003</v>
      </c>
      <c r="C4651">
        <v>63.539900000000003</v>
      </c>
      <c r="D4651">
        <v>62.854199999999999</v>
      </c>
      <c r="E4651">
        <v>63.158900000000003</v>
      </c>
      <c r="F4651">
        <v>28243</v>
      </c>
    </row>
    <row r="4652" spans="1:6" x14ac:dyDescent="0.25">
      <c r="A4652" s="4">
        <v>41138</v>
      </c>
      <c r="B4652">
        <v>63.235100000000003</v>
      </c>
      <c r="C4652">
        <v>63.387500000000003</v>
      </c>
      <c r="D4652">
        <v>62.473300000000002</v>
      </c>
      <c r="E4652">
        <v>62.473300000000002</v>
      </c>
      <c r="F4652">
        <v>30136</v>
      </c>
    </row>
    <row r="4653" spans="1:6" x14ac:dyDescent="0.25">
      <c r="A4653" s="4">
        <v>41141</v>
      </c>
      <c r="B4653">
        <v>63.006599999999999</v>
      </c>
      <c r="C4653">
        <v>63.006599999999999</v>
      </c>
      <c r="D4653">
        <v>62.397100000000002</v>
      </c>
      <c r="E4653">
        <v>62.777999999999999</v>
      </c>
      <c r="F4653">
        <v>26037</v>
      </c>
    </row>
    <row r="4654" spans="1:6" x14ac:dyDescent="0.25">
      <c r="A4654" s="4">
        <v>41142</v>
      </c>
      <c r="B4654">
        <v>63.006599999999999</v>
      </c>
      <c r="C4654">
        <v>63.9208</v>
      </c>
      <c r="D4654">
        <v>63.006599999999999</v>
      </c>
      <c r="E4654">
        <v>63.6922</v>
      </c>
      <c r="F4654">
        <v>36886</v>
      </c>
    </row>
    <row r="4655" spans="1:6" x14ac:dyDescent="0.25">
      <c r="A4655" s="4">
        <v>41143</v>
      </c>
      <c r="B4655">
        <v>63.311300000000003</v>
      </c>
      <c r="C4655">
        <v>63.539900000000003</v>
      </c>
      <c r="D4655">
        <v>62.397100000000002</v>
      </c>
      <c r="E4655">
        <v>62.777999999999999</v>
      </c>
      <c r="F4655">
        <v>33635</v>
      </c>
    </row>
    <row r="4656" spans="1:6" x14ac:dyDescent="0.25">
      <c r="A4656" s="4">
        <v>41144</v>
      </c>
      <c r="B4656">
        <v>62.777999999999999</v>
      </c>
      <c r="C4656">
        <v>63.082799999999999</v>
      </c>
      <c r="D4656">
        <v>62.625599999999999</v>
      </c>
      <c r="E4656">
        <v>63.006599999999999</v>
      </c>
      <c r="F4656">
        <v>22367</v>
      </c>
    </row>
    <row r="4657" spans="1:6" x14ac:dyDescent="0.25">
      <c r="A4657" s="4">
        <v>41145</v>
      </c>
      <c r="B4657">
        <v>62.701799999999999</v>
      </c>
      <c r="C4657">
        <v>62.701799999999999</v>
      </c>
      <c r="D4657">
        <v>62.244700000000002</v>
      </c>
      <c r="E4657">
        <v>62.473300000000002</v>
      </c>
      <c r="F4657">
        <v>25494</v>
      </c>
    </row>
    <row r="4658" spans="1:6" x14ac:dyDescent="0.25">
      <c r="A4658" s="4">
        <v>41148</v>
      </c>
      <c r="B4658">
        <v>63.158900000000003</v>
      </c>
      <c r="C4658">
        <v>63.616100000000003</v>
      </c>
      <c r="D4658">
        <v>62.777999999999999</v>
      </c>
      <c r="E4658">
        <v>63.235100000000003</v>
      </c>
      <c r="F4658">
        <v>25735</v>
      </c>
    </row>
    <row r="4659" spans="1:6" x14ac:dyDescent="0.25">
      <c r="A4659" s="4">
        <v>41149</v>
      </c>
      <c r="B4659">
        <v>62.701799999999999</v>
      </c>
      <c r="C4659">
        <v>63.539900000000003</v>
      </c>
      <c r="D4659">
        <v>62.473300000000002</v>
      </c>
      <c r="E4659">
        <v>62.777999999999999</v>
      </c>
      <c r="F4659">
        <v>32429</v>
      </c>
    </row>
    <row r="4660" spans="1:6" x14ac:dyDescent="0.25">
      <c r="A4660" s="4">
        <v>41150</v>
      </c>
      <c r="B4660">
        <v>62.930399999999999</v>
      </c>
      <c r="C4660">
        <v>63.235100000000003</v>
      </c>
      <c r="D4660">
        <v>62.549399999999999</v>
      </c>
      <c r="E4660">
        <v>63.006599999999999</v>
      </c>
      <c r="F4660">
        <v>18468</v>
      </c>
    </row>
    <row r="4661" spans="1:6" x14ac:dyDescent="0.25">
      <c r="A4661" s="4">
        <v>41151</v>
      </c>
      <c r="B4661">
        <v>62.701799999999999</v>
      </c>
      <c r="C4661">
        <v>63.387500000000003</v>
      </c>
      <c r="D4661">
        <v>62.701799999999999</v>
      </c>
      <c r="E4661">
        <v>63.006599999999999</v>
      </c>
      <c r="F4661">
        <v>46032</v>
      </c>
    </row>
    <row r="4662" spans="1:6" x14ac:dyDescent="0.25">
      <c r="A4662" s="4">
        <v>41152</v>
      </c>
      <c r="B4662">
        <v>62.777999999999999</v>
      </c>
      <c r="C4662">
        <v>63.463700000000003</v>
      </c>
      <c r="D4662">
        <v>62.777999999999999</v>
      </c>
      <c r="E4662">
        <v>63.463700000000003</v>
      </c>
      <c r="F4662">
        <v>13536</v>
      </c>
    </row>
    <row r="4663" spans="1:6" x14ac:dyDescent="0.25">
      <c r="A4663" s="4">
        <v>41155</v>
      </c>
      <c r="B4663">
        <v>63.616100000000003</v>
      </c>
      <c r="C4663">
        <v>63.9208</v>
      </c>
      <c r="D4663">
        <v>63.082799999999999</v>
      </c>
      <c r="E4663">
        <v>63.9208</v>
      </c>
      <c r="F4663">
        <v>20796</v>
      </c>
    </row>
    <row r="4664" spans="1:6" x14ac:dyDescent="0.25">
      <c r="A4664" s="4">
        <v>41156</v>
      </c>
      <c r="B4664">
        <v>63.997</v>
      </c>
      <c r="C4664">
        <v>63.997</v>
      </c>
      <c r="D4664">
        <v>63.616100000000003</v>
      </c>
      <c r="E4664">
        <v>63.997</v>
      </c>
      <c r="F4664">
        <v>21703</v>
      </c>
    </row>
    <row r="4665" spans="1:6" x14ac:dyDescent="0.25">
      <c r="A4665" s="4">
        <v>41157</v>
      </c>
      <c r="B4665">
        <v>63.235100000000003</v>
      </c>
      <c r="C4665">
        <v>63.463700000000003</v>
      </c>
      <c r="D4665">
        <v>62.397100000000002</v>
      </c>
      <c r="E4665">
        <v>62.473300000000002</v>
      </c>
      <c r="F4665">
        <v>43302</v>
      </c>
    </row>
    <row r="4666" spans="1:6" x14ac:dyDescent="0.25">
      <c r="A4666" s="4">
        <v>41158</v>
      </c>
      <c r="B4666">
        <v>63.082799999999999</v>
      </c>
      <c r="C4666">
        <v>63.082799999999999</v>
      </c>
      <c r="D4666">
        <v>61.711399999999998</v>
      </c>
      <c r="E4666">
        <v>61.787599999999998</v>
      </c>
      <c r="F4666">
        <v>25874</v>
      </c>
    </row>
    <row r="4667" spans="1:6" x14ac:dyDescent="0.25">
      <c r="A4667" s="4">
        <v>41159</v>
      </c>
      <c r="B4667">
        <v>63.235100000000003</v>
      </c>
      <c r="C4667">
        <v>63.9208</v>
      </c>
      <c r="D4667">
        <v>63.082799999999999</v>
      </c>
      <c r="E4667">
        <v>63.8446</v>
      </c>
      <c r="F4667">
        <v>44499</v>
      </c>
    </row>
    <row r="4668" spans="1:6" x14ac:dyDescent="0.25">
      <c r="A4668" s="4">
        <v>41162</v>
      </c>
      <c r="B4668">
        <v>63.463700000000003</v>
      </c>
      <c r="C4668">
        <v>63.6922</v>
      </c>
      <c r="D4668">
        <v>63.387500000000003</v>
      </c>
      <c r="E4668">
        <v>63.616100000000003</v>
      </c>
      <c r="F4668">
        <v>23049</v>
      </c>
    </row>
    <row r="4669" spans="1:6" x14ac:dyDescent="0.25">
      <c r="A4669" s="4">
        <v>41163</v>
      </c>
      <c r="B4669">
        <v>64.1494</v>
      </c>
      <c r="C4669">
        <v>64.530299999999997</v>
      </c>
      <c r="D4669">
        <v>63.997</v>
      </c>
      <c r="E4669">
        <v>64.301699999999997</v>
      </c>
      <c r="F4669">
        <v>31625</v>
      </c>
    </row>
    <row r="4670" spans="1:6" x14ac:dyDescent="0.25">
      <c r="A4670" s="4">
        <v>41164</v>
      </c>
      <c r="B4670">
        <v>64.377899999999997</v>
      </c>
      <c r="C4670">
        <v>64.682699999999997</v>
      </c>
      <c r="D4670">
        <v>64.377899999999997</v>
      </c>
      <c r="E4670">
        <v>64.377899999999997</v>
      </c>
      <c r="F4670">
        <v>37514</v>
      </c>
    </row>
    <row r="4671" spans="1:6" x14ac:dyDescent="0.25">
      <c r="A4671" s="4">
        <v>41165</v>
      </c>
      <c r="B4671">
        <v>64.377899999999997</v>
      </c>
      <c r="C4671">
        <v>64.758899999999997</v>
      </c>
      <c r="D4671">
        <v>64.377899999999997</v>
      </c>
      <c r="E4671">
        <v>64.758899999999997</v>
      </c>
      <c r="F4671">
        <v>29681</v>
      </c>
    </row>
    <row r="4672" spans="1:6" x14ac:dyDescent="0.25">
      <c r="A4672" s="4">
        <v>41166</v>
      </c>
      <c r="B4672">
        <v>65.215999999999994</v>
      </c>
      <c r="C4672">
        <v>65.901700000000005</v>
      </c>
      <c r="D4672">
        <v>65.139799999999994</v>
      </c>
      <c r="E4672">
        <v>65.901700000000005</v>
      </c>
      <c r="F4672">
        <v>52175</v>
      </c>
    </row>
    <row r="4673" spans="1:6" x14ac:dyDescent="0.25">
      <c r="A4673" s="4">
        <v>41169</v>
      </c>
      <c r="B4673">
        <v>66.206400000000002</v>
      </c>
      <c r="C4673">
        <v>66.282600000000002</v>
      </c>
      <c r="D4673">
        <v>65.368399999999994</v>
      </c>
      <c r="E4673">
        <v>65.901700000000005</v>
      </c>
      <c r="F4673">
        <v>26567</v>
      </c>
    </row>
    <row r="4674" spans="1:6" x14ac:dyDescent="0.25">
      <c r="A4674" s="4">
        <v>41170</v>
      </c>
      <c r="B4674">
        <v>65.901700000000005</v>
      </c>
      <c r="C4674">
        <v>65.901700000000005</v>
      </c>
      <c r="D4674">
        <v>65.063599999999994</v>
      </c>
      <c r="E4674">
        <v>65.292199999999994</v>
      </c>
      <c r="F4674">
        <v>35898</v>
      </c>
    </row>
    <row r="4675" spans="1:6" x14ac:dyDescent="0.25">
      <c r="A4675" s="4">
        <v>41171</v>
      </c>
      <c r="B4675">
        <v>65.444500000000005</v>
      </c>
      <c r="C4675">
        <v>65.825500000000005</v>
      </c>
      <c r="D4675">
        <v>64.835099999999997</v>
      </c>
      <c r="E4675">
        <v>65.520700000000005</v>
      </c>
      <c r="F4675">
        <v>43594</v>
      </c>
    </row>
    <row r="4676" spans="1:6" x14ac:dyDescent="0.25">
      <c r="A4676" s="4">
        <v>41172</v>
      </c>
      <c r="B4676">
        <v>65.520700000000005</v>
      </c>
      <c r="C4676">
        <v>65.520700000000005</v>
      </c>
      <c r="D4676">
        <v>64.835099999999997</v>
      </c>
      <c r="E4676">
        <v>64.987399999999994</v>
      </c>
      <c r="F4676">
        <v>26840</v>
      </c>
    </row>
    <row r="4677" spans="1:6" x14ac:dyDescent="0.25">
      <c r="A4677" s="4">
        <v>41173</v>
      </c>
      <c r="B4677">
        <v>65.520700000000005</v>
      </c>
      <c r="C4677">
        <v>65.901700000000005</v>
      </c>
      <c r="D4677">
        <v>64.987399999999994</v>
      </c>
      <c r="E4677">
        <v>65.292199999999994</v>
      </c>
      <c r="F4677">
        <v>51085</v>
      </c>
    </row>
    <row r="4678" spans="1:6" x14ac:dyDescent="0.25">
      <c r="A4678" s="4">
        <v>41176</v>
      </c>
      <c r="B4678">
        <v>65.292199999999994</v>
      </c>
      <c r="C4678">
        <v>65.825500000000005</v>
      </c>
      <c r="D4678">
        <v>64.835099999999997</v>
      </c>
      <c r="E4678">
        <v>65.596900000000005</v>
      </c>
      <c r="F4678">
        <v>30361</v>
      </c>
    </row>
    <row r="4679" spans="1:6" x14ac:dyDescent="0.25">
      <c r="A4679" s="4">
        <v>41177</v>
      </c>
      <c r="B4679">
        <v>65.368399999999994</v>
      </c>
      <c r="C4679">
        <v>65.673100000000005</v>
      </c>
      <c r="D4679">
        <v>65.292199999999994</v>
      </c>
      <c r="E4679">
        <v>65.444500000000005</v>
      </c>
      <c r="F4679">
        <v>35919</v>
      </c>
    </row>
    <row r="4680" spans="1:6" x14ac:dyDescent="0.25">
      <c r="A4680" s="4">
        <v>41178</v>
      </c>
      <c r="B4680">
        <v>65.063599999999994</v>
      </c>
      <c r="C4680">
        <v>65.825500000000005</v>
      </c>
      <c r="D4680">
        <v>64.758899999999997</v>
      </c>
      <c r="E4680">
        <v>65.825500000000005</v>
      </c>
      <c r="F4680">
        <v>36962</v>
      </c>
    </row>
    <row r="4681" spans="1:6" x14ac:dyDescent="0.25">
      <c r="A4681" s="4">
        <v>41179</v>
      </c>
      <c r="B4681">
        <v>66.130200000000002</v>
      </c>
      <c r="C4681">
        <v>66.892099999999999</v>
      </c>
      <c r="D4681">
        <v>65.673100000000005</v>
      </c>
      <c r="E4681">
        <v>66.739699999999999</v>
      </c>
      <c r="F4681">
        <v>55642</v>
      </c>
    </row>
    <row r="4682" spans="1:6" x14ac:dyDescent="0.25">
      <c r="A4682" s="4">
        <v>41180</v>
      </c>
      <c r="B4682">
        <v>67.501599999999996</v>
      </c>
      <c r="C4682">
        <v>68.415800000000004</v>
      </c>
      <c r="D4682">
        <v>67.425399999999996</v>
      </c>
      <c r="E4682">
        <v>68.415800000000004</v>
      </c>
      <c r="F4682">
        <v>70929</v>
      </c>
    </row>
    <row r="4683" spans="1:6" x14ac:dyDescent="0.25">
      <c r="A4683" s="4">
        <v>41183</v>
      </c>
      <c r="B4683">
        <v>67.958699999999993</v>
      </c>
      <c r="C4683">
        <v>67.958699999999993</v>
      </c>
      <c r="D4683">
        <v>67.272999999999996</v>
      </c>
      <c r="E4683">
        <v>67.730199999999996</v>
      </c>
      <c r="F4683">
        <v>38174</v>
      </c>
    </row>
    <row r="4684" spans="1:6" x14ac:dyDescent="0.25">
      <c r="A4684" s="4">
        <v>41184</v>
      </c>
      <c r="B4684">
        <v>67.958699999999993</v>
      </c>
      <c r="C4684">
        <v>68.415800000000004</v>
      </c>
      <c r="D4684">
        <v>67.730199999999996</v>
      </c>
      <c r="E4684">
        <v>68.263499999999993</v>
      </c>
      <c r="F4684">
        <v>35734</v>
      </c>
    </row>
    <row r="4685" spans="1:6" x14ac:dyDescent="0.25">
      <c r="A4685" s="4">
        <v>41185</v>
      </c>
      <c r="B4685">
        <v>68.263499999999993</v>
      </c>
      <c r="C4685">
        <v>68.492000000000004</v>
      </c>
      <c r="D4685">
        <v>68.034899999999993</v>
      </c>
      <c r="E4685">
        <v>68.415800000000004</v>
      </c>
      <c r="F4685">
        <v>32589</v>
      </c>
    </row>
    <row r="4686" spans="1:6" x14ac:dyDescent="0.25">
      <c r="A4686" s="4">
        <v>41186</v>
      </c>
      <c r="B4686">
        <v>68.492000000000004</v>
      </c>
      <c r="C4686">
        <v>69.025300000000001</v>
      </c>
      <c r="D4686">
        <v>68.187299999999993</v>
      </c>
      <c r="E4686">
        <v>69.025300000000001</v>
      </c>
      <c r="F4686">
        <v>39781</v>
      </c>
    </row>
    <row r="4687" spans="1:6" x14ac:dyDescent="0.25">
      <c r="A4687" s="4">
        <v>41187</v>
      </c>
      <c r="B4687">
        <v>69.330100000000002</v>
      </c>
      <c r="C4687">
        <v>69.558599999999998</v>
      </c>
      <c r="D4687">
        <v>68.873000000000005</v>
      </c>
      <c r="E4687">
        <v>69.330100000000002</v>
      </c>
      <c r="F4687">
        <v>42175</v>
      </c>
    </row>
    <row r="4688" spans="1:6" x14ac:dyDescent="0.25">
      <c r="A4688" s="4">
        <v>41190</v>
      </c>
      <c r="B4688">
        <v>69.330100000000002</v>
      </c>
      <c r="C4688">
        <v>69.330100000000002</v>
      </c>
      <c r="D4688">
        <v>67.806299999999993</v>
      </c>
      <c r="E4688">
        <v>67.882499999999993</v>
      </c>
      <c r="F4688">
        <v>40763</v>
      </c>
    </row>
    <row r="4689" spans="1:6" x14ac:dyDescent="0.25">
      <c r="A4689" s="4">
        <v>41191</v>
      </c>
      <c r="B4689">
        <v>66.435000000000002</v>
      </c>
      <c r="C4689">
        <v>67.425399999999996</v>
      </c>
      <c r="D4689">
        <v>66.358800000000002</v>
      </c>
      <c r="E4689">
        <v>66.358800000000002</v>
      </c>
      <c r="F4689">
        <v>61216</v>
      </c>
    </row>
    <row r="4690" spans="1:6" x14ac:dyDescent="0.25">
      <c r="A4690" s="4">
        <v>41193</v>
      </c>
      <c r="B4690">
        <v>64.835099999999997</v>
      </c>
      <c r="C4690">
        <v>65.292199999999994</v>
      </c>
      <c r="D4690">
        <v>64.606499999999997</v>
      </c>
      <c r="E4690">
        <v>65.139799999999994</v>
      </c>
      <c r="F4690">
        <v>77902</v>
      </c>
    </row>
    <row r="4691" spans="1:6" x14ac:dyDescent="0.25">
      <c r="A4691" s="4">
        <v>41194</v>
      </c>
      <c r="B4691">
        <v>65.215999999999994</v>
      </c>
      <c r="C4691">
        <v>65.749300000000005</v>
      </c>
      <c r="D4691">
        <v>64.987399999999994</v>
      </c>
      <c r="E4691">
        <v>65.749300000000005</v>
      </c>
      <c r="F4691">
        <v>24740</v>
      </c>
    </row>
    <row r="4692" spans="1:6" x14ac:dyDescent="0.25">
      <c r="A4692" s="4">
        <v>41197</v>
      </c>
      <c r="B4692">
        <v>65.596900000000005</v>
      </c>
      <c r="C4692">
        <v>65.825500000000005</v>
      </c>
      <c r="D4692">
        <v>65.063599999999994</v>
      </c>
      <c r="E4692">
        <v>65.825500000000005</v>
      </c>
      <c r="F4692">
        <v>19652</v>
      </c>
    </row>
    <row r="4693" spans="1:6" x14ac:dyDescent="0.25">
      <c r="A4693" s="4">
        <v>41198</v>
      </c>
      <c r="B4693">
        <v>66.054000000000002</v>
      </c>
      <c r="C4693">
        <v>66.663499999999999</v>
      </c>
      <c r="D4693">
        <v>66.054000000000002</v>
      </c>
      <c r="E4693">
        <v>66.663499999999999</v>
      </c>
      <c r="F4693">
        <v>29928</v>
      </c>
    </row>
    <row r="4694" spans="1:6" x14ac:dyDescent="0.25">
      <c r="A4694" s="4">
        <v>41199</v>
      </c>
      <c r="B4694">
        <v>66.892099999999999</v>
      </c>
      <c r="C4694">
        <v>67.044499999999999</v>
      </c>
      <c r="D4694">
        <v>65.901700000000005</v>
      </c>
      <c r="E4694">
        <v>66.587400000000002</v>
      </c>
      <c r="F4694">
        <v>35886</v>
      </c>
    </row>
    <row r="4695" spans="1:6" x14ac:dyDescent="0.25">
      <c r="A4695" s="4">
        <v>41200</v>
      </c>
      <c r="B4695">
        <v>66.282600000000002</v>
      </c>
      <c r="C4695">
        <v>67.196799999999996</v>
      </c>
      <c r="D4695">
        <v>66.282600000000002</v>
      </c>
      <c r="E4695">
        <v>67.120699999999999</v>
      </c>
      <c r="F4695">
        <v>23090</v>
      </c>
    </row>
    <row r="4696" spans="1:6" x14ac:dyDescent="0.25">
      <c r="A4696" s="4">
        <v>41201</v>
      </c>
      <c r="B4696">
        <v>65.673100000000005</v>
      </c>
      <c r="C4696">
        <v>66.511200000000002</v>
      </c>
      <c r="D4696">
        <v>65.673100000000005</v>
      </c>
      <c r="E4696">
        <v>66.054000000000002</v>
      </c>
      <c r="F4696">
        <v>27673</v>
      </c>
    </row>
    <row r="4697" spans="1:6" x14ac:dyDescent="0.25">
      <c r="A4697" s="4">
        <v>41204</v>
      </c>
      <c r="B4697">
        <v>65.749300000000005</v>
      </c>
      <c r="C4697">
        <v>65.749300000000005</v>
      </c>
      <c r="D4697">
        <v>65.215999999999994</v>
      </c>
      <c r="E4697">
        <v>65.520700000000005</v>
      </c>
      <c r="F4697">
        <v>21236</v>
      </c>
    </row>
    <row r="4698" spans="1:6" x14ac:dyDescent="0.25">
      <c r="A4698" s="4">
        <v>41205</v>
      </c>
      <c r="B4698">
        <v>65.444500000000005</v>
      </c>
      <c r="C4698">
        <v>65.749300000000005</v>
      </c>
      <c r="D4698">
        <v>65.215999999999994</v>
      </c>
      <c r="E4698">
        <v>65.292199999999994</v>
      </c>
      <c r="F4698">
        <v>16193</v>
      </c>
    </row>
    <row r="4699" spans="1:6" x14ac:dyDescent="0.25">
      <c r="A4699" s="4">
        <v>41206</v>
      </c>
      <c r="B4699">
        <v>64.835099999999997</v>
      </c>
      <c r="C4699">
        <v>65.825500000000005</v>
      </c>
      <c r="D4699">
        <v>64.835099999999997</v>
      </c>
      <c r="E4699">
        <v>65.063599999999994</v>
      </c>
      <c r="F4699">
        <v>30208</v>
      </c>
    </row>
    <row r="4700" spans="1:6" x14ac:dyDescent="0.25">
      <c r="A4700" s="4">
        <v>41207</v>
      </c>
      <c r="B4700">
        <v>65.063599999999994</v>
      </c>
      <c r="C4700">
        <v>65.215999999999994</v>
      </c>
      <c r="D4700">
        <v>64.377899999999997</v>
      </c>
      <c r="E4700">
        <v>64.606499999999997</v>
      </c>
      <c r="F4700">
        <v>39419</v>
      </c>
    </row>
    <row r="4701" spans="1:6" x14ac:dyDescent="0.25">
      <c r="A4701" s="4">
        <v>41208</v>
      </c>
      <c r="B4701">
        <v>65.901700000000005</v>
      </c>
      <c r="C4701">
        <v>67.272999999999996</v>
      </c>
      <c r="D4701">
        <v>65.749300000000005</v>
      </c>
      <c r="E4701">
        <v>66.511200000000002</v>
      </c>
      <c r="F4701">
        <v>68298</v>
      </c>
    </row>
    <row r="4702" spans="1:6" x14ac:dyDescent="0.25">
      <c r="A4702" s="4">
        <v>41211</v>
      </c>
      <c r="B4702">
        <v>67.272999999999996</v>
      </c>
      <c r="C4702">
        <v>67.882499999999993</v>
      </c>
      <c r="D4702">
        <v>66.739699999999999</v>
      </c>
      <c r="E4702">
        <v>67.120699999999999</v>
      </c>
      <c r="F4702">
        <v>37747</v>
      </c>
    </row>
    <row r="4703" spans="1:6" x14ac:dyDescent="0.25">
      <c r="A4703" s="4">
        <v>41212</v>
      </c>
      <c r="B4703">
        <v>67.653999999999996</v>
      </c>
      <c r="C4703">
        <v>67.806299999999993</v>
      </c>
      <c r="D4703">
        <v>66.815899999999999</v>
      </c>
      <c r="E4703">
        <v>67.044499999999999</v>
      </c>
      <c r="F4703">
        <v>30349</v>
      </c>
    </row>
    <row r="4704" spans="1:6" x14ac:dyDescent="0.25">
      <c r="A4704" s="4">
        <v>41213</v>
      </c>
      <c r="B4704">
        <v>67.044499999999999</v>
      </c>
      <c r="C4704">
        <v>67.653999999999996</v>
      </c>
      <c r="D4704">
        <v>66.968299999999999</v>
      </c>
      <c r="E4704">
        <v>67.577799999999996</v>
      </c>
      <c r="F4704">
        <v>26036</v>
      </c>
    </row>
    <row r="4705" spans="1:6" x14ac:dyDescent="0.25">
      <c r="A4705" s="4">
        <v>41214</v>
      </c>
      <c r="B4705">
        <v>67.501599999999996</v>
      </c>
      <c r="C4705">
        <v>67.958699999999993</v>
      </c>
      <c r="D4705">
        <v>66.815899999999999</v>
      </c>
      <c r="E4705">
        <v>67.958699999999993</v>
      </c>
      <c r="F4705">
        <v>36018</v>
      </c>
    </row>
    <row r="4706" spans="1:6" x14ac:dyDescent="0.25">
      <c r="A4706" s="4">
        <v>41215</v>
      </c>
      <c r="B4706">
        <v>68.568200000000004</v>
      </c>
      <c r="C4706">
        <v>68.644400000000005</v>
      </c>
      <c r="D4706">
        <v>68.187299999999993</v>
      </c>
      <c r="E4706">
        <v>68.492000000000004</v>
      </c>
      <c r="F4706">
        <v>39106</v>
      </c>
    </row>
    <row r="4707" spans="1:6" x14ac:dyDescent="0.25">
      <c r="A4707" s="4">
        <v>41218</v>
      </c>
      <c r="B4707">
        <v>68.492000000000004</v>
      </c>
      <c r="C4707">
        <v>68.796800000000005</v>
      </c>
      <c r="D4707">
        <v>67.653999999999996</v>
      </c>
      <c r="E4707">
        <v>68.796800000000005</v>
      </c>
      <c r="F4707">
        <v>31496</v>
      </c>
    </row>
    <row r="4708" spans="1:6" x14ac:dyDescent="0.25">
      <c r="A4708" s="4">
        <v>41219</v>
      </c>
      <c r="B4708">
        <v>69.025300000000001</v>
      </c>
      <c r="C4708">
        <v>69.025300000000001</v>
      </c>
      <c r="D4708">
        <v>68.339600000000004</v>
      </c>
      <c r="E4708">
        <v>68.873000000000005</v>
      </c>
      <c r="F4708">
        <v>26411</v>
      </c>
    </row>
    <row r="4709" spans="1:6" x14ac:dyDescent="0.25">
      <c r="A4709" s="4">
        <v>41220</v>
      </c>
      <c r="B4709">
        <v>68.949100000000001</v>
      </c>
      <c r="C4709">
        <v>69.330100000000002</v>
      </c>
      <c r="D4709">
        <v>68.568200000000004</v>
      </c>
      <c r="E4709">
        <v>69.330100000000002</v>
      </c>
      <c r="F4709">
        <v>22104</v>
      </c>
    </row>
    <row r="4710" spans="1:6" x14ac:dyDescent="0.25">
      <c r="A4710" s="4">
        <v>41221</v>
      </c>
      <c r="B4710">
        <v>69.177700000000002</v>
      </c>
      <c r="C4710">
        <v>69.253900000000002</v>
      </c>
      <c r="D4710">
        <v>68.492000000000004</v>
      </c>
      <c r="E4710">
        <v>68.949100000000001</v>
      </c>
      <c r="F4710">
        <v>39982</v>
      </c>
    </row>
    <row r="4711" spans="1:6" x14ac:dyDescent="0.25">
      <c r="A4711" s="4">
        <v>41222</v>
      </c>
      <c r="B4711">
        <v>68.796800000000005</v>
      </c>
      <c r="C4711">
        <v>69.253900000000002</v>
      </c>
      <c r="D4711">
        <v>68.187299999999993</v>
      </c>
      <c r="E4711">
        <v>69.177700000000002</v>
      </c>
      <c r="F4711">
        <v>38436</v>
      </c>
    </row>
    <row r="4712" spans="1:6" x14ac:dyDescent="0.25">
      <c r="A4712" s="4">
        <v>41225</v>
      </c>
      <c r="B4712">
        <v>69.330100000000002</v>
      </c>
      <c r="C4712">
        <v>69.939599999999999</v>
      </c>
      <c r="D4712">
        <v>69.025300000000001</v>
      </c>
      <c r="E4712">
        <v>69.558599999999998</v>
      </c>
      <c r="F4712">
        <v>29957</v>
      </c>
    </row>
    <row r="4713" spans="1:6" x14ac:dyDescent="0.25">
      <c r="A4713" s="4">
        <v>41226</v>
      </c>
      <c r="B4713">
        <v>69.330100000000002</v>
      </c>
      <c r="C4713">
        <v>69.330100000000002</v>
      </c>
      <c r="D4713">
        <v>68.034899999999993</v>
      </c>
      <c r="E4713">
        <v>68.796800000000005</v>
      </c>
      <c r="F4713">
        <v>41761</v>
      </c>
    </row>
    <row r="4714" spans="1:6" x14ac:dyDescent="0.25">
      <c r="A4714" s="4">
        <v>41227</v>
      </c>
      <c r="B4714">
        <v>68.568200000000004</v>
      </c>
      <c r="C4714">
        <v>69.253900000000002</v>
      </c>
      <c r="D4714">
        <v>68.187299999999993</v>
      </c>
      <c r="E4714">
        <v>68.949100000000001</v>
      </c>
      <c r="F4714">
        <v>31099</v>
      </c>
    </row>
    <row r="4715" spans="1:6" x14ac:dyDescent="0.25">
      <c r="A4715" s="4">
        <v>41228</v>
      </c>
      <c r="B4715">
        <v>68.492000000000004</v>
      </c>
      <c r="C4715">
        <v>69.025300000000001</v>
      </c>
      <c r="D4715">
        <v>67.806299999999993</v>
      </c>
      <c r="E4715">
        <v>68.720600000000005</v>
      </c>
      <c r="F4715">
        <v>25096</v>
      </c>
    </row>
    <row r="4716" spans="1:6" x14ac:dyDescent="0.25">
      <c r="A4716" s="4">
        <v>41229</v>
      </c>
      <c r="B4716">
        <v>67.958699999999993</v>
      </c>
      <c r="C4716">
        <v>68.796800000000005</v>
      </c>
      <c r="D4716">
        <v>67.958699999999993</v>
      </c>
      <c r="E4716">
        <v>68.720600000000005</v>
      </c>
      <c r="F4716">
        <v>33803</v>
      </c>
    </row>
    <row r="4717" spans="1:6" x14ac:dyDescent="0.25">
      <c r="A4717" s="4">
        <v>41232</v>
      </c>
      <c r="B4717">
        <v>68.339600000000004</v>
      </c>
      <c r="C4717">
        <v>68.949100000000001</v>
      </c>
      <c r="D4717">
        <v>68.339600000000004</v>
      </c>
      <c r="E4717">
        <v>68.568200000000004</v>
      </c>
      <c r="F4717">
        <v>24009</v>
      </c>
    </row>
    <row r="4718" spans="1:6" x14ac:dyDescent="0.25">
      <c r="A4718" s="4">
        <v>41233</v>
      </c>
      <c r="B4718">
        <v>68.568200000000004</v>
      </c>
      <c r="C4718">
        <v>68.873000000000005</v>
      </c>
      <c r="D4718">
        <v>68.415800000000004</v>
      </c>
      <c r="E4718">
        <v>68.873000000000005</v>
      </c>
      <c r="F4718">
        <v>21475</v>
      </c>
    </row>
    <row r="4719" spans="1:6" x14ac:dyDescent="0.25">
      <c r="A4719" s="4">
        <v>41234</v>
      </c>
      <c r="B4719">
        <v>68.796800000000005</v>
      </c>
      <c r="C4719">
        <v>69.253900000000002</v>
      </c>
      <c r="D4719">
        <v>67.958699999999993</v>
      </c>
      <c r="E4719">
        <v>68.949100000000001</v>
      </c>
      <c r="F4719">
        <v>30262</v>
      </c>
    </row>
    <row r="4720" spans="1:6" x14ac:dyDescent="0.25">
      <c r="A4720" s="4">
        <v>41235</v>
      </c>
      <c r="B4720">
        <v>68.796800000000005</v>
      </c>
      <c r="C4720">
        <v>69.558599999999998</v>
      </c>
      <c r="D4720">
        <v>68.796800000000005</v>
      </c>
      <c r="E4720">
        <v>69.558599999999998</v>
      </c>
      <c r="F4720">
        <v>20798</v>
      </c>
    </row>
    <row r="4721" spans="1:6" x14ac:dyDescent="0.25">
      <c r="A4721" s="4">
        <v>41236</v>
      </c>
      <c r="B4721">
        <v>69.787199999999999</v>
      </c>
      <c r="C4721">
        <v>72.758499999999998</v>
      </c>
      <c r="D4721">
        <v>69.710999999999999</v>
      </c>
      <c r="E4721">
        <v>72.758499999999998</v>
      </c>
      <c r="F4721">
        <v>64302</v>
      </c>
    </row>
    <row r="4722" spans="1:6" x14ac:dyDescent="0.25">
      <c r="A4722" s="4">
        <v>41239</v>
      </c>
      <c r="B4722">
        <v>72.758499999999998</v>
      </c>
      <c r="C4722">
        <v>72.834699999999998</v>
      </c>
      <c r="D4722">
        <v>72.301400000000001</v>
      </c>
      <c r="E4722">
        <v>72.606099999999998</v>
      </c>
      <c r="F4722">
        <v>40021</v>
      </c>
    </row>
    <row r="4723" spans="1:6" x14ac:dyDescent="0.25">
      <c r="A4723" s="4">
        <v>41240</v>
      </c>
      <c r="B4723">
        <v>72.072800000000001</v>
      </c>
      <c r="C4723">
        <v>73.367999999999995</v>
      </c>
      <c r="D4723">
        <v>71.844200000000001</v>
      </c>
      <c r="E4723">
        <v>73.367999999999995</v>
      </c>
      <c r="F4723">
        <v>50925</v>
      </c>
    </row>
    <row r="4724" spans="1:6" x14ac:dyDescent="0.25">
      <c r="A4724" s="4">
        <v>41241</v>
      </c>
      <c r="B4724">
        <v>72.986999999999995</v>
      </c>
      <c r="C4724">
        <v>73.215599999999995</v>
      </c>
      <c r="D4724">
        <v>72.606099999999998</v>
      </c>
      <c r="E4724">
        <v>73.063199999999995</v>
      </c>
      <c r="F4724">
        <v>63211</v>
      </c>
    </row>
    <row r="4725" spans="1:6" x14ac:dyDescent="0.25">
      <c r="A4725" s="4">
        <v>41242</v>
      </c>
      <c r="B4725">
        <v>73.139399999999995</v>
      </c>
      <c r="C4725">
        <v>74.129900000000006</v>
      </c>
      <c r="D4725">
        <v>72.758499999999998</v>
      </c>
      <c r="E4725">
        <v>73.520399999999995</v>
      </c>
      <c r="F4725">
        <v>56516</v>
      </c>
    </row>
    <row r="4726" spans="1:6" x14ac:dyDescent="0.25">
      <c r="A4726" s="4">
        <v>41243</v>
      </c>
      <c r="B4726">
        <v>73.139399999999995</v>
      </c>
      <c r="C4726">
        <v>75.2727</v>
      </c>
      <c r="D4726">
        <v>73.063199999999995</v>
      </c>
      <c r="E4726">
        <v>75.1965</v>
      </c>
      <c r="F4726">
        <v>76885</v>
      </c>
    </row>
    <row r="4727" spans="1:6" x14ac:dyDescent="0.25">
      <c r="A4727" s="4">
        <v>41246</v>
      </c>
      <c r="B4727">
        <v>74.8917</v>
      </c>
      <c r="C4727">
        <v>75.1203</v>
      </c>
      <c r="D4727">
        <v>73.748900000000006</v>
      </c>
      <c r="E4727">
        <v>74.587000000000003</v>
      </c>
      <c r="F4727">
        <v>44061</v>
      </c>
    </row>
    <row r="4728" spans="1:6" x14ac:dyDescent="0.25">
      <c r="A4728" s="4">
        <v>41247</v>
      </c>
      <c r="B4728">
        <v>73.825100000000006</v>
      </c>
      <c r="C4728">
        <v>74.053700000000006</v>
      </c>
      <c r="D4728">
        <v>72.606099999999998</v>
      </c>
      <c r="E4728">
        <v>73.596500000000006</v>
      </c>
      <c r="F4728">
        <v>43075</v>
      </c>
    </row>
    <row r="4729" spans="1:6" x14ac:dyDescent="0.25">
      <c r="A4729" s="4">
        <v>41248</v>
      </c>
      <c r="B4729">
        <v>72.072800000000001</v>
      </c>
      <c r="C4729">
        <v>73.977500000000006</v>
      </c>
      <c r="D4729">
        <v>72.072800000000001</v>
      </c>
      <c r="E4729">
        <v>73.825100000000006</v>
      </c>
      <c r="F4729">
        <v>60543</v>
      </c>
    </row>
    <row r="4730" spans="1:6" x14ac:dyDescent="0.25">
      <c r="A4730" s="4">
        <v>41249</v>
      </c>
      <c r="B4730">
        <v>73.596500000000006</v>
      </c>
      <c r="C4730">
        <v>73.825100000000006</v>
      </c>
      <c r="D4730">
        <v>73.215599999999995</v>
      </c>
      <c r="E4730">
        <v>73.596500000000006</v>
      </c>
      <c r="F4730">
        <v>33501</v>
      </c>
    </row>
    <row r="4731" spans="1:6" x14ac:dyDescent="0.25">
      <c r="A4731" s="4">
        <v>41250</v>
      </c>
      <c r="B4731">
        <v>73.977500000000006</v>
      </c>
      <c r="C4731">
        <v>75.0441</v>
      </c>
      <c r="D4731">
        <v>73.977500000000006</v>
      </c>
      <c r="E4731">
        <v>74.7393</v>
      </c>
      <c r="F4731">
        <v>37114</v>
      </c>
    </row>
    <row r="4732" spans="1:6" x14ac:dyDescent="0.25">
      <c r="A4732" s="4">
        <v>41253</v>
      </c>
      <c r="B4732">
        <v>74.587000000000003</v>
      </c>
      <c r="C4732">
        <v>74.663200000000003</v>
      </c>
      <c r="D4732">
        <v>73.520399999999995</v>
      </c>
      <c r="E4732">
        <v>73.520399999999995</v>
      </c>
      <c r="F4732">
        <v>30866</v>
      </c>
    </row>
    <row r="4733" spans="1:6" x14ac:dyDescent="0.25">
      <c r="A4733" s="4">
        <v>41254</v>
      </c>
      <c r="B4733">
        <v>74.129900000000006</v>
      </c>
      <c r="C4733">
        <v>74.8917</v>
      </c>
      <c r="D4733">
        <v>73.672700000000006</v>
      </c>
      <c r="E4733">
        <v>74.8917</v>
      </c>
      <c r="F4733">
        <v>40668</v>
      </c>
    </row>
    <row r="4734" spans="1:6" x14ac:dyDescent="0.25">
      <c r="A4734" s="4">
        <v>41255</v>
      </c>
      <c r="B4734">
        <v>74.8917</v>
      </c>
      <c r="C4734">
        <v>75.0441</v>
      </c>
      <c r="D4734">
        <v>74.053700000000006</v>
      </c>
      <c r="E4734">
        <v>74.9679</v>
      </c>
      <c r="F4734">
        <v>42272</v>
      </c>
    </row>
    <row r="4735" spans="1:6" x14ac:dyDescent="0.25">
      <c r="A4735" s="4">
        <v>41256</v>
      </c>
      <c r="B4735">
        <v>74.8917</v>
      </c>
      <c r="C4735">
        <v>75.729799999999997</v>
      </c>
      <c r="D4735">
        <v>74.587000000000003</v>
      </c>
      <c r="E4735">
        <v>75.577399999999997</v>
      </c>
      <c r="F4735">
        <v>45585</v>
      </c>
    </row>
    <row r="4736" spans="1:6" x14ac:dyDescent="0.25">
      <c r="A4736" s="4">
        <v>41257</v>
      </c>
      <c r="B4736">
        <v>74.8155</v>
      </c>
      <c r="C4736">
        <v>75.1203</v>
      </c>
      <c r="D4736">
        <v>74.282200000000003</v>
      </c>
      <c r="E4736">
        <v>74.9679</v>
      </c>
      <c r="F4736">
        <v>34113</v>
      </c>
    </row>
    <row r="4737" spans="1:6" x14ac:dyDescent="0.25">
      <c r="A4737" s="4">
        <v>41260</v>
      </c>
      <c r="B4737">
        <v>73.444199999999995</v>
      </c>
      <c r="C4737">
        <v>74.434600000000003</v>
      </c>
      <c r="D4737">
        <v>73.291799999999995</v>
      </c>
      <c r="E4737">
        <v>73.901300000000006</v>
      </c>
      <c r="F4737">
        <v>46716</v>
      </c>
    </row>
    <row r="4738" spans="1:6" x14ac:dyDescent="0.25">
      <c r="A4738" s="4">
        <v>41261</v>
      </c>
      <c r="B4738">
        <v>72.377600000000001</v>
      </c>
      <c r="C4738">
        <v>73.672700000000006</v>
      </c>
      <c r="D4738">
        <v>72.377600000000001</v>
      </c>
      <c r="E4738">
        <v>73.672700000000006</v>
      </c>
      <c r="F4738">
        <v>35431</v>
      </c>
    </row>
    <row r="4739" spans="1:6" x14ac:dyDescent="0.25">
      <c r="A4739" s="4">
        <v>41262</v>
      </c>
      <c r="B4739">
        <v>73.672700000000006</v>
      </c>
      <c r="C4739">
        <v>74.129900000000006</v>
      </c>
      <c r="D4739">
        <v>73.291799999999995</v>
      </c>
      <c r="E4739">
        <v>74.129900000000006</v>
      </c>
      <c r="F4739">
        <v>27890</v>
      </c>
    </row>
    <row r="4740" spans="1:6" x14ac:dyDescent="0.25">
      <c r="A4740" s="4">
        <v>41263</v>
      </c>
      <c r="B4740">
        <v>73.215599999999995</v>
      </c>
      <c r="C4740">
        <v>73.825100000000006</v>
      </c>
      <c r="D4740">
        <v>72.453699999999998</v>
      </c>
      <c r="E4740">
        <v>73.139399999999995</v>
      </c>
      <c r="F4740">
        <v>35517</v>
      </c>
    </row>
    <row r="4741" spans="1:6" x14ac:dyDescent="0.25">
      <c r="A4741" s="4">
        <v>41264</v>
      </c>
      <c r="B4741">
        <v>72.453699999999998</v>
      </c>
      <c r="C4741">
        <v>73.520399999999995</v>
      </c>
      <c r="D4741">
        <v>72.072800000000001</v>
      </c>
      <c r="E4741">
        <v>72.225200000000001</v>
      </c>
      <c r="F4741">
        <v>34754</v>
      </c>
    </row>
    <row r="4742" spans="1:6" x14ac:dyDescent="0.25">
      <c r="A4742" s="4">
        <v>41265</v>
      </c>
      <c r="B4742">
        <v>72.910899999999998</v>
      </c>
      <c r="C4742">
        <v>73.291799999999995</v>
      </c>
      <c r="D4742">
        <v>72.377600000000001</v>
      </c>
      <c r="E4742">
        <v>72.910899999999998</v>
      </c>
      <c r="F4742">
        <v>8385</v>
      </c>
    </row>
    <row r="4743" spans="1:6" x14ac:dyDescent="0.25">
      <c r="A4743" s="4">
        <v>41267</v>
      </c>
      <c r="B4743">
        <v>73.139399999999995</v>
      </c>
      <c r="C4743">
        <v>73.444199999999995</v>
      </c>
      <c r="D4743">
        <v>72.453699999999998</v>
      </c>
      <c r="E4743">
        <v>72.529899999999998</v>
      </c>
      <c r="F4743">
        <v>17216</v>
      </c>
    </row>
    <row r="4744" spans="1:6" x14ac:dyDescent="0.25">
      <c r="A4744" s="4">
        <v>41268</v>
      </c>
      <c r="B4744">
        <v>73.139399999999995</v>
      </c>
      <c r="C4744">
        <v>74.129900000000006</v>
      </c>
      <c r="D4744">
        <v>72.834699999999998</v>
      </c>
      <c r="E4744">
        <v>73.520399999999995</v>
      </c>
      <c r="F4744">
        <v>16006</v>
      </c>
    </row>
    <row r="4745" spans="1:6" x14ac:dyDescent="0.25">
      <c r="A4745" s="4">
        <v>41269</v>
      </c>
      <c r="B4745">
        <v>73.520399999999995</v>
      </c>
      <c r="C4745">
        <v>74.129900000000006</v>
      </c>
      <c r="D4745">
        <v>73.139399999999995</v>
      </c>
      <c r="E4745">
        <v>73.139399999999995</v>
      </c>
      <c r="F4745">
        <v>12055</v>
      </c>
    </row>
    <row r="4746" spans="1:6" x14ac:dyDescent="0.25">
      <c r="A4746" s="4">
        <v>41270</v>
      </c>
      <c r="B4746">
        <v>73.291799999999995</v>
      </c>
      <c r="C4746">
        <v>73.672700000000006</v>
      </c>
      <c r="D4746">
        <v>72.758499999999998</v>
      </c>
      <c r="E4746">
        <v>72.834699999999998</v>
      </c>
      <c r="F4746">
        <v>24205</v>
      </c>
    </row>
    <row r="4747" spans="1:6" x14ac:dyDescent="0.25">
      <c r="A4747" s="4">
        <v>41271</v>
      </c>
      <c r="B4747">
        <v>73.748900000000006</v>
      </c>
      <c r="C4747">
        <v>73.901300000000006</v>
      </c>
      <c r="D4747">
        <v>73.063199999999995</v>
      </c>
      <c r="E4747">
        <v>73.901300000000006</v>
      </c>
      <c r="F4747">
        <v>25705</v>
      </c>
    </row>
    <row r="4748" spans="1:6" x14ac:dyDescent="0.25">
      <c r="A4748" s="4">
        <v>41276</v>
      </c>
      <c r="B4748">
        <v>74.358400000000003</v>
      </c>
      <c r="C4748">
        <v>76.110699999999994</v>
      </c>
      <c r="D4748">
        <v>73.977500000000006</v>
      </c>
      <c r="E4748">
        <v>75.882199999999997</v>
      </c>
      <c r="F4748">
        <v>40647</v>
      </c>
    </row>
    <row r="4749" spans="1:6" x14ac:dyDescent="0.25">
      <c r="A4749" s="4">
        <v>41277</v>
      </c>
      <c r="B4749">
        <v>76.567800000000005</v>
      </c>
      <c r="C4749">
        <v>77.710599999999999</v>
      </c>
      <c r="D4749">
        <v>76.186899999999994</v>
      </c>
      <c r="E4749">
        <v>76.948800000000006</v>
      </c>
      <c r="F4749">
        <v>44336</v>
      </c>
    </row>
    <row r="4750" spans="1:6" x14ac:dyDescent="0.25">
      <c r="A4750" s="4">
        <v>41278</v>
      </c>
      <c r="B4750">
        <v>76.567800000000005</v>
      </c>
      <c r="C4750">
        <v>77.329700000000003</v>
      </c>
      <c r="D4750">
        <v>76.186899999999994</v>
      </c>
      <c r="E4750">
        <v>77.329700000000003</v>
      </c>
      <c r="F4750">
        <v>39503</v>
      </c>
    </row>
    <row r="4751" spans="1:6" x14ac:dyDescent="0.25">
      <c r="A4751" s="4">
        <v>41281</v>
      </c>
      <c r="B4751">
        <v>76.948800000000006</v>
      </c>
      <c r="C4751">
        <v>76.948800000000006</v>
      </c>
      <c r="D4751">
        <v>75.501199999999997</v>
      </c>
      <c r="E4751">
        <v>76.567800000000005</v>
      </c>
      <c r="F4751">
        <v>42329</v>
      </c>
    </row>
    <row r="4752" spans="1:6" x14ac:dyDescent="0.25">
      <c r="A4752" s="4">
        <v>41282</v>
      </c>
      <c r="B4752">
        <v>75.882199999999997</v>
      </c>
      <c r="C4752">
        <v>76.186899999999994</v>
      </c>
      <c r="D4752">
        <v>75.348799999999997</v>
      </c>
      <c r="E4752">
        <v>75.958299999999994</v>
      </c>
      <c r="F4752">
        <v>31219</v>
      </c>
    </row>
    <row r="4753" spans="1:6" x14ac:dyDescent="0.25">
      <c r="A4753" s="4">
        <v>41283</v>
      </c>
      <c r="B4753">
        <v>76.567800000000005</v>
      </c>
      <c r="C4753">
        <v>76.567800000000005</v>
      </c>
      <c r="D4753">
        <v>75.577399999999997</v>
      </c>
      <c r="E4753">
        <v>76.186899999999994</v>
      </c>
      <c r="F4753">
        <v>26417</v>
      </c>
    </row>
    <row r="4754" spans="1:6" x14ac:dyDescent="0.25">
      <c r="A4754" s="4">
        <v>41284</v>
      </c>
      <c r="B4754">
        <v>76.110699999999994</v>
      </c>
      <c r="C4754">
        <v>76.948800000000006</v>
      </c>
      <c r="D4754">
        <v>75.805999999999997</v>
      </c>
      <c r="E4754">
        <v>76.948800000000006</v>
      </c>
      <c r="F4754">
        <v>41234</v>
      </c>
    </row>
    <row r="4755" spans="1:6" x14ac:dyDescent="0.25">
      <c r="A4755" s="4">
        <v>41285</v>
      </c>
      <c r="B4755">
        <v>77.329700000000003</v>
      </c>
      <c r="C4755">
        <v>77.329700000000003</v>
      </c>
      <c r="D4755">
        <v>76.567800000000005</v>
      </c>
      <c r="E4755">
        <v>76.948800000000006</v>
      </c>
      <c r="F4755">
        <v>22994</v>
      </c>
    </row>
    <row r="4756" spans="1:6" x14ac:dyDescent="0.25">
      <c r="A4756" s="4">
        <v>41288</v>
      </c>
      <c r="B4756">
        <v>76.948800000000006</v>
      </c>
      <c r="C4756">
        <v>77.710599999999999</v>
      </c>
      <c r="D4756">
        <v>76.186899999999994</v>
      </c>
      <c r="E4756">
        <v>77.710599999999999</v>
      </c>
      <c r="F4756">
        <v>23576</v>
      </c>
    </row>
    <row r="4757" spans="1:6" x14ac:dyDescent="0.25">
      <c r="A4757" s="4">
        <v>41289</v>
      </c>
      <c r="B4757">
        <v>77.710599999999999</v>
      </c>
      <c r="C4757">
        <v>77.710599999999999</v>
      </c>
      <c r="D4757">
        <v>76.034499999999994</v>
      </c>
      <c r="E4757">
        <v>76.567800000000005</v>
      </c>
      <c r="F4757">
        <v>36015</v>
      </c>
    </row>
    <row r="4758" spans="1:6" x14ac:dyDescent="0.25">
      <c r="A4758" s="4">
        <v>41290</v>
      </c>
      <c r="B4758">
        <v>76.567800000000005</v>
      </c>
      <c r="C4758">
        <v>76.567800000000005</v>
      </c>
      <c r="D4758">
        <v>75.577399999999997</v>
      </c>
      <c r="E4758">
        <v>75.577399999999997</v>
      </c>
      <c r="F4758">
        <v>35496</v>
      </c>
    </row>
    <row r="4759" spans="1:6" x14ac:dyDescent="0.25">
      <c r="A4759" s="4">
        <v>41291</v>
      </c>
      <c r="B4759">
        <v>76.567800000000005</v>
      </c>
      <c r="C4759">
        <v>76.948800000000006</v>
      </c>
      <c r="D4759">
        <v>75.0441</v>
      </c>
      <c r="E4759">
        <v>75.653599999999997</v>
      </c>
      <c r="F4759">
        <v>40526</v>
      </c>
    </row>
    <row r="4760" spans="1:6" x14ac:dyDescent="0.25">
      <c r="A4760" s="4">
        <v>41292</v>
      </c>
      <c r="B4760">
        <v>77.329700000000003</v>
      </c>
      <c r="C4760">
        <v>77.329700000000003</v>
      </c>
      <c r="D4760">
        <v>76.567800000000005</v>
      </c>
      <c r="E4760">
        <v>77.329700000000003</v>
      </c>
      <c r="F4760">
        <v>49874</v>
      </c>
    </row>
    <row r="4761" spans="1:6" x14ac:dyDescent="0.25">
      <c r="A4761" s="4">
        <v>41295</v>
      </c>
      <c r="B4761">
        <v>76.948800000000006</v>
      </c>
      <c r="C4761">
        <v>76.948800000000006</v>
      </c>
      <c r="D4761">
        <v>76.186899999999994</v>
      </c>
      <c r="E4761">
        <v>76.567800000000005</v>
      </c>
      <c r="F4761">
        <v>17310</v>
      </c>
    </row>
    <row r="4762" spans="1:6" x14ac:dyDescent="0.25">
      <c r="A4762" s="4">
        <v>41296</v>
      </c>
      <c r="B4762">
        <v>76.948800000000006</v>
      </c>
      <c r="C4762">
        <v>76.948800000000006</v>
      </c>
      <c r="D4762">
        <v>76.110699999999994</v>
      </c>
      <c r="E4762">
        <v>76.948800000000006</v>
      </c>
      <c r="F4762">
        <v>21947</v>
      </c>
    </row>
    <row r="4763" spans="1:6" x14ac:dyDescent="0.25">
      <c r="A4763" s="4">
        <v>41297</v>
      </c>
      <c r="B4763">
        <v>77.329700000000003</v>
      </c>
      <c r="C4763">
        <v>77.329700000000003</v>
      </c>
      <c r="D4763">
        <v>76.186899999999994</v>
      </c>
      <c r="E4763">
        <v>76.948800000000006</v>
      </c>
      <c r="F4763">
        <v>30821</v>
      </c>
    </row>
    <row r="4764" spans="1:6" x14ac:dyDescent="0.25">
      <c r="A4764" s="4">
        <v>41298</v>
      </c>
      <c r="B4764">
        <v>76.186899999999994</v>
      </c>
      <c r="C4764">
        <v>76.567800000000005</v>
      </c>
      <c r="D4764">
        <v>75.577399999999997</v>
      </c>
      <c r="E4764">
        <v>76.110699999999994</v>
      </c>
      <c r="F4764">
        <v>40653</v>
      </c>
    </row>
    <row r="4765" spans="1:6" x14ac:dyDescent="0.25">
      <c r="A4765" s="4">
        <v>41299</v>
      </c>
      <c r="B4765">
        <v>76.110699999999994</v>
      </c>
      <c r="C4765">
        <v>76.110699999999994</v>
      </c>
      <c r="D4765">
        <v>74.663200000000003</v>
      </c>
      <c r="E4765">
        <v>75.424999999999997</v>
      </c>
      <c r="F4765">
        <v>48675</v>
      </c>
    </row>
    <row r="4766" spans="1:6" x14ac:dyDescent="0.25">
      <c r="A4766" s="4">
        <v>41302</v>
      </c>
      <c r="B4766">
        <v>75.1965</v>
      </c>
      <c r="C4766">
        <v>75.805999999999997</v>
      </c>
      <c r="D4766">
        <v>75.1203</v>
      </c>
      <c r="E4766">
        <v>75.653599999999997</v>
      </c>
      <c r="F4766">
        <v>29191</v>
      </c>
    </row>
    <row r="4767" spans="1:6" x14ac:dyDescent="0.25">
      <c r="A4767" s="4">
        <v>41303</v>
      </c>
      <c r="B4767">
        <v>76.186899999999994</v>
      </c>
      <c r="C4767">
        <v>77.329700000000003</v>
      </c>
      <c r="D4767">
        <v>75.958299999999994</v>
      </c>
      <c r="E4767">
        <v>76.948800000000006</v>
      </c>
      <c r="F4767">
        <v>36061</v>
      </c>
    </row>
    <row r="4768" spans="1:6" x14ac:dyDescent="0.25">
      <c r="A4768" s="4">
        <v>41304</v>
      </c>
      <c r="B4768">
        <v>77.710599999999999</v>
      </c>
      <c r="C4768">
        <v>77.710599999999999</v>
      </c>
      <c r="D4768">
        <v>76.567800000000005</v>
      </c>
      <c r="E4768">
        <v>77.329700000000003</v>
      </c>
      <c r="F4768">
        <v>28863</v>
      </c>
    </row>
    <row r="4769" spans="1:6" x14ac:dyDescent="0.25">
      <c r="A4769" s="4">
        <v>41305</v>
      </c>
      <c r="B4769">
        <v>76.567800000000005</v>
      </c>
      <c r="C4769">
        <v>77.329700000000003</v>
      </c>
      <c r="D4769">
        <v>76.186899999999994</v>
      </c>
      <c r="E4769">
        <v>77.329700000000003</v>
      </c>
      <c r="F4769">
        <v>42490</v>
      </c>
    </row>
    <row r="4770" spans="1:6" x14ac:dyDescent="0.25">
      <c r="A4770" s="4">
        <v>41306</v>
      </c>
      <c r="B4770">
        <v>77.329700000000003</v>
      </c>
      <c r="C4770">
        <v>77.329700000000003</v>
      </c>
      <c r="D4770">
        <v>76.567800000000005</v>
      </c>
      <c r="E4770">
        <v>77.329700000000003</v>
      </c>
      <c r="F4770">
        <v>23211</v>
      </c>
    </row>
    <row r="4771" spans="1:6" x14ac:dyDescent="0.25">
      <c r="A4771" s="4">
        <v>41309</v>
      </c>
      <c r="B4771">
        <v>77.710599999999999</v>
      </c>
      <c r="C4771">
        <v>78.472499999999997</v>
      </c>
      <c r="D4771">
        <v>77.710599999999999</v>
      </c>
      <c r="E4771">
        <v>78.472499999999997</v>
      </c>
      <c r="F4771">
        <v>35257</v>
      </c>
    </row>
    <row r="4772" spans="1:6" x14ac:dyDescent="0.25">
      <c r="A4772" s="4">
        <v>41310</v>
      </c>
      <c r="B4772">
        <v>78.472499999999997</v>
      </c>
      <c r="C4772">
        <v>78.472499999999997</v>
      </c>
      <c r="D4772">
        <v>77.329700000000003</v>
      </c>
      <c r="E4772">
        <v>78.472499999999997</v>
      </c>
      <c r="F4772">
        <v>17896</v>
      </c>
    </row>
    <row r="4773" spans="1:6" x14ac:dyDescent="0.25">
      <c r="A4773" s="4">
        <v>41311</v>
      </c>
      <c r="B4773">
        <v>78.853399999999993</v>
      </c>
      <c r="C4773">
        <v>79.996200000000002</v>
      </c>
      <c r="D4773">
        <v>78.472499999999997</v>
      </c>
      <c r="E4773">
        <v>79.996200000000002</v>
      </c>
      <c r="F4773">
        <v>32330</v>
      </c>
    </row>
    <row r="4774" spans="1:6" x14ac:dyDescent="0.25">
      <c r="A4774" s="4">
        <v>41323</v>
      </c>
      <c r="B4774">
        <v>81.52</v>
      </c>
      <c r="C4774">
        <v>82.662800000000004</v>
      </c>
      <c r="D4774">
        <v>81.138999999999996</v>
      </c>
      <c r="E4774">
        <v>81.52</v>
      </c>
      <c r="F4774">
        <v>64346</v>
      </c>
    </row>
    <row r="4775" spans="1:6" x14ac:dyDescent="0.25">
      <c r="A4775" s="4">
        <v>41324</v>
      </c>
      <c r="B4775">
        <v>82.662800000000004</v>
      </c>
      <c r="C4775">
        <v>82.662800000000004</v>
      </c>
      <c r="D4775">
        <v>81.138999999999996</v>
      </c>
      <c r="E4775">
        <v>81.52</v>
      </c>
      <c r="F4775">
        <v>22104</v>
      </c>
    </row>
    <row r="4776" spans="1:6" x14ac:dyDescent="0.25">
      <c r="A4776" s="4">
        <v>41325</v>
      </c>
      <c r="B4776">
        <v>82.662800000000004</v>
      </c>
      <c r="C4776">
        <v>83.424700000000001</v>
      </c>
      <c r="D4776">
        <v>82.281899999999993</v>
      </c>
      <c r="E4776">
        <v>83.043700000000001</v>
      </c>
      <c r="F4776">
        <v>41922</v>
      </c>
    </row>
    <row r="4777" spans="1:6" x14ac:dyDescent="0.25">
      <c r="A4777" s="4">
        <v>41326</v>
      </c>
      <c r="B4777">
        <v>82.662800000000004</v>
      </c>
      <c r="C4777">
        <v>82.662800000000004</v>
      </c>
      <c r="D4777">
        <v>81.52</v>
      </c>
      <c r="E4777">
        <v>81.52</v>
      </c>
      <c r="F4777">
        <v>30552</v>
      </c>
    </row>
    <row r="4778" spans="1:6" x14ac:dyDescent="0.25">
      <c r="A4778" s="4">
        <v>41327</v>
      </c>
      <c r="B4778">
        <v>80.758099999999999</v>
      </c>
      <c r="C4778">
        <v>81.138999999999996</v>
      </c>
      <c r="D4778">
        <v>79.996200000000002</v>
      </c>
      <c r="E4778">
        <v>80.377200000000002</v>
      </c>
      <c r="F4778">
        <v>39578</v>
      </c>
    </row>
    <row r="4779" spans="1:6" x14ac:dyDescent="0.25">
      <c r="A4779" s="4">
        <v>41328</v>
      </c>
      <c r="B4779">
        <v>81.138999999999996</v>
      </c>
      <c r="C4779">
        <v>81.900899999999993</v>
      </c>
      <c r="D4779">
        <v>80.758099999999999</v>
      </c>
      <c r="E4779">
        <v>81.52</v>
      </c>
      <c r="F4779">
        <v>10175</v>
      </c>
    </row>
    <row r="4780" spans="1:6" x14ac:dyDescent="0.25">
      <c r="A4780" s="4">
        <v>41330</v>
      </c>
      <c r="B4780">
        <v>81.138999999999996</v>
      </c>
      <c r="C4780">
        <v>81.52</v>
      </c>
      <c r="D4780">
        <v>79.996200000000002</v>
      </c>
      <c r="E4780">
        <v>79.996200000000002</v>
      </c>
      <c r="F4780">
        <v>37217</v>
      </c>
    </row>
    <row r="4781" spans="1:6" x14ac:dyDescent="0.25">
      <c r="A4781" s="4">
        <v>41331</v>
      </c>
      <c r="B4781">
        <v>78.853399999999993</v>
      </c>
      <c r="C4781">
        <v>79.996200000000002</v>
      </c>
      <c r="D4781">
        <v>78.0916</v>
      </c>
      <c r="E4781">
        <v>78.853399999999993</v>
      </c>
      <c r="F4781">
        <v>38499</v>
      </c>
    </row>
    <row r="4782" spans="1:6" x14ac:dyDescent="0.25">
      <c r="A4782" s="4">
        <v>41332</v>
      </c>
      <c r="B4782">
        <v>77.710599999999999</v>
      </c>
      <c r="C4782">
        <v>79.615300000000005</v>
      </c>
      <c r="D4782">
        <v>76.948800000000006</v>
      </c>
      <c r="E4782">
        <v>79.615300000000005</v>
      </c>
      <c r="F4782">
        <v>81358</v>
      </c>
    </row>
    <row r="4783" spans="1:6" x14ac:dyDescent="0.25">
      <c r="A4783" s="4">
        <v>41334</v>
      </c>
      <c r="B4783">
        <v>78.472499999999997</v>
      </c>
      <c r="C4783">
        <v>79.996200000000002</v>
      </c>
      <c r="D4783">
        <v>78.0916</v>
      </c>
      <c r="E4783">
        <v>79.996200000000002</v>
      </c>
      <c r="F4783">
        <v>35081</v>
      </c>
    </row>
    <row r="4784" spans="1:6" x14ac:dyDescent="0.25">
      <c r="A4784" s="4">
        <v>41337</v>
      </c>
      <c r="B4784">
        <v>79.615300000000005</v>
      </c>
      <c r="C4784">
        <v>79.615300000000005</v>
      </c>
      <c r="D4784">
        <v>77.329700000000003</v>
      </c>
      <c r="E4784">
        <v>77.710599999999999</v>
      </c>
      <c r="F4784">
        <v>55266</v>
      </c>
    </row>
    <row r="4785" spans="1:6" x14ac:dyDescent="0.25">
      <c r="A4785" s="4">
        <v>41338</v>
      </c>
      <c r="B4785">
        <v>78.853399999999993</v>
      </c>
      <c r="C4785">
        <v>79.234399999999994</v>
      </c>
      <c r="D4785">
        <v>78.0916</v>
      </c>
      <c r="E4785">
        <v>79.234399999999994</v>
      </c>
      <c r="F4785">
        <v>56214</v>
      </c>
    </row>
    <row r="4786" spans="1:6" x14ac:dyDescent="0.25">
      <c r="A4786" s="4">
        <v>41339</v>
      </c>
      <c r="B4786">
        <v>79.234399999999994</v>
      </c>
      <c r="C4786">
        <v>79.615300000000005</v>
      </c>
      <c r="D4786">
        <v>78.472499999999997</v>
      </c>
      <c r="E4786">
        <v>79.234399999999994</v>
      </c>
      <c r="F4786">
        <v>38026</v>
      </c>
    </row>
    <row r="4787" spans="1:6" x14ac:dyDescent="0.25">
      <c r="A4787" s="4">
        <v>41340</v>
      </c>
      <c r="B4787">
        <v>78.853399999999993</v>
      </c>
      <c r="C4787">
        <v>79.234399999999994</v>
      </c>
      <c r="D4787">
        <v>78.472499999999997</v>
      </c>
      <c r="E4787">
        <v>78.472499999999997</v>
      </c>
      <c r="F4787">
        <v>20784</v>
      </c>
    </row>
    <row r="4788" spans="1:6" x14ac:dyDescent="0.25">
      <c r="A4788" s="4">
        <v>41341</v>
      </c>
      <c r="B4788">
        <v>78.472499999999997</v>
      </c>
      <c r="C4788">
        <v>79.615300000000005</v>
      </c>
      <c r="D4788">
        <v>77.710599999999999</v>
      </c>
      <c r="E4788">
        <v>78.853399999999993</v>
      </c>
      <c r="F4788">
        <v>46036</v>
      </c>
    </row>
    <row r="4789" spans="1:6" x14ac:dyDescent="0.25">
      <c r="A4789" s="4">
        <v>41344</v>
      </c>
      <c r="B4789">
        <v>77.710599999999999</v>
      </c>
      <c r="C4789">
        <v>79.234399999999994</v>
      </c>
      <c r="D4789">
        <v>77.710599999999999</v>
      </c>
      <c r="E4789">
        <v>77.710599999999999</v>
      </c>
      <c r="F4789">
        <v>36093</v>
      </c>
    </row>
    <row r="4790" spans="1:6" x14ac:dyDescent="0.25">
      <c r="A4790" s="4">
        <v>41345</v>
      </c>
      <c r="B4790">
        <v>77.710599999999999</v>
      </c>
      <c r="C4790">
        <v>78.472499999999997</v>
      </c>
      <c r="D4790">
        <v>77.329700000000003</v>
      </c>
      <c r="E4790">
        <v>78.0916</v>
      </c>
      <c r="F4790">
        <v>30065</v>
      </c>
    </row>
    <row r="4791" spans="1:6" x14ac:dyDescent="0.25">
      <c r="A4791" s="4">
        <v>41346</v>
      </c>
      <c r="B4791">
        <v>78.0916</v>
      </c>
      <c r="C4791">
        <v>79.996200000000002</v>
      </c>
      <c r="D4791">
        <v>77.710599999999999</v>
      </c>
      <c r="E4791">
        <v>79.615300000000005</v>
      </c>
      <c r="F4791">
        <v>57955</v>
      </c>
    </row>
    <row r="4792" spans="1:6" x14ac:dyDescent="0.25">
      <c r="A4792" s="4">
        <v>41347</v>
      </c>
      <c r="B4792">
        <v>79.234399999999994</v>
      </c>
      <c r="C4792">
        <v>79.615300000000005</v>
      </c>
      <c r="D4792">
        <v>78.472499999999997</v>
      </c>
      <c r="E4792">
        <v>79.234399999999994</v>
      </c>
      <c r="F4792">
        <v>33067</v>
      </c>
    </row>
    <row r="4793" spans="1:6" x14ac:dyDescent="0.25">
      <c r="A4793" s="4">
        <v>41348</v>
      </c>
      <c r="B4793">
        <v>79.996200000000002</v>
      </c>
      <c r="C4793">
        <v>79.996200000000002</v>
      </c>
      <c r="D4793">
        <v>78.472499999999997</v>
      </c>
      <c r="E4793">
        <v>78.472499999999997</v>
      </c>
      <c r="F4793">
        <v>35633</v>
      </c>
    </row>
    <row r="4794" spans="1:6" x14ac:dyDescent="0.25">
      <c r="A4794" s="4">
        <v>41351</v>
      </c>
      <c r="B4794">
        <v>77.710599999999999</v>
      </c>
      <c r="C4794">
        <v>77.710599999999999</v>
      </c>
      <c r="D4794">
        <v>76.567800000000005</v>
      </c>
      <c r="E4794">
        <v>76.567800000000005</v>
      </c>
      <c r="F4794">
        <v>44189</v>
      </c>
    </row>
    <row r="4795" spans="1:6" x14ac:dyDescent="0.25">
      <c r="A4795" s="4">
        <v>41352</v>
      </c>
      <c r="B4795">
        <v>76.948800000000006</v>
      </c>
      <c r="C4795">
        <v>77.329700000000003</v>
      </c>
      <c r="D4795">
        <v>75.882199999999997</v>
      </c>
      <c r="E4795">
        <v>76.186899999999994</v>
      </c>
      <c r="F4795">
        <v>50765</v>
      </c>
    </row>
    <row r="4796" spans="1:6" x14ac:dyDescent="0.25">
      <c r="A4796" s="4">
        <v>41353</v>
      </c>
      <c r="B4796">
        <v>75.805999999999997</v>
      </c>
      <c r="C4796">
        <v>75.805999999999997</v>
      </c>
      <c r="D4796">
        <v>75.2727</v>
      </c>
      <c r="E4796">
        <v>75.2727</v>
      </c>
      <c r="F4796">
        <v>64024</v>
      </c>
    </row>
    <row r="4797" spans="1:6" x14ac:dyDescent="0.25">
      <c r="A4797" s="4">
        <v>41354</v>
      </c>
      <c r="B4797">
        <v>75.2727</v>
      </c>
      <c r="C4797">
        <v>76.567800000000005</v>
      </c>
      <c r="D4797">
        <v>75.1965</v>
      </c>
      <c r="E4797">
        <v>75.1965</v>
      </c>
      <c r="F4797">
        <v>58468</v>
      </c>
    </row>
    <row r="4798" spans="1:6" x14ac:dyDescent="0.25">
      <c r="A4798" s="4">
        <v>41355</v>
      </c>
      <c r="B4798">
        <v>75.1203</v>
      </c>
      <c r="C4798">
        <v>75.501199999999997</v>
      </c>
      <c r="D4798">
        <v>74.663200000000003</v>
      </c>
      <c r="E4798">
        <v>74.663200000000003</v>
      </c>
      <c r="F4798">
        <v>44937</v>
      </c>
    </row>
    <row r="4799" spans="1:6" x14ac:dyDescent="0.25">
      <c r="A4799" s="4">
        <v>41358</v>
      </c>
      <c r="B4799">
        <v>76.110699999999994</v>
      </c>
      <c r="C4799">
        <v>76.567800000000005</v>
      </c>
      <c r="D4799">
        <v>75.577399999999997</v>
      </c>
      <c r="E4799">
        <v>75.805999999999997</v>
      </c>
      <c r="F4799">
        <v>25470</v>
      </c>
    </row>
    <row r="4800" spans="1:6" x14ac:dyDescent="0.25">
      <c r="A4800" s="4">
        <v>41359</v>
      </c>
      <c r="B4800">
        <v>75.577399999999997</v>
      </c>
      <c r="C4800">
        <v>75.729799999999997</v>
      </c>
      <c r="D4800">
        <v>75.2727</v>
      </c>
      <c r="E4800">
        <v>75.424999999999997</v>
      </c>
      <c r="F4800">
        <v>27220</v>
      </c>
    </row>
    <row r="4801" spans="1:6" x14ac:dyDescent="0.25">
      <c r="A4801" s="4">
        <v>41360</v>
      </c>
      <c r="B4801">
        <v>75.424999999999997</v>
      </c>
      <c r="C4801">
        <v>76.567800000000005</v>
      </c>
      <c r="D4801">
        <v>75.2727</v>
      </c>
      <c r="E4801">
        <v>76.567800000000005</v>
      </c>
      <c r="F4801">
        <v>29969</v>
      </c>
    </row>
    <row r="4802" spans="1:6" x14ac:dyDescent="0.25">
      <c r="A4802" s="4">
        <v>41361</v>
      </c>
      <c r="B4802">
        <v>76.186899999999994</v>
      </c>
      <c r="C4802">
        <v>76.567800000000005</v>
      </c>
      <c r="D4802">
        <v>75.653599999999997</v>
      </c>
      <c r="E4802">
        <v>76.186899999999994</v>
      </c>
      <c r="F4802">
        <v>29558</v>
      </c>
    </row>
    <row r="4803" spans="1:6" x14ac:dyDescent="0.25">
      <c r="A4803" s="4">
        <v>41362</v>
      </c>
      <c r="B4803">
        <v>76.186899999999994</v>
      </c>
      <c r="C4803">
        <v>76.948800000000006</v>
      </c>
      <c r="D4803">
        <v>76.034499999999994</v>
      </c>
      <c r="E4803">
        <v>76.567800000000005</v>
      </c>
      <c r="F4803">
        <v>19003</v>
      </c>
    </row>
    <row r="4804" spans="1:6" x14ac:dyDescent="0.25">
      <c r="A4804" s="4">
        <v>41365</v>
      </c>
      <c r="B4804">
        <v>76.948800000000006</v>
      </c>
      <c r="C4804">
        <v>77.710599999999999</v>
      </c>
      <c r="D4804">
        <v>76.567800000000005</v>
      </c>
      <c r="E4804">
        <v>76.948800000000006</v>
      </c>
      <c r="F4804">
        <v>16375</v>
      </c>
    </row>
    <row r="4805" spans="1:6" x14ac:dyDescent="0.25">
      <c r="A4805" s="4">
        <v>41366</v>
      </c>
      <c r="B4805">
        <v>76.567800000000005</v>
      </c>
      <c r="C4805">
        <v>76.948800000000006</v>
      </c>
      <c r="D4805">
        <v>76.034499999999994</v>
      </c>
      <c r="E4805">
        <v>76.567800000000005</v>
      </c>
      <c r="F4805">
        <v>22334</v>
      </c>
    </row>
    <row r="4806" spans="1:6" x14ac:dyDescent="0.25">
      <c r="A4806" s="4">
        <v>41367</v>
      </c>
      <c r="B4806">
        <v>77.329700000000003</v>
      </c>
      <c r="C4806">
        <v>77.329700000000003</v>
      </c>
      <c r="D4806">
        <v>76.186899999999994</v>
      </c>
      <c r="E4806">
        <v>76.567800000000005</v>
      </c>
      <c r="F4806">
        <v>27097</v>
      </c>
    </row>
    <row r="4807" spans="1:6" x14ac:dyDescent="0.25">
      <c r="A4807" s="4">
        <v>41372</v>
      </c>
      <c r="B4807">
        <v>75.424999999999997</v>
      </c>
      <c r="C4807">
        <v>75.805999999999997</v>
      </c>
      <c r="D4807">
        <v>75.0441</v>
      </c>
      <c r="E4807">
        <v>75.0441</v>
      </c>
      <c r="F4807">
        <v>58368</v>
      </c>
    </row>
    <row r="4808" spans="1:6" x14ac:dyDescent="0.25">
      <c r="A4808" s="4">
        <v>41373</v>
      </c>
      <c r="B4808">
        <v>74.663200000000003</v>
      </c>
      <c r="C4808">
        <v>75.0441</v>
      </c>
      <c r="D4808">
        <v>74.282200000000003</v>
      </c>
      <c r="E4808">
        <v>74.282200000000003</v>
      </c>
      <c r="F4808">
        <v>41316</v>
      </c>
    </row>
    <row r="4809" spans="1:6" x14ac:dyDescent="0.25">
      <c r="A4809" s="4">
        <v>41374</v>
      </c>
      <c r="B4809">
        <v>75.2727</v>
      </c>
      <c r="C4809">
        <v>75.2727</v>
      </c>
      <c r="D4809">
        <v>74.434600000000003</v>
      </c>
      <c r="E4809">
        <v>74.8917</v>
      </c>
      <c r="F4809">
        <v>36747</v>
      </c>
    </row>
    <row r="4810" spans="1:6" x14ac:dyDescent="0.25">
      <c r="A4810" s="4">
        <v>41375</v>
      </c>
      <c r="B4810">
        <v>75.424999999999997</v>
      </c>
      <c r="C4810">
        <v>77.329700000000003</v>
      </c>
      <c r="D4810">
        <v>75.2727</v>
      </c>
      <c r="E4810">
        <v>77.329700000000003</v>
      </c>
      <c r="F4810">
        <v>57867</v>
      </c>
    </row>
    <row r="4811" spans="1:6" x14ac:dyDescent="0.25">
      <c r="A4811" s="4">
        <v>41376</v>
      </c>
      <c r="B4811">
        <v>77.329700000000003</v>
      </c>
      <c r="C4811">
        <v>77.329700000000003</v>
      </c>
      <c r="D4811">
        <v>76.186899999999994</v>
      </c>
      <c r="E4811">
        <v>76.567800000000005</v>
      </c>
      <c r="F4811">
        <v>19568</v>
      </c>
    </row>
    <row r="4812" spans="1:6" x14ac:dyDescent="0.25">
      <c r="A4812" s="4">
        <v>41379</v>
      </c>
      <c r="B4812">
        <v>76.567800000000005</v>
      </c>
      <c r="C4812">
        <v>76.948800000000006</v>
      </c>
      <c r="D4812">
        <v>75.501199999999997</v>
      </c>
      <c r="E4812">
        <v>75.729799999999997</v>
      </c>
      <c r="F4812">
        <v>23441</v>
      </c>
    </row>
    <row r="4813" spans="1:6" x14ac:dyDescent="0.25">
      <c r="A4813" s="4">
        <v>41380</v>
      </c>
      <c r="B4813">
        <v>74.8155</v>
      </c>
      <c r="C4813">
        <v>76.948800000000006</v>
      </c>
      <c r="D4813">
        <v>74.8155</v>
      </c>
      <c r="E4813">
        <v>76.567800000000005</v>
      </c>
      <c r="F4813">
        <v>35919</v>
      </c>
    </row>
    <row r="4814" spans="1:6" x14ac:dyDescent="0.25">
      <c r="A4814" s="4">
        <v>41381</v>
      </c>
      <c r="B4814">
        <v>77.329700000000003</v>
      </c>
      <c r="C4814">
        <v>77.329700000000003</v>
      </c>
      <c r="D4814">
        <v>75.958299999999994</v>
      </c>
      <c r="E4814">
        <v>76.186899999999994</v>
      </c>
      <c r="F4814">
        <v>35897</v>
      </c>
    </row>
    <row r="4815" spans="1:6" x14ac:dyDescent="0.25">
      <c r="A4815" s="4">
        <v>41382</v>
      </c>
      <c r="B4815">
        <v>76.186899999999994</v>
      </c>
      <c r="C4815">
        <v>76.948800000000006</v>
      </c>
      <c r="D4815">
        <v>75.729799999999997</v>
      </c>
      <c r="E4815">
        <v>76.110699999999994</v>
      </c>
      <c r="F4815">
        <v>33084</v>
      </c>
    </row>
    <row r="4816" spans="1:6" x14ac:dyDescent="0.25">
      <c r="A4816" s="4">
        <v>41383</v>
      </c>
      <c r="B4816">
        <v>80.377200000000002</v>
      </c>
      <c r="C4816">
        <v>81.138999999999996</v>
      </c>
      <c r="D4816">
        <v>80.377200000000002</v>
      </c>
      <c r="E4816">
        <v>81.138999999999996</v>
      </c>
      <c r="F4816">
        <v>66950</v>
      </c>
    </row>
    <row r="4817" spans="1:6" x14ac:dyDescent="0.25">
      <c r="A4817" s="4">
        <v>41386</v>
      </c>
      <c r="B4817">
        <v>82.662800000000004</v>
      </c>
      <c r="C4817">
        <v>83.424700000000001</v>
      </c>
      <c r="D4817">
        <v>81.900899999999993</v>
      </c>
      <c r="E4817">
        <v>82.662800000000004</v>
      </c>
      <c r="F4817">
        <v>72502</v>
      </c>
    </row>
    <row r="4818" spans="1:6" x14ac:dyDescent="0.25">
      <c r="A4818" s="4">
        <v>41387</v>
      </c>
      <c r="B4818">
        <v>81.138999999999996</v>
      </c>
      <c r="C4818">
        <v>81.900899999999993</v>
      </c>
      <c r="D4818">
        <v>80.377200000000002</v>
      </c>
      <c r="E4818">
        <v>80.758099999999999</v>
      </c>
      <c r="F4818">
        <v>46146</v>
      </c>
    </row>
    <row r="4819" spans="1:6" x14ac:dyDescent="0.25">
      <c r="A4819" s="4">
        <v>41388</v>
      </c>
      <c r="B4819">
        <v>81.138999999999996</v>
      </c>
      <c r="C4819">
        <v>81.52</v>
      </c>
      <c r="D4819">
        <v>79.615300000000005</v>
      </c>
      <c r="E4819">
        <v>80.758099999999999</v>
      </c>
      <c r="F4819">
        <v>35496</v>
      </c>
    </row>
    <row r="4820" spans="1:6" x14ac:dyDescent="0.25">
      <c r="A4820" s="4">
        <v>41389</v>
      </c>
      <c r="B4820">
        <v>80.758099999999999</v>
      </c>
      <c r="C4820">
        <v>81.52</v>
      </c>
      <c r="D4820">
        <v>80.377200000000002</v>
      </c>
      <c r="E4820">
        <v>81.52</v>
      </c>
      <c r="F4820">
        <v>26288</v>
      </c>
    </row>
    <row r="4821" spans="1:6" x14ac:dyDescent="0.25">
      <c r="A4821" s="4">
        <v>41390</v>
      </c>
      <c r="B4821">
        <v>81.52</v>
      </c>
      <c r="C4821">
        <v>83.043700000000001</v>
      </c>
      <c r="D4821">
        <v>81.52</v>
      </c>
      <c r="E4821">
        <v>82.662800000000004</v>
      </c>
      <c r="F4821">
        <v>36777</v>
      </c>
    </row>
    <row r="4822" spans="1:6" x14ac:dyDescent="0.25">
      <c r="A4822" s="4">
        <v>41393</v>
      </c>
      <c r="B4822">
        <v>82.662800000000004</v>
      </c>
      <c r="C4822">
        <v>82.662800000000004</v>
      </c>
      <c r="D4822">
        <v>81.900899999999993</v>
      </c>
      <c r="E4822">
        <v>82.281899999999993</v>
      </c>
      <c r="F4822">
        <v>21092</v>
      </c>
    </row>
    <row r="4823" spans="1:6" x14ac:dyDescent="0.25">
      <c r="A4823" s="4">
        <v>41394</v>
      </c>
      <c r="B4823">
        <v>82.662800000000004</v>
      </c>
      <c r="C4823">
        <v>83.424700000000001</v>
      </c>
      <c r="D4823">
        <v>82.662800000000004</v>
      </c>
      <c r="E4823">
        <v>83.424700000000001</v>
      </c>
      <c r="F4823">
        <v>34613</v>
      </c>
    </row>
    <row r="4824" spans="1:6" x14ac:dyDescent="0.25">
      <c r="A4824" s="4">
        <v>41396</v>
      </c>
      <c r="B4824">
        <v>83.805599999999998</v>
      </c>
      <c r="C4824">
        <v>84.567499999999995</v>
      </c>
      <c r="D4824">
        <v>83.043700000000001</v>
      </c>
      <c r="E4824">
        <v>84.186499999999995</v>
      </c>
      <c r="F4824">
        <v>38797</v>
      </c>
    </row>
    <row r="4825" spans="1:6" x14ac:dyDescent="0.25">
      <c r="A4825" s="4">
        <v>41397</v>
      </c>
      <c r="B4825">
        <v>84.948400000000007</v>
      </c>
      <c r="C4825">
        <v>85.710300000000004</v>
      </c>
      <c r="D4825">
        <v>83.805599999999998</v>
      </c>
      <c r="E4825">
        <v>83.805599999999998</v>
      </c>
      <c r="F4825">
        <v>36622</v>
      </c>
    </row>
    <row r="4826" spans="1:6" x14ac:dyDescent="0.25">
      <c r="A4826" s="4">
        <v>41400</v>
      </c>
      <c r="B4826">
        <v>84.948400000000007</v>
      </c>
      <c r="C4826">
        <v>84.948400000000007</v>
      </c>
      <c r="D4826">
        <v>84.186499999999995</v>
      </c>
      <c r="E4826">
        <v>84.948400000000007</v>
      </c>
      <c r="F4826">
        <v>19394</v>
      </c>
    </row>
    <row r="4827" spans="1:6" x14ac:dyDescent="0.25">
      <c r="A4827" s="4">
        <v>41401</v>
      </c>
      <c r="B4827">
        <v>85.329300000000003</v>
      </c>
      <c r="C4827">
        <v>86.091200000000001</v>
      </c>
      <c r="D4827">
        <v>84.567499999999995</v>
      </c>
      <c r="E4827">
        <v>85.710300000000004</v>
      </c>
      <c r="F4827">
        <v>22448</v>
      </c>
    </row>
    <row r="4828" spans="1:6" x14ac:dyDescent="0.25">
      <c r="A4828" s="4">
        <v>41402</v>
      </c>
      <c r="B4828">
        <v>85.710300000000004</v>
      </c>
      <c r="C4828">
        <v>87.614900000000006</v>
      </c>
      <c r="D4828">
        <v>85.710300000000004</v>
      </c>
      <c r="E4828">
        <v>87.233999999999995</v>
      </c>
      <c r="F4828">
        <v>42510</v>
      </c>
    </row>
    <row r="4829" spans="1:6" x14ac:dyDescent="0.25">
      <c r="A4829" s="4">
        <v>41403</v>
      </c>
      <c r="B4829">
        <v>88.376800000000003</v>
      </c>
      <c r="C4829">
        <v>88.376800000000003</v>
      </c>
      <c r="D4829">
        <v>87.233999999999995</v>
      </c>
      <c r="E4829">
        <v>87.614900000000006</v>
      </c>
      <c r="F4829">
        <v>27606</v>
      </c>
    </row>
    <row r="4830" spans="1:6" x14ac:dyDescent="0.25">
      <c r="A4830" s="4">
        <v>41404</v>
      </c>
      <c r="B4830">
        <v>87.614900000000006</v>
      </c>
      <c r="C4830">
        <v>87.614900000000006</v>
      </c>
      <c r="D4830">
        <v>86.472099999999998</v>
      </c>
      <c r="E4830">
        <v>87.233999999999995</v>
      </c>
      <c r="F4830">
        <v>27537</v>
      </c>
    </row>
    <row r="4831" spans="1:6" x14ac:dyDescent="0.25">
      <c r="A4831" s="4">
        <v>41407</v>
      </c>
      <c r="B4831">
        <v>87.614900000000006</v>
      </c>
      <c r="C4831">
        <v>87.995900000000006</v>
      </c>
      <c r="D4831">
        <v>86.853099999999998</v>
      </c>
      <c r="E4831">
        <v>87.233999999999995</v>
      </c>
      <c r="F4831">
        <v>18263</v>
      </c>
    </row>
    <row r="4832" spans="1:6" x14ac:dyDescent="0.25">
      <c r="A4832" s="4">
        <v>41408</v>
      </c>
      <c r="B4832">
        <v>87.995900000000006</v>
      </c>
      <c r="C4832">
        <v>88.7577</v>
      </c>
      <c r="D4832">
        <v>87.614900000000006</v>
      </c>
      <c r="E4832">
        <v>87.995900000000006</v>
      </c>
      <c r="F4832">
        <v>27855</v>
      </c>
    </row>
    <row r="4833" spans="1:6" x14ac:dyDescent="0.25">
      <c r="A4833" s="4">
        <v>41409</v>
      </c>
      <c r="B4833">
        <v>87.614900000000006</v>
      </c>
      <c r="C4833">
        <v>88.376800000000003</v>
      </c>
      <c r="D4833">
        <v>86.472099999999998</v>
      </c>
      <c r="E4833">
        <v>87.614900000000006</v>
      </c>
      <c r="F4833">
        <v>29108</v>
      </c>
    </row>
    <row r="4834" spans="1:6" x14ac:dyDescent="0.25">
      <c r="A4834" s="4">
        <v>41410</v>
      </c>
      <c r="B4834">
        <v>87.614900000000006</v>
      </c>
      <c r="C4834">
        <v>88.376800000000003</v>
      </c>
      <c r="D4834">
        <v>86.091200000000001</v>
      </c>
      <c r="E4834">
        <v>86.472099999999998</v>
      </c>
      <c r="F4834">
        <v>45770</v>
      </c>
    </row>
    <row r="4835" spans="1:6" x14ac:dyDescent="0.25">
      <c r="A4835" s="4">
        <v>41411</v>
      </c>
      <c r="B4835">
        <v>85.329300000000003</v>
      </c>
      <c r="C4835">
        <v>86.472099999999998</v>
      </c>
      <c r="D4835">
        <v>84.948400000000007</v>
      </c>
      <c r="E4835">
        <v>86.472099999999998</v>
      </c>
      <c r="F4835">
        <v>19316</v>
      </c>
    </row>
    <row r="4836" spans="1:6" x14ac:dyDescent="0.25">
      <c r="A4836" s="4">
        <v>41414</v>
      </c>
      <c r="B4836">
        <v>85.710300000000004</v>
      </c>
      <c r="C4836">
        <v>86.853099999999998</v>
      </c>
      <c r="D4836">
        <v>85.710300000000004</v>
      </c>
      <c r="E4836">
        <v>86.853099999999998</v>
      </c>
      <c r="F4836">
        <v>16882</v>
      </c>
    </row>
    <row r="4837" spans="1:6" x14ac:dyDescent="0.25">
      <c r="A4837" s="4">
        <v>41415</v>
      </c>
      <c r="B4837">
        <v>86.091200000000001</v>
      </c>
      <c r="C4837">
        <v>86.472099999999998</v>
      </c>
      <c r="D4837">
        <v>85.329300000000003</v>
      </c>
      <c r="E4837">
        <v>85.710300000000004</v>
      </c>
      <c r="F4837">
        <v>17238</v>
      </c>
    </row>
    <row r="4838" spans="1:6" x14ac:dyDescent="0.25">
      <c r="A4838" s="4">
        <v>41416</v>
      </c>
      <c r="B4838">
        <v>85.710300000000004</v>
      </c>
      <c r="C4838">
        <v>86.472099999999998</v>
      </c>
      <c r="D4838">
        <v>84.567499999999995</v>
      </c>
      <c r="E4838">
        <v>85.329300000000003</v>
      </c>
      <c r="F4838">
        <v>34068</v>
      </c>
    </row>
    <row r="4839" spans="1:6" x14ac:dyDescent="0.25">
      <c r="A4839" s="4">
        <v>41417</v>
      </c>
      <c r="B4839">
        <v>84.186499999999995</v>
      </c>
      <c r="C4839">
        <v>84.948400000000007</v>
      </c>
      <c r="D4839">
        <v>82.281899999999993</v>
      </c>
      <c r="E4839">
        <v>82.281899999999993</v>
      </c>
      <c r="F4839">
        <v>46875</v>
      </c>
    </row>
    <row r="4840" spans="1:6" x14ac:dyDescent="0.25">
      <c r="A4840" s="4">
        <v>41418</v>
      </c>
      <c r="B4840">
        <v>83.424700000000001</v>
      </c>
      <c r="C4840">
        <v>84.186499999999995</v>
      </c>
      <c r="D4840">
        <v>82.662800000000004</v>
      </c>
      <c r="E4840">
        <v>83.424700000000001</v>
      </c>
      <c r="F4840">
        <v>26736</v>
      </c>
    </row>
    <row r="4841" spans="1:6" x14ac:dyDescent="0.25">
      <c r="A4841" s="4">
        <v>41421</v>
      </c>
      <c r="B4841">
        <v>83.424700000000001</v>
      </c>
      <c r="C4841">
        <v>85.329300000000003</v>
      </c>
      <c r="D4841">
        <v>83.424700000000001</v>
      </c>
      <c r="E4841">
        <v>85.329300000000003</v>
      </c>
      <c r="F4841">
        <v>19161</v>
      </c>
    </row>
    <row r="4842" spans="1:6" x14ac:dyDescent="0.25">
      <c r="A4842" s="4">
        <v>41422</v>
      </c>
      <c r="B4842">
        <v>85.329300000000003</v>
      </c>
      <c r="C4842">
        <v>85.710300000000004</v>
      </c>
      <c r="D4842">
        <v>83.424700000000001</v>
      </c>
      <c r="E4842">
        <v>83.424700000000001</v>
      </c>
      <c r="F4842">
        <v>22762</v>
      </c>
    </row>
    <row r="4843" spans="1:6" x14ac:dyDescent="0.25">
      <c r="A4843" s="4">
        <v>41423</v>
      </c>
      <c r="B4843">
        <v>84.186499999999995</v>
      </c>
      <c r="C4843">
        <v>85.329300000000003</v>
      </c>
      <c r="D4843">
        <v>84.186499999999995</v>
      </c>
      <c r="E4843">
        <v>84.567499999999995</v>
      </c>
      <c r="F4843">
        <v>16782</v>
      </c>
    </row>
    <row r="4844" spans="1:6" x14ac:dyDescent="0.25">
      <c r="A4844" s="4">
        <v>41424</v>
      </c>
      <c r="B4844">
        <v>84.567499999999995</v>
      </c>
      <c r="C4844">
        <v>84.948400000000007</v>
      </c>
      <c r="D4844">
        <v>83.424700000000001</v>
      </c>
      <c r="E4844">
        <v>83.805599999999998</v>
      </c>
      <c r="F4844">
        <v>36122</v>
      </c>
    </row>
    <row r="4845" spans="1:6" x14ac:dyDescent="0.25">
      <c r="A4845" s="4">
        <v>41425</v>
      </c>
      <c r="B4845">
        <v>84.948400000000007</v>
      </c>
      <c r="C4845">
        <v>84.948400000000007</v>
      </c>
      <c r="D4845">
        <v>83.043700000000001</v>
      </c>
      <c r="E4845">
        <v>83.424700000000001</v>
      </c>
      <c r="F4845">
        <v>37206</v>
      </c>
    </row>
    <row r="4846" spans="1:6" x14ac:dyDescent="0.25">
      <c r="A4846" s="4">
        <v>41428</v>
      </c>
      <c r="B4846">
        <v>82.281899999999993</v>
      </c>
      <c r="C4846">
        <v>82.662800000000004</v>
      </c>
      <c r="D4846">
        <v>81.138999999999996</v>
      </c>
      <c r="E4846">
        <v>81.900899999999993</v>
      </c>
      <c r="F4846">
        <v>35834</v>
      </c>
    </row>
    <row r="4847" spans="1:6" x14ac:dyDescent="0.25">
      <c r="A4847" s="4">
        <v>41429</v>
      </c>
      <c r="B4847">
        <v>83.043700000000001</v>
      </c>
      <c r="C4847">
        <v>83.805599999999998</v>
      </c>
      <c r="D4847">
        <v>81.900899999999993</v>
      </c>
      <c r="E4847">
        <v>83.043700000000001</v>
      </c>
      <c r="F4847">
        <v>27477</v>
      </c>
    </row>
    <row r="4848" spans="1:6" x14ac:dyDescent="0.25">
      <c r="A4848" s="4">
        <v>41430</v>
      </c>
      <c r="B4848">
        <v>83.424700000000001</v>
      </c>
      <c r="C4848">
        <v>84.186499999999995</v>
      </c>
      <c r="D4848">
        <v>82.662800000000004</v>
      </c>
      <c r="E4848">
        <v>83.424700000000001</v>
      </c>
      <c r="F4848">
        <v>25581</v>
      </c>
    </row>
    <row r="4849" spans="1:6" x14ac:dyDescent="0.25">
      <c r="A4849" s="4">
        <v>41431</v>
      </c>
      <c r="B4849">
        <v>82.662800000000004</v>
      </c>
      <c r="C4849">
        <v>83.424700000000001</v>
      </c>
      <c r="D4849">
        <v>81.52</v>
      </c>
      <c r="E4849">
        <v>81.900899999999993</v>
      </c>
      <c r="F4849">
        <v>34251</v>
      </c>
    </row>
    <row r="4850" spans="1:6" x14ac:dyDescent="0.25">
      <c r="A4850" s="4">
        <v>41432</v>
      </c>
      <c r="B4850">
        <v>82.281899999999993</v>
      </c>
      <c r="C4850">
        <v>83.424700000000001</v>
      </c>
      <c r="D4850">
        <v>82.281899999999993</v>
      </c>
      <c r="E4850">
        <v>82.662800000000004</v>
      </c>
      <c r="F4850">
        <v>33086</v>
      </c>
    </row>
    <row r="4851" spans="1:6" x14ac:dyDescent="0.25">
      <c r="A4851" s="4">
        <v>41435</v>
      </c>
      <c r="B4851">
        <v>83.805599999999998</v>
      </c>
      <c r="C4851">
        <v>83.805599999999998</v>
      </c>
      <c r="D4851">
        <v>82.281899999999993</v>
      </c>
      <c r="E4851">
        <v>82.662800000000004</v>
      </c>
      <c r="F4851">
        <v>21941</v>
      </c>
    </row>
    <row r="4852" spans="1:6" x14ac:dyDescent="0.25">
      <c r="A4852" s="4">
        <v>41436</v>
      </c>
      <c r="B4852">
        <v>83.805599999999998</v>
      </c>
      <c r="C4852">
        <v>83.805599999999998</v>
      </c>
      <c r="D4852">
        <v>82.281899999999993</v>
      </c>
      <c r="E4852">
        <v>82.281899999999993</v>
      </c>
      <c r="F4852">
        <v>37163</v>
      </c>
    </row>
    <row r="4853" spans="1:6" x14ac:dyDescent="0.25">
      <c r="A4853" s="4">
        <v>41438</v>
      </c>
      <c r="B4853">
        <v>80.758099999999999</v>
      </c>
      <c r="C4853">
        <v>81.52</v>
      </c>
      <c r="D4853">
        <v>79.234399999999994</v>
      </c>
      <c r="E4853">
        <v>79.615300000000005</v>
      </c>
      <c r="F4853">
        <v>61059</v>
      </c>
    </row>
    <row r="4854" spans="1:6" x14ac:dyDescent="0.25">
      <c r="A4854" s="4">
        <v>41439</v>
      </c>
      <c r="B4854">
        <v>79.996200000000002</v>
      </c>
      <c r="C4854">
        <v>80.758099999999999</v>
      </c>
      <c r="D4854">
        <v>79.615300000000005</v>
      </c>
      <c r="E4854">
        <v>80.758099999999999</v>
      </c>
      <c r="F4854">
        <v>41207</v>
      </c>
    </row>
    <row r="4855" spans="1:6" x14ac:dyDescent="0.25">
      <c r="A4855" s="4">
        <v>41442</v>
      </c>
      <c r="B4855">
        <v>80.377200000000002</v>
      </c>
      <c r="C4855">
        <v>80.758099999999999</v>
      </c>
      <c r="D4855">
        <v>79.996200000000002</v>
      </c>
      <c r="E4855">
        <v>80.758099999999999</v>
      </c>
      <c r="F4855">
        <v>23015</v>
      </c>
    </row>
    <row r="4856" spans="1:6" x14ac:dyDescent="0.25">
      <c r="A4856" s="4">
        <v>41443</v>
      </c>
      <c r="B4856">
        <v>79.996200000000002</v>
      </c>
      <c r="C4856">
        <v>81.138999999999996</v>
      </c>
      <c r="D4856">
        <v>79.615300000000005</v>
      </c>
      <c r="E4856">
        <v>81.138999999999996</v>
      </c>
      <c r="F4856">
        <v>31676</v>
      </c>
    </row>
    <row r="4857" spans="1:6" x14ac:dyDescent="0.25">
      <c r="A4857" s="4">
        <v>41444</v>
      </c>
      <c r="B4857">
        <v>80.758099999999999</v>
      </c>
      <c r="C4857">
        <v>81.138999999999996</v>
      </c>
      <c r="D4857">
        <v>79.996200000000002</v>
      </c>
      <c r="E4857">
        <v>80.377200000000002</v>
      </c>
      <c r="F4857">
        <v>22085</v>
      </c>
    </row>
    <row r="4858" spans="1:6" x14ac:dyDescent="0.25">
      <c r="A4858" s="4">
        <v>41445</v>
      </c>
      <c r="B4858">
        <v>79.996200000000002</v>
      </c>
      <c r="C4858">
        <v>80.377200000000002</v>
      </c>
      <c r="D4858">
        <v>78.853399999999993</v>
      </c>
      <c r="E4858">
        <v>79.234399999999994</v>
      </c>
      <c r="F4858">
        <v>29998</v>
      </c>
    </row>
    <row r="4859" spans="1:6" x14ac:dyDescent="0.25">
      <c r="A4859" s="4">
        <v>41446</v>
      </c>
      <c r="B4859">
        <v>77.710599999999999</v>
      </c>
      <c r="C4859">
        <v>78.853399999999993</v>
      </c>
      <c r="D4859">
        <v>77.329700000000003</v>
      </c>
      <c r="E4859">
        <v>78.853399999999993</v>
      </c>
      <c r="F4859">
        <v>39844</v>
      </c>
    </row>
    <row r="4860" spans="1:6" x14ac:dyDescent="0.25">
      <c r="A4860" s="4">
        <v>41449</v>
      </c>
      <c r="B4860">
        <v>78.0916</v>
      </c>
      <c r="C4860">
        <v>78.0916</v>
      </c>
      <c r="D4860">
        <v>76.186899999999994</v>
      </c>
      <c r="E4860">
        <v>76.948800000000006</v>
      </c>
      <c r="F4860">
        <v>54091</v>
      </c>
    </row>
    <row r="4861" spans="1:6" x14ac:dyDescent="0.25">
      <c r="A4861" s="4">
        <v>41450</v>
      </c>
      <c r="B4861">
        <v>76.948800000000006</v>
      </c>
      <c r="C4861">
        <v>78.472499999999997</v>
      </c>
      <c r="D4861">
        <v>76.948800000000006</v>
      </c>
      <c r="E4861">
        <v>76.948800000000006</v>
      </c>
      <c r="F4861">
        <v>33898</v>
      </c>
    </row>
    <row r="4862" spans="1:6" x14ac:dyDescent="0.25">
      <c r="A4862" s="4">
        <v>41451</v>
      </c>
      <c r="B4862">
        <v>78.472499999999997</v>
      </c>
      <c r="C4862">
        <v>79.234399999999994</v>
      </c>
      <c r="D4862">
        <v>77.329700000000003</v>
      </c>
      <c r="E4862">
        <v>77.329700000000003</v>
      </c>
      <c r="F4862">
        <v>55865</v>
      </c>
    </row>
    <row r="4863" spans="1:6" x14ac:dyDescent="0.25">
      <c r="A4863" s="4">
        <v>41452</v>
      </c>
      <c r="B4863">
        <v>78.472499999999997</v>
      </c>
      <c r="C4863">
        <v>79.996200000000002</v>
      </c>
      <c r="D4863">
        <v>78.472499999999997</v>
      </c>
      <c r="E4863">
        <v>79.615300000000005</v>
      </c>
      <c r="F4863">
        <v>46982</v>
      </c>
    </row>
    <row r="4864" spans="1:6" x14ac:dyDescent="0.25">
      <c r="A4864" s="4">
        <v>41453</v>
      </c>
      <c r="B4864">
        <v>80.758099999999999</v>
      </c>
      <c r="C4864">
        <v>84.567499999999995</v>
      </c>
      <c r="D4864">
        <v>79.996200000000002</v>
      </c>
      <c r="E4864">
        <v>84.567499999999995</v>
      </c>
      <c r="F4864">
        <v>74515</v>
      </c>
    </row>
    <row r="4865" spans="1:6" x14ac:dyDescent="0.25">
      <c r="A4865" s="4">
        <v>41456</v>
      </c>
      <c r="B4865">
        <v>83.043700000000001</v>
      </c>
      <c r="C4865">
        <v>83.424700000000001</v>
      </c>
      <c r="D4865">
        <v>82.281899999999993</v>
      </c>
      <c r="E4865">
        <v>82.281899999999993</v>
      </c>
      <c r="F4865">
        <v>51935</v>
      </c>
    </row>
    <row r="4866" spans="1:6" x14ac:dyDescent="0.25">
      <c r="A4866" s="4">
        <v>41457</v>
      </c>
      <c r="B4866">
        <v>83.043700000000001</v>
      </c>
      <c r="C4866">
        <v>83.805599999999998</v>
      </c>
      <c r="D4866">
        <v>82.662800000000004</v>
      </c>
      <c r="E4866">
        <v>83.805599999999998</v>
      </c>
      <c r="F4866">
        <v>44982</v>
      </c>
    </row>
    <row r="4867" spans="1:6" x14ac:dyDescent="0.25">
      <c r="A4867" s="4">
        <v>41458</v>
      </c>
      <c r="B4867">
        <v>83.805199999999999</v>
      </c>
      <c r="C4867">
        <v>83.805199999999999</v>
      </c>
      <c r="D4867">
        <v>82.630399999999995</v>
      </c>
      <c r="E4867">
        <v>83.805199999999999</v>
      </c>
      <c r="F4867">
        <v>44740</v>
      </c>
    </row>
    <row r="4868" spans="1:6" x14ac:dyDescent="0.25">
      <c r="A4868" s="4">
        <v>41459</v>
      </c>
      <c r="B4868">
        <v>83.413600000000002</v>
      </c>
      <c r="C4868">
        <v>83.805199999999999</v>
      </c>
      <c r="D4868">
        <v>83.022000000000006</v>
      </c>
      <c r="E4868">
        <v>83.805199999999999</v>
      </c>
      <c r="F4868">
        <v>24501</v>
      </c>
    </row>
    <row r="4869" spans="1:6" x14ac:dyDescent="0.25">
      <c r="A4869" s="4">
        <v>41460</v>
      </c>
      <c r="B4869">
        <v>84.196899999999999</v>
      </c>
      <c r="C4869">
        <v>85.763300000000001</v>
      </c>
      <c r="D4869">
        <v>83.805199999999999</v>
      </c>
      <c r="E4869">
        <v>85.371700000000004</v>
      </c>
      <c r="F4869">
        <v>28277</v>
      </c>
    </row>
    <row r="4870" spans="1:6" x14ac:dyDescent="0.25">
      <c r="A4870" s="4">
        <v>41463</v>
      </c>
      <c r="B4870">
        <v>83.805199999999999</v>
      </c>
      <c r="C4870">
        <v>84.588499999999996</v>
      </c>
      <c r="D4870">
        <v>81.847200000000001</v>
      </c>
      <c r="E4870">
        <v>82.238799999999998</v>
      </c>
      <c r="F4870">
        <v>32771</v>
      </c>
    </row>
    <row r="4871" spans="1:6" x14ac:dyDescent="0.25">
      <c r="A4871" s="4">
        <v>41464</v>
      </c>
      <c r="B4871">
        <v>81.847200000000001</v>
      </c>
      <c r="C4871">
        <v>83.413600000000002</v>
      </c>
      <c r="D4871">
        <v>81.063900000000004</v>
      </c>
      <c r="E4871">
        <v>83.022000000000006</v>
      </c>
      <c r="F4871">
        <v>35512</v>
      </c>
    </row>
    <row r="4872" spans="1:6" x14ac:dyDescent="0.25">
      <c r="A4872" s="4">
        <v>41465</v>
      </c>
      <c r="B4872">
        <v>81.847200000000001</v>
      </c>
      <c r="C4872">
        <v>83.805199999999999</v>
      </c>
      <c r="D4872">
        <v>81.847200000000001</v>
      </c>
      <c r="E4872">
        <v>83.022000000000006</v>
      </c>
      <c r="F4872">
        <v>22082</v>
      </c>
    </row>
    <row r="4873" spans="1:6" x14ac:dyDescent="0.25">
      <c r="A4873" s="4">
        <v>41466</v>
      </c>
      <c r="B4873">
        <v>84.196899999999999</v>
      </c>
      <c r="C4873">
        <v>85.763300000000001</v>
      </c>
      <c r="D4873">
        <v>84.196899999999999</v>
      </c>
      <c r="E4873">
        <v>85.763300000000001</v>
      </c>
      <c r="F4873">
        <v>56918</v>
      </c>
    </row>
    <row r="4874" spans="1:6" x14ac:dyDescent="0.25">
      <c r="A4874" s="4">
        <v>41467</v>
      </c>
      <c r="B4874">
        <v>85.763300000000001</v>
      </c>
      <c r="C4874">
        <v>86.154899999999998</v>
      </c>
      <c r="D4874">
        <v>84.980099999999993</v>
      </c>
      <c r="E4874">
        <v>86.154899999999998</v>
      </c>
      <c r="F4874">
        <v>31046</v>
      </c>
    </row>
    <row r="4875" spans="1:6" x14ac:dyDescent="0.25">
      <c r="A4875" s="4">
        <v>41470</v>
      </c>
      <c r="B4875">
        <v>84.980099999999993</v>
      </c>
      <c r="C4875">
        <v>85.763300000000001</v>
      </c>
      <c r="D4875">
        <v>84.588499999999996</v>
      </c>
      <c r="E4875">
        <v>85.763300000000001</v>
      </c>
      <c r="F4875">
        <v>33373</v>
      </c>
    </row>
    <row r="4876" spans="1:6" x14ac:dyDescent="0.25">
      <c r="A4876" s="4">
        <v>41471</v>
      </c>
      <c r="B4876">
        <v>84.980099999999993</v>
      </c>
      <c r="C4876">
        <v>85.371700000000004</v>
      </c>
      <c r="D4876">
        <v>83.805199999999999</v>
      </c>
      <c r="E4876">
        <v>84.588499999999996</v>
      </c>
      <c r="F4876">
        <v>35961</v>
      </c>
    </row>
    <row r="4877" spans="1:6" x14ac:dyDescent="0.25">
      <c r="A4877" s="4">
        <v>41472</v>
      </c>
      <c r="B4877">
        <v>84.588499999999996</v>
      </c>
      <c r="C4877">
        <v>85.371700000000004</v>
      </c>
      <c r="D4877">
        <v>83.805199999999999</v>
      </c>
      <c r="E4877">
        <v>85.371700000000004</v>
      </c>
      <c r="F4877">
        <v>40122</v>
      </c>
    </row>
    <row r="4878" spans="1:6" x14ac:dyDescent="0.25">
      <c r="A4878" s="4">
        <v>41473</v>
      </c>
      <c r="B4878">
        <v>84.196899999999999</v>
      </c>
      <c r="C4878">
        <v>84.588499999999996</v>
      </c>
      <c r="D4878">
        <v>82.630399999999995</v>
      </c>
      <c r="E4878">
        <v>82.630399999999995</v>
      </c>
      <c r="F4878">
        <v>53223</v>
      </c>
    </row>
    <row r="4879" spans="1:6" x14ac:dyDescent="0.25">
      <c r="A4879" s="4">
        <v>41474</v>
      </c>
      <c r="B4879">
        <v>77.852699999999999</v>
      </c>
      <c r="C4879">
        <v>78.087699999999998</v>
      </c>
      <c r="D4879">
        <v>76.912800000000004</v>
      </c>
      <c r="E4879">
        <v>76.912800000000004</v>
      </c>
      <c r="F4879">
        <v>123330</v>
      </c>
    </row>
    <row r="4880" spans="1:6" x14ac:dyDescent="0.25">
      <c r="A4880" s="4">
        <v>41477</v>
      </c>
      <c r="B4880">
        <v>76.756200000000007</v>
      </c>
      <c r="C4880">
        <v>77.069500000000005</v>
      </c>
      <c r="D4880">
        <v>75.8947</v>
      </c>
      <c r="E4880">
        <v>75.972999999999999</v>
      </c>
      <c r="F4880">
        <v>88048</v>
      </c>
    </row>
    <row r="4881" spans="1:6" x14ac:dyDescent="0.25">
      <c r="A4881" s="4">
        <v>41478</v>
      </c>
      <c r="B4881">
        <v>77.147800000000004</v>
      </c>
      <c r="C4881">
        <v>79.497500000000002</v>
      </c>
      <c r="D4881">
        <v>77.147800000000004</v>
      </c>
      <c r="E4881">
        <v>78.322699999999998</v>
      </c>
      <c r="F4881">
        <v>85595</v>
      </c>
    </row>
    <row r="4882" spans="1:6" x14ac:dyDescent="0.25">
      <c r="A4882" s="4">
        <v>41479</v>
      </c>
      <c r="B4882">
        <v>78.714299999999994</v>
      </c>
      <c r="C4882">
        <v>80.672300000000007</v>
      </c>
      <c r="D4882">
        <v>78.322699999999998</v>
      </c>
      <c r="E4882">
        <v>79.889099999999999</v>
      </c>
      <c r="F4882">
        <v>58356</v>
      </c>
    </row>
    <row r="4883" spans="1:6" x14ac:dyDescent="0.25">
      <c r="A4883" s="4">
        <v>41480</v>
      </c>
      <c r="B4883">
        <v>79.889099999999999</v>
      </c>
      <c r="C4883">
        <v>81.063900000000004</v>
      </c>
      <c r="D4883">
        <v>79.105900000000005</v>
      </c>
      <c r="E4883">
        <v>80.280699999999996</v>
      </c>
      <c r="F4883">
        <v>37559</v>
      </c>
    </row>
    <row r="4884" spans="1:6" x14ac:dyDescent="0.25">
      <c r="A4884" s="4">
        <v>41481</v>
      </c>
      <c r="B4884">
        <v>80.672300000000007</v>
      </c>
      <c r="C4884">
        <v>80.672300000000007</v>
      </c>
      <c r="D4884">
        <v>79.105900000000005</v>
      </c>
      <c r="E4884">
        <v>80.280699999999996</v>
      </c>
      <c r="F4884">
        <v>31818</v>
      </c>
    </row>
    <row r="4885" spans="1:6" x14ac:dyDescent="0.25">
      <c r="A4885" s="4">
        <v>41484</v>
      </c>
      <c r="B4885">
        <v>78.322699999999998</v>
      </c>
      <c r="C4885">
        <v>79.497500000000002</v>
      </c>
      <c r="D4885">
        <v>78.322699999999998</v>
      </c>
      <c r="E4885">
        <v>78.322699999999998</v>
      </c>
      <c r="F4885">
        <v>38334</v>
      </c>
    </row>
    <row r="4886" spans="1:6" x14ac:dyDescent="0.25">
      <c r="A4886" s="4">
        <v>41485</v>
      </c>
      <c r="B4886">
        <v>78.714299999999994</v>
      </c>
      <c r="C4886">
        <v>80.280699999999996</v>
      </c>
      <c r="D4886">
        <v>78.714299999999994</v>
      </c>
      <c r="E4886">
        <v>79.889099999999999</v>
      </c>
      <c r="F4886">
        <v>33872</v>
      </c>
    </row>
    <row r="4887" spans="1:6" x14ac:dyDescent="0.25">
      <c r="A4887" s="4">
        <v>41486</v>
      </c>
      <c r="B4887">
        <v>79.497500000000002</v>
      </c>
      <c r="C4887">
        <v>80.672300000000007</v>
      </c>
      <c r="D4887">
        <v>79.105900000000005</v>
      </c>
      <c r="E4887">
        <v>80.280699999999996</v>
      </c>
      <c r="F4887">
        <v>36998</v>
      </c>
    </row>
    <row r="4888" spans="1:6" x14ac:dyDescent="0.25">
      <c r="A4888" s="4">
        <v>41487</v>
      </c>
      <c r="B4888">
        <v>79.889099999999999</v>
      </c>
      <c r="C4888">
        <v>79.889099999999999</v>
      </c>
      <c r="D4888">
        <v>78.322699999999998</v>
      </c>
      <c r="E4888">
        <v>78.714299999999994</v>
      </c>
      <c r="F4888">
        <v>32510</v>
      </c>
    </row>
    <row r="4889" spans="1:6" x14ac:dyDescent="0.25">
      <c r="A4889" s="4">
        <v>41488</v>
      </c>
      <c r="B4889">
        <v>80.280699999999996</v>
      </c>
      <c r="C4889">
        <v>80.672300000000007</v>
      </c>
      <c r="D4889">
        <v>78.322699999999998</v>
      </c>
      <c r="E4889">
        <v>78.714299999999994</v>
      </c>
      <c r="F4889">
        <v>28040</v>
      </c>
    </row>
    <row r="4890" spans="1:6" x14ac:dyDescent="0.25">
      <c r="A4890" s="4">
        <v>41491</v>
      </c>
      <c r="B4890">
        <v>78.322699999999998</v>
      </c>
      <c r="C4890">
        <v>79.497500000000002</v>
      </c>
      <c r="D4890">
        <v>78.244299999999996</v>
      </c>
      <c r="E4890">
        <v>78.714299999999994</v>
      </c>
      <c r="F4890">
        <v>23373</v>
      </c>
    </row>
    <row r="4891" spans="1:6" x14ac:dyDescent="0.25">
      <c r="A4891" s="4">
        <v>41492</v>
      </c>
      <c r="B4891">
        <v>78.714299999999994</v>
      </c>
      <c r="C4891">
        <v>78.714299999999994</v>
      </c>
      <c r="D4891">
        <v>77.226100000000002</v>
      </c>
      <c r="E4891">
        <v>77.382800000000003</v>
      </c>
      <c r="F4891">
        <v>42787</v>
      </c>
    </row>
    <row r="4892" spans="1:6" x14ac:dyDescent="0.25">
      <c r="A4892" s="4">
        <v>41493</v>
      </c>
      <c r="B4892">
        <v>77.147800000000004</v>
      </c>
      <c r="C4892">
        <v>77.147800000000004</v>
      </c>
      <c r="D4892">
        <v>75.972999999999999</v>
      </c>
      <c r="E4892">
        <v>75.972999999999999</v>
      </c>
      <c r="F4892">
        <v>45970</v>
      </c>
    </row>
    <row r="4893" spans="1:6" x14ac:dyDescent="0.25">
      <c r="A4893" s="4">
        <v>41494</v>
      </c>
      <c r="B4893">
        <v>75.189700000000002</v>
      </c>
      <c r="C4893">
        <v>76.051299999999998</v>
      </c>
      <c r="D4893">
        <v>74.641499999999994</v>
      </c>
      <c r="E4893">
        <v>75.503</v>
      </c>
      <c r="F4893">
        <v>55873</v>
      </c>
    </row>
    <row r="4894" spans="1:6" x14ac:dyDescent="0.25">
      <c r="A4894" s="4">
        <v>41495</v>
      </c>
      <c r="B4894">
        <v>78.322699999999998</v>
      </c>
      <c r="C4894">
        <v>78.322699999999998</v>
      </c>
      <c r="D4894">
        <v>75.503</v>
      </c>
      <c r="E4894">
        <v>75.503</v>
      </c>
      <c r="F4894">
        <v>47192</v>
      </c>
    </row>
    <row r="4895" spans="1:6" x14ac:dyDescent="0.25">
      <c r="A4895" s="4">
        <v>41498</v>
      </c>
      <c r="B4895">
        <v>75.503</v>
      </c>
      <c r="C4895">
        <v>75.738</v>
      </c>
      <c r="D4895">
        <v>74.876499999999993</v>
      </c>
      <c r="E4895">
        <v>75.189700000000002</v>
      </c>
      <c r="F4895">
        <v>33455</v>
      </c>
    </row>
    <row r="4896" spans="1:6" x14ac:dyDescent="0.25">
      <c r="A4896" s="4">
        <v>41499</v>
      </c>
      <c r="B4896">
        <v>75.189700000000002</v>
      </c>
      <c r="C4896">
        <v>76.286299999999997</v>
      </c>
      <c r="D4896">
        <v>75.189700000000002</v>
      </c>
      <c r="E4896">
        <v>76.129599999999996</v>
      </c>
      <c r="F4896">
        <v>34392</v>
      </c>
    </row>
    <row r="4897" spans="1:6" x14ac:dyDescent="0.25">
      <c r="A4897" s="4">
        <v>41500</v>
      </c>
      <c r="B4897">
        <v>75.189700000000002</v>
      </c>
      <c r="C4897">
        <v>76.207899999999995</v>
      </c>
      <c r="D4897">
        <v>75.033100000000005</v>
      </c>
      <c r="E4897">
        <v>75.816299999999998</v>
      </c>
      <c r="F4897">
        <v>44023</v>
      </c>
    </row>
    <row r="4898" spans="1:6" x14ac:dyDescent="0.25">
      <c r="A4898" s="4">
        <v>41501</v>
      </c>
      <c r="B4898">
        <v>75.503</v>
      </c>
      <c r="C4898">
        <v>75.503</v>
      </c>
      <c r="D4898">
        <v>74.641499999999994</v>
      </c>
      <c r="E4898">
        <v>75.189700000000002</v>
      </c>
      <c r="F4898">
        <v>42688</v>
      </c>
    </row>
    <row r="4899" spans="1:6" x14ac:dyDescent="0.25">
      <c r="A4899" s="4">
        <v>41502</v>
      </c>
      <c r="B4899">
        <v>74.719800000000006</v>
      </c>
      <c r="C4899">
        <v>76.364599999999996</v>
      </c>
      <c r="D4899">
        <v>74.563199999999995</v>
      </c>
      <c r="E4899">
        <v>75.581400000000002</v>
      </c>
      <c r="F4899">
        <v>37699</v>
      </c>
    </row>
    <row r="4900" spans="1:6" x14ac:dyDescent="0.25">
      <c r="A4900" s="4">
        <v>41505</v>
      </c>
      <c r="B4900">
        <v>74.798100000000005</v>
      </c>
      <c r="C4900">
        <v>75.268100000000004</v>
      </c>
      <c r="D4900">
        <v>74.641499999999994</v>
      </c>
      <c r="E4900">
        <v>74.798100000000005</v>
      </c>
      <c r="F4900">
        <v>52061</v>
      </c>
    </row>
    <row r="4901" spans="1:6" x14ac:dyDescent="0.25">
      <c r="A4901" s="4">
        <v>41506</v>
      </c>
      <c r="B4901">
        <v>74.563199999999995</v>
      </c>
      <c r="C4901">
        <v>74.719800000000006</v>
      </c>
      <c r="D4901">
        <v>73.936599999999999</v>
      </c>
      <c r="E4901">
        <v>73.936599999999999</v>
      </c>
      <c r="F4901">
        <v>42471</v>
      </c>
    </row>
    <row r="4902" spans="1:6" x14ac:dyDescent="0.25">
      <c r="A4902" s="4">
        <v>41508</v>
      </c>
      <c r="B4902">
        <v>72.840100000000007</v>
      </c>
      <c r="C4902">
        <v>74.328199999999995</v>
      </c>
      <c r="D4902">
        <v>72.761700000000005</v>
      </c>
      <c r="E4902">
        <v>74.014899999999997</v>
      </c>
      <c r="F4902">
        <v>60312</v>
      </c>
    </row>
    <row r="4903" spans="1:6" x14ac:dyDescent="0.25">
      <c r="A4903" s="4">
        <v>41509</v>
      </c>
      <c r="B4903">
        <v>74.954800000000006</v>
      </c>
      <c r="C4903">
        <v>76.207899999999995</v>
      </c>
      <c r="D4903">
        <v>74.798100000000005</v>
      </c>
      <c r="E4903">
        <v>75.972999999999999</v>
      </c>
      <c r="F4903">
        <v>44454</v>
      </c>
    </row>
    <row r="4904" spans="1:6" x14ac:dyDescent="0.25">
      <c r="A4904" s="4">
        <v>41512</v>
      </c>
      <c r="B4904">
        <v>76.442899999999995</v>
      </c>
      <c r="C4904">
        <v>76.442899999999995</v>
      </c>
      <c r="D4904">
        <v>75.268100000000004</v>
      </c>
      <c r="E4904">
        <v>75.816299999999998</v>
      </c>
      <c r="F4904">
        <v>18699</v>
      </c>
    </row>
    <row r="4905" spans="1:6" x14ac:dyDescent="0.25">
      <c r="A4905" s="4">
        <v>41513</v>
      </c>
      <c r="B4905">
        <v>75.189700000000002</v>
      </c>
      <c r="C4905">
        <v>75.816299999999998</v>
      </c>
      <c r="D4905">
        <v>74.876499999999993</v>
      </c>
      <c r="E4905">
        <v>74.876499999999993</v>
      </c>
      <c r="F4905">
        <v>24475</v>
      </c>
    </row>
    <row r="4906" spans="1:6" x14ac:dyDescent="0.25">
      <c r="A4906" s="4">
        <v>41514</v>
      </c>
      <c r="B4906">
        <v>74.876499999999993</v>
      </c>
      <c r="C4906">
        <v>76.207899999999995</v>
      </c>
      <c r="D4906">
        <v>74.484800000000007</v>
      </c>
      <c r="E4906">
        <v>75.816299999999998</v>
      </c>
      <c r="F4906">
        <v>35977</v>
      </c>
    </row>
    <row r="4907" spans="1:6" x14ac:dyDescent="0.25">
      <c r="A4907" s="4">
        <v>41515</v>
      </c>
      <c r="B4907">
        <v>75.8947</v>
      </c>
      <c r="C4907">
        <v>77.461100000000002</v>
      </c>
      <c r="D4907">
        <v>75.8947</v>
      </c>
      <c r="E4907">
        <v>77.304500000000004</v>
      </c>
      <c r="F4907">
        <v>52397</v>
      </c>
    </row>
    <row r="4908" spans="1:6" x14ac:dyDescent="0.25">
      <c r="A4908" s="4">
        <v>41516</v>
      </c>
      <c r="B4908">
        <v>78.009399999999999</v>
      </c>
      <c r="C4908">
        <v>78.714299999999994</v>
      </c>
      <c r="D4908">
        <v>77.382800000000003</v>
      </c>
      <c r="E4908">
        <v>78.714299999999994</v>
      </c>
      <c r="F4908">
        <v>38966</v>
      </c>
    </row>
    <row r="4909" spans="1:6" x14ac:dyDescent="0.25">
      <c r="A4909" s="4">
        <v>41519</v>
      </c>
      <c r="B4909">
        <v>78.322699999999998</v>
      </c>
      <c r="C4909">
        <v>79.889099999999999</v>
      </c>
      <c r="D4909">
        <v>78.009399999999999</v>
      </c>
      <c r="E4909">
        <v>79.889099999999999</v>
      </c>
      <c r="F4909">
        <v>30860</v>
      </c>
    </row>
    <row r="4910" spans="1:6" x14ac:dyDescent="0.25">
      <c r="A4910" s="4">
        <v>41520</v>
      </c>
      <c r="B4910">
        <v>80.672300000000007</v>
      </c>
      <c r="C4910">
        <v>80.672300000000007</v>
      </c>
      <c r="D4910">
        <v>79.497500000000002</v>
      </c>
      <c r="E4910">
        <v>79.889099999999999</v>
      </c>
      <c r="F4910">
        <v>33838</v>
      </c>
    </row>
    <row r="4911" spans="1:6" x14ac:dyDescent="0.25">
      <c r="A4911" s="4">
        <v>41521</v>
      </c>
      <c r="B4911">
        <v>78.714299999999994</v>
      </c>
      <c r="C4911">
        <v>79.497500000000002</v>
      </c>
      <c r="D4911">
        <v>78.322699999999998</v>
      </c>
      <c r="E4911">
        <v>78.714299999999994</v>
      </c>
      <c r="F4911">
        <v>25229</v>
      </c>
    </row>
    <row r="4912" spans="1:6" x14ac:dyDescent="0.25">
      <c r="A4912" s="4">
        <v>41522</v>
      </c>
      <c r="B4912">
        <v>78.714299999999994</v>
      </c>
      <c r="C4912">
        <v>79.497500000000002</v>
      </c>
      <c r="D4912">
        <v>78.322699999999998</v>
      </c>
      <c r="E4912">
        <v>79.497500000000002</v>
      </c>
      <c r="F4912">
        <v>35890</v>
      </c>
    </row>
    <row r="4913" spans="1:6" x14ac:dyDescent="0.25">
      <c r="A4913" s="4">
        <v>41523</v>
      </c>
      <c r="B4913">
        <v>79.889099999999999</v>
      </c>
      <c r="C4913">
        <v>79.889099999999999</v>
      </c>
      <c r="D4913">
        <v>79.105900000000005</v>
      </c>
      <c r="E4913">
        <v>79.889099999999999</v>
      </c>
      <c r="F4913">
        <v>25342</v>
      </c>
    </row>
    <row r="4914" spans="1:6" x14ac:dyDescent="0.25">
      <c r="A4914" s="4">
        <v>41526</v>
      </c>
      <c r="B4914">
        <v>80.280699999999996</v>
      </c>
      <c r="C4914">
        <v>80.672300000000007</v>
      </c>
      <c r="D4914">
        <v>79.105900000000005</v>
      </c>
      <c r="E4914">
        <v>80.672300000000007</v>
      </c>
      <c r="F4914">
        <v>33083</v>
      </c>
    </row>
    <row r="4915" spans="1:6" x14ac:dyDescent="0.25">
      <c r="A4915" s="4">
        <v>41527</v>
      </c>
      <c r="B4915">
        <v>80.672300000000007</v>
      </c>
      <c r="C4915">
        <v>81.847200000000001</v>
      </c>
      <c r="D4915">
        <v>80.280699999999996</v>
      </c>
      <c r="E4915">
        <v>81.847200000000001</v>
      </c>
      <c r="F4915">
        <v>37392</v>
      </c>
    </row>
    <row r="4916" spans="1:6" x14ac:dyDescent="0.25">
      <c r="A4916" s="4">
        <v>41528</v>
      </c>
      <c r="B4916">
        <v>80.672300000000007</v>
      </c>
      <c r="C4916">
        <v>81.847200000000001</v>
      </c>
      <c r="D4916">
        <v>80.280699999999996</v>
      </c>
      <c r="E4916">
        <v>81.847200000000001</v>
      </c>
      <c r="F4916">
        <v>41349</v>
      </c>
    </row>
    <row r="4917" spans="1:6" x14ac:dyDescent="0.25">
      <c r="A4917" s="4">
        <v>41529</v>
      </c>
      <c r="B4917">
        <v>80.672300000000007</v>
      </c>
      <c r="C4917">
        <v>81.847200000000001</v>
      </c>
      <c r="D4917">
        <v>80.672300000000007</v>
      </c>
      <c r="E4917">
        <v>81.063900000000004</v>
      </c>
      <c r="F4917">
        <v>32865</v>
      </c>
    </row>
    <row r="4918" spans="1:6" x14ac:dyDescent="0.25">
      <c r="A4918" s="4">
        <v>41530</v>
      </c>
      <c r="B4918">
        <v>80.280699999999996</v>
      </c>
      <c r="C4918">
        <v>80.672300000000007</v>
      </c>
      <c r="D4918">
        <v>79.889099999999999</v>
      </c>
      <c r="E4918">
        <v>80.280699999999996</v>
      </c>
      <c r="F4918">
        <v>23635</v>
      </c>
    </row>
    <row r="4919" spans="1:6" x14ac:dyDescent="0.25">
      <c r="A4919" s="4">
        <v>41531</v>
      </c>
      <c r="B4919">
        <v>80.280699999999996</v>
      </c>
      <c r="C4919">
        <v>81.063900000000004</v>
      </c>
      <c r="D4919">
        <v>79.889099999999999</v>
      </c>
      <c r="E4919">
        <v>80.280699999999996</v>
      </c>
      <c r="F4919">
        <v>5222</v>
      </c>
    </row>
    <row r="4920" spans="1:6" x14ac:dyDescent="0.25">
      <c r="A4920" s="4">
        <v>41533</v>
      </c>
      <c r="B4920">
        <v>81.455600000000004</v>
      </c>
      <c r="C4920">
        <v>82.630399999999995</v>
      </c>
      <c r="D4920">
        <v>81.455600000000004</v>
      </c>
      <c r="E4920">
        <v>82.630399999999995</v>
      </c>
      <c r="F4920">
        <v>40693</v>
      </c>
    </row>
    <row r="4921" spans="1:6" x14ac:dyDescent="0.25">
      <c r="A4921" s="4">
        <v>41534</v>
      </c>
      <c r="B4921">
        <v>82.630399999999995</v>
      </c>
      <c r="C4921">
        <v>82.630399999999995</v>
      </c>
      <c r="D4921">
        <v>81.847200000000001</v>
      </c>
      <c r="E4921">
        <v>82.630399999999995</v>
      </c>
      <c r="F4921">
        <v>25468</v>
      </c>
    </row>
    <row r="4922" spans="1:6" x14ac:dyDescent="0.25">
      <c r="A4922" s="4">
        <v>41535</v>
      </c>
      <c r="B4922">
        <v>82.238799999999998</v>
      </c>
      <c r="C4922">
        <v>82.630399999999995</v>
      </c>
      <c r="D4922">
        <v>80.672300000000007</v>
      </c>
      <c r="E4922">
        <v>80.672300000000007</v>
      </c>
      <c r="F4922">
        <v>34987</v>
      </c>
    </row>
    <row r="4923" spans="1:6" x14ac:dyDescent="0.25">
      <c r="A4923" s="4">
        <v>41540</v>
      </c>
      <c r="B4923">
        <v>80.672300000000007</v>
      </c>
      <c r="C4923">
        <v>83.022000000000006</v>
      </c>
      <c r="D4923">
        <v>80.280699999999996</v>
      </c>
      <c r="E4923">
        <v>82.630399999999995</v>
      </c>
      <c r="F4923">
        <v>57281</v>
      </c>
    </row>
    <row r="4924" spans="1:6" x14ac:dyDescent="0.25">
      <c r="A4924" s="4">
        <v>41541</v>
      </c>
      <c r="B4924">
        <v>82.238799999999998</v>
      </c>
      <c r="C4924">
        <v>82.630399999999995</v>
      </c>
      <c r="D4924">
        <v>81.455600000000004</v>
      </c>
      <c r="E4924">
        <v>82.238799999999998</v>
      </c>
      <c r="F4924">
        <v>28676</v>
      </c>
    </row>
    <row r="4925" spans="1:6" x14ac:dyDescent="0.25">
      <c r="A4925" s="4">
        <v>41542</v>
      </c>
      <c r="B4925">
        <v>81.847200000000001</v>
      </c>
      <c r="C4925">
        <v>81.847200000000001</v>
      </c>
      <c r="D4925">
        <v>80.672300000000007</v>
      </c>
      <c r="E4925">
        <v>80.672300000000007</v>
      </c>
      <c r="F4925">
        <v>35290</v>
      </c>
    </row>
    <row r="4926" spans="1:6" x14ac:dyDescent="0.25">
      <c r="A4926" s="4">
        <v>41543</v>
      </c>
      <c r="B4926">
        <v>81.063900000000004</v>
      </c>
      <c r="C4926">
        <v>81.063900000000004</v>
      </c>
      <c r="D4926">
        <v>79.497500000000002</v>
      </c>
      <c r="E4926">
        <v>79.497500000000002</v>
      </c>
      <c r="F4926">
        <v>23060</v>
      </c>
    </row>
    <row r="4927" spans="1:6" x14ac:dyDescent="0.25">
      <c r="A4927" s="4">
        <v>41544</v>
      </c>
      <c r="B4927">
        <v>81.063900000000004</v>
      </c>
      <c r="C4927">
        <v>81.063900000000004</v>
      </c>
      <c r="D4927">
        <v>79.889099999999999</v>
      </c>
      <c r="E4927">
        <v>80.672300000000007</v>
      </c>
      <c r="F4927">
        <v>26663</v>
      </c>
    </row>
    <row r="4928" spans="1:6" x14ac:dyDescent="0.25">
      <c r="A4928" s="4">
        <v>41547</v>
      </c>
      <c r="B4928">
        <v>78.714299999999994</v>
      </c>
      <c r="C4928">
        <v>79.889099999999999</v>
      </c>
      <c r="D4928">
        <v>78.322699999999998</v>
      </c>
      <c r="E4928">
        <v>78.714299999999994</v>
      </c>
      <c r="F4928">
        <v>46225</v>
      </c>
    </row>
    <row r="4929" spans="1:6" x14ac:dyDescent="0.25">
      <c r="A4929" s="4">
        <v>41548</v>
      </c>
      <c r="B4929">
        <v>78.714299999999994</v>
      </c>
      <c r="C4929">
        <v>80.280699999999996</v>
      </c>
      <c r="D4929">
        <v>78.714299999999994</v>
      </c>
      <c r="E4929">
        <v>79.497500000000002</v>
      </c>
      <c r="F4929">
        <v>22927</v>
      </c>
    </row>
    <row r="4930" spans="1:6" x14ac:dyDescent="0.25">
      <c r="A4930" s="4">
        <v>41549</v>
      </c>
      <c r="B4930">
        <v>81.063900000000004</v>
      </c>
      <c r="C4930">
        <v>81.063900000000004</v>
      </c>
      <c r="D4930">
        <v>79.889099999999999</v>
      </c>
      <c r="E4930">
        <v>80.672300000000007</v>
      </c>
      <c r="F4930">
        <v>14708</v>
      </c>
    </row>
    <row r="4931" spans="1:6" x14ac:dyDescent="0.25">
      <c r="A4931" s="4">
        <v>41550</v>
      </c>
      <c r="B4931">
        <v>81.063900000000004</v>
      </c>
      <c r="C4931">
        <v>83.022000000000006</v>
      </c>
      <c r="D4931">
        <v>80.672300000000007</v>
      </c>
      <c r="E4931">
        <v>82.238799999999998</v>
      </c>
      <c r="F4931">
        <v>50841</v>
      </c>
    </row>
    <row r="4932" spans="1:6" x14ac:dyDescent="0.25">
      <c r="A4932" s="4">
        <v>41551</v>
      </c>
      <c r="B4932">
        <v>81.847200000000001</v>
      </c>
      <c r="C4932">
        <v>82.238799999999998</v>
      </c>
      <c r="D4932">
        <v>81.063900000000004</v>
      </c>
      <c r="E4932">
        <v>81.455600000000004</v>
      </c>
      <c r="F4932">
        <v>21987</v>
      </c>
    </row>
    <row r="4933" spans="1:6" x14ac:dyDescent="0.25">
      <c r="A4933" s="4">
        <v>41554</v>
      </c>
      <c r="B4933">
        <v>81.063900000000004</v>
      </c>
      <c r="C4933">
        <v>81.455600000000004</v>
      </c>
      <c r="D4933">
        <v>79.889099999999999</v>
      </c>
      <c r="E4933">
        <v>80.672300000000007</v>
      </c>
      <c r="F4933">
        <v>24400</v>
      </c>
    </row>
    <row r="4934" spans="1:6" x14ac:dyDescent="0.25">
      <c r="A4934" s="4">
        <v>41555</v>
      </c>
      <c r="B4934">
        <v>81.063900000000004</v>
      </c>
      <c r="C4934">
        <v>82.630399999999995</v>
      </c>
      <c r="D4934">
        <v>80.672300000000007</v>
      </c>
      <c r="E4934">
        <v>82.238799999999998</v>
      </c>
      <c r="F4934">
        <v>35151</v>
      </c>
    </row>
    <row r="4935" spans="1:6" x14ac:dyDescent="0.25">
      <c r="A4935" s="4">
        <v>41556</v>
      </c>
      <c r="B4935">
        <v>81.455600000000004</v>
      </c>
      <c r="C4935">
        <v>82.630399999999995</v>
      </c>
      <c r="D4935">
        <v>80.672300000000007</v>
      </c>
      <c r="E4935">
        <v>82.238799999999998</v>
      </c>
      <c r="F4935">
        <v>26186</v>
      </c>
    </row>
    <row r="4936" spans="1:6" x14ac:dyDescent="0.25">
      <c r="A4936" s="4">
        <v>41558</v>
      </c>
      <c r="B4936">
        <v>82.238799999999998</v>
      </c>
      <c r="C4936">
        <v>84.196899999999999</v>
      </c>
      <c r="D4936">
        <v>82.238799999999998</v>
      </c>
      <c r="E4936">
        <v>83.413600000000002</v>
      </c>
      <c r="F4936">
        <v>59435</v>
      </c>
    </row>
    <row r="4937" spans="1:6" x14ac:dyDescent="0.25">
      <c r="A4937" s="4">
        <v>41561</v>
      </c>
      <c r="B4937">
        <v>83.413600000000002</v>
      </c>
      <c r="C4937">
        <v>83.413600000000002</v>
      </c>
      <c r="D4937">
        <v>82.238799999999998</v>
      </c>
      <c r="E4937">
        <v>82.238799999999998</v>
      </c>
      <c r="F4937">
        <v>18801</v>
      </c>
    </row>
    <row r="4938" spans="1:6" x14ac:dyDescent="0.25">
      <c r="A4938" s="4">
        <v>41562</v>
      </c>
      <c r="B4938">
        <v>83.413600000000002</v>
      </c>
      <c r="C4938">
        <v>83.805199999999999</v>
      </c>
      <c r="D4938">
        <v>83.022000000000006</v>
      </c>
      <c r="E4938">
        <v>83.805199999999999</v>
      </c>
      <c r="F4938">
        <v>21682</v>
      </c>
    </row>
    <row r="4939" spans="1:6" x14ac:dyDescent="0.25">
      <c r="A4939" s="4">
        <v>41563</v>
      </c>
      <c r="B4939">
        <v>84.588499999999996</v>
      </c>
      <c r="C4939">
        <v>84.588499999999996</v>
      </c>
      <c r="D4939">
        <v>83.022000000000006</v>
      </c>
      <c r="E4939">
        <v>83.022000000000006</v>
      </c>
      <c r="F4939">
        <v>19077</v>
      </c>
    </row>
    <row r="4940" spans="1:6" x14ac:dyDescent="0.25">
      <c r="A4940" s="4">
        <v>41564</v>
      </c>
      <c r="B4940">
        <v>84.196899999999999</v>
      </c>
      <c r="C4940">
        <v>84.588499999999996</v>
      </c>
      <c r="D4940">
        <v>83.805199999999999</v>
      </c>
      <c r="E4940">
        <v>83.805199999999999</v>
      </c>
      <c r="F4940">
        <v>28187</v>
      </c>
    </row>
    <row r="4941" spans="1:6" x14ac:dyDescent="0.25">
      <c r="A4941" s="4">
        <v>41565</v>
      </c>
      <c r="B4941">
        <v>84.980099999999993</v>
      </c>
      <c r="C4941">
        <v>86.154899999999998</v>
      </c>
      <c r="D4941">
        <v>84.980099999999993</v>
      </c>
      <c r="E4941">
        <v>86.154899999999998</v>
      </c>
      <c r="F4941">
        <v>60125</v>
      </c>
    </row>
    <row r="4942" spans="1:6" x14ac:dyDescent="0.25">
      <c r="A4942" s="4">
        <v>41568</v>
      </c>
      <c r="B4942">
        <v>86.938100000000006</v>
      </c>
      <c r="C4942">
        <v>87.329800000000006</v>
      </c>
      <c r="D4942">
        <v>85.763300000000001</v>
      </c>
      <c r="E4942">
        <v>86.154899999999998</v>
      </c>
      <c r="F4942">
        <v>41327</v>
      </c>
    </row>
    <row r="4943" spans="1:6" x14ac:dyDescent="0.25">
      <c r="A4943" s="4">
        <v>41569</v>
      </c>
      <c r="B4943">
        <v>86.154899999999998</v>
      </c>
      <c r="C4943">
        <v>87.329800000000006</v>
      </c>
      <c r="D4943">
        <v>85.763300000000001</v>
      </c>
      <c r="E4943">
        <v>87.329800000000006</v>
      </c>
      <c r="F4943">
        <v>39837</v>
      </c>
    </row>
    <row r="4944" spans="1:6" x14ac:dyDescent="0.25">
      <c r="A4944" s="4">
        <v>41570</v>
      </c>
      <c r="B4944">
        <v>86.938100000000006</v>
      </c>
      <c r="C4944">
        <v>87.329800000000006</v>
      </c>
      <c r="D4944">
        <v>86.154899999999998</v>
      </c>
      <c r="E4944">
        <v>86.938100000000006</v>
      </c>
      <c r="F4944">
        <v>23058</v>
      </c>
    </row>
    <row r="4945" spans="1:6" x14ac:dyDescent="0.25">
      <c r="A4945" s="4">
        <v>41571</v>
      </c>
      <c r="B4945">
        <v>85.371700000000004</v>
      </c>
      <c r="C4945">
        <v>86.154899999999998</v>
      </c>
      <c r="D4945">
        <v>84.980099999999993</v>
      </c>
      <c r="E4945">
        <v>86.154899999999998</v>
      </c>
      <c r="F4945">
        <v>21570</v>
      </c>
    </row>
    <row r="4946" spans="1:6" x14ac:dyDescent="0.25">
      <c r="A4946" s="4">
        <v>41572</v>
      </c>
      <c r="B4946">
        <v>84.980099999999993</v>
      </c>
      <c r="C4946">
        <v>85.371700000000004</v>
      </c>
      <c r="D4946">
        <v>83.413600000000002</v>
      </c>
      <c r="E4946">
        <v>83.805199999999999</v>
      </c>
      <c r="F4946">
        <v>37244</v>
      </c>
    </row>
    <row r="4947" spans="1:6" x14ac:dyDescent="0.25">
      <c r="A4947" s="4">
        <v>41575</v>
      </c>
      <c r="B4947">
        <v>84.588499999999996</v>
      </c>
      <c r="C4947">
        <v>85.763300000000001</v>
      </c>
      <c r="D4947">
        <v>84.196899999999999</v>
      </c>
      <c r="E4947">
        <v>85.763300000000001</v>
      </c>
      <c r="F4947">
        <v>21242</v>
      </c>
    </row>
    <row r="4948" spans="1:6" x14ac:dyDescent="0.25">
      <c r="A4948" s="4">
        <v>41576</v>
      </c>
      <c r="B4948">
        <v>84.980099999999993</v>
      </c>
      <c r="C4948">
        <v>85.763300000000001</v>
      </c>
      <c r="D4948">
        <v>84.588499999999996</v>
      </c>
      <c r="E4948">
        <v>85.763300000000001</v>
      </c>
      <c r="F4948">
        <v>21531</v>
      </c>
    </row>
    <row r="4949" spans="1:6" x14ac:dyDescent="0.25">
      <c r="A4949" s="4">
        <v>41577</v>
      </c>
      <c r="B4949">
        <v>85.371700000000004</v>
      </c>
      <c r="C4949">
        <v>86.154899999999998</v>
      </c>
      <c r="D4949">
        <v>85.371700000000004</v>
      </c>
      <c r="E4949">
        <v>86.154899999999998</v>
      </c>
      <c r="F4949">
        <v>16768</v>
      </c>
    </row>
    <row r="4950" spans="1:6" x14ac:dyDescent="0.25">
      <c r="A4950" s="4">
        <v>41578</v>
      </c>
      <c r="B4950">
        <v>84.980099999999993</v>
      </c>
      <c r="C4950">
        <v>85.763300000000001</v>
      </c>
      <c r="D4950">
        <v>84.588499999999996</v>
      </c>
      <c r="E4950">
        <v>85.763300000000001</v>
      </c>
      <c r="F4950">
        <v>23099</v>
      </c>
    </row>
    <row r="4951" spans="1:6" x14ac:dyDescent="0.25">
      <c r="A4951" s="4">
        <v>41579</v>
      </c>
      <c r="B4951">
        <v>86.546499999999995</v>
      </c>
      <c r="C4951">
        <v>86.546499999999995</v>
      </c>
      <c r="D4951">
        <v>84.980099999999993</v>
      </c>
      <c r="E4951">
        <v>85.763300000000001</v>
      </c>
      <c r="F4951">
        <v>10870</v>
      </c>
    </row>
    <row r="4952" spans="1:6" x14ac:dyDescent="0.25">
      <c r="A4952" s="4">
        <v>41582</v>
      </c>
      <c r="B4952">
        <v>84.588499999999996</v>
      </c>
      <c r="C4952">
        <v>85.371700000000004</v>
      </c>
      <c r="D4952">
        <v>84.588499999999996</v>
      </c>
      <c r="E4952">
        <v>85.371700000000004</v>
      </c>
      <c r="F4952">
        <v>9642</v>
      </c>
    </row>
    <row r="4953" spans="1:6" x14ac:dyDescent="0.25">
      <c r="A4953" s="4">
        <v>41583</v>
      </c>
      <c r="B4953">
        <v>84.980099999999993</v>
      </c>
      <c r="C4953">
        <v>85.371700000000004</v>
      </c>
      <c r="D4953">
        <v>83.413600000000002</v>
      </c>
      <c r="E4953">
        <v>83.413600000000002</v>
      </c>
      <c r="F4953">
        <v>21861</v>
      </c>
    </row>
    <row r="4954" spans="1:6" x14ac:dyDescent="0.25">
      <c r="A4954" s="4">
        <v>41584</v>
      </c>
      <c r="B4954">
        <v>83.413600000000002</v>
      </c>
      <c r="C4954">
        <v>84.196899999999999</v>
      </c>
      <c r="D4954">
        <v>83.413600000000002</v>
      </c>
      <c r="E4954">
        <v>83.805199999999999</v>
      </c>
      <c r="F4954">
        <v>17441</v>
      </c>
    </row>
    <row r="4955" spans="1:6" x14ac:dyDescent="0.25">
      <c r="A4955" s="4">
        <v>41585</v>
      </c>
      <c r="B4955">
        <v>83.805199999999999</v>
      </c>
      <c r="C4955">
        <v>84.196899999999999</v>
      </c>
      <c r="D4955">
        <v>83.022000000000006</v>
      </c>
      <c r="E4955">
        <v>83.805199999999999</v>
      </c>
      <c r="F4955">
        <v>15944</v>
      </c>
    </row>
    <row r="4956" spans="1:6" x14ac:dyDescent="0.25">
      <c r="A4956" s="4">
        <v>41586</v>
      </c>
      <c r="B4956">
        <v>82.238799999999998</v>
      </c>
      <c r="C4956">
        <v>83.413600000000002</v>
      </c>
      <c r="D4956">
        <v>82.238799999999998</v>
      </c>
      <c r="E4956">
        <v>83.022000000000006</v>
      </c>
      <c r="F4956">
        <v>31481</v>
      </c>
    </row>
    <row r="4957" spans="1:6" x14ac:dyDescent="0.25">
      <c r="A4957" s="4">
        <v>41589</v>
      </c>
      <c r="B4957">
        <v>82.238799999999998</v>
      </c>
      <c r="C4957">
        <v>83.022000000000006</v>
      </c>
      <c r="D4957">
        <v>81.847200000000001</v>
      </c>
      <c r="E4957">
        <v>81.847200000000001</v>
      </c>
      <c r="F4957">
        <v>21492</v>
      </c>
    </row>
    <row r="4958" spans="1:6" x14ac:dyDescent="0.25">
      <c r="A4958" s="4">
        <v>41590</v>
      </c>
      <c r="B4958">
        <v>83.022000000000006</v>
      </c>
      <c r="C4958">
        <v>83.022000000000006</v>
      </c>
      <c r="D4958">
        <v>81.847200000000001</v>
      </c>
      <c r="E4958">
        <v>82.238799999999998</v>
      </c>
      <c r="F4958">
        <v>31993</v>
      </c>
    </row>
    <row r="4959" spans="1:6" x14ac:dyDescent="0.25">
      <c r="A4959" s="4">
        <v>41591</v>
      </c>
      <c r="B4959">
        <v>82.238799999999998</v>
      </c>
      <c r="C4959">
        <v>82.238799999999998</v>
      </c>
      <c r="D4959">
        <v>80.672300000000007</v>
      </c>
      <c r="E4959">
        <v>80.672300000000007</v>
      </c>
      <c r="F4959">
        <v>26709</v>
      </c>
    </row>
    <row r="4960" spans="1:6" x14ac:dyDescent="0.25">
      <c r="A4960" s="4">
        <v>41592</v>
      </c>
      <c r="B4960">
        <v>81.455600000000004</v>
      </c>
      <c r="C4960">
        <v>81.847200000000001</v>
      </c>
      <c r="D4960">
        <v>81.063900000000004</v>
      </c>
      <c r="E4960">
        <v>81.063900000000004</v>
      </c>
      <c r="F4960">
        <v>29934</v>
      </c>
    </row>
    <row r="4961" spans="1:6" x14ac:dyDescent="0.25">
      <c r="A4961" s="4">
        <v>41593</v>
      </c>
      <c r="B4961">
        <v>81.063900000000004</v>
      </c>
      <c r="C4961">
        <v>81.847200000000001</v>
      </c>
      <c r="D4961">
        <v>81.063900000000004</v>
      </c>
      <c r="E4961">
        <v>81.455600000000004</v>
      </c>
      <c r="F4961">
        <v>19905</v>
      </c>
    </row>
    <row r="4962" spans="1:6" x14ac:dyDescent="0.25">
      <c r="A4962" s="4">
        <v>41596</v>
      </c>
      <c r="B4962">
        <v>81.847200000000001</v>
      </c>
      <c r="C4962">
        <v>82.238799999999998</v>
      </c>
      <c r="D4962">
        <v>81.455600000000004</v>
      </c>
      <c r="E4962">
        <v>81.455600000000004</v>
      </c>
      <c r="F4962">
        <v>25297</v>
      </c>
    </row>
    <row r="4963" spans="1:6" x14ac:dyDescent="0.25">
      <c r="A4963" s="4">
        <v>41597</v>
      </c>
      <c r="B4963">
        <v>81.847200000000001</v>
      </c>
      <c r="C4963">
        <v>82.630399999999995</v>
      </c>
      <c r="D4963">
        <v>81.455600000000004</v>
      </c>
      <c r="E4963">
        <v>82.238799999999998</v>
      </c>
      <c r="F4963">
        <v>34510</v>
      </c>
    </row>
    <row r="4964" spans="1:6" x14ac:dyDescent="0.25">
      <c r="A4964" s="4">
        <v>41598</v>
      </c>
      <c r="B4964">
        <v>81.455600000000004</v>
      </c>
      <c r="C4964">
        <v>81.455600000000004</v>
      </c>
      <c r="D4964">
        <v>80.280699999999996</v>
      </c>
      <c r="E4964">
        <v>80.672300000000007</v>
      </c>
      <c r="F4964">
        <v>46675</v>
      </c>
    </row>
    <row r="4965" spans="1:6" x14ac:dyDescent="0.25">
      <c r="A4965" s="4">
        <v>41599</v>
      </c>
      <c r="B4965">
        <v>79.889099999999999</v>
      </c>
      <c r="C4965">
        <v>80.672300000000007</v>
      </c>
      <c r="D4965">
        <v>78.714299999999994</v>
      </c>
      <c r="E4965">
        <v>79.105900000000005</v>
      </c>
      <c r="F4965">
        <v>57003</v>
      </c>
    </row>
    <row r="4966" spans="1:6" x14ac:dyDescent="0.25">
      <c r="A4966" s="4">
        <v>41600</v>
      </c>
      <c r="B4966">
        <v>78.322699999999998</v>
      </c>
      <c r="C4966">
        <v>79.497500000000002</v>
      </c>
      <c r="D4966">
        <v>78.322699999999998</v>
      </c>
      <c r="E4966">
        <v>78.322699999999998</v>
      </c>
      <c r="F4966">
        <v>57158</v>
      </c>
    </row>
    <row r="4967" spans="1:6" x14ac:dyDescent="0.25">
      <c r="A4967" s="4">
        <v>41603</v>
      </c>
      <c r="B4967">
        <v>79.105900000000005</v>
      </c>
      <c r="C4967">
        <v>80.280699999999996</v>
      </c>
      <c r="D4967">
        <v>79.105900000000005</v>
      </c>
      <c r="E4967">
        <v>79.105900000000005</v>
      </c>
      <c r="F4967">
        <v>30949</v>
      </c>
    </row>
    <row r="4968" spans="1:6" x14ac:dyDescent="0.25">
      <c r="A4968" s="4">
        <v>41604</v>
      </c>
      <c r="B4968">
        <v>79.889099999999999</v>
      </c>
      <c r="C4968">
        <v>82.238799999999998</v>
      </c>
      <c r="D4968">
        <v>79.497500000000002</v>
      </c>
      <c r="E4968">
        <v>81.063900000000004</v>
      </c>
      <c r="F4968">
        <v>47195</v>
      </c>
    </row>
    <row r="4969" spans="1:6" x14ac:dyDescent="0.25">
      <c r="A4969" s="4">
        <v>41605</v>
      </c>
      <c r="B4969">
        <v>82.238799999999998</v>
      </c>
      <c r="C4969">
        <v>82.630399999999995</v>
      </c>
      <c r="D4969">
        <v>81.847200000000001</v>
      </c>
      <c r="E4969">
        <v>82.238799999999998</v>
      </c>
      <c r="F4969">
        <v>22854</v>
      </c>
    </row>
    <row r="4970" spans="1:6" x14ac:dyDescent="0.25">
      <c r="A4970" s="4">
        <v>41606</v>
      </c>
      <c r="B4970">
        <v>82.238799999999998</v>
      </c>
      <c r="C4970">
        <v>82.630399999999995</v>
      </c>
      <c r="D4970">
        <v>81.847200000000001</v>
      </c>
      <c r="E4970">
        <v>82.238799999999998</v>
      </c>
      <c r="F4970">
        <v>22996</v>
      </c>
    </row>
    <row r="4971" spans="1:6" x14ac:dyDescent="0.25">
      <c r="A4971" s="4">
        <v>41607</v>
      </c>
      <c r="B4971">
        <v>81.847200000000001</v>
      </c>
      <c r="C4971">
        <v>82.238799999999998</v>
      </c>
      <c r="D4971">
        <v>81.455600000000004</v>
      </c>
      <c r="E4971">
        <v>82.238799999999998</v>
      </c>
      <c r="F4971">
        <v>34465</v>
      </c>
    </row>
    <row r="4972" spans="1:6" x14ac:dyDescent="0.25">
      <c r="A4972" s="4">
        <v>41610</v>
      </c>
      <c r="B4972">
        <v>82.238799999999998</v>
      </c>
      <c r="C4972">
        <v>82.630399999999995</v>
      </c>
      <c r="D4972">
        <v>81.455600000000004</v>
      </c>
      <c r="E4972">
        <v>81.847200000000001</v>
      </c>
      <c r="F4972">
        <v>19043</v>
      </c>
    </row>
    <row r="4973" spans="1:6" x14ac:dyDescent="0.25">
      <c r="A4973" s="4">
        <v>41611</v>
      </c>
      <c r="B4973">
        <v>81.455600000000004</v>
      </c>
      <c r="C4973">
        <v>82.238799999999998</v>
      </c>
      <c r="D4973">
        <v>81.063900000000004</v>
      </c>
      <c r="E4973">
        <v>81.455600000000004</v>
      </c>
      <c r="F4973">
        <v>26811</v>
      </c>
    </row>
    <row r="4974" spans="1:6" x14ac:dyDescent="0.25">
      <c r="A4974" s="4">
        <v>41612</v>
      </c>
      <c r="B4974">
        <v>81.063900000000004</v>
      </c>
      <c r="C4974">
        <v>82.630399999999995</v>
      </c>
      <c r="D4974">
        <v>81.063900000000004</v>
      </c>
      <c r="E4974">
        <v>82.238799999999998</v>
      </c>
      <c r="F4974">
        <v>23631</v>
      </c>
    </row>
    <row r="4975" spans="1:6" x14ac:dyDescent="0.25">
      <c r="A4975" s="4">
        <v>41613</v>
      </c>
      <c r="B4975">
        <v>82.238799999999998</v>
      </c>
      <c r="C4975">
        <v>82.238799999999998</v>
      </c>
      <c r="D4975">
        <v>81.063900000000004</v>
      </c>
      <c r="E4975">
        <v>81.455600000000004</v>
      </c>
      <c r="F4975">
        <v>25209</v>
      </c>
    </row>
    <row r="4976" spans="1:6" x14ac:dyDescent="0.25">
      <c r="A4976" s="4">
        <v>41614</v>
      </c>
      <c r="B4976">
        <v>80.672300000000007</v>
      </c>
      <c r="C4976">
        <v>81.847200000000001</v>
      </c>
      <c r="D4976">
        <v>80.672300000000007</v>
      </c>
      <c r="E4976">
        <v>80.672300000000007</v>
      </c>
      <c r="F4976">
        <v>25359</v>
      </c>
    </row>
    <row r="4977" spans="1:6" x14ac:dyDescent="0.25">
      <c r="A4977" s="4">
        <v>41617</v>
      </c>
      <c r="B4977">
        <v>81.455600000000004</v>
      </c>
      <c r="C4977">
        <v>82.238799999999998</v>
      </c>
      <c r="D4977">
        <v>81.455600000000004</v>
      </c>
      <c r="E4977">
        <v>82.238799999999998</v>
      </c>
      <c r="F4977">
        <v>23972</v>
      </c>
    </row>
    <row r="4978" spans="1:6" x14ac:dyDescent="0.25">
      <c r="A4978" s="4">
        <v>41618</v>
      </c>
      <c r="B4978">
        <v>81.847200000000001</v>
      </c>
      <c r="C4978">
        <v>82.238799999999998</v>
      </c>
      <c r="D4978">
        <v>81.455600000000004</v>
      </c>
      <c r="E4978">
        <v>81.455600000000004</v>
      </c>
      <c r="F4978">
        <v>22936</v>
      </c>
    </row>
    <row r="4979" spans="1:6" x14ac:dyDescent="0.25">
      <c r="A4979" s="4">
        <v>41619</v>
      </c>
      <c r="B4979">
        <v>81.063900000000004</v>
      </c>
      <c r="C4979">
        <v>82.238799999999998</v>
      </c>
      <c r="D4979">
        <v>81.063900000000004</v>
      </c>
      <c r="E4979">
        <v>82.238799999999998</v>
      </c>
      <c r="F4979">
        <v>24614</v>
      </c>
    </row>
    <row r="4980" spans="1:6" x14ac:dyDescent="0.25">
      <c r="A4980" s="4">
        <v>41620</v>
      </c>
      <c r="B4980">
        <v>81.847200000000001</v>
      </c>
      <c r="C4980">
        <v>81.847200000000001</v>
      </c>
      <c r="D4980">
        <v>80.672300000000007</v>
      </c>
      <c r="E4980">
        <v>80.672300000000007</v>
      </c>
      <c r="F4980">
        <v>18537</v>
      </c>
    </row>
    <row r="4981" spans="1:6" x14ac:dyDescent="0.25">
      <c r="A4981" s="4">
        <v>41621</v>
      </c>
      <c r="B4981">
        <v>80.280699999999996</v>
      </c>
      <c r="C4981">
        <v>81.063900000000004</v>
      </c>
      <c r="D4981">
        <v>80.280699999999996</v>
      </c>
      <c r="E4981">
        <v>80.280699999999996</v>
      </c>
      <c r="F4981">
        <v>28297</v>
      </c>
    </row>
    <row r="4982" spans="1:6" x14ac:dyDescent="0.25">
      <c r="A4982" s="4">
        <v>41624</v>
      </c>
      <c r="B4982">
        <v>80.280699999999996</v>
      </c>
      <c r="C4982">
        <v>80.672300000000007</v>
      </c>
      <c r="D4982">
        <v>79.889099999999999</v>
      </c>
      <c r="E4982">
        <v>79.889099999999999</v>
      </c>
      <c r="F4982">
        <v>18772</v>
      </c>
    </row>
    <row r="4983" spans="1:6" x14ac:dyDescent="0.25">
      <c r="A4983" s="4">
        <v>41625</v>
      </c>
      <c r="B4983">
        <v>80.672300000000007</v>
      </c>
      <c r="C4983">
        <v>81.847200000000001</v>
      </c>
      <c r="D4983">
        <v>80.672300000000007</v>
      </c>
      <c r="E4983">
        <v>81.063900000000004</v>
      </c>
      <c r="F4983">
        <v>26233</v>
      </c>
    </row>
    <row r="4984" spans="1:6" x14ac:dyDescent="0.25">
      <c r="A4984" s="4">
        <v>41626</v>
      </c>
      <c r="B4984">
        <v>80.280699999999996</v>
      </c>
      <c r="C4984">
        <v>80.672300000000007</v>
      </c>
      <c r="D4984">
        <v>79.105900000000005</v>
      </c>
      <c r="E4984">
        <v>79.105900000000005</v>
      </c>
      <c r="F4984">
        <v>66102</v>
      </c>
    </row>
    <row r="4985" spans="1:6" x14ac:dyDescent="0.25">
      <c r="A4985" s="4">
        <v>41627</v>
      </c>
      <c r="B4985">
        <v>79.889099999999999</v>
      </c>
      <c r="C4985">
        <v>80.672300000000007</v>
      </c>
      <c r="D4985">
        <v>79.497500000000002</v>
      </c>
      <c r="E4985">
        <v>80.280699999999996</v>
      </c>
      <c r="F4985">
        <v>27825</v>
      </c>
    </row>
    <row r="4986" spans="1:6" x14ac:dyDescent="0.25">
      <c r="A4986" s="4">
        <v>41628</v>
      </c>
      <c r="B4986">
        <v>79.497500000000002</v>
      </c>
      <c r="C4986">
        <v>81.063900000000004</v>
      </c>
      <c r="D4986">
        <v>79.497500000000002</v>
      </c>
      <c r="E4986">
        <v>79.889099999999999</v>
      </c>
      <c r="F4986">
        <v>37619</v>
      </c>
    </row>
    <row r="4987" spans="1:6" x14ac:dyDescent="0.25">
      <c r="A4987" s="4">
        <v>41631</v>
      </c>
      <c r="B4987">
        <v>80.672300000000007</v>
      </c>
      <c r="C4987">
        <v>81.847200000000001</v>
      </c>
      <c r="D4987">
        <v>80.672300000000007</v>
      </c>
      <c r="E4987">
        <v>81.455600000000004</v>
      </c>
      <c r="F4987">
        <v>28394</v>
      </c>
    </row>
    <row r="4988" spans="1:6" x14ac:dyDescent="0.25">
      <c r="A4988" s="4">
        <v>41632</v>
      </c>
      <c r="B4988">
        <v>81.455600000000004</v>
      </c>
      <c r="C4988">
        <v>81.455600000000004</v>
      </c>
      <c r="D4988">
        <v>80.672300000000007</v>
      </c>
      <c r="E4988">
        <v>80.672300000000007</v>
      </c>
      <c r="F4988">
        <v>14079</v>
      </c>
    </row>
    <row r="4989" spans="1:6" x14ac:dyDescent="0.25">
      <c r="A4989" s="4">
        <v>41633</v>
      </c>
      <c r="B4989">
        <v>80.280699999999996</v>
      </c>
      <c r="C4989">
        <v>81.063900000000004</v>
      </c>
      <c r="D4989">
        <v>80.280699999999996</v>
      </c>
      <c r="E4989">
        <v>80.672300000000007</v>
      </c>
      <c r="F4989">
        <v>9789</v>
      </c>
    </row>
    <row r="4990" spans="1:6" x14ac:dyDescent="0.25">
      <c r="A4990" s="4">
        <v>41634</v>
      </c>
      <c r="B4990">
        <v>80.672300000000007</v>
      </c>
      <c r="C4990">
        <v>81.455600000000004</v>
      </c>
      <c r="D4990">
        <v>80.672300000000007</v>
      </c>
      <c r="E4990">
        <v>81.455600000000004</v>
      </c>
      <c r="F4990">
        <v>6794</v>
      </c>
    </row>
    <row r="4991" spans="1:6" x14ac:dyDescent="0.25">
      <c r="A4991" s="4">
        <v>41635</v>
      </c>
      <c r="B4991">
        <v>81.063900000000004</v>
      </c>
      <c r="C4991">
        <v>81.847200000000001</v>
      </c>
      <c r="D4991">
        <v>80.672300000000007</v>
      </c>
      <c r="E4991">
        <v>81.847200000000001</v>
      </c>
      <c r="F4991">
        <v>24135</v>
      </c>
    </row>
    <row r="4992" spans="1:6" x14ac:dyDescent="0.25">
      <c r="A4992" s="4">
        <v>41638</v>
      </c>
      <c r="B4992">
        <v>81.455600000000004</v>
      </c>
      <c r="C4992">
        <v>83.022000000000006</v>
      </c>
      <c r="D4992">
        <v>81.455600000000004</v>
      </c>
      <c r="E4992">
        <v>83.022000000000006</v>
      </c>
      <c r="F4992">
        <v>44280</v>
      </c>
    </row>
    <row r="4993" spans="1:6" x14ac:dyDescent="0.25">
      <c r="A4993" s="4">
        <v>41639</v>
      </c>
      <c r="B4993">
        <v>82.630399999999995</v>
      </c>
      <c r="C4993">
        <v>83.022000000000006</v>
      </c>
      <c r="D4993">
        <v>82.238799999999998</v>
      </c>
      <c r="E4993">
        <v>82.630399999999995</v>
      </c>
      <c r="F4993">
        <v>24485</v>
      </c>
    </row>
    <row r="4994" spans="1:6" x14ac:dyDescent="0.25">
      <c r="A4994" s="4">
        <v>41641</v>
      </c>
      <c r="B4994">
        <v>82.238799999999998</v>
      </c>
      <c r="C4994">
        <v>82.630399999999995</v>
      </c>
      <c r="D4994">
        <v>81.063900000000004</v>
      </c>
      <c r="E4994">
        <v>81.847200000000001</v>
      </c>
      <c r="F4994">
        <v>15134</v>
      </c>
    </row>
    <row r="4995" spans="1:6" x14ac:dyDescent="0.25">
      <c r="A4995" s="4">
        <v>41642</v>
      </c>
      <c r="B4995">
        <v>80.672300000000007</v>
      </c>
      <c r="C4995">
        <v>80.672300000000007</v>
      </c>
      <c r="D4995">
        <v>79.889099999999999</v>
      </c>
      <c r="E4995">
        <v>80.280699999999996</v>
      </c>
      <c r="F4995">
        <v>41161</v>
      </c>
    </row>
    <row r="4996" spans="1:6" x14ac:dyDescent="0.25">
      <c r="A4996" s="4">
        <v>41645</v>
      </c>
      <c r="B4996">
        <v>79.889099999999999</v>
      </c>
      <c r="C4996">
        <v>80.672300000000007</v>
      </c>
      <c r="D4996">
        <v>79.889099999999999</v>
      </c>
      <c r="E4996">
        <v>80.280699999999996</v>
      </c>
      <c r="F4996">
        <v>23730</v>
      </c>
    </row>
    <row r="4997" spans="1:6" x14ac:dyDescent="0.25">
      <c r="A4997" s="4">
        <v>41646</v>
      </c>
      <c r="B4997">
        <v>80.280699999999996</v>
      </c>
      <c r="C4997">
        <v>80.672300000000007</v>
      </c>
      <c r="D4997">
        <v>79.889099999999999</v>
      </c>
      <c r="E4997">
        <v>79.889099999999999</v>
      </c>
      <c r="F4997">
        <v>18804</v>
      </c>
    </row>
    <row r="4998" spans="1:6" x14ac:dyDescent="0.25">
      <c r="A4998" s="4">
        <v>41647</v>
      </c>
      <c r="B4998">
        <v>80.672300000000007</v>
      </c>
      <c r="C4998">
        <v>81.847200000000001</v>
      </c>
      <c r="D4998">
        <v>80.280699999999996</v>
      </c>
      <c r="E4998">
        <v>81.455600000000004</v>
      </c>
      <c r="F4998">
        <v>30933</v>
      </c>
    </row>
    <row r="4999" spans="1:6" x14ac:dyDescent="0.25">
      <c r="A4999" s="4">
        <v>41648</v>
      </c>
      <c r="B4999">
        <v>80.280699999999996</v>
      </c>
      <c r="C4999">
        <v>80.672300000000007</v>
      </c>
      <c r="D4999">
        <v>78.714299999999994</v>
      </c>
      <c r="E4999">
        <v>79.105900000000005</v>
      </c>
      <c r="F4999">
        <v>64222</v>
      </c>
    </row>
    <row r="5000" spans="1:6" x14ac:dyDescent="0.25">
      <c r="A5000" s="4">
        <v>41649</v>
      </c>
      <c r="B5000">
        <v>79.889099999999999</v>
      </c>
      <c r="C5000">
        <v>80.280699999999996</v>
      </c>
      <c r="D5000">
        <v>79.497500000000002</v>
      </c>
      <c r="E5000">
        <v>79.889099999999999</v>
      </c>
      <c r="F5000">
        <v>36290</v>
      </c>
    </row>
    <row r="5001" spans="1:6" x14ac:dyDescent="0.25">
      <c r="A5001" s="4">
        <v>41652</v>
      </c>
      <c r="B5001">
        <v>80.672300000000007</v>
      </c>
      <c r="C5001">
        <v>81.063900000000004</v>
      </c>
      <c r="D5001">
        <v>80.280699999999996</v>
      </c>
      <c r="E5001">
        <v>80.672300000000007</v>
      </c>
      <c r="F5001">
        <v>22081</v>
      </c>
    </row>
    <row r="5002" spans="1:6" x14ac:dyDescent="0.25">
      <c r="A5002" s="4">
        <v>41653</v>
      </c>
      <c r="B5002">
        <v>80.280699999999996</v>
      </c>
      <c r="C5002">
        <v>81.063900000000004</v>
      </c>
      <c r="D5002">
        <v>79.889099999999999</v>
      </c>
      <c r="E5002">
        <v>81.063900000000004</v>
      </c>
      <c r="F5002">
        <v>21718</v>
      </c>
    </row>
    <row r="5003" spans="1:6" x14ac:dyDescent="0.25">
      <c r="A5003" s="4">
        <v>41654</v>
      </c>
      <c r="B5003">
        <v>81.455600000000004</v>
      </c>
      <c r="C5003">
        <v>83.022000000000006</v>
      </c>
      <c r="D5003">
        <v>81.455600000000004</v>
      </c>
      <c r="E5003">
        <v>82.238799999999998</v>
      </c>
      <c r="F5003">
        <v>54458</v>
      </c>
    </row>
    <row r="5004" spans="1:6" x14ac:dyDescent="0.25">
      <c r="A5004" s="4">
        <v>41655</v>
      </c>
      <c r="B5004">
        <v>83.022000000000006</v>
      </c>
      <c r="C5004">
        <v>84.196899999999999</v>
      </c>
      <c r="D5004">
        <v>83.022000000000006</v>
      </c>
      <c r="E5004">
        <v>83.805199999999999</v>
      </c>
      <c r="F5004">
        <v>49601</v>
      </c>
    </row>
    <row r="5005" spans="1:6" x14ac:dyDescent="0.25">
      <c r="A5005" s="4">
        <v>41656</v>
      </c>
      <c r="B5005">
        <v>84.588499999999996</v>
      </c>
      <c r="C5005">
        <v>84.980099999999993</v>
      </c>
      <c r="D5005">
        <v>83.805199999999999</v>
      </c>
      <c r="E5005">
        <v>84.196899999999999</v>
      </c>
      <c r="F5005">
        <v>55767</v>
      </c>
    </row>
    <row r="5006" spans="1:6" x14ac:dyDescent="0.25">
      <c r="A5006" s="4">
        <v>41659</v>
      </c>
      <c r="B5006">
        <v>83.805199999999999</v>
      </c>
      <c r="C5006">
        <v>84.980099999999993</v>
      </c>
      <c r="D5006">
        <v>83.805199999999999</v>
      </c>
      <c r="E5006">
        <v>84.196899999999999</v>
      </c>
      <c r="F5006">
        <v>24299</v>
      </c>
    </row>
    <row r="5007" spans="1:6" x14ac:dyDescent="0.25">
      <c r="A5007" s="4">
        <v>41660</v>
      </c>
      <c r="B5007">
        <v>84.980099999999993</v>
      </c>
      <c r="C5007">
        <v>84.980099999999993</v>
      </c>
      <c r="D5007">
        <v>83.022000000000006</v>
      </c>
      <c r="E5007">
        <v>83.413600000000002</v>
      </c>
      <c r="F5007">
        <v>25121</v>
      </c>
    </row>
    <row r="5008" spans="1:6" x14ac:dyDescent="0.25">
      <c r="A5008" s="4">
        <v>41661</v>
      </c>
      <c r="B5008">
        <v>83.022000000000006</v>
      </c>
      <c r="C5008">
        <v>84.196899999999999</v>
      </c>
      <c r="D5008">
        <v>83.022000000000006</v>
      </c>
      <c r="E5008">
        <v>84.196899999999999</v>
      </c>
      <c r="F5008">
        <v>28727</v>
      </c>
    </row>
    <row r="5009" spans="1:6" x14ac:dyDescent="0.25">
      <c r="A5009" s="4">
        <v>41662</v>
      </c>
      <c r="B5009">
        <v>84.980099999999993</v>
      </c>
      <c r="C5009">
        <v>84.980099999999993</v>
      </c>
      <c r="D5009">
        <v>84.196899999999999</v>
      </c>
      <c r="E5009">
        <v>84.196899999999999</v>
      </c>
      <c r="F5009">
        <v>28309</v>
      </c>
    </row>
    <row r="5010" spans="1:6" x14ac:dyDescent="0.25">
      <c r="A5010" s="4">
        <v>41663</v>
      </c>
      <c r="B5010">
        <v>83.805199999999999</v>
      </c>
      <c r="C5010">
        <v>84.980099999999993</v>
      </c>
      <c r="D5010">
        <v>83.805199999999999</v>
      </c>
      <c r="E5010">
        <v>84.588499999999996</v>
      </c>
      <c r="F5010">
        <v>34059</v>
      </c>
    </row>
    <row r="5011" spans="1:6" x14ac:dyDescent="0.25">
      <c r="A5011" s="4">
        <v>41666</v>
      </c>
      <c r="B5011">
        <v>83.022000000000006</v>
      </c>
      <c r="C5011">
        <v>83.413600000000002</v>
      </c>
      <c r="D5011">
        <v>81.455600000000004</v>
      </c>
      <c r="E5011">
        <v>82.238799999999998</v>
      </c>
      <c r="F5011">
        <v>65271</v>
      </c>
    </row>
    <row r="5012" spans="1:6" x14ac:dyDescent="0.25">
      <c r="A5012" s="4">
        <v>41675</v>
      </c>
      <c r="B5012">
        <v>79.889099999999999</v>
      </c>
      <c r="C5012">
        <v>79.889099999999999</v>
      </c>
      <c r="D5012">
        <v>78.714299999999994</v>
      </c>
      <c r="E5012">
        <v>78.714299999999994</v>
      </c>
      <c r="F5012">
        <v>147198</v>
      </c>
    </row>
    <row r="5013" spans="1:6" x14ac:dyDescent="0.25">
      <c r="A5013" s="4">
        <v>41676</v>
      </c>
      <c r="B5013">
        <v>79.105900000000005</v>
      </c>
      <c r="C5013">
        <v>80.672300000000007</v>
      </c>
      <c r="D5013">
        <v>79.105900000000005</v>
      </c>
      <c r="E5013">
        <v>79.889099999999999</v>
      </c>
      <c r="F5013">
        <v>73840</v>
      </c>
    </row>
    <row r="5014" spans="1:6" x14ac:dyDescent="0.25">
      <c r="A5014" s="4">
        <v>41677</v>
      </c>
      <c r="B5014">
        <v>81.063900000000004</v>
      </c>
      <c r="C5014">
        <v>81.847200000000001</v>
      </c>
      <c r="D5014">
        <v>80.672300000000007</v>
      </c>
      <c r="E5014">
        <v>81.455600000000004</v>
      </c>
      <c r="F5014">
        <v>54186</v>
      </c>
    </row>
    <row r="5015" spans="1:6" x14ac:dyDescent="0.25">
      <c r="A5015" s="4">
        <v>41680</v>
      </c>
      <c r="B5015">
        <v>81.455600000000004</v>
      </c>
      <c r="C5015">
        <v>81.847200000000001</v>
      </c>
      <c r="D5015">
        <v>80.672300000000007</v>
      </c>
      <c r="E5015">
        <v>80.672300000000007</v>
      </c>
      <c r="F5015">
        <v>26244</v>
      </c>
    </row>
    <row r="5016" spans="1:6" x14ac:dyDescent="0.25">
      <c r="A5016" s="4">
        <v>41681</v>
      </c>
      <c r="B5016">
        <v>81.847200000000001</v>
      </c>
      <c r="C5016">
        <v>82.238799999999998</v>
      </c>
      <c r="D5016">
        <v>81.455600000000004</v>
      </c>
      <c r="E5016">
        <v>81.847200000000001</v>
      </c>
      <c r="F5016">
        <v>23524</v>
      </c>
    </row>
    <row r="5017" spans="1:6" x14ac:dyDescent="0.25">
      <c r="A5017" s="4">
        <v>41682</v>
      </c>
      <c r="B5017">
        <v>82.238799999999998</v>
      </c>
      <c r="C5017">
        <v>82.630399999999995</v>
      </c>
      <c r="D5017">
        <v>81.847200000000001</v>
      </c>
      <c r="E5017">
        <v>82.238799999999998</v>
      </c>
      <c r="F5017">
        <v>25306</v>
      </c>
    </row>
    <row r="5018" spans="1:6" x14ac:dyDescent="0.25">
      <c r="A5018" s="4">
        <v>41683</v>
      </c>
      <c r="B5018">
        <v>82.238799999999998</v>
      </c>
      <c r="C5018">
        <v>83.022000000000006</v>
      </c>
      <c r="D5018">
        <v>82.238799999999998</v>
      </c>
      <c r="E5018">
        <v>82.238799999999998</v>
      </c>
      <c r="F5018">
        <v>19625</v>
      </c>
    </row>
    <row r="5019" spans="1:6" x14ac:dyDescent="0.25">
      <c r="A5019" s="4">
        <v>41684</v>
      </c>
      <c r="B5019">
        <v>83.413600000000002</v>
      </c>
      <c r="C5019">
        <v>84.196899999999999</v>
      </c>
      <c r="D5019">
        <v>83.413600000000002</v>
      </c>
      <c r="E5019">
        <v>84.196899999999999</v>
      </c>
      <c r="F5019">
        <v>42738</v>
      </c>
    </row>
    <row r="5020" spans="1:6" x14ac:dyDescent="0.25">
      <c r="A5020" s="4">
        <v>41687</v>
      </c>
      <c r="B5020">
        <v>84.588499999999996</v>
      </c>
      <c r="C5020">
        <v>84.980099999999993</v>
      </c>
      <c r="D5020">
        <v>84.196899999999999</v>
      </c>
      <c r="E5020">
        <v>84.980099999999993</v>
      </c>
      <c r="F5020">
        <v>34368</v>
      </c>
    </row>
    <row r="5021" spans="1:6" x14ac:dyDescent="0.25">
      <c r="A5021" s="4">
        <v>41688</v>
      </c>
      <c r="B5021">
        <v>84.980099999999993</v>
      </c>
      <c r="C5021">
        <v>84.980099999999993</v>
      </c>
      <c r="D5021">
        <v>84.196899999999999</v>
      </c>
      <c r="E5021">
        <v>84.588499999999996</v>
      </c>
      <c r="F5021">
        <v>22290</v>
      </c>
    </row>
    <row r="5022" spans="1:6" x14ac:dyDescent="0.25">
      <c r="A5022" s="4">
        <v>41689</v>
      </c>
      <c r="B5022">
        <v>84.588499999999996</v>
      </c>
      <c r="C5022">
        <v>84.588499999999996</v>
      </c>
      <c r="D5022">
        <v>83.805199999999999</v>
      </c>
      <c r="E5022">
        <v>84.588499999999996</v>
      </c>
      <c r="F5022">
        <v>28887</v>
      </c>
    </row>
    <row r="5023" spans="1:6" x14ac:dyDescent="0.25">
      <c r="A5023" s="4">
        <v>41690</v>
      </c>
      <c r="B5023">
        <v>83.413600000000002</v>
      </c>
      <c r="C5023">
        <v>83.805199999999999</v>
      </c>
      <c r="D5023">
        <v>83.022000000000006</v>
      </c>
      <c r="E5023">
        <v>83.413600000000002</v>
      </c>
      <c r="F5023">
        <v>28470</v>
      </c>
    </row>
    <row r="5024" spans="1:6" x14ac:dyDescent="0.25">
      <c r="A5024" s="4">
        <v>41691</v>
      </c>
      <c r="B5024">
        <v>83.805199999999999</v>
      </c>
      <c r="C5024">
        <v>84.196899999999999</v>
      </c>
      <c r="D5024">
        <v>83.805199999999999</v>
      </c>
      <c r="E5024">
        <v>84.196899999999999</v>
      </c>
      <c r="F5024">
        <v>31505</v>
      </c>
    </row>
    <row r="5025" spans="1:6" x14ac:dyDescent="0.25">
      <c r="A5025" s="4">
        <v>41694</v>
      </c>
      <c r="B5025">
        <v>84.196899999999999</v>
      </c>
      <c r="C5025">
        <v>84.588499999999996</v>
      </c>
      <c r="D5025">
        <v>83.022000000000006</v>
      </c>
      <c r="E5025">
        <v>83.805199999999999</v>
      </c>
      <c r="F5025">
        <v>32058</v>
      </c>
    </row>
    <row r="5026" spans="1:6" x14ac:dyDescent="0.25">
      <c r="A5026" s="4">
        <v>41695</v>
      </c>
      <c r="B5026">
        <v>84.196899999999999</v>
      </c>
      <c r="C5026">
        <v>84.588499999999996</v>
      </c>
      <c r="D5026">
        <v>83.413600000000002</v>
      </c>
      <c r="E5026">
        <v>84.588499999999996</v>
      </c>
      <c r="F5026">
        <v>34350</v>
      </c>
    </row>
    <row r="5027" spans="1:6" x14ac:dyDescent="0.25">
      <c r="A5027" s="4">
        <v>41696</v>
      </c>
      <c r="B5027">
        <v>84.196899999999999</v>
      </c>
      <c r="C5027">
        <v>84.588499999999996</v>
      </c>
      <c r="D5027">
        <v>83.805199999999999</v>
      </c>
      <c r="E5027">
        <v>84.196899999999999</v>
      </c>
      <c r="F5027">
        <v>34983</v>
      </c>
    </row>
    <row r="5028" spans="1:6" x14ac:dyDescent="0.25">
      <c r="A5028" s="4">
        <v>41697</v>
      </c>
      <c r="B5028">
        <v>84.196899999999999</v>
      </c>
      <c r="C5028">
        <v>84.588499999999996</v>
      </c>
      <c r="D5028">
        <v>84.196899999999999</v>
      </c>
      <c r="E5028">
        <v>84.588499999999996</v>
      </c>
      <c r="F5028">
        <v>49352</v>
      </c>
    </row>
    <row r="5029" spans="1:6" x14ac:dyDescent="0.25">
      <c r="A5029" s="4">
        <v>41701</v>
      </c>
      <c r="B5029">
        <v>84.588499999999996</v>
      </c>
      <c r="C5029">
        <v>84.588499999999996</v>
      </c>
      <c r="D5029">
        <v>83.413600000000002</v>
      </c>
      <c r="E5029">
        <v>84.588499999999996</v>
      </c>
      <c r="F5029">
        <v>62467</v>
      </c>
    </row>
    <row r="5030" spans="1:6" x14ac:dyDescent="0.25">
      <c r="A5030" s="4">
        <v>41702</v>
      </c>
      <c r="B5030">
        <v>84.588499999999996</v>
      </c>
      <c r="C5030">
        <v>84.588499999999996</v>
      </c>
      <c r="D5030">
        <v>84.196899999999999</v>
      </c>
      <c r="E5030">
        <v>84.196899999999999</v>
      </c>
      <c r="F5030">
        <v>48940</v>
      </c>
    </row>
    <row r="5031" spans="1:6" x14ac:dyDescent="0.25">
      <c r="A5031" s="4">
        <v>41703</v>
      </c>
      <c r="B5031">
        <v>84.980099999999993</v>
      </c>
      <c r="C5031">
        <v>86.154899999999998</v>
      </c>
      <c r="D5031">
        <v>84.980099999999993</v>
      </c>
      <c r="E5031">
        <v>86.154899999999998</v>
      </c>
      <c r="F5031">
        <v>55448</v>
      </c>
    </row>
    <row r="5032" spans="1:6" x14ac:dyDescent="0.25">
      <c r="A5032" s="4">
        <v>41704</v>
      </c>
      <c r="B5032">
        <v>86.154899999999998</v>
      </c>
      <c r="C5032">
        <v>88.896199999999993</v>
      </c>
      <c r="D5032">
        <v>86.154899999999998</v>
      </c>
      <c r="E5032">
        <v>88.504599999999996</v>
      </c>
      <c r="F5032">
        <v>72623</v>
      </c>
    </row>
    <row r="5033" spans="1:6" x14ac:dyDescent="0.25">
      <c r="A5033" s="4">
        <v>41705</v>
      </c>
      <c r="B5033">
        <v>89.287800000000004</v>
      </c>
      <c r="C5033">
        <v>90.071100000000001</v>
      </c>
      <c r="D5033">
        <v>88.896199999999993</v>
      </c>
      <c r="E5033">
        <v>89.679400000000001</v>
      </c>
      <c r="F5033">
        <v>66917</v>
      </c>
    </row>
    <row r="5034" spans="1:6" x14ac:dyDescent="0.25">
      <c r="A5034" s="4">
        <v>41708</v>
      </c>
      <c r="B5034">
        <v>89.679400000000001</v>
      </c>
      <c r="C5034">
        <v>89.679400000000001</v>
      </c>
      <c r="D5034">
        <v>88.113</v>
      </c>
      <c r="E5034">
        <v>88.504599999999996</v>
      </c>
      <c r="F5034">
        <v>38430</v>
      </c>
    </row>
    <row r="5035" spans="1:6" x14ac:dyDescent="0.25">
      <c r="A5035" s="4">
        <v>41709</v>
      </c>
      <c r="B5035">
        <v>88.896199999999993</v>
      </c>
      <c r="C5035">
        <v>89.679400000000001</v>
      </c>
      <c r="D5035">
        <v>88.896199999999993</v>
      </c>
      <c r="E5035">
        <v>89.287800000000004</v>
      </c>
      <c r="F5035">
        <v>29183</v>
      </c>
    </row>
    <row r="5036" spans="1:6" x14ac:dyDescent="0.25">
      <c r="A5036" s="4">
        <v>41710</v>
      </c>
      <c r="B5036">
        <v>88.113</v>
      </c>
      <c r="C5036">
        <v>88.504599999999996</v>
      </c>
      <c r="D5036">
        <v>87.721400000000003</v>
      </c>
      <c r="E5036">
        <v>88.504599999999996</v>
      </c>
      <c r="F5036">
        <v>18415</v>
      </c>
    </row>
    <row r="5037" spans="1:6" x14ac:dyDescent="0.25">
      <c r="A5037" s="4">
        <v>41711</v>
      </c>
      <c r="B5037">
        <v>91.245900000000006</v>
      </c>
      <c r="C5037">
        <v>92.0291</v>
      </c>
      <c r="D5037">
        <v>90.462699999999998</v>
      </c>
      <c r="E5037">
        <v>91.245900000000006</v>
      </c>
      <c r="F5037">
        <v>59081</v>
      </c>
    </row>
    <row r="5038" spans="1:6" x14ac:dyDescent="0.25">
      <c r="A5038" s="4">
        <v>41712</v>
      </c>
      <c r="B5038">
        <v>90.071100000000001</v>
      </c>
      <c r="C5038">
        <v>90.462699999999998</v>
      </c>
      <c r="D5038">
        <v>89.287800000000004</v>
      </c>
      <c r="E5038">
        <v>90.071100000000001</v>
      </c>
      <c r="F5038">
        <v>47105</v>
      </c>
    </row>
    <row r="5039" spans="1:6" x14ac:dyDescent="0.25">
      <c r="A5039" s="4">
        <v>41715</v>
      </c>
      <c r="B5039">
        <v>89.679400000000001</v>
      </c>
      <c r="C5039">
        <v>90.071100000000001</v>
      </c>
      <c r="D5039">
        <v>88.504599999999996</v>
      </c>
      <c r="E5039">
        <v>89.287800000000004</v>
      </c>
      <c r="F5039">
        <v>33910</v>
      </c>
    </row>
    <row r="5040" spans="1:6" x14ac:dyDescent="0.25">
      <c r="A5040" s="4">
        <v>41716</v>
      </c>
      <c r="B5040">
        <v>89.679400000000001</v>
      </c>
      <c r="C5040">
        <v>90.071100000000001</v>
      </c>
      <c r="D5040">
        <v>88.896199999999993</v>
      </c>
      <c r="E5040">
        <v>89.679400000000001</v>
      </c>
      <c r="F5040">
        <v>37517</v>
      </c>
    </row>
    <row r="5041" spans="1:6" x14ac:dyDescent="0.25">
      <c r="A5041" s="4">
        <v>41717</v>
      </c>
      <c r="B5041">
        <v>89.679400000000001</v>
      </c>
      <c r="C5041">
        <v>90.071100000000001</v>
      </c>
      <c r="D5041">
        <v>88.896199999999993</v>
      </c>
      <c r="E5041">
        <v>89.679400000000001</v>
      </c>
      <c r="F5041">
        <v>35237</v>
      </c>
    </row>
    <row r="5042" spans="1:6" x14ac:dyDescent="0.25">
      <c r="A5042" s="4">
        <v>41718</v>
      </c>
      <c r="B5042">
        <v>88.504599999999996</v>
      </c>
      <c r="C5042">
        <v>88.896199999999993</v>
      </c>
      <c r="D5042">
        <v>87.721400000000003</v>
      </c>
      <c r="E5042">
        <v>87.721400000000003</v>
      </c>
      <c r="F5042">
        <v>46512</v>
      </c>
    </row>
    <row r="5043" spans="1:6" x14ac:dyDescent="0.25">
      <c r="A5043" s="4">
        <v>41719</v>
      </c>
      <c r="B5043">
        <v>89.287800000000004</v>
      </c>
      <c r="C5043">
        <v>89.287800000000004</v>
      </c>
      <c r="D5043">
        <v>87.721400000000003</v>
      </c>
      <c r="E5043">
        <v>88.113</v>
      </c>
      <c r="F5043">
        <v>60438</v>
      </c>
    </row>
    <row r="5044" spans="1:6" x14ac:dyDescent="0.25">
      <c r="A5044" s="4">
        <v>41722</v>
      </c>
      <c r="B5044">
        <v>87.329800000000006</v>
      </c>
      <c r="C5044">
        <v>88.113</v>
      </c>
      <c r="D5044">
        <v>87.329800000000006</v>
      </c>
      <c r="E5044">
        <v>88.113</v>
      </c>
      <c r="F5044">
        <v>29608</v>
      </c>
    </row>
    <row r="5045" spans="1:6" x14ac:dyDescent="0.25">
      <c r="A5045" s="4">
        <v>41723</v>
      </c>
      <c r="B5045">
        <v>87.329800000000006</v>
      </c>
      <c r="C5045">
        <v>88.896199999999993</v>
      </c>
      <c r="D5045">
        <v>87.329800000000006</v>
      </c>
      <c r="E5045">
        <v>88.896199999999993</v>
      </c>
      <c r="F5045">
        <v>38071</v>
      </c>
    </row>
    <row r="5046" spans="1:6" x14ac:dyDescent="0.25">
      <c r="A5046" s="4">
        <v>41724</v>
      </c>
      <c r="B5046">
        <v>90.462699999999998</v>
      </c>
      <c r="C5046">
        <v>90.854299999999995</v>
      </c>
      <c r="D5046">
        <v>89.679400000000001</v>
      </c>
      <c r="E5046">
        <v>90.462699999999998</v>
      </c>
      <c r="F5046">
        <v>45234</v>
      </c>
    </row>
    <row r="5047" spans="1:6" x14ac:dyDescent="0.25">
      <c r="A5047" s="4">
        <v>41725</v>
      </c>
      <c r="B5047">
        <v>89.679400000000001</v>
      </c>
      <c r="C5047">
        <v>90.854299999999995</v>
      </c>
      <c r="D5047">
        <v>89.287800000000004</v>
      </c>
      <c r="E5047">
        <v>90.854299999999995</v>
      </c>
      <c r="F5047">
        <v>31399</v>
      </c>
    </row>
    <row r="5048" spans="1:6" x14ac:dyDescent="0.25">
      <c r="A5048" s="4">
        <v>41726</v>
      </c>
      <c r="B5048">
        <v>90.854299999999995</v>
      </c>
      <c r="C5048">
        <v>92.0291</v>
      </c>
      <c r="D5048">
        <v>90.462699999999998</v>
      </c>
      <c r="E5048">
        <v>92.0291</v>
      </c>
      <c r="F5048">
        <v>43794</v>
      </c>
    </row>
    <row r="5049" spans="1:6" x14ac:dyDescent="0.25">
      <c r="A5049" s="4">
        <v>41729</v>
      </c>
      <c r="B5049">
        <v>92.420699999999997</v>
      </c>
      <c r="C5049">
        <v>92.812299999999993</v>
      </c>
      <c r="D5049">
        <v>91.245900000000006</v>
      </c>
      <c r="E5049">
        <v>92.812299999999993</v>
      </c>
      <c r="F5049">
        <v>47146</v>
      </c>
    </row>
    <row r="5050" spans="1:6" x14ac:dyDescent="0.25">
      <c r="A5050" s="4">
        <v>41730</v>
      </c>
      <c r="B5050">
        <v>93.203999999999994</v>
      </c>
      <c r="C5050">
        <v>93.595600000000005</v>
      </c>
      <c r="D5050">
        <v>92.812299999999993</v>
      </c>
      <c r="E5050">
        <v>93.595600000000005</v>
      </c>
      <c r="F5050">
        <v>40636</v>
      </c>
    </row>
    <row r="5051" spans="1:6" x14ac:dyDescent="0.25">
      <c r="A5051" s="4">
        <v>41731</v>
      </c>
      <c r="B5051">
        <v>94.378799999999998</v>
      </c>
      <c r="C5051">
        <v>94.770399999999995</v>
      </c>
      <c r="D5051">
        <v>93.203999999999994</v>
      </c>
      <c r="E5051">
        <v>93.987200000000001</v>
      </c>
      <c r="F5051">
        <v>43685</v>
      </c>
    </row>
    <row r="5052" spans="1:6" x14ac:dyDescent="0.25">
      <c r="A5052" s="4">
        <v>41732</v>
      </c>
      <c r="B5052">
        <v>92.812299999999993</v>
      </c>
      <c r="C5052">
        <v>93.203999999999994</v>
      </c>
      <c r="D5052">
        <v>92.0291</v>
      </c>
      <c r="E5052">
        <v>92.812299999999993</v>
      </c>
      <c r="F5052">
        <v>37000</v>
      </c>
    </row>
    <row r="5053" spans="1:6" x14ac:dyDescent="0.25">
      <c r="A5053" s="4">
        <v>41736</v>
      </c>
      <c r="B5053">
        <v>92.0291</v>
      </c>
      <c r="C5053">
        <v>92.420699999999997</v>
      </c>
      <c r="D5053">
        <v>91.245900000000006</v>
      </c>
      <c r="E5053">
        <v>92.0291</v>
      </c>
      <c r="F5053">
        <v>45255</v>
      </c>
    </row>
    <row r="5054" spans="1:6" x14ac:dyDescent="0.25">
      <c r="A5054" s="4">
        <v>41737</v>
      </c>
      <c r="B5054">
        <v>91.637500000000003</v>
      </c>
      <c r="C5054">
        <v>93.595600000000005</v>
      </c>
      <c r="D5054">
        <v>91.637500000000003</v>
      </c>
      <c r="E5054">
        <v>93.203999999999994</v>
      </c>
      <c r="F5054">
        <v>43894</v>
      </c>
    </row>
    <row r="5055" spans="1:6" x14ac:dyDescent="0.25">
      <c r="A5055" s="4">
        <v>41738</v>
      </c>
      <c r="B5055">
        <v>93.595600000000005</v>
      </c>
      <c r="C5055">
        <v>93.987200000000001</v>
      </c>
      <c r="D5055">
        <v>93.203999999999994</v>
      </c>
      <c r="E5055">
        <v>93.203999999999994</v>
      </c>
      <c r="F5055">
        <v>29648</v>
      </c>
    </row>
    <row r="5056" spans="1:6" x14ac:dyDescent="0.25">
      <c r="A5056" s="4">
        <v>41739</v>
      </c>
      <c r="B5056">
        <v>93.203999999999994</v>
      </c>
      <c r="C5056">
        <v>93.595600000000005</v>
      </c>
      <c r="D5056">
        <v>92.812299999999993</v>
      </c>
      <c r="E5056">
        <v>93.595600000000005</v>
      </c>
      <c r="F5056">
        <v>27216</v>
      </c>
    </row>
    <row r="5057" spans="1:6" x14ac:dyDescent="0.25">
      <c r="A5057" s="4">
        <v>41740</v>
      </c>
      <c r="B5057">
        <v>92.812299999999993</v>
      </c>
      <c r="C5057">
        <v>93.987200000000001</v>
      </c>
      <c r="D5057">
        <v>92.420699999999997</v>
      </c>
      <c r="E5057">
        <v>93.987200000000001</v>
      </c>
      <c r="F5057">
        <v>34848</v>
      </c>
    </row>
    <row r="5058" spans="1:6" x14ac:dyDescent="0.25">
      <c r="A5058" s="4">
        <v>41743</v>
      </c>
      <c r="B5058">
        <v>93.987200000000001</v>
      </c>
      <c r="C5058">
        <v>94.770399999999995</v>
      </c>
      <c r="D5058">
        <v>93.987200000000001</v>
      </c>
      <c r="E5058">
        <v>94.378799999999998</v>
      </c>
      <c r="F5058">
        <v>31053</v>
      </c>
    </row>
    <row r="5059" spans="1:6" x14ac:dyDescent="0.25">
      <c r="A5059" s="4">
        <v>41744</v>
      </c>
      <c r="B5059">
        <v>95.162000000000006</v>
      </c>
      <c r="C5059">
        <v>95.945300000000003</v>
      </c>
      <c r="D5059">
        <v>94.770399999999995</v>
      </c>
      <c r="E5059">
        <v>95.945300000000003</v>
      </c>
      <c r="F5059">
        <v>29397</v>
      </c>
    </row>
    <row r="5060" spans="1:6" x14ac:dyDescent="0.25">
      <c r="A5060" s="4">
        <v>41745</v>
      </c>
      <c r="B5060">
        <v>95.162000000000006</v>
      </c>
      <c r="C5060">
        <v>95.945300000000003</v>
      </c>
      <c r="D5060">
        <v>94.770399999999995</v>
      </c>
      <c r="E5060">
        <v>94.770399999999995</v>
      </c>
      <c r="F5060">
        <v>51076</v>
      </c>
    </row>
    <row r="5061" spans="1:6" x14ac:dyDescent="0.25">
      <c r="A5061" s="4">
        <v>41746</v>
      </c>
      <c r="B5061">
        <v>94.378799999999998</v>
      </c>
      <c r="C5061">
        <v>95.162000000000006</v>
      </c>
      <c r="D5061">
        <v>93.203999999999994</v>
      </c>
      <c r="E5061">
        <v>93.987200000000001</v>
      </c>
      <c r="F5061">
        <v>36419</v>
      </c>
    </row>
    <row r="5062" spans="1:6" x14ac:dyDescent="0.25">
      <c r="A5062" s="4">
        <v>41747</v>
      </c>
      <c r="B5062">
        <v>95.945300000000003</v>
      </c>
      <c r="C5062">
        <v>96.3369</v>
      </c>
      <c r="D5062">
        <v>94.770399999999995</v>
      </c>
      <c r="E5062">
        <v>96.3369</v>
      </c>
      <c r="F5062">
        <v>32921</v>
      </c>
    </row>
    <row r="5063" spans="1:6" x14ac:dyDescent="0.25">
      <c r="A5063" s="4">
        <v>41750</v>
      </c>
      <c r="B5063">
        <v>95.553600000000003</v>
      </c>
      <c r="C5063">
        <v>95.553600000000003</v>
      </c>
      <c r="D5063">
        <v>94.770399999999995</v>
      </c>
      <c r="E5063">
        <v>95.162000000000006</v>
      </c>
      <c r="F5063">
        <v>24163</v>
      </c>
    </row>
    <row r="5064" spans="1:6" x14ac:dyDescent="0.25">
      <c r="A5064" s="4">
        <v>41751</v>
      </c>
      <c r="B5064">
        <v>94.770399999999995</v>
      </c>
      <c r="C5064">
        <v>95.945300000000003</v>
      </c>
      <c r="D5064">
        <v>94.378799999999998</v>
      </c>
      <c r="E5064">
        <v>95.162000000000006</v>
      </c>
      <c r="F5064">
        <v>27034</v>
      </c>
    </row>
    <row r="5065" spans="1:6" x14ac:dyDescent="0.25">
      <c r="A5065" s="4">
        <v>41752</v>
      </c>
      <c r="B5065">
        <v>96.3369</v>
      </c>
      <c r="C5065">
        <v>96.3369</v>
      </c>
      <c r="D5065">
        <v>94.378799999999998</v>
      </c>
      <c r="E5065">
        <v>94.770399999999995</v>
      </c>
      <c r="F5065">
        <v>34358</v>
      </c>
    </row>
    <row r="5066" spans="1:6" x14ac:dyDescent="0.25">
      <c r="A5066" s="4">
        <v>41753</v>
      </c>
      <c r="B5066">
        <v>94.770399999999995</v>
      </c>
      <c r="C5066">
        <v>94.770399999999995</v>
      </c>
      <c r="D5066">
        <v>93.987200000000001</v>
      </c>
      <c r="E5066">
        <v>94.770399999999995</v>
      </c>
      <c r="F5066">
        <v>25525</v>
      </c>
    </row>
    <row r="5067" spans="1:6" x14ac:dyDescent="0.25">
      <c r="A5067" s="4">
        <v>41754</v>
      </c>
      <c r="B5067">
        <v>94.770399999999995</v>
      </c>
      <c r="C5067">
        <v>94.770399999999995</v>
      </c>
      <c r="D5067">
        <v>92.420699999999997</v>
      </c>
      <c r="E5067">
        <v>92.812299999999993</v>
      </c>
      <c r="F5067">
        <v>49438</v>
      </c>
    </row>
    <row r="5068" spans="1:6" x14ac:dyDescent="0.25">
      <c r="A5068" s="4">
        <v>41757</v>
      </c>
      <c r="B5068">
        <v>92.812299999999993</v>
      </c>
      <c r="C5068">
        <v>93.987200000000001</v>
      </c>
      <c r="D5068">
        <v>92.0291</v>
      </c>
      <c r="E5068">
        <v>93.203999999999994</v>
      </c>
      <c r="F5068">
        <v>28068</v>
      </c>
    </row>
    <row r="5069" spans="1:6" x14ac:dyDescent="0.25">
      <c r="A5069" s="4">
        <v>41758</v>
      </c>
      <c r="B5069">
        <v>94.378799999999998</v>
      </c>
      <c r="C5069">
        <v>94.770399999999995</v>
      </c>
      <c r="D5069">
        <v>93.203999999999994</v>
      </c>
      <c r="E5069">
        <v>94.378799999999998</v>
      </c>
      <c r="F5069">
        <v>21812</v>
      </c>
    </row>
    <row r="5070" spans="1:6" x14ac:dyDescent="0.25">
      <c r="A5070" s="4">
        <v>41759</v>
      </c>
      <c r="B5070">
        <v>93.987200000000001</v>
      </c>
      <c r="C5070">
        <v>94.378799999999998</v>
      </c>
      <c r="D5070">
        <v>91.637500000000003</v>
      </c>
      <c r="E5070">
        <v>92.812299999999993</v>
      </c>
      <c r="F5070">
        <v>44124</v>
      </c>
    </row>
    <row r="5071" spans="1:6" x14ac:dyDescent="0.25">
      <c r="A5071" s="4">
        <v>41761</v>
      </c>
      <c r="B5071">
        <v>93.203999999999994</v>
      </c>
      <c r="C5071">
        <v>93.595600000000005</v>
      </c>
      <c r="D5071">
        <v>91.637500000000003</v>
      </c>
      <c r="E5071">
        <v>92.420699999999997</v>
      </c>
      <c r="F5071">
        <v>45030</v>
      </c>
    </row>
    <row r="5072" spans="1:6" x14ac:dyDescent="0.25">
      <c r="A5072" s="4">
        <v>41764</v>
      </c>
      <c r="B5072">
        <v>92.0291</v>
      </c>
      <c r="C5072">
        <v>92.420699999999997</v>
      </c>
      <c r="D5072">
        <v>90.854299999999995</v>
      </c>
      <c r="E5072">
        <v>91.637500000000003</v>
      </c>
      <c r="F5072">
        <v>28888</v>
      </c>
    </row>
    <row r="5073" spans="1:6" x14ac:dyDescent="0.25">
      <c r="A5073" s="4">
        <v>41765</v>
      </c>
      <c r="B5073">
        <v>91.637500000000003</v>
      </c>
      <c r="C5073">
        <v>93.203999999999994</v>
      </c>
      <c r="D5073">
        <v>91.245900000000006</v>
      </c>
      <c r="E5073">
        <v>92.420699999999997</v>
      </c>
      <c r="F5073">
        <v>27525</v>
      </c>
    </row>
    <row r="5074" spans="1:6" x14ac:dyDescent="0.25">
      <c r="A5074" s="4">
        <v>41766</v>
      </c>
      <c r="B5074">
        <v>92.420699999999997</v>
      </c>
      <c r="C5074">
        <v>93.203999999999994</v>
      </c>
      <c r="D5074">
        <v>92.0291</v>
      </c>
      <c r="E5074">
        <v>92.812299999999993</v>
      </c>
      <c r="F5074">
        <v>33277</v>
      </c>
    </row>
    <row r="5075" spans="1:6" x14ac:dyDescent="0.25">
      <c r="A5075" s="4">
        <v>41767</v>
      </c>
      <c r="B5075">
        <v>93.595600000000005</v>
      </c>
      <c r="C5075">
        <v>93.987200000000001</v>
      </c>
      <c r="D5075">
        <v>93.203999999999994</v>
      </c>
      <c r="E5075">
        <v>93.595600000000005</v>
      </c>
      <c r="F5075">
        <v>30096</v>
      </c>
    </row>
    <row r="5076" spans="1:6" x14ac:dyDescent="0.25">
      <c r="A5076" s="4">
        <v>41768</v>
      </c>
      <c r="B5076">
        <v>93.987200000000001</v>
      </c>
      <c r="C5076">
        <v>93.987200000000001</v>
      </c>
      <c r="D5076">
        <v>93.203999999999994</v>
      </c>
      <c r="E5076">
        <v>93.987200000000001</v>
      </c>
      <c r="F5076">
        <v>23288</v>
      </c>
    </row>
    <row r="5077" spans="1:6" x14ac:dyDescent="0.25">
      <c r="A5077" s="4">
        <v>41771</v>
      </c>
      <c r="B5077">
        <v>93.595600000000005</v>
      </c>
      <c r="C5077">
        <v>93.987200000000001</v>
      </c>
      <c r="D5077">
        <v>92.0291</v>
      </c>
      <c r="E5077">
        <v>92.812299999999993</v>
      </c>
      <c r="F5077">
        <v>37049</v>
      </c>
    </row>
    <row r="5078" spans="1:6" x14ac:dyDescent="0.25">
      <c r="A5078" s="4">
        <v>41772</v>
      </c>
      <c r="B5078">
        <v>93.987200000000001</v>
      </c>
      <c r="C5078">
        <v>94.770399999999995</v>
      </c>
      <c r="D5078">
        <v>93.595600000000005</v>
      </c>
      <c r="E5078">
        <v>94.378799999999998</v>
      </c>
      <c r="F5078">
        <v>24046</v>
      </c>
    </row>
    <row r="5079" spans="1:6" x14ac:dyDescent="0.25">
      <c r="A5079" s="4">
        <v>41773</v>
      </c>
      <c r="B5079">
        <v>94.770399999999995</v>
      </c>
      <c r="C5079">
        <v>95.553600000000003</v>
      </c>
      <c r="D5079">
        <v>94.378799999999998</v>
      </c>
      <c r="E5079">
        <v>95.553600000000003</v>
      </c>
      <c r="F5079">
        <v>32903</v>
      </c>
    </row>
    <row r="5080" spans="1:6" x14ac:dyDescent="0.25">
      <c r="A5080" s="4">
        <v>41774</v>
      </c>
      <c r="B5080">
        <v>94.770399999999995</v>
      </c>
      <c r="C5080">
        <v>95.553600000000003</v>
      </c>
      <c r="D5080">
        <v>94.378799999999998</v>
      </c>
      <c r="E5080">
        <v>95.553600000000003</v>
      </c>
      <c r="F5080">
        <v>16814</v>
      </c>
    </row>
    <row r="5081" spans="1:6" x14ac:dyDescent="0.25">
      <c r="A5081" s="4">
        <v>41775</v>
      </c>
      <c r="B5081">
        <v>95.553600000000003</v>
      </c>
      <c r="C5081">
        <v>96.3369</v>
      </c>
      <c r="D5081">
        <v>94.770399999999995</v>
      </c>
      <c r="E5081">
        <v>95.553600000000003</v>
      </c>
      <c r="F5081">
        <v>28680</v>
      </c>
    </row>
    <row r="5082" spans="1:6" x14ac:dyDescent="0.25">
      <c r="A5082" s="4">
        <v>41778</v>
      </c>
      <c r="B5082">
        <v>95.553600000000003</v>
      </c>
      <c r="C5082">
        <v>95.945300000000003</v>
      </c>
      <c r="D5082">
        <v>94.770399999999995</v>
      </c>
      <c r="E5082">
        <v>94.770399999999995</v>
      </c>
      <c r="F5082">
        <v>20830</v>
      </c>
    </row>
    <row r="5083" spans="1:6" x14ac:dyDescent="0.25">
      <c r="A5083" s="4">
        <v>41779</v>
      </c>
      <c r="B5083">
        <v>95.553600000000003</v>
      </c>
      <c r="C5083">
        <v>95.553600000000003</v>
      </c>
      <c r="D5083">
        <v>94.770399999999995</v>
      </c>
      <c r="E5083">
        <v>94.770399999999995</v>
      </c>
      <c r="F5083">
        <v>25402</v>
      </c>
    </row>
    <row r="5084" spans="1:6" x14ac:dyDescent="0.25">
      <c r="A5084" s="4">
        <v>41780</v>
      </c>
      <c r="B5084">
        <v>95.553600000000003</v>
      </c>
      <c r="C5084">
        <v>95.553600000000003</v>
      </c>
      <c r="D5084">
        <v>94.378799999999998</v>
      </c>
      <c r="E5084">
        <v>94.378799999999998</v>
      </c>
      <c r="F5084">
        <v>24219</v>
      </c>
    </row>
    <row r="5085" spans="1:6" x14ac:dyDescent="0.25">
      <c r="A5085" s="4">
        <v>41781</v>
      </c>
      <c r="B5085">
        <v>95.162000000000006</v>
      </c>
      <c r="C5085">
        <v>95.553600000000003</v>
      </c>
      <c r="D5085">
        <v>94.770399999999995</v>
      </c>
      <c r="E5085">
        <v>95.553600000000003</v>
      </c>
      <c r="F5085">
        <v>26337</v>
      </c>
    </row>
    <row r="5086" spans="1:6" x14ac:dyDescent="0.25">
      <c r="A5086" s="4">
        <v>41782</v>
      </c>
      <c r="B5086">
        <v>94.770399999999995</v>
      </c>
      <c r="C5086">
        <v>95.945300000000003</v>
      </c>
      <c r="D5086">
        <v>94.770399999999995</v>
      </c>
      <c r="E5086">
        <v>95.553600000000003</v>
      </c>
      <c r="F5086">
        <v>31778</v>
      </c>
    </row>
    <row r="5087" spans="1:6" x14ac:dyDescent="0.25">
      <c r="A5087" s="4">
        <v>41785</v>
      </c>
      <c r="B5087">
        <v>96.3369</v>
      </c>
      <c r="C5087">
        <v>96.728499999999997</v>
      </c>
      <c r="D5087">
        <v>95.553600000000003</v>
      </c>
      <c r="E5087">
        <v>96.3369</v>
      </c>
      <c r="F5087">
        <v>19854</v>
      </c>
    </row>
    <row r="5088" spans="1:6" x14ac:dyDescent="0.25">
      <c r="A5088" s="4">
        <v>41786</v>
      </c>
      <c r="B5088">
        <v>95.945300000000003</v>
      </c>
      <c r="C5088">
        <v>97.120099999999994</v>
      </c>
      <c r="D5088">
        <v>95.945300000000003</v>
      </c>
      <c r="E5088">
        <v>96.728499999999997</v>
      </c>
      <c r="F5088">
        <v>18301</v>
      </c>
    </row>
    <row r="5089" spans="1:6" x14ac:dyDescent="0.25">
      <c r="A5089" s="4">
        <v>41787</v>
      </c>
      <c r="B5089">
        <v>97.120099999999994</v>
      </c>
      <c r="C5089">
        <v>97.120099999999994</v>
      </c>
      <c r="D5089">
        <v>95.945300000000003</v>
      </c>
      <c r="E5089">
        <v>97.120099999999994</v>
      </c>
      <c r="F5089">
        <v>37800</v>
      </c>
    </row>
    <row r="5090" spans="1:6" x14ac:dyDescent="0.25">
      <c r="A5090" s="4">
        <v>41788</v>
      </c>
      <c r="B5090">
        <v>96.728499999999997</v>
      </c>
      <c r="C5090">
        <v>97.120099999999994</v>
      </c>
      <c r="D5090">
        <v>95.162000000000006</v>
      </c>
      <c r="E5090">
        <v>95.553600000000003</v>
      </c>
      <c r="F5090">
        <v>43079</v>
      </c>
    </row>
    <row r="5091" spans="1:6" x14ac:dyDescent="0.25">
      <c r="A5091" s="4">
        <v>41789</v>
      </c>
      <c r="B5091">
        <v>95.553600000000003</v>
      </c>
      <c r="C5091">
        <v>95.945300000000003</v>
      </c>
      <c r="D5091">
        <v>93.595600000000005</v>
      </c>
      <c r="E5091">
        <v>93.595600000000005</v>
      </c>
      <c r="F5091">
        <v>69114</v>
      </c>
    </row>
    <row r="5092" spans="1:6" x14ac:dyDescent="0.25">
      <c r="A5092" s="4">
        <v>41793</v>
      </c>
      <c r="B5092">
        <v>93.987200000000001</v>
      </c>
      <c r="C5092">
        <v>95.945300000000003</v>
      </c>
      <c r="D5092">
        <v>93.987200000000001</v>
      </c>
      <c r="E5092">
        <v>95.945300000000003</v>
      </c>
      <c r="F5092">
        <v>40522</v>
      </c>
    </row>
    <row r="5093" spans="1:6" x14ac:dyDescent="0.25">
      <c r="A5093" s="4">
        <v>41794</v>
      </c>
      <c r="B5093">
        <v>96.728499999999997</v>
      </c>
      <c r="C5093">
        <v>97.120099999999994</v>
      </c>
      <c r="D5093">
        <v>96.3369</v>
      </c>
      <c r="E5093">
        <v>96.728499999999997</v>
      </c>
      <c r="F5093">
        <v>33486</v>
      </c>
    </row>
    <row r="5094" spans="1:6" x14ac:dyDescent="0.25">
      <c r="A5094" s="4">
        <v>41795</v>
      </c>
      <c r="B5094">
        <v>96.3369</v>
      </c>
      <c r="C5094">
        <v>96.728499999999997</v>
      </c>
      <c r="D5094">
        <v>95.162000000000006</v>
      </c>
      <c r="E5094">
        <v>96.3369</v>
      </c>
      <c r="F5094">
        <v>19558</v>
      </c>
    </row>
    <row r="5095" spans="1:6" x14ac:dyDescent="0.25">
      <c r="A5095" s="4">
        <v>41796</v>
      </c>
      <c r="B5095">
        <v>96.728499999999997</v>
      </c>
      <c r="C5095">
        <v>96.728499999999997</v>
      </c>
      <c r="D5095">
        <v>95.553600000000003</v>
      </c>
      <c r="E5095">
        <v>95.945300000000003</v>
      </c>
      <c r="F5095">
        <v>19282</v>
      </c>
    </row>
    <row r="5096" spans="1:6" x14ac:dyDescent="0.25">
      <c r="A5096" s="4">
        <v>41799</v>
      </c>
      <c r="B5096">
        <v>95.945300000000003</v>
      </c>
      <c r="C5096">
        <v>96.728499999999997</v>
      </c>
      <c r="D5096">
        <v>95.945300000000003</v>
      </c>
      <c r="E5096">
        <v>96.3369</v>
      </c>
      <c r="F5096">
        <v>19731</v>
      </c>
    </row>
    <row r="5097" spans="1:6" x14ac:dyDescent="0.25">
      <c r="A5097" s="4">
        <v>41800</v>
      </c>
      <c r="B5097">
        <v>96.3369</v>
      </c>
      <c r="C5097">
        <v>97.511700000000005</v>
      </c>
      <c r="D5097">
        <v>95.945300000000003</v>
      </c>
      <c r="E5097">
        <v>97.511700000000005</v>
      </c>
      <c r="F5097">
        <v>26661</v>
      </c>
    </row>
    <row r="5098" spans="1:6" x14ac:dyDescent="0.25">
      <c r="A5098" s="4">
        <v>41801</v>
      </c>
      <c r="B5098">
        <v>97.120099999999994</v>
      </c>
      <c r="C5098">
        <v>97.903300000000002</v>
      </c>
      <c r="D5098">
        <v>96.728499999999997</v>
      </c>
      <c r="E5098">
        <v>97.903300000000002</v>
      </c>
      <c r="F5098">
        <v>27990</v>
      </c>
    </row>
    <row r="5099" spans="1:6" x14ac:dyDescent="0.25">
      <c r="A5099" s="4">
        <v>41802</v>
      </c>
      <c r="B5099">
        <v>97.120099999999994</v>
      </c>
      <c r="C5099">
        <v>97.120099999999994</v>
      </c>
      <c r="D5099">
        <v>96.3369</v>
      </c>
      <c r="E5099">
        <v>96.728499999999997</v>
      </c>
      <c r="F5099">
        <v>22301</v>
      </c>
    </row>
    <row r="5100" spans="1:6" x14ac:dyDescent="0.25">
      <c r="A5100" s="4">
        <v>41803</v>
      </c>
      <c r="B5100">
        <v>96.3369</v>
      </c>
      <c r="C5100">
        <v>96.728499999999997</v>
      </c>
      <c r="D5100">
        <v>95.945300000000003</v>
      </c>
      <c r="E5100">
        <v>96.3369</v>
      </c>
      <c r="F5100">
        <v>17198</v>
      </c>
    </row>
    <row r="5101" spans="1:6" x14ac:dyDescent="0.25">
      <c r="A5101" s="4">
        <v>41806</v>
      </c>
      <c r="B5101">
        <v>95.945300000000003</v>
      </c>
      <c r="C5101">
        <v>97.120099999999994</v>
      </c>
      <c r="D5101">
        <v>95.945300000000003</v>
      </c>
      <c r="E5101">
        <v>97.120099999999994</v>
      </c>
      <c r="F5101">
        <v>13737</v>
      </c>
    </row>
    <row r="5102" spans="1:6" x14ac:dyDescent="0.25">
      <c r="A5102" s="4">
        <v>41807</v>
      </c>
      <c r="B5102">
        <v>97.120099999999994</v>
      </c>
      <c r="C5102">
        <v>97.903300000000002</v>
      </c>
      <c r="D5102">
        <v>96.3369</v>
      </c>
      <c r="E5102">
        <v>97.903300000000002</v>
      </c>
      <c r="F5102">
        <v>20569</v>
      </c>
    </row>
    <row r="5103" spans="1:6" x14ac:dyDescent="0.25">
      <c r="A5103" s="4">
        <v>41808</v>
      </c>
      <c r="B5103">
        <v>97.903300000000002</v>
      </c>
      <c r="C5103">
        <v>99.078199999999995</v>
      </c>
      <c r="D5103">
        <v>97.120099999999994</v>
      </c>
      <c r="E5103">
        <v>98.294899999999998</v>
      </c>
      <c r="F5103">
        <v>38103</v>
      </c>
    </row>
    <row r="5104" spans="1:6" x14ac:dyDescent="0.25">
      <c r="A5104" s="4">
        <v>41809</v>
      </c>
      <c r="B5104">
        <v>97.511700000000005</v>
      </c>
      <c r="C5104">
        <v>98.686499999999995</v>
      </c>
      <c r="D5104">
        <v>97.511700000000005</v>
      </c>
      <c r="E5104">
        <v>98.686499999999995</v>
      </c>
      <c r="F5104">
        <v>25212</v>
      </c>
    </row>
    <row r="5105" spans="1:6" x14ac:dyDescent="0.25">
      <c r="A5105" s="4">
        <v>41810</v>
      </c>
      <c r="B5105">
        <v>99.078199999999995</v>
      </c>
      <c r="C5105">
        <v>99.469800000000006</v>
      </c>
      <c r="D5105">
        <v>97.120099999999994</v>
      </c>
      <c r="E5105">
        <v>97.511700000000005</v>
      </c>
      <c r="F5105">
        <v>31590</v>
      </c>
    </row>
    <row r="5106" spans="1:6" x14ac:dyDescent="0.25">
      <c r="A5106" s="4">
        <v>41813</v>
      </c>
      <c r="B5106">
        <v>97.903300000000002</v>
      </c>
      <c r="C5106">
        <v>98.294899999999998</v>
      </c>
      <c r="D5106">
        <v>96.3369</v>
      </c>
      <c r="E5106">
        <v>96.3369</v>
      </c>
      <c r="F5106">
        <v>25147</v>
      </c>
    </row>
    <row r="5107" spans="1:6" x14ac:dyDescent="0.25">
      <c r="A5107" s="4">
        <v>41814</v>
      </c>
      <c r="B5107">
        <v>96.3369</v>
      </c>
      <c r="C5107">
        <v>96.728499999999997</v>
      </c>
      <c r="D5107">
        <v>95.553600000000003</v>
      </c>
      <c r="E5107">
        <v>96.3369</v>
      </c>
      <c r="F5107">
        <v>36234</v>
      </c>
    </row>
    <row r="5108" spans="1:6" x14ac:dyDescent="0.25">
      <c r="A5108" s="4">
        <v>41815</v>
      </c>
      <c r="B5108">
        <v>96.3369</v>
      </c>
      <c r="C5108">
        <v>97.511700000000005</v>
      </c>
      <c r="D5108">
        <v>96.3369</v>
      </c>
      <c r="E5108">
        <v>96.728499999999997</v>
      </c>
      <c r="F5108">
        <v>31029</v>
      </c>
    </row>
    <row r="5109" spans="1:6" x14ac:dyDescent="0.25">
      <c r="A5109" s="4">
        <v>41816</v>
      </c>
      <c r="B5109">
        <v>97.511700000000005</v>
      </c>
      <c r="C5109">
        <v>97.903300000000002</v>
      </c>
      <c r="D5109">
        <v>96.728499999999997</v>
      </c>
      <c r="E5109">
        <v>97.511700000000005</v>
      </c>
      <c r="F5109">
        <v>33938</v>
      </c>
    </row>
    <row r="5110" spans="1:6" x14ac:dyDescent="0.25">
      <c r="A5110" s="4">
        <v>41817</v>
      </c>
      <c r="B5110">
        <v>97.903300000000002</v>
      </c>
      <c r="C5110">
        <v>99.078199999999995</v>
      </c>
      <c r="D5110">
        <v>97.120099999999994</v>
      </c>
      <c r="E5110">
        <v>98.294899999999998</v>
      </c>
      <c r="F5110">
        <v>44450</v>
      </c>
    </row>
    <row r="5111" spans="1:6" x14ac:dyDescent="0.25">
      <c r="A5111" s="4">
        <v>41820</v>
      </c>
      <c r="B5111">
        <v>98.686499999999995</v>
      </c>
      <c r="C5111">
        <v>99.469800000000006</v>
      </c>
      <c r="D5111">
        <v>97.903300000000002</v>
      </c>
      <c r="E5111">
        <v>99.078199999999995</v>
      </c>
      <c r="F5111">
        <v>38192</v>
      </c>
    </row>
    <row r="5112" spans="1:6" x14ac:dyDescent="0.25">
      <c r="A5112" s="4">
        <v>41821</v>
      </c>
      <c r="B5112">
        <v>99.078199999999995</v>
      </c>
      <c r="C5112">
        <v>100.6446</v>
      </c>
      <c r="D5112">
        <v>98.686499999999995</v>
      </c>
      <c r="E5112">
        <v>100.253</v>
      </c>
      <c r="F5112">
        <v>33023</v>
      </c>
    </row>
    <row r="5113" spans="1:6" x14ac:dyDescent="0.25">
      <c r="A5113" s="4">
        <v>41822</v>
      </c>
      <c r="B5113">
        <v>101.4278</v>
      </c>
      <c r="C5113">
        <v>103.7775</v>
      </c>
      <c r="D5113">
        <v>101.03619999999999</v>
      </c>
      <c r="E5113">
        <v>103.7775</v>
      </c>
      <c r="F5113">
        <v>51624</v>
      </c>
    </row>
    <row r="5114" spans="1:6" x14ac:dyDescent="0.25">
      <c r="A5114" s="4">
        <v>41823</v>
      </c>
      <c r="B5114">
        <v>102.9943</v>
      </c>
      <c r="C5114">
        <v>105.73560000000001</v>
      </c>
      <c r="D5114">
        <v>102.2111</v>
      </c>
      <c r="E5114">
        <v>105.34399999999999</v>
      </c>
      <c r="F5114">
        <v>41189</v>
      </c>
    </row>
    <row r="5115" spans="1:6" x14ac:dyDescent="0.25">
      <c r="A5115" s="4">
        <v>41824</v>
      </c>
      <c r="B5115">
        <v>104.5607</v>
      </c>
      <c r="C5115">
        <v>106.5188</v>
      </c>
      <c r="D5115">
        <v>103.38590000000001</v>
      </c>
      <c r="E5115">
        <v>105.73560000000001</v>
      </c>
      <c r="F5115">
        <v>44516</v>
      </c>
    </row>
    <row r="5116" spans="1:6" x14ac:dyDescent="0.25">
      <c r="A5116" s="4">
        <v>41827</v>
      </c>
      <c r="B5116">
        <v>105.34399999999999</v>
      </c>
      <c r="C5116">
        <v>106.5188</v>
      </c>
      <c r="D5116">
        <v>103.7775</v>
      </c>
      <c r="E5116">
        <v>106.5188</v>
      </c>
      <c r="F5116">
        <v>32208</v>
      </c>
    </row>
    <row r="5117" spans="1:6" x14ac:dyDescent="0.25">
      <c r="A5117" s="4">
        <v>41828</v>
      </c>
      <c r="B5117">
        <v>106.1272</v>
      </c>
      <c r="C5117">
        <v>106.5188</v>
      </c>
      <c r="D5117">
        <v>104.9524</v>
      </c>
      <c r="E5117">
        <v>105.34399999999999</v>
      </c>
      <c r="F5117">
        <v>36300</v>
      </c>
    </row>
    <row r="5118" spans="1:6" x14ac:dyDescent="0.25">
      <c r="A5118" s="4">
        <v>41829</v>
      </c>
      <c r="B5118">
        <v>104.5607</v>
      </c>
      <c r="C5118">
        <v>105.73560000000001</v>
      </c>
      <c r="D5118">
        <v>104.5607</v>
      </c>
      <c r="E5118">
        <v>104.9524</v>
      </c>
      <c r="F5118">
        <v>39337</v>
      </c>
    </row>
    <row r="5119" spans="1:6" x14ac:dyDescent="0.25">
      <c r="A5119" s="4">
        <v>41830</v>
      </c>
      <c r="B5119">
        <v>105.34399999999999</v>
      </c>
      <c r="C5119">
        <v>106.5188</v>
      </c>
      <c r="D5119">
        <v>105.34399999999999</v>
      </c>
      <c r="E5119">
        <v>105.34399999999999</v>
      </c>
      <c r="F5119">
        <v>51132</v>
      </c>
    </row>
    <row r="5120" spans="1:6" x14ac:dyDescent="0.25">
      <c r="A5120" s="4">
        <v>41831</v>
      </c>
      <c r="B5120">
        <v>106.5188</v>
      </c>
      <c r="C5120">
        <v>108.0853</v>
      </c>
      <c r="D5120">
        <v>106.1272</v>
      </c>
      <c r="E5120">
        <v>106.9104</v>
      </c>
      <c r="F5120">
        <v>43514</v>
      </c>
    </row>
    <row r="5121" spans="1:6" x14ac:dyDescent="0.25">
      <c r="A5121" s="4">
        <v>41834</v>
      </c>
      <c r="B5121">
        <v>107.71120000000001</v>
      </c>
      <c r="C5121">
        <v>107.71120000000001</v>
      </c>
      <c r="D5121">
        <v>106.1095</v>
      </c>
      <c r="E5121">
        <v>106.1095</v>
      </c>
      <c r="F5121">
        <v>46818</v>
      </c>
    </row>
    <row r="5122" spans="1:6" x14ac:dyDescent="0.25">
      <c r="A5122" s="4">
        <v>41835</v>
      </c>
      <c r="B5122">
        <v>106.5099</v>
      </c>
      <c r="C5122">
        <v>107.3108</v>
      </c>
      <c r="D5122">
        <v>106.1095</v>
      </c>
      <c r="E5122">
        <v>106.5099</v>
      </c>
      <c r="F5122">
        <v>37976</v>
      </c>
    </row>
    <row r="5123" spans="1:6" x14ac:dyDescent="0.25">
      <c r="A5123" s="4">
        <v>41836</v>
      </c>
      <c r="B5123">
        <v>106.5099</v>
      </c>
      <c r="C5123">
        <v>106.9104</v>
      </c>
      <c r="D5123">
        <v>104.1075</v>
      </c>
      <c r="E5123">
        <v>104.50790000000001</v>
      </c>
      <c r="F5123">
        <v>42073</v>
      </c>
    </row>
    <row r="5124" spans="1:6" x14ac:dyDescent="0.25">
      <c r="A5124" s="4">
        <v>41837</v>
      </c>
      <c r="B5124">
        <v>100.1033</v>
      </c>
      <c r="C5124">
        <v>100.50369999999999</v>
      </c>
      <c r="D5124">
        <v>98.5017</v>
      </c>
      <c r="E5124">
        <v>99.7029</v>
      </c>
      <c r="F5124">
        <v>138665</v>
      </c>
    </row>
    <row r="5125" spans="1:6" x14ac:dyDescent="0.25">
      <c r="A5125" s="4">
        <v>41838</v>
      </c>
      <c r="B5125">
        <v>97.300399999999996</v>
      </c>
      <c r="C5125">
        <v>99.302499999999995</v>
      </c>
      <c r="D5125">
        <v>97.300399999999996</v>
      </c>
      <c r="E5125">
        <v>98.902100000000004</v>
      </c>
      <c r="F5125">
        <v>97366</v>
      </c>
    </row>
    <row r="5126" spans="1:6" x14ac:dyDescent="0.25">
      <c r="A5126" s="4">
        <v>41841</v>
      </c>
      <c r="B5126">
        <v>99.302499999999995</v>
      </c>
      <c r="C5126">
        <v>99.7029</v>
      </c>
      <c r="D5126">
        <v>98.101299999999995</v>
      </c>
      <c r="E5126">
        <v>98.902100000000004</v>
      </c>
      <c r="F5126">
        <v>58994</v>
      </c>
    </row>
    <row r="5127" spans="1:6" x14ac:dyDescent="0.25">
      <c r="A5127" s="4">
        <v>41842</v>
      </c>
      <c r="B5127">
        <v>98.902100000000004</v>
      </c>
      <c r="C5127">
        <v>100.1033</v>
      </c>
      <c r="D5127">
        <v>98.101299999999995</v>
      </c>
      <c r="E5127">
        <v>99.7029</v>
      </c>
      <c r="F5127">
        <v>53307</v>
      </c>
    </row>
    <row r="5128" spans="1:6" x14ac:dyDescent="0.25">
      <c r="A5128" s="4">
        <v>41844</v>
      </c>
      <c r="B5128">
        <v>99.7029</v>
      </c>
      <c r="C5128">
        <v>100.1033</v>
      </c>
      <c r="D5128">
        <v>99.302499999999995</v>
      </c>
      <c r="E5128">
        <v>100.1033</v>
      </c>
      <c r="F5128">
        <v>66041</v>
      </c>
    </row>
    <row r="5129" spans="1:6" x14ac:dyDescent="0.25">
      <c r="A5129" s="4">
        <v>41845</v>
      </c>
      <c r="B5129">
        <v>99.7029</v>
      </c>
      <c r="C5129">
        <v>100.1033</v>
      </c>
      <c r="D5129">
        <v>98.101299999999995</v>
      </c>
      <c r="E5129">
        <v>98.5017</v>
      </c>
      <c r="F5129">
        <v>31609</v>
      </c>
    </row>
    <row r="5130" spans="1:6" x14ac:dyDescent="0.25">
      <c r="A5130" s="4">
        <v>41848</v>
      </c>
      <c r="B5130">
        <v>97.700800000000001</v>
      </c>
      <c r="C5130">
        <v>98.101299999999995</v>
      </c>
      <c r="D5130">
        <v>96.9</v>
      </c>
      <c r="E5130">
        <v>97.300399999999996</v>
      </c>
      <c r="F5130">
        <v>43515</v>
      </c>
    </row>
    <row r="5131" spans="1:6" x14ac:dyDescent="0.25">
      <c r="A5131" s="4">
        <v>41849</v>
      </c>
      <c r="B5131">
        <v>98.101299999999995</v>
      </c>
      <c r="C5131">
        <v>99.302499999999995</v>
      </c>
      <c r="D5131">
        <v>97.700800000000001</v>
      </c>
      <c r="E5131">
        <v>99.302499999999995</v>
      </c>
      <c r="F5131">
        <v>40750</v>
      </c>
    </row>
    <row r="5132" spans="1:6" x14ac:dyDescent="0.25">
      <c r="A5132" s="4">
        <v>41850</v>
      </c>
      <c r="B5132">
        <v>98.902100000000004</v>
      </c>
      <c r="C5132">
        <v>100.1033</v>
      </c>
      <c r="D5132">
        <v>98.5017</v>
      </c>
      <c r="E5132">
        <v>99.7029</v>
      </c>
      <c r="F5132">
        <v>32429</v>
      </c>
    </row>
    <row r="5133" spans="1:6" x14ac:dyDescent="0.25">
      <c r="A5133" s="4">
        <v>41851</v>
      </c>
      <c r="B5133">
        <v>99.302499999999995</v>
      </c>
      <c r="C5133">
        <v>99.302499999999995</v>
      </c>
      <c r="D5133">
        <v>96.9</v>
      </c>
      <c r="E5133">
        <v>96.9</v>
      </c>
      <c r="F5133">
        <v>44806</v>
      </c>
    </row>
    <row r="5134" spans="1:6" x14ac:dyDescent="0.25">
      <c r="A5134" s="4">
        <v>41852</v>
      </c>
      <c r="B5134">
        <v>96.099199999999996</v>
      </c>
      <c r="C5134">
        <v>96.9</v>
      </c>
      <c r="D5134">
        <v>95.698800000000006</v>
      </c>
      <c r="E5134">
        <v>96.099199999999996</v>
      </c>
      <c r="F5134">
        <v>61874</v>
      </c>
    </row>
    <row r="5135" spans="1:6" x14ac:dyDescent="0.25">
      <c r="A5135" s="4">
        <v>41855</v>
      </c>
      <c r="B5135">
        <v>96.099199999999996</v>
      </c>
      <c r="C5135">
        <v>98.902100000000004</v>
      </c>
      <c r="D5135">
        <v>96.099199999999996</v>
      </c>
      <c r="E5135">
        <v>98.902100000000004</v>
      </c>
      <c r="F5135">
        <v>39730</v>
      </c>
    </row>
    <row r="5136" spans="1:6" x14ac:dyDescent="0.25">
      <c r="A5136" s="4">
        <v>41856</v>
      </c>
      <c r="B5136">
        <v>98.101299999999995</v>
      </c>
      <c r="C5136">
        <v>98.101299999999995</v>
      </c>
      <c r="D5136">
        <v>95.698800000000006</v>
      </c>
      <c r="E5136">
        <v>95.698800000000006</v>
      </c>
      <c r="F5136">
        <v>61537</v>
      </c>
    </row>
    <row r="5137" spans="1:6" x14ac:dyDescent="0.25">
      <c r="A5137" s="4">
        <v>41857</v>
      </c>
      <c r="B5137">
        <v>95.298400000000001</v>
      </c>
      <c r="C5137">
        <v>97.300399999999996</v>
      </c>
      <c r="D5137">
        <v>95.298400000000001</v>
      </c>
      <c r="E5137">
        <v>96.499600000000001</v>
      </c>
      <c r="F5137">
        <v>38043</v>
      </c>
    </row>
    <row r="5138" spans="1:6" x14ac:dyDescent="0.25">
      <c r="A5138" s="4">
        <v>41858</v>
      </c>
      <c r="B5138">
        <v>96.499600000000001</v>
      </c>
      <c r="C5138">
        <v>97.300399999999996</v>
      </c>
      <c r="D5138">
        <v>95.698800000000006</v>
      </c>
      <c r="E5138">
        <v>97.300399999999996</v>
      </c>
      <c r="F5138">
        <v>30080</v>
      </c>
    </row>
    <row r="5139" spans="1:6" x14ac:dyDescent="0.25">
      <c r="A5139" s="4">
        <v>41859</v>
      </c>
      <c r="B5139">
        <v>96.499600000000001</v>
      </c>
      <c r="C5139">
        <v>96.9</v>
      </c>
      <c r="D5139">
        <v>95.698800000000006</v>
      </c>
      <c r="E5139">
        <v>96.499600000000001</v>
      </c>
      <c r="F5139">
        <v>35170</v>
      </c>
    </row>
    <row r="5140" spans="1:6" x14ac:dyDescent="0.25">
      <c r="A5140" s="4">
        <v>41862</v>
      </c>
      <c r="B5140">
        <v>96.099199999999996</v>
      </c>
      <c r="C5140">
        <v>96.9</v>
      </c>
      <c r="D5140">
        <v>95.698800000000006</v>
      </c>
      <c r="E5140">
        <v>96.499600000000001</v>
      </c>
      <c r="F5140">
        <v>42994</v>
      </c>
    </row>
    <row r="5141" spans="1:6" x14ac:dyDescent="0.25">
      <c r="A5141" s="4">
        <v>41863</v>
      </c>
      <c r="B5141">
        <v>96.9</v>
      </c>
      <c r="C5141">
        <v>97.700800000000001</v>
      </c>
      <c r="D5141">
        <v>96.499600000000001</v>
      </c>
      <c r="E5141">
        <v>97.300399999999996</v>
      </c>
      <c r="F5141">
        <v>32279</v>
      </c>
    </row>
    <row r="5142" spans="1:6" x14ac:dyDescent="0.25">
      <c r="A5142" s="4">
        <v>41864</v>
      </c>
      <c r="B5142">
        <v>96.9</v>
      </c>
      <c r="C5142">
        <v>98.902100000000004</v>
      </c>
      <c r="D5142">
        <v>96.499600000000001</v>
      </c>
      <c r="E5142">
        <v>98.101299999999995</v>
      </c>
      <c r="F5142">
        <v>39837</v>
      </c>
    </row>
    <row r="5143" spans="1:6" x14ac:dyDescent="0.25">
      <c r="A5143" s="4">
        <v>41865</v>
      </c>
      <c r="B5143">
        <v>98.902100000000004</v>
      </c>
      <c r="C5143">
        <v>99.302499999999995</v>
      </c>
      <c r="D5143">
        <v>98.5017</v>
      </c>
      <c r="E5143">
        <v>99.302499999999995</v>
      </c>
      <c r="F5143">
        <v>32956</v>
      </c>
    </row>
    <row r="5144" spans="1:6" x14ac:dyDescent="0.25">
      <c r="A5144" s="4">
        <v>41866</v>
      </c>
      <c r="B5144">
        <v>99.7029</v>
      </c>
      <c r="C5144">
        <v>100.1033</v>
      </c>
      <c r="D5144">
        <v>98.5017</v>
      </c>
      <c r="E5144">
        <v>99.302499999999995</v>
      </c>
      <c r="F5144">
        <v>19189</v>
      </c>
    </row>
    <row r="5145" spans="1:6" x14ac:dyDescent="0.25">
      <c r="A5145" s="4">
        <v>41869</v>
      </c>
      <c r="B5145">
        <v>99.302499999999995</v>
      </c>
      <c r="C5145">
        <v>99.302499999999995</v>
      </c>
      <c r="D5145">
        <v>98.101299999999995</v>
      </c>
      <c r="E5145">
        <v>98.5017</v>
      </c>
      <c r="F5145">
        <v>14767</v>
      </c>
    </row>
    <row r="5146" spans="1:6" x14ac:dyDescent="0.25">
      <c r="A5146" s="4">
        <v>41870</v>
      </c>
      <c r="B5146">
        <v>99.302499999999995</v>
      </c>
      <c r="C5146">
        <v>100.1033</v>
      </c>
      <c r="D5146">
        <v>98.902100000000004</v>
      </c>
      <c r="E5146">
        <v>99.302499999999995</v>
      </c>
      <c r="F5146">
        <v>31923</v>
      </c>
    </row>
    <row r="5147" spans="1:6" x14ac:dyDescent="0.25">
      <c r="A5147" s="4">
        <v>41871</v>
      </c>
      <c r="B5147">
        <v>100.1033</v>
      </c>
      <c r="C5147">
        <v>100.50369999999999</v>
      </c>
      <c r="D5147">
        <v>99.7029</v>
      </c>
      <c r="E5147">
        <v>100.50369999999999</v>
      </c>
      <c r="F5147">
        <v>28975</v>
      </c>
    </row>
    <row r="5148" spans="1:6" x14ac:dyDescent="0.25">
      <c r="A5148" s="4">
        <v>41872</v>
      </c>
      <c r="B5148">
        <v>100.9042</v>
      </c>
      <c r="C5148">
        <v>100.9042</v>
      </c>
      <c r="D5148">
        <v>99.302499999999995</v>
      </c>
      <c r="E5148">
        <v>99.7029</v>
      </c>
      <c r="F5148">
        <v>23090</v>
      </c>
    </row>
    <row r="5149" spans="1:6" x14ac:dyDescent="0.25">
      <c r="A5149" s="4">
        <v>41873</v>
      </c>
      <c r="B5149">
        <v>99.7029</v>
      </c>
      <c r="C5149">
        <v>100.9042</v>
      </c>
      <c r="D5149">
        <v>98.902100000000004</v>
      </c>
      <c r="E5149">
        <v>100.50369999999999</v>
      </c>
      <c r="F5149">
        <v>42775</v>
      </c>
    </row>
    <row r="5150" spans="1:6" x14ac:dyDescent="0.25">
      <c r="A5150" s="4">
        <v>41876</v>
      </c>
      <c r="B5150">
        <v>100.50369999999999</v>
      </c>
      <c r="C5150">
        <v>100.9042</v>
      </c>
      <c r="D5150">
        <v>100.1033</v>
      </c>
      <c r="E5150">
        <v>100.1033</v>
      </c>
      <c r="F5150">
        <v>21107</v>
      </c>
    </row>
    <row r="5151" spans="1:6" x14ac:dyDescent="0.25">
      <c r="A5151" s="4">
        <v>41877</v>
      </c>
      <c r="B5151">
        <v>100.1033</v>
      </c>
      <c r="C5151">
        <v>100.50369999999999</v>
      </c>
      <c r="D5151">
        <v>99.302499999999995</v>
      </c>
      <c r="E5151">
        <v>99.7029</v>
      </c>
      <c r="F5151">
        <v>30428</v>
      </c>
    </row>
    <row r="5152" spans="1:6" x14ac:dyDescent="0.25">
      <c r="A5152" s="4">
        <v>41878</v>
      </c>
      <c r="B5152">
        <v>100.50369999999999</v>
      </c>
      <c r="C5152">
        <v>100.9042</v>
      </c>
      <c r="D5152">
        <v>99.7029</v>
      </c>
      <c r="E5152">
        <v>100.50369999999999</v>
      </c>
      <c r="F5152">
        <v>36839</v>
      </c>
    </row>
    <row r="5153" spans="1:6" x14ac:dyDescent="0.25">
      <c r="A5153" s="4">
        <v>41879</v>
      </c>
      <c r="B5153">
        <v>100.9042</v>
      </c>
      <c r="C5153">
        <v>100.9042</v>
      </c>
      <c r="D5153">
        <v>99.7029</v>
      </c>
      <c r="E5153">
        <v>100.1033</v>
      </c>
      <c r="F5153">
        <v>21760</v>
      </c>
    </row>
    <row r="5154" spans="1:6" x14ac:dyDescent="0.25">
      <c r="A5154" s="4">
        <v>41880</v>
      </c>
      <c r="B5154">
        <v>99.7029</v>
      </c>
      <c r="C5154">
        <v>100.1033</v>
      </c>
      <c r="D5154">
        <v>99.302499999999995</v>
      </c>
      <c r="E5154">
        <v>99.302499999999995</v>
      </c>
      <c r="F5154">
        <v>28359</v>
      </c>
    </row>
    <row r="5155" spans="1:6" x14ac:dyDescent="0.25">
      <c r="A5155" s="4">
        <v>41883</v>
      </c>
      <c r="B5155">
        <v>100.1033</v>
      </c>
      <c r="C5155">
        <v>102.9062</v>
      </c>
      <c r="D5155">
        <v>100.1033</v>
      </c>
      <c r="E5155">
        <v>102.9062</v>
      </c>
      <c r="F5155">
        <v>37524</v>
      </c>
    </row>
    <row r="5156" spans="1:6" x14ac:dyDescent="0.25">
      <c r="A5156" s="4">
        <v>41884</v>
      </c>
      <c r="B5156">
        <v>102.50579999999999</v>
      </c>
      <c r="C5156">
        <v>102.50579999999999</v>
      </c>
      <c r="D5156">
        <v>100.50369999999999</v>
      </c>
      <c r="E5156">
        <v>100.9042</v>
      </c>
      <c r="F5156">
        <v>20057</v>
      </c>
    </row>
    <row r="5157" spans="1:6" x14ac:dyDescent="0.25">
      <c r="A5157" s="4">
        <v>41885</v>
      </c>
      <c r="B5157">
        <v>101.705</v>
      </c>
      <c r="C5157">
        <v>102.50579999999999</v>
      </c>
      <c r="D5157">
        <v>100.50369999999999</v>
      </c>
      <c r="E5157">
        <v>102.50579999999999</v>
      </c>
      <c r="F5157">
        <v>24642</v>
      </c>
    </row>
    <row r="5158" spans="1:6" x14ac:dyDescent="0.25">
      <c r="A5158" s="4">
        <v>41886</v>
      </c>
      <c r="B5158">
        <v>102.50579999999999</v>
      </c>
      <c r="C5158">
        <v>102.50579999999999</v>
      </c>
      <c r="D5158">
        <v>100.9042</v>
      </c>
      <c r="E5158">
        <v>102.1054</v>
      </c>
      <c r="F5158">
        <v>22110</v>
      </c>
    </row>
    <row r="5159" spans="1:6" x14ac:dyDescent="0.25">
      <c r="A5159" s="4">
        <v>41887</v>
      </c>
      <c r="B5159">
        <v>102.9062</v>
      </c>
      <c r="C5159">
        <v>102.9062</v>
      </c>
      <c r="D5159">
        <v>100.50369999999999</v>
      </c>
      <c r="E5159">
        <v>101.705</v>
      </c>
      <c r="F5159">
        <v>20128</v>
      </c>
    </row>
    <row r="5160" spans="1:6" x14ac:dyDescent="0.25">
      <c r="A5160" s="4">
        <v>41891</v>
      </c>
      <c r="B5160">
        <v>102.1054</v>
      </c>
      <c r="C5160">
        <v>102.1054</v>
      </c>
      <c r="D5160">
        <v>101.30459999999999</v>
      </c>
      <c r="E5160">
        <v>101.705</v>
      </c>
      <c r="F5160">
        <v>24359</v>
      </c>
    </row>
    <row r="5161" spans="1:6" x14ac:dyDescent="0.25">
      <c r="A5161" s="4">
        <v>41892</v>
      </c>
      <c r="B5161">
        <v>100.9042</v>
      </c>
      <c r="C5161">
        <v>100.9042</v>
      </c>
      <c r="D5161">
        <v>99.302499999999995</v>
      </c>
      <c r="E5161">
        <v>100.1033</v>
      </c>
      <c r="F5161">
        <v>29719</v>
      </c>
    </row>
    <row r="5162" spans="1:6" x14ac:dyDescent="0.25">
      <c r="A5162" s="4">
        <v>41893</v>
      </c>
      <c r="B5162">
        <v>100.9042</v>
      </c>
      <c r="C5162">
        <v>100.9042</v>
      </c>
      <c r="D5162">
        <v>100.1033</v>
      </c>
      <c r="E5162">
        <v>100.1033</v>
      </c>
      <c r="F5162">
        <v>24329</v>
      </c>
    </row>
    <row r="5163" spans="1:6" x14ac:dyDescent="0.25">
      <c r="A5163" s="4">
        <v>41894</v>
      </c>
      <c r="B5163">
        <v>99.7029</v>
      </c>
      <c r="C5163">
        <v>100.1033</v>
      </c>
      <c r="D5163">
        <v>98.5017</v>
      </c>
      <c r="E5163">
        <v>98.5017</v>
      </c>
      <c r="F5163">
        <v>20300</v>
      </c>
    </row>
    <row r="5164" spans="1:6" x14ac:dyDescent="0.25">
      <c r="A5164" s="4">
        <v>41897</v>
      </c>
      <c r="B5164">
        <v>98.101299999999995</v>
      </c>
      <c r="C5164">
        <v>98.902100000000004</v>
      </c>
      <c r="D5164">
        <v>97.700800000000001</v>
      </c>
      <c r="E5164">
        <v>98.902100000000004</v>
      </c>
      <c r="F5164">
        <v>19644</v>
      </c>
    </row>
    <row r="5165" spans="1:6" x14ac:dyDescent="0.25">
      <c r="A5165" s="4">
        <v>41898</v>
      </c>
      <c r="B5165">
        <v>98.5017</v>
      </c>
      <c r="C5165">
        <v>98.5017</v>
      </c>
      <c r="D5165">
        <v>97.700800000000001</v>
      </c>
      <c r="E5165">
        <v>98.101299999999995</v>
      </c>
      <c r="F5165">
        <v>19248</v>
      </c>
    </row>
    <row r="5166" spans="1:6" x14ac:dyDescent="0.25">
      <c r="A5166" s="4">
        <v>41899</v>
      </c>
      <c r="B5166">
        <v>98.902100000000004</v>
      </c>
      <c r="C5166">
        <v>100.1033</v>
      </c>
      <c r="D5166">
        <v>98.5017</v>
      </c>
      <c r="E5166">
        <v>99.7029</v>
      </c>
      <c r="F5166">
        <v>24019</v>
      </c>
    </row>
    <row r="5167" spans="1:6" x14ac:dyDescent="0.25">
      <c r="A5167" s="4">
        <v>41900</v>
      </c>
      <c r="B5167">
        <v>99.7029</v>
      </c>
      <c r="C5167">
        <v>100.1033</v>
      </c>
      <c r="D5167">
        <v>98.902100000000004</v>
      </c>
      <c r="E5167">
        <v>100.1033</v>
      </c>
      <c r="F5167">
        <v>14791</v>
      </c>
    </row>
    <row r="5168" spans="1:6" x14ac:dyDescent="0.25">
      <c r="A5168" s="4">
        <v>41901</v>
      </c>
      <c r="B5168">
        <v>100.50369999999999</v>
      </c>
      <c r="C5168">
        <v>100.9042</v>
      </c>
      <c r="D5168">
        <v>100.1033</v>
      </c>
      <c r="E5168">
        <v>100.1033</v>
      </c>
      <c r="F5168">
        <v>30782</v>
      </c>
    </row>
    <row r="5169" spans="1:6" x14ac:dyDescent="0.25">
      <c r="A5169" s="4">
        <v>41904</v>
      </c>
      <c r="B5169">
        <v>99.302499999999995</v>
      </c>
      <c r="C5169">
        <v>99.302499999999995</v>
      </c>
      <c r="D5169">
        <v>97.700800000000001</v>
      </c>
      <c r="E5169">
        <v>97.700800000000001</v>
      </c>
      <c r="F5169">
        <v>40659</v>
      </c>
    </row>
    <row r="5170" spans="1:6" x14ac:dyDescent="0.25">
      <c r="A5170" s="4">
        <v>41905</v>
      </c>
      <c r="B5170">
        <v>98.5017</v>
      </c>
      <c r="C5170">
        <v>98.902100000000004</v>
      </c>
      <c r="D5170">
        <v>97.700800000000001</v>
      </c>
      <c r="E5170">
        <v>98.101299999999995</v>
      </c>
      <c r="F5170">
        <v>16209</v>
      </c>
    </row>
    <row r="5171" spans="1:6" x14ac:dyDescent="0.25">
      <c r="A5171" s="4">
        <v>41906</v>
      </c>
      <c r="B5171">
        <v>97.700800000000001</v>
      </c>
      <c r="C5171">
        <v>99.302499999999995</v>
      </c>
      <c r="D5171">
        <v>97.700800000000001</v>
      </c>
      <c r="E5171">
        <v>98.5017</v>
      </c>
      <c r="F5171">
        <v>28553</v>
      </c>
    </row>
    <row r="5172" spans="1:6" x14ac:dyDescent="0.25">
      <c r="A5172" s="4">
        <v>41907</v>
      </c>
      <c r="B5172">
        <v>98.5017</v>
      </c>
      <c r="C5172">
        <v>99.302499999999995</v>
      </c>
      <c r="D5172">
        <v>97.300399999999996</v>
      </c>
      <c r="E5172">
        <v>97.700800000000001</v>
      </c>
      <c r="F5172">
        <v>23841</v>
      </c>
    </row>
    <row r="5173" spans="1:6" x14ac:dyDescent="0.25">
      <c r="A5173" s="4">
        <v>41908</v>
      </c>
      <c r="B5173">
        <v>96.9</v>
      </c>
      <c r="C5173">
        <v>97.300399999999996</v>
      </c>
      <c r="D5173">
        <v>96.499600000000001</v>
      </c>
      <c r="E5173">
        <v>96.9</v>
      </c>
      <c r="F5173">
        <v>25408</v>
      </c>
    </row>
    <row r="5174" spans="1:6" x14ac:dyDescent="0.25">
      <c r="A5174" s="4">
        <v>41911</v>
      </c>
      <c r="B5174">
        <v>97.700800000000001</v>
      </c>
      <c r="C5174">
        <v>97.700800000000001</v>
      </c>
      <c r="D5174">
        <v>96.099199999999996</v>
      </c>
      <c r="E5174">
        <v>96.499600000000001</v>
      </c>
      <c r="F5174">
        <v>55072</v>
      </c>
    </row>
    <row r="5175" spans="1:6" x14ac:dyDescent="0.25">
      <c r="A5175" s="4">
        <v>41912</v>
      </c>
      <c r="B5175">
        <v>96.099199999999996</v>
      </c>
      <c r="C5175">
        <v>96.9</v>
      </c>
      <c r="D5175">
        <v>95.298400000000001</v>
      </c>
      <c r="E5175">
        <v>96.099199999999996</v>
      </c>
      <c r="F5175">
        <v>52027</v>
      </c>
    </row>
    <row r="5176" spans="1:6" x14ac:dyDescent="0.25">
      <c r="A5176" s="4">
        <v>41913</v>
      </c>
      <c r="B5176">
        <v>96.099199999999996</v>
      </c>
      <c r="C5176">
        <v>97.700800000000001</v>
      </c>
      <c r="D5176">
        <v>96.099199999999996</v>
      </c>
      <c r="E5176">
        <v>97.300399999999996</v>
      </c>
      <c r="F5176">
        <v>42581</v>
      </c>
    </row>
    <row r="5177" spans="1:6" x14ac:dyDescent="0.25">
      <c r="A5177" s="4">
        <v>41914</v>
      </c>
      <c r="B5177">
        <v>96.9</v>
      </c>
      <c r="C5177">
        <v>98.101299999999995</v>
      </c>
      <c r="D5177">
        <v>96.499600000000001</v>
      </c>
      <c r="E5177">
        <v>96.9</v>
      </c>
      <c r="F5177">
        <v>30796</v>
      </c>
    </row>
    <row r="5178" spans="1:6" x14ac:dyDescent="0.25">
      <c r="A5178" s="4">
        <v>41915</v>
      </c>
      <c r="B5178">
        <v>98.101299999999995</v>
      </c>
      <c r="C5178">
        <v>100.1033</v>
      </c>
      <c r="D5178">
        <v>97.700800000000001</v>
      </c>
      <c r="E5178">
        <v>99.7029</v>
      </c>
      <c r="F5178">
        <v>52043</v>
      </c>
    </row>
    <row r="5179" spans="1:6" x14ac:dyDescent="0.25">
      <c r="A5179" s="4">
        <v>41918</v>
      </c>
      <c r="B5179">
        <v>100.1033</v>
      </c>
      <c r="C5179">
        <v>100.9042</v>
      </c>
      <c r="D5179">
        <v>99.302499999999995</v>
      </c>
      <c r="E5179">
        <v>100.9042</v>
      </c>
      <c r="F5179">
        <v>39293</v>
      </c>
    </row>
    <row r="5180" spans="1:6" x14ac:dyDescent="0.25">
      <c r="A5180" s="4">
        <v>41919</v>
      </c>
      <c r="B5180">
        <v>100.1033</v>
      </c>
      <c r="C5180">
        <v>100.50369999999999</v>
      </c>
      <c r="D5180">
        <v>98.902100000000004</v>
      </c>
      <c r="E5180">
        <v>100.1033</v>
      </c>
      <c r="F5180">
        <v>40188</v>
      </c>
    </row>
    <row r="5181" spans="1:6" x14ac:dyDescent="0.25">
      <c r="A5181" s="4">
        <v>41920</v>
      </c>
      <c r="B5181">
        <v>98.902100000000004</v>
      </c>
      <c r="C5181">
        <v>100.1033</v>
      </c>
      <c r="D5181">
        <v>98.101299999999995</v>
      </c>
      <c r="E5181">
        <v>98.101299999999995</v>
      </c>
      <c r="F5181">
        <v>30939</v>
      </c>
    </row>
    <row r="5182" spans="1:6" x14ac:dyDescent="0.25">
      <c r="A5182" s="4">
        <v>41921</v>
      </c>
      <c r="B5182">
        <v>99.302499999999995</v>
      </c>
      <c r="C5182">
        <v>100.1033</v>
      </c>
      <c r="D5182">
        <v>98.902100000000004</v>
      </c>
      <c r="E5182">
        <v>100.1033</v>
      </c>
      <c r="F5182">
        <v>37116</v>
      </c>
    </row>
    <row r="5183" spans="1:6" x14ac:dyDescent="0.25">
      <c r="A5183" s="4">
        <v>41925</v>
      </c>
      <c r="B5183">
        <v>95.298400000000001</v>
      </c>
      <c r="C5183">
        <v>97.300399999999996</v>
      </c>
      <c r="D5183">
        <v>94.497500000000002</v>
      </c>
      <c r="E5183">
        <v>96.499600000000001</v>
      </c>
      <c r="F5183">
        <v>77985</v>
      </c>
    </row>
    <row r="5184" spans="1:6" x14ac:dyDescent="0.25">
      <c r="A5184" s="4">
        <v>41926</v>
      </c>
      <c r="B5184">
        <v>96.099199999999996</v>
      </c>
      <c r="C5184">
        <v>97.300399999999996</v>
      </c>
      <c r="D5184">
        <v>95.698800000000006</v>
      </c>
      <c r="E5184">
        <v>96.9</v>
      </c>
      <c r="F5184">
        <v>31888</v>
      </c>
    </row>
    <row r="5185" spans="1:6" x14ac:dyDescent="0.25">
      <c r="A5185" s="4">
        <v>41927</v>
      </c>
      <c r="B5185">
        <v>97.300399999999996</v>
      </c>
      <c r="C5185">
        <v>98.5017</v>
      </c>
      <c r="D5185">
        <v>96.9</v>
      </c>
      <c r="E5185">
        <v>97.300399999999996</v>
      </c>
      <c r="F5185">
        <v>50496</v>
      </c>
    </row>
    <row r="5186" spans="1:6" x14ac:dyDescent="0.25">
      <c r="A5186" s="4">
        <v>41928</v>
      </c>
      <c r="B5186">
        <v>97.300399999999996</v>
      </c>
      <c r="C5186">
        <v>99.302499999999995</v>
      </c>
      <c r="D5186">
        <v>96.099199999999996</v>
      </c>
      <c r="E5186">
        <v>97.300399999999996</v>
      </c>
      <c r="F5186">
        <v>46431</v>
      </c>
    </row>
    <row r="5187" spans="1:6" x14ac:dyDescent="0.25">
      <c r="A5187" s="4">
        <v>41929</v>
      </c>
      <c r="B5187">
        <v>100.1033</v>
      </c>
      <c r="C5187">
        <v>100.50369999999999</v>
      </c>
      <c r="D5187">
        <v>98.902100000000004</v>
      </c>
      <c r="E5187">
        <v>98.902100000000004</v>
      </c>
      <c r="F5187">
        <v>92078</v>
      </c>
    </row>
    <row r="5188" spans="1:6" x14ac:dyDescent="0.25">
      <c r="A5188" s="4">
        <v>41932</v>
      </c>
      <c r="B5188">
        <v>100.1033</v>
      </c>
      <c r="C5188">
        <v>100.9042</v>
      </c>
      <c r="D5188">
        <v>99.7029</v>
      </c>
      <c r="E5188">
        <v>100.9042</v>
      </c>
      <c r="F5188">
        <v>38619</v>
      </c>
    </row>
    <row r="5189" spans="1:6" x14ac:dyDescent="0.25">
      <c r="A5189" s="4">
        <v>41933</v>
      </c>
      <c r="B5189">
        <v>100.9042</v>
      </c>
      <c r="C5189">
        <v>100.9042</v>
      </c>
      <c r="D5189">
        <v>99.7029</v>
      </c>
      <c r="E5189">
        <v>100.1033</v>
      </c>
      <c r="F5189">
        <v>25648</v>
      </c>
    </row>
    <row r="5190" spans="1:6" x14ac:dyDescent="0.25">
      <c r="A5190" s="4">
        <v>41934</v>
      </c>
      <c r="B5190">
        <v>102.1054</v>
      </c>
      <c r="C5190">
        <v>103.3066</v>
      </c>
      <c r="D5190">
        <v>102.1054</v>
      </c>
      <c r="E5190">
        <v>103.3066</v>
      </c>
      <c r="F5190">
        <v>65856</v>
      </c>
    </row>
    <row r="5191" spans="1:6" x14ac:dyDescent="0.25">
      <c r="A5191" s="4">
        <v>41935</v>
      </c>
      <c r="B5191">
        <v>102.50579999999999</v>
      </c>
      <c r="C5191">
        <v>102.9062</v>
      </c>
      <c r="D5191">
        <v>102.1054</v>
      </c>
      <c r="E5191">
        <v>102.1054</v>
      </c>
      <c r="F5191">
        <v>28085</v>
      </c>
    </row>
    <row r="5192" spans="1:6" x14ac:dyDescent="0.25">
      <c r="A5192" s="4">
        <v>41936</v>
      </c>
      <c r="B5192">
        <v>101.705</v>
      </c>
      <c r="C5192">
        <v>102.1054</v>
      </c>
      <c r="D5192">
        <v>100.1033</v>
      </c>
      <c r="E5192">
        <v>100.50369999999999</v>
      </c>
      <c r="F5192">
        <v>42162</v>
      </c>
    </row>
    <row r="5193" spans="1:6" x14ac:dyDescent="0.25">
      <c r="A5193" s="4">
        <v>41939</v>
      </c>
      <c r="B5193">
        <v>101.30459999999999</v>
      </c>
      <c r="C5193">
        <v>102.50579999999999</v>
      </c>
      <c r="D5193">
        <v>101.30459999999999</v>
      </c>
      <c r="E5193">
        <v>102.50579999999999</v>
      </c>
      <c r="F5193">
        <v>25145</v>
      </c>
    </row>
    <row r="5194" spans="1:6" x14ac:dyDescent="0.25">
      <c r="A5194" s="4">
        <v>41940</v>
      </c>
      <c r="B5194">
        <v>103.3066</v>
      </c>
      <c r="C5194">
        <v>103.70699999999999</v>
      </c>
      <c r="D5194">
        <v>102.1054</v>
      </c>
      <c r="E5194">
        <v>102.50579999999999</v>
      </c>
      <c r="F5194">
        <v>35019</v>
      </c>
    </row>
    <row r="5195" spans="1:6" x14ac:dyDescent="0.25">
      <c r="A5195" s="4">
        <v>41941</v>
      </c>
      <c r="B5195">
        <v>103.3066</v>
      </c>
      <c r="C5195">
        <v>103.70699999999999</v>
      </c>
      <c r="D5195">
        <v>102.50579999999999</v>
      </c>
      <c r="E5195">
        <v>103.3066</v>
      </c>
      <c r="F5195">
        <v>34861</v>
      </c>
    </row>
    <row r="5196" spans="1:6" x14ac:dyDescent="0.25">
      <c r="A5196" s="4">
        <v>41942</v>
      </c>
      <c r="B5196">
        <v>102.9062</v>
      </c>
      <c r="C5196">
        <v>103.3066</v>
      </c>
      <c r="D5196">
        <v>101.705</v>
      </c>
      <c r="E5196">
        <v>102.9062</v>
      </c>
      <c r="F5196">
        <v>35724</v>
      </c>
    </row>
    <row r="5197" spans="1:6" x14ac:dyDescent="0.25">
      <c r="A5197" s="4">
        <v>41943</v>
      </c>
      <c r="B5197">
        <v>102.50579999999999</v>
      </c>
      <c r="C5197">
        <v>104.50790000000001</v>
      </c>
      <c r="D5197">
        <v>102.1054</v>
      </c>
      <c r="E5197">
        <v>104.50790000000001</v>
      </c>
      <c r="F5197">
        <v>42413</v>
      </c>
    </row>
    <row r="5198" spans="1:6" x14ac:dyDescent="0.25">
      <c r="A5198" s="4">
        <v>41946</v>
      </c>
      <c r="B5198">
        <v>105.70910000000001</v>
      </c>
      <c r="C5198">
        <v>106.1095</v>
      </c>
      <c r="D5198">
        <v>104.50790000000001</v>
      </c>
      <c r="E5198">
        <v>104.9083</v>
      </c>
      <c r="F5198">
        <v>45307</v>
      </c>
    </row>
    <row r="5199" spans="1:6" x14ac:dyDescent="0.25">
      <c r="A5199" s="4">
        <v>41947</v>
      </c>
      <c r="B5199">
        <v>105.70910000000001</v>
      </c>
      <c r="C5199">
        <v>105.70910000000001</v>
      </c>
      <c r="D5199">
        <v>104.9083</v>
      </c>
      <c r="E5199">
        <v>105.70910000000001</v>
      </c>
      <c r="F5199">
        <v>32566</v>
      </c>
    </row>
    <row r="5200" spans="1:6" x14ac:dyDescent="0.25">
      <c r="A5200" s="4">
        <v>41948</v>
      </c>
      <c r="B5200">
        <v>105.3087</v>
      </c>
      <c r="C5200">
        <v>105.70910000000001</v>
      </c>
      <c r="D5200">
        <v>104.9083</v>
      </c>
      <c r="E5200">
        <v>105.70910000000001</v>
      </c>
      <c r="F5200">
        <v>22638</v>
      </c>
    </row>
    <row r="5201" spans="1:6" x14ac:dyDescent="0.25">
      <c r="A5201" s="4">
        <v>41949</v>
      </c>
      <c r="B5201">
        <v>106.1095</v>
      </c>
      <c r="C5201">
        <v>106.1095</v>
      </c>
      <c r="D5201">
        <v>105.3087</v>
      </c>
      <c r="E5201">
        <v>105.70910000000001</v>
      </c>
      <c r="F5201">
        <v>28560</v>
      </c>
    </row>
    <row r="5202" spans="1:6" x14ac:dyDescent="0.25">
      <c r="A5202" s="4">
        <v>41950</v>
      </c>
      <c r="B5202">
        <v>105.3087</v>
      </c>
      <c r="C5202">
        <v>105.3087</v>
      </c>
      <c r="D5202">
        <v>104.50790000000001</v>
      </c>
      <c r="E5202">
        <v>104.9083</v>
      </c>
      <c r="F5202">
        <v>17385</v>
      </c>
    </row>
    <row r="5203" spans="1:6" x14ac:dyDescent="0.25">
      <c r="A5203" s="4">
        <v>41953</v>
      </c>
      <c r="B5203">
        <v>106.1095</v>
      </c>
      <c r="C5203">
        <v>107.71120000000001</v>
      </c>
      <c r="D5203">
        <v>105.70910000000001</v>
      </c>
      <c r="E5203">
        <v>107.71120000000001</v>
      </c>
      <c r="F5203">
        <v>43175</v>
      </c>
    </row>
    <row r="5204" spans="1:6" x14ac:dyDescent="0.25">
      <c r="A5204" s="4">
        <v>41954</v>
      </c>
      <c r="B5204">
        <v>108.1116</v>
      </c>
      <c r="C5204">
        <v>108.1116</v>
      </c>
      <c r="D5204">
        <v>106.5099</v>
      </c>
      <c r="E5204">
        <v>107.3108</v>
      </c>
      <c r="F5204">
        <v>20485</v>
      </c>
    </row>
    <row r="5205" spans="1:6" x14ac:dyDescent="0.25">
      <c r="A5205" s="4">
        <v>41955</v>
      </c>
      <c r="B5205">
        <v>107.71120000000001</v>
      </c>
      <c r="C5205">
        <v>107.71120000000001</v>
      </c>
      <c r="D5205">
        <v>105.3087</v>
      </c>
      <c r="E5205">
        <v>105.70910000000001</v>
      </c>
      <c r="F5205">
        <v>27434</v>
      </c>
    </row>
    <row r="5206" spans="1:6" x14ac:dyDescent="0.25">
      <c r="A5206" s="4">
        <v>41956</v>
      </c>
      <c r="B5206">
        <v>106.9104</v>
      </c>
      <c r="C5206">
        <v>107.71120000000001</v>
      </c>
      <c r="D5206">
        <v>106.1095</v>
      </c>
      <c r="E5206">
        <v>107.3108</v>
      </c>
      <c r="F5206">
        <v>25055</v>
      </c>
    </row>
    <row r="5207" spans="1:6" x14ac:dyDescent="0.25">
      <c r="A5207" s="4">
        <v>41957</v>
      </c>
      <c r="B5207">
        <v>107.3108</v>
      </c>
      <c r="C5207">
        <v>108.1116</v>
      </c>
      <c r="D5207">
        <v>106.9104</v>
      </c>
      <c r="E5207">
        <v>108.1116</v>
      </c>
      <c r="F5207">
        <v>24361</v>
      </c>
    </row>
    <row r="5208" spans="1:6" x14ac:dyDescent="0.25">
      <c r="A5208" s="4">
        <v>41960</v>
      </c>
      <c r="B5208">
        <v>108.1116</v>
      </c>
      <c r="C5208">
        <v>108.512</v>
      </c>
      <c r="D5208">
        <v>106.1095</v>
      </c>
      <c r="E5208">
        <v>106.5099</v>
      </c>
      <c r="F5208">
        <v>24773</v>
      </c>
    </row>
    <row r="5209" spans="1:6" x14ac:dyDescent="0.25">
      <c r="A5209" s="4">
        <v>41961</v>
      </c>
      <c r="B5209">
        <v>107.3108</v>
      </c>
      <c r="C5209">
        <v>107.71120000000001</v>
      </c>
      <c r="D5209">
        <v>104.9083</v>
      </c>
      <c r="E5209">
        <v>105.3087</v>
      </c>
      <c r="F5209">
        <v>43227</v>
      </c>
    </row>
    <row r="5210" spans="1:6" x14ac:dyDescent="0.25">
      <c r="A5210" s="4">
        <v>41962</v>
      </c>
      <c r="B5210">
        <v>106.5099</v>
      </c>
      <c r="C5210">
        <v>109.3128</v>
      </c>
      <c r="D5210">
        <v>106.1095</v>
      </c>
      <c r="E5210">
        <v>108.91240000000001</v>
      </c>
      <c r="F5210">
        <v>71400</v>
      </c>
    </row>
    <row r="5211" spans="1:6" x14ac:dyDescent="0.25">
      <c r="A5211" s="4">
        <v>41963</v>
      </c>
      <c r="B5211">
        <v>110.11369999999999</v>
      </c>
      <c r="C5211">
        <v>111.31489999999999</v>
      </c>
      <c r="D5211">
        <v>109.7132</v>
      </c>
      <c r="E5211">
        <v>111.31489999999999</v>
      </c>
      <c r="F5211">
        <v>44216</v>
      </c>
    </row>
    <row r="5212" spans="1:6" x14ac:dyDescent="0.25">
      <c r="A5212" s="4">
        <v>41964</v>
      </c>
      <c r="B5212">
        <v>111.7153</v>
      </c>
      <c r="C5212">
        <v>111.7153</v>
      </c>
      <c r="D5212">
        <v>110.11369999999999</v>
      </c>
      <c r="E5212">
        <v>110.9145</v>
      </c>
      <c r="F5212">
        <v>30621</v>
      </c>
    </row>
    <row r="5213" spans="1:6" x14ac:dyDescent="0.25">
      <c r="A5213" s="4">
        <v>41967</v>
      </c>
      <c r="B5213">
        <v>112.1157</v>
      </c>
      <c r="C5213">
        <v>112.51609999999999</v>
      </c>
      <c r="D5213">
        <v>110.5141</v>
      </c>
      <c r="E5213">
        <v>110.9145</v>
      </c>
      <c r="F5213">
        <v>33409</v>
      </c>
    </row>
    <row r="5214" spans="1:6" x14ac:dyDescent="0.25">
      <c r="A5214" s="4">
        <v>41968</v>
      </c>
      <c r="B5214">
        <v>110.9145</v>
      </c>
      <c r="C5214">
        <v>112.1157</v>
      </c>
      <c r="D5214">
        <v>110.9145</v>
      </c>
      <c r="E5214">
        <v>111.31489999999999</v>
      </c>
      <c r="F5214">
        <v>42941</v>
      </c>
    </row>
    <row r="5215" spans="1:6" x14ac:dyDescent="0.25">
      <c r="A5215" s="4">
        <v>41969</v>
      </c>
      <c r="B5215">
        <v>110.9145</v>
      </c>
      <c r="C5215">
        <v>111.31489999999999</v>
      </c>
      <c r="D5215">
        <v>110.5141</v>
      </c>
      <c r="E5215">
        <v>111.31489999999999</v>
      </c>
      <c r="F5215">
        <v>23201</v>
      </c>
    </row>
    <row r="5216" spans="1:6" x14ac:dyDescent="0.25">
      <c r="A5216" s="4">
        <v>41970</v>
      </c>
      <c r="B5216">
        <v>112.1157</v>
      </c>
      <c r="C5216">
        <v>113.7174</v>
      </c>
      <c r="D5216">
        <v>112.1157</v>
      </c>
      <c r="E5216">
        <v>112.1157</v>
      </c>
      <c r="F5216">
        <v>26580</v>
      </c>
    </row>
    <row r="5217" spans="1:6" x14ac:dyDescent="0.25">
      <c r="A5217" s="4">
        <v>41971</v>
      </c>
      <c r="B5217">
        <v>111.31489999999999</v>
      </c>
      <c r="C5217">
        <v>113.31699999999999</v>
      </c>
      <c r="D5217">
        <v>111.31489999999999</v>
      </c>
      <c r="E5217">
        <v>113.31699999999999</v>
      </c>
      <c r="F5217">
        <v>36077</v>
      </c>
    </row>
    <row r="5218" spans="1:6" x14ac:dyDescent="0.25">
      <c r="A5218" s="4">
        <v>41974</v>
      </c>
      <c r="B5218">
        <v>111.31489999999999</v>
      </c>
      <c r="C5218">
        <v>113.7174</v>
      </c>
      <c r="D5218">
        <v>110.9145</v>
      </c>
      <c r="E5218">
        <v>112.1157</v>
      </c>
      <c r="F5218">
        <v>50116</v>
      </c>
    </row>
    <row r="5219" spans="1:6" x14ac:dyDescent="0.25">
      <c r="A5219" s="4">
        <v>41975</v>
      </c>
      <c r="B5219">
        <v>111.7153</v>
      </c>
      <c r="C5219">
        <v>111.7153</v>
      </c>
      <c r="D5219">
        <v>110.11369999999999</v>
      </c>
      <c r="E5219">
        <v>110.11369999999999</v>
      </c>
      <c r="F5219">
        <v>54781</v>
      </c>
    </row>
    <row r="5220" spans="1:6" x14ac:dyDescent="0.25">
      <c r="A5220" s="4">
        <v>41976</v>
      </c>
      <c r="B5220">
        <v>110.11369999999999</v>
      </c>
      <c r="C5220">
        <v>111.31489999999999</v>
      </c>
      <c r="D5220">
        <v>109.3128</v>
      </c>
      <c r="E5220">
        <v>110.5141</v>
      </c>
      <c r="F5220">
        <v>40184</v>
      </c>
    </row>
    <row r="5221" spans="1:6" x14ac:dyDescent="0.25">
      <c r="A5221" s="4">
        <v>41977</v>
      </c>
      <c r="B5221">
        <v>111.31489999999999</v>
      </c>
      <c r="C5221">
        <v>112.1157</v>
      </c>
      <c r="D5221">
        <v>110.9145</v>
      </c>
      <c r="E5221">
        <v>111.31489999999999</v>
      </c>
      <c r="F5221">
        <v>28276</v>
      </c>
    </row>
    <row r="5222" spans="1:6" x14ac:dyDescent="0.25">
      <c r="A5222" s="4">
        <v>41978</v>
      </c>
      <c r="B5222">
        <v>110.9145</v>
      </c>
      <c r="C5222">
        <v>111.7153</v>
      </c>
      <c r="D5222">
        <v>109.7132</v>
      </c>
      <c r="E5222">
        <v>110.11369999999999</v>
      </c>
      <c r="F5222">
        <v>29432</v>
      </c>
    </row>
    <row r="5223" spans="1:6" x14ac:dyDescent="0.25">
      <c r="A5223" s="4">
        <v>41981</v>
      </c>
      <c r="B5223">
        <v>110.5141</v>
      </c>
      <c r="C5223">
        <v>110.9145</v>
      </c>
      <c r="D5223">
        <v>109.7132</v>
      </c>
      <c r="E5223">
        <v>110.5141</v>
      </c>
      <c r="F5223">
        <v>19854</v>
      </c>
    </row>
    <row r="5224" spans="1:6" x14ac:dyDescent="0.25">
      <c r="A5224" s="4">
        <v>41982</v>
      </c>
      <c r="B5224">
        <v>110.5141</v>
      </c>
      <c r="C5224">
        <v>111.31489999999999</v>
      </c>
      <c r="D5224">
        <v>110.11369999999999</v>
      </c>
      <c r="E5224">
        <v>110.5141</v>
      </c>
      <c r="F5224">
        <v>31927</v>
      </c>
    </row>
    <row r="5225" spans="1:6" x14ac:dyDescent="0.25">
      <c r="A5225" s="4">
        <v>41983</v>
      </c>
      <c r="B5225">
        <v>110.5141</v>
      </c>
      <c r="C5225">
        <v>111.31489999999999</v>
      </c>
      <c r="D5225">
        <v>108.91240000000001</v>
      </c>
      <c r="E5225">
        <v>108.91240000000001</v>
      </c>
      <c r="F5225">
        <v>39845</v>
      </c>
    </row>
    <row r="5226" spans="1:6" x14ac:dyDescent="0.25">
      <c r="A5226" s="4">
        <v>41984</v>
      </c>
      <c r="B5226">
        <v>108.1116</v>
      </c>
      <c r="C5226">
        <v>108.91240000000001</v>
      </c>
      <c r="D5226">
        <v>107.71120000000001</v>
      </c>
      <c r="E5226">
        <v>107.71120000000001</v>
      </c>
      <c r="F5226">
        <v>41669</v>
      </c>
    </row>
    <row r="5227" spans="1:6" x14ac:dyDescent="0.25">
      <c r="A5227" s="4">
        <v>41985</v>
      </c>
      <c r="B5227">
        <v>108.1116</v>
      </c>
      <c r="C5227">
        <v>108.91240000000001</v>
      </c>
      <c r="D5227">
        <v>107.71120000000001</v>
      </c>
      <c r="E5227">
        <v>108.1116</v>
      </c>
      <c r="F5227">
        <v>31504</v>
      </c>
    </row>
    <row r="5228" spans="1:6" x14ac:dyDescent="0.25">
      <c r="A5228" s="4">
        <v>41988</v>
      </c>
      <c r="B5228">
        <v>107.71120000000001</v>
      </c>
      <c r="C5228">
        <v>109.3128</v>
      </c>
      <c r="D5228">
        <v>107.71120000000001</v>
      </c>
      <c r="E5228">
        <v>108.91240000000001</v>
      </c>
      <c r="F5228">
        <v>45197</v>
      </c>
    </row>
    <row r="5229" spans="1:6" x14ac:dyDescent="0.25">
      <c r="A5229" s="4">
        <v>41989</v>
      </c>
      <c r="B5229">
        <v>107.71120000000001</v>
      </c>
      <c r="C5229">
        <v>108.512</v>
      </c>
      <c r="D5229">
        <v>106.5099</v>
      </c>
      <c r="E5229">
        <v>106.5099</v>
      </c>
      <c r="F5229">
        <v>41273</v>
      </c>
    </row>
    <row r="5230" spans="1:6" x14ac:dyDescent="0.25">
      <c r="A5230" s="4">
        <v>41990</v>
      </c>
      <c r="B5230">
        <v>106.5099</v>
      </c>
      <c r="C5230">
        <v>106.5099</v>
      </c>
      <c r="D5230">
        <v>104.1075</v>
      </c>
      <c r="E5230">
        <v>104.50790000000001</v>
      </c>
      <c r="F5230">
        <v>84670</v>
      </c>
    </row>
    <row r="5231" spans="1:6" x14ac:dyDescent="0.25">
      <c r="A5231" s="4">
        <v>41991</v>
      </c>
      <c r="B5231">
        <v>105.70910000000001</v>
      </c>
      <c r="C5231">
        <v>106.5099</v>
      </c>
      <c r="D5231">
        <v>104.9083</v>
      </c>
      <c r="E5231">
        <v>105.3087</v>
      </c>
      <c r="F5231">
        <v>51896</v>
      </c>
    </row>
    <row r="5232" spans="1:6" x14ac:dyDescent="0.25">
      <c r="A5232" s="4">
        <v>41992</v>
      </c>
      <c r="B5232">
        <v>107.71120000000001</v>
      </c>
      <c r="C5232">
        <v>110.5141</v>
      </c>
      <c r="D5232">
        <v>107.3108</v>
      </c>
      <c r="E5232">
        <v>110.5141</v>
      </c>
      <c r="F5232">
        <v>44592</v>
      </c>
    </row>
    <row r="5233" spans="1:6" x14ac:dyDescent="0.25">
      <c r="A5233" s="4">
        <v>41995</v>
      </c>
      <c r="B5233">
        <v>110.11369999999999</v>
      </c>
      <c r="C5233">
        <v>112.1157</v>
      </c>
      <c r="D5233">
        <v>109.7132</v>
      </c>
      <c r="E5233">
        <v>110.9145</v>
      </c>
      <c r="F5233">
        <v>34996</v>
      </c>
    </row>
    <row r="5234" spans="1:6" x14ac:dyDescent="0.25">
      <c r="A5234" s="4">
        <v>41996</v>
      </c>
      <c r="B5234">
        <v>111.31489999999999</v>
      </c>
      <c r="C5234">
        <v>112.1157</v>
      </c>
      <c r="D5234">
        <v>109.7132</v>
      </c>
      <c r="E5234">
        <v>110.11369999999999</v>
      </c>
      <c r="F5234">
        <v>19158</v>
      </c>
    </row>
    <row r="5235" spans="1:6" x14ac:dyDescent="0.25">
      <c r="A5235" s="4">
        <v>41997</v>
      </c>
      <c r="B5235">
        <v>108.91240000000001</v>
      </c>
      <c r="C5235">
        <v>110.5141</v>
      </c>
      <c r="D5235">
        <v>108.91240000000001</v>
      </c>
      <c r="E5235">
        <v>110.5141</v>
      </c>
      <c r="F5235">
        <v>16722</v>
      </c>
    </row>
    <row r="5236" spans="1:6" x14ac:dyDescent="0.25">
      <c r="A5236" s="4">
        <v>41998</v>
      </c>
      <c r="B5236">
        <v>109.7132</v>
      </c>
      <c r="C5236">
        <v>110.5141</v>
      </c>
      <c r="D5236">
        <v>109.7132</v>
      </c>
      <c r="E5236">
        <v>110.11369999999999</v>
      </c>
      <c r="F5236">
        <v>7392</v>
      </c>
    </row>
    <row r="5237" spans="1:6" x14ac:dyDescent="0.25">
      <c r="A5237" s="4">
        <v>41999</v>
      </c>
      <c r="B5237">
        <v>110.5141</v>
      </c>
      <c r="C5237">
        <v>111.31489999999999</v>
      </c>
      <c r="D5237">
        <v>109.7132</v>
      </c>
      <c r="E5237">
        <v>111.31489999999999</v>
      </c>
      <c r="F5237">
        <v>13184</v>
      </c>
    </row>
    <row r="5238" spans="1:6" x14ac:dyDescent="0.25">
      <c r="A5238" s="4">
        <v>42000</v>
      </c>
      <c r="B5238">
        <v>111.31489999999999</v>
      </c>
      <c r="C5238">
        <v>111.31489999999999</v>
      </c>
      <c r="D5238">
        <v>110.11369999999999</v>
      </c>
      <c r="E5238">
        <v>110.9145</v>
      </c>
      <c r="F5238">
        <v>4823</v>
      </c>
    </row>
    <row r="5239" spans="1:6" x14ac:dyDescent="0.25">
      <c r="A5239" s="4">
        <v>42002</v>
      </c>
      <c r="B5239">
        <v>110.5141</v>
      </c>
      <c r="C5239">
        <v>112.9166</v>
      </c>
      <c r="D5239">
        <v>110.5141</v>
      </c>
      <c r="E5239">
        <v>112.9166</v>
      </c>
      <c r="F5239">
        <v>35075</v>
      </c>
    </row>
    <row r="5240" spans="1:6" x14ac:dyDescent="0.25">
      <c r="A5240" s="4">
        <v>42003</v>
      </c>
      <c r="B5240">
        <v>112.9166</v>
      </c>
      <c r="C5240">
        <v>113.31699999999999</v>
      </c>
      <c r="D5240">
        <v>111.31489999999999</v>
      </c>
      <c r="E5240">
        <v>112.1157</v>
      </c>
      <c r="F5240">
        <v>23590</v>
      </c>
    </row>
    <row r="5241" spans="1:6" x14ac:dyDescent="0.25">
      <c r="A5241" s="4">
        <v>42004</v>
      </c>
      <c r="B5241">
        <v>111.31489999999999</v>
      </c>
      <c r="C5241">
        <v>112.9166</v>
      </c>
      <c r="D5241">
        <v>111.31489999999999</v>
      </c>
      <c r="E5241">
        <v>112.9166</v>
      </c>
      <c r="F5241">
        <v>18352</v>
      </c>
    </row>
    <row r="5242" spans="1:6" x14ac:dyDescent="0.25">
      <c r="A5242" s="4">
        <v>42009</v>
      </c>
      <c r="B5242">
        <v>112.51609999999999</v>
      </c>
      <c r="C5242">
        <v>112.51609999999999</v>
      </c>
      <c r="D5242">
        <v>110.11369999999999</v>
      </c>
      <c r="E5242">
        <v>111.7153</v>
      </c>
      <c r="F5242">
        <v>32214</v>
      </c>
    </row>
    <row r="5243" spans="1:6" x14ac:dyDescent="0.25">
      <c r="A5243" s="4">
        <v>42010</v>
      </c>
      <c r="B5243">
        <v>110.11369999999999</v>
      </c>
      <c r="C5243">
        <v>110.11369999999999</v>
      </c>
      <c r="D5243">
        <v>106.5099</v>
      </c>
      <c r="E5243">
        <v>106.9104</v>
      </c>
      <c r="F5243">
        <v>67650</v>
      </c>
    </row>
    <row r="5244" spans="1:6" x14ac:dyDescent="0.25">
      <c r="A5244" s="4">
        <v>42011</v>
      </c>
      <c r="B5244">
        <v>106.9104</v>
      </c>
      <c r="C5244">
        <v>108.1116</v>
      </c>
      <c r="D5244">
        <v>106.9104</v>
      </c>
      <c r="E5244">
        <v>107.3108</v>
      </c>
      <c r="F5244">
        <v>43886</v>
      </c>
    </row>
    <row r="5245" spans="1:6" x14ac:dyDescent="0.25">
      <c r="A5245" s="4">
        <v>42012</v>
      </c>
      <c r="B5245">
        <v>109.3128</v>
      </c>
      <c r="C5245">
        <v>110.5141</v>
      </c>
      <c r="D5245">
        <v>108.91240000000001</v>
      </c>
      <c r="E5245">
        <v>110.5141</v>
      </c>
      <c r="F5245">
        <v>42551</v>
      </c>
    </row>
    <row r="5246" spans="1:6" x14ac:dyDescent="0.25">
      <c r="A5246" s="4">
        <v>42013</v>
      </c>
      <c r="B5246">
        <v>108.1116</v>
      </c>
      <c r="C5246">
        <v>108.512</v>
      </c>
      <c r="D5246">
        <v>106.5099</v>
      </c>
      <c r="E5246">
        <v>107.3108</v>
      </c>
      <c r="F5246">
        <v>61920</v>
      </c>
    </row>
    <row r="5247" spans="1:6" x14ac:dyDescent="0.25">
      <c r="A5247" s="4">
        <v>42016</v>
      </c>
      <c r="B5247">
        <v>106.1095</v>
      </c>
      <c r="C5247">
        <v>106.9104</v>
      </c>
      <c r="D5247">
        <v>105.70910000000001</v>
      </c>
      <c r="E5247">
        <v>105.70910000000001</v>
      </c>
      <c r="F5247">
        <v>30403</v>
      </c>
    </row>
    <row r="5248" spans="1:6" x14ac:dyDescent="0.25">
      <c r="A5248" s="4">
        <v>42017</v>
      </c>
      <c r="B5248">
        <v>104.9083</v>
      </c>
      <c r="C5248">
        <v>106.5099</v>
      </c>
      <c r="D5248">
        <v>104.50790000000001</v>
      </c>
      <c r="E5248">
        <v>106.1095</v>
      </c>
      <c r="F5248">
        <v>38094</v>
      </c>
    </row>
    <row r="5249" spans="1:6" x14ac:dyDescent="0.25">
      <c r="A5249" s="4">
        <v>42018</v>
      </c>
      <c r="B5249">
        <v>106.1095</v>
      </c>
      <c r="C5249">
        <v>106.5099</v>
      </c>
      <c r="D5249">
        <v>104.1075</v>
      </c>
      <c r="E5249">
        <v>104.1075</v>
      </c>
      <c r="F5249">
        <v>49447</v>
      </c>
    </row>
    <row r="5250" spans="1:6" x14ac:dyDescent="0.25">
      <c r="A5250" s="4">
        <v>42019</v>
      </c>
      <c r="B5250">
        <v>105.3087</v>
      </c>
      <c r="C5250">
        <v>106.5099</v>
      </c>
      <c r="D5250">
        <v>105.3087</v>
      </c>
      <c r="E5250">
        <v>105.3087</v>
      </c>
      <c r="F5250">
        <v>40997</v>
      </c>
    </row>
    <row r="5251" spans="1:6" x14ac:dyDescent="0.25">
      <c r="A5251" s="4">
        <v>42020</v>
      </c>
      <c r="B5251">
        <v>112.1157</v>
      </c>
      <c r="C5251">
        <v>112.1157</v>
      </c>
      <c r="D5251">
        <v>108.91240000000001</v>
      </c>
      <c r="E5251">
        <v>109.7132</v>
      </c>
      <c r="F5251">
        <v>129036</v>
      </c>
    </row>
    <row r="5252" spans="1:6" x14ac:dyDescent="0.25">
      <c r="A5252" s="4">
        <v>42023</v>
      </c>
      <c r="B5252">
        <v>110.9145</v>
      </c>
      <c r="C5252">
        <v>111.7153</v>
      </c>
      <c r="D5252">
        <v>110.11369999999999</v>
      </c>
      <c r="E5252">
        <v>111.31489999999999</v>
      </c>
      <c r="F5252">
        <v>50176</v>
      </c>
    </row>
    <row r="5253" spans="1:6" x14ac:dyDescent="0.25">
      <c r="A5253" s="4">
        <v>42024</v>
      </c>
      <c r="B5253">
        <v>111.31489999999999</v>
      </c>
      <c r="C5253">
        <v>111.31489999999999</v>
      </c>
      <c r="D5253">
        <v>110.11369999999999</v>
      </c>
      <c r="E5253">
        <v>110.5141</v>
      </c>
      <c r="F5253">
        <v>33796</v>
      </c>
    </row>
    <row r="5254" spans="1:6" x14ac:dyDescent="0.25">
      <c r="A5254" s="4">
        <v>42025</v>
      </c>
      <c r="B5254">
        <v>111.7153</v>
      </c>
      <c r="C5254">
        <v>112.9166</v>
      </c>
      <c r="D5254">
        <v>111.7153</v>
      </c>
      <c r="E5254">
        <v>112.9166</v>
      </c>
      <c r="F5254">
        <v>77293</v>
      </c>
    </row>
    <row r="5255" spans="1:6" x14ac:dyDescent="0.25">
      <c r="A5255" s="4">
        <v>42026</v>
      </c>
      <c r="B5255">
        <v>113.31699999999999</v>
      </c>
      <c r="C5255">
        <v>113.7174</v>
      </c>
      <c r="D5255">
        <v>111.7153</v>
      </c>
      <c r="E5255">
        <v>112.1157</v>
      </c>
      <c r="F5255">
        <v>45654</v>
      </c>
    </row>
    <row r="5256" spans="1:6" x14ac:dyDescent="0.25">
      <c r="A5256" s="4">
        <v>42027</v>
      </c>
      <c r="B5256">
        <v>114.1178</v>
      </c>
      <c r="C5256">
        <v>116.1199</v>
      </c>
      <c r="D5256">
        <v>114.1178</v>
      </c>
      <c r="E5256">
        <v>116.1199</v>
      </c>
      <c r="F5256">
        <v>82360</v>
      </c>
    </row>
    <row r="5257" spans="1:6" x14ac:dyDescent="0.25">
      <c r="A5257" s="4">
        <v>42030</v>
      </c>
      <c r="B5257">
        <v>116.52030000000001</v>
      </c>
      <c r="C5257">
        <v>116.52030000000001</v>
      </c>
      <c r="D5257">
        <v>114.9186</v>
      </c>
      <c r="E5257">
        <v>116.1199</v>
      </c>
      <c r="F5257">
        <v>46941</v>
      </c>
    </row>
    <row r="5258" spans="1:6" x14ac:dyDescent="0.25">
      <c r="A5258" s="4">
        <v>42031</v>
      </c>
      <c r="B5258">
        <v>116.52030000000001</v>
      </c>
      <c r="C5258">
        <v>117.72150000000001</v>
      </c>
      <c r="D5258">
        <v>115.71939999999999</v>
      </c>
      <c r="E5258">
        <v>117.72150000000001</v>
      </c>
      <c r="F5258">
        <v>53363</v>
      </c>
    </row>
    <row r="5259" spans="1:6" x14ac:dyDescent="0.25">
      <c r="A5259" s="4">
        <v>42032</v>
      </c>
      <c r="B5259">
        <v>117.3211</v>
      </c>
      <c r="C5259">
        <v>117.72150000000001</v>
      </c>
      <c r="D5259">
        <v>116.52030000000001</v>
      </c>
      <c r="E5259">
        <v>117.3211</v>
      </c>
      <c r="F5259">
        <v>48373</v>
      </c>
    </row>
    <row r="5260" spans="1:6" x14ac:dyDescent="0.25">
      <c r="A5260" s="4">
        <v>42033</v>
      </c>
      <c r="B5260">
        <v>115.319</v>
      </c>
      <c r="C5260">
        <v>116.1199</v>
      </c>
      <c r="D5260">
        <v>114.51819999999999</v>
      </c>
      <c r="E5260">
        <v>114.9186</v>
      </c>
      <c r="F5260">
        <v>36888</v>
      </c>
    </row>
    <row r="5261" spans="1:6" x14ac:dyDescent="0.25">
      <c r="A5261" s="4">
        <v>42034</v>
      </c>
      <c r="B5261">
        <v>116.1199</v>
      </c>
      <c r="C5261">
        <v>116.52030000000001</v>
      </c>
      <c r="D5261">
        <v>112.9166</v>
      </c>
      <c r="E5261">
        <v>112.9166</v>
      </c>
      <c r="F5261">
        <v>44413</v>
      </c>
    </row>
    <row r="5262" spans="1:6" x14ac:dyDescent="0.25">
      <c r="A5262" s="4">
        <v>42037</v>
      </c>
      <c r="B5262">
        <v>112.51609999999999</v>
      </c>
      <c r="C5262">
        <v>114.51819999999999</v>
      </c>
      <c r="D5262">
        <v>112.51609999999999</v>
      </c>
      <c r="E5262">
        <v>114.1178</v>
      </c>
      <c r="F5262">
        <v>30383</v>
      </c>
    </row>
    <row r="5263" spans="1:6" x14ac:dyDescent="0.25">
      <c r="A5263" s="4">
        <v>42038</v>
      </c>
      <c r="B5263">
        <v>114.51819999999999</v>
      </c>
      <c r="C5263">
        <v>115.71939999999999</v>
      </c>
      <c r="D5263">
        <v>113.7174</v>
      </c>
      <c r="E5263">
        <v>115.71939999999999</v>
      </c>
      <c r="F5263">
        <v>27235</v>
      </c>
    </row>
    <row r="5264" spans="1:6" x14ac:dyDescent="0.25">
      <c r="A5264" s="4">
        <v>42039</v>
      </c>
      <c r="B5264">
        <v>115.71939999999999</v>
      </c>
      <c r="C5264">
        <v>117.3211</v>
      </c>
      <c r="D5264">
        <v>115.319</v>
      </c>
      <c r="E5264">
        <v>116.9207</v>
      </c>
      <c r="F5264">
        <v>43152</v>
      </c>
    </row>
    <row r="5265" spans="1:6" x14ac:dyDescent="0.25">
      <c r="A5265" s="4">
        <v>42040</v>
      </c>
      <c r="B5265">
        <v>116.52030000000001</v>
      </c>
      <c r="C5265">
        <v>116.9207</v>
      </c>
      <c r="D5265">
        <v>114.9186</v>
      </c>
      <c r="E5265">
        <v>116.52030000000001</v>
      </c>
      <c r="F5265">
        <v>25328</v>
      </c>
    </row>
    <row r="5266" spans="1:6" x14ac:dyDescent="0.25">
      <c r="A5266" s="4">
        <v>42041</v>
      </c>
      <c r="B5266">
        <v>116.52030000000001</v>
      </c>
      <c r="C5266">
        <v>116.52030000000001</v>
      </c>
      <c r="D5266">
        <v>114.51819999999999</v>
      </c>
      <c r="E5266">
        <v>114.51819999999999</v>
      </c>
      <c r="F5266">
        <v>28668</v>
      </c>
    </row>
    <row r="5267" spans="1:6" x14ac:dyDescent="0.25">
      <c r="A5267" s="4">
        <v>42044</v>
      </c>
      <c r="B5267">
        <v>114.51819999999999</v>
      </c>
      <c r="C5267">
        <v>114.9186</v>
      </c>
      <c r="D5267">
        <v>113.31699999999999</v>
      </c>
      <c r="E5267">
        <v>113.7174</v>
      </c>
      <c r="F5267">
        <v>26651</v>
      </c>
    </row>
    <row r="5268" spans="1:6" x14ac:dyDescent="0.25">
      <c r="A5268" s="4">
        <v>42045</v>
      </c>
      <c r="B5268">
        <v>113.7174</v>
      </c>
      <c r="C5268">
        <v>114.51819999999999</v>
      </c>
      <c r="D5268">
        <v>113.31699999999999</v>
      </c>
      <c r="E5268">
        <v>114.1178</v>
      </c>
      <c r="F5268">
        <v>33452</v>
      </c>
    </row>
    <row r="5269" spans="1:6" x14ac:dyDescent="0.25">
      <c r="A5269" s="4">
        <v>42046</v>
      </c>
      <c r="B5269">
        <v>116.9207</v>
      </c>
      <c r="C5269">
        <v>119.3232</v>
      </c>
      <c r="D5269">
        <v>116.9207</v>
      </c>
      <c r="E5269">
        <v>118.5223</v>
      </c>
      <c r="F5269">
        <v>71429</v>
      </c>
    </row>
    <row r="5270" spans="1:6" x14ac:dyDescent="0.25">
      <c r="A5270" s="4">
        <v>42047</v>
      </c>
      <c r="B5270">
        <v>119.7236</v>
      </c>
      <c r="C5270">
        <v>119.7236</v>
      </c>
      <c r="D5270">
        <v>118.1219</v>
      </c>
      <c r="E5270">
        <v>118.9228</v>
      </c>
      <c r="F5270">
        <v>35028</v>
      </c>
    </row>
    <row r="5271" spans="1:6" x14ac:dyDescent="0.25">
      <c r="A5271" s="4">
        <v>42048</v>
      </c>
      <c r="B5271">
        <v>118.9228</v>
      </c>
      <c r="C5271">
        <v>120.124</v>
      </c>
      <c r="D5271">
        <v>118.5223</v>
      </c>
      <c r="E5271">
        <v>118.9228</v>
      </c>
      <c r="F5271">
        <v>38572</v>
      </c>
    </row>
    <row r="5272" spans="1:6" x14ac:dyDescent="0.25">
      <c r="A5272" s="4">
        <v>42059</v>
      </c>
      <c r="B5272">
        <v>119.3232</v>
      </c>
      <c r="C5272">
        <v>121.7256</v>
      </c>
      <c r="D5272">
        <v>118.9228</v>
      </c>
      <c r="E5272">
        <v>120.9248</v>
      </c>
      <c r="F5272">
        <v>74444</v>
      </c>
    </row>
    <row r="5273" spans="1:6" x14ac:dyDescent="0.25">
      <c r="A5273" s="4">
        <v>42060</v>
      </c>
      <c r="B5273">
        <v>122.12609999999999</v>
      </c>
      <c r="C5273">
        <v>123.7277</v>
      </c>
      <c r="D5273">
        <v>122.12609999999999</v>
      </c>
      <c r="E5273">
        <v>123.7277</v>
      </c>
      <c r="F5273">
        <v>48327</v>
      </c>
    </row>
    <row r="5274" spans="1:6" x14ac:dyDescent="0.25">
      <c r="A5274" s="4">
        <v>42061</v>
      </c>
      <c r="B5274">
        <v>122.9269</v>
      </c>
      <c r="C5274">
        <v>123.32729999999999</v>
      </c>
      <c r="D5274">
        <v>120.5244</v>
      </c>
      <c r="E5274">
        <v>120.5244</v>
      </c>
      <c r="F5274">
        <v>58407</v>
      </c>
    </row>
    <row r="5275" spans="1:6" x14ac:dyDescent="0.25">
      <c r="A5275" s="4">
        <v>42065</v>
      </c>
      <c r="B5275">
        <v>121.3252</v>
      </c>
      <c r="C5275">
        <v>122.5265</v>
      </c>
      <c r="D5275">
        <v>118.9228</v>
      </c>
      <c r="E5275">
        <v>119.3232</v>
      </c>
      <c r="F5275">
        <v>41707</v>
      </c>
    </row>
    <row r="5276" spans="1:6" x14ac:dyDescent="0.25">
      <c r="A5276" s="4">
        <v>42066</v>
      </c>
      <c r="B5276">
        <v>120.124</v>
      </c>
      <c r="C5276">
        <v>120.9248</v>
      </c>
      <c r="D5276">
        <v>118.9228</v>
      </c>
      <c r="E5276">
        <v>120.5244</v>
      </c>
      <c r="F5276">
        <v>29206</v>
      </c>
    </row>
    <row r="5277" spans="1:6" x14ac:dyDescent="0.25">
      <c r="A5277" s="4">
        <v>42067</v>
      </c>
      <c r="B5277">
        <v>120.124</v>
      </c>
      <c r="C5277">
        <v>121.3252</v>
      </c>
      <c r="D5277">
        <v>119.3232</v>
      </c>
      <c r="E5277">
        <v>120.5244</v>
      </c>
      <c r="F5277">
        <v>32782</v>
      </c>
    </row>
    <row r="5278" spans="1:6" x14ac:dyDescent="0.25">
      <c r="A5278" s="4">
        <v>42068</v>
      </c>
      <c r="B5278">
        <v>120.124</v>
      </c>
      <c r="C5278">
        <v>120.9248</v>
      </c>
      <c r="D5278">
        <v>118.9228</v>
      </c>
      <c r="E5278">
        <v>120.124</v>
      </c>
      <c r="F5278">
        <v>29852</v>
      </c>
    </row>
    <row r="5279" spans="1:6" x14ac:dyDescent="0.25">
      <c r="A5279" s="4">
        <v>42069</v>
      </c>
      <c r="B5279">
        <v>119.3232</v>
      </c>
      <c r="C5279">
        <v>119.7236</v>
      </c>
      <c r="D5279">
        <v>118.9228</v>
      </c>
      <c r="E5279">
        <v>119.3232</v>
      </c>
      <c r="F5279">
        <v>33211</v>
      </c>
    </row>
    <row r="5280" spans="1:6" x14ac:dyDescent="0.25">
      <c r="A5280" s="4">
        <v>42072</v>
      </c>
      <c r="B5280">
        <v>118.1219</v>
      </c>
      <c r="C5280">
        <v>118.1219</v>
      </c>
      <c r="D5280">
        <v>116.1199</v>
      </c>
      <c r="E5280">
        <v>116.52030000000001</v>
      </c>
      <c r="F5280">
        <v>67546</v>
      </c>
    </row>
    <row r="5281" spans="1:6" x14ac:dyDescent="0.25">
      <c r="A5281" s="4">
        <v>42073</v>
      </c>
      <c r="B5281">
        <v>116.1199</v>
      </c>
      <c r="C5281">
        <v>116.1199</v>
      </c>
      <c r="D5281">
        <v>115.319</v>
      </c>
      <c r="E5281">
        <v>115.319</v>
      </c>
      <c r="F5281">
        <v>46859</v>
      </c>
    </row>
    <row r="5282" spans="1:6" x14ac:dyDescent="0.25">
      <c r="A5282" s="4">
        <v>42074</v>
      </c>
      <c r="B5282">
        <v>114.9186</v>
      </c>
      <c r="C5282">
        <v>118.5223</v>
      </c>
      <c r="D5282">
        <v>114.51819999999999</v>
      </c>
      <c r="E5282">
        <v>116.9207</v>
      </c>
      <c r="F5282">
        <v>51828</v>
      </c>
    </row>
    <row r="5283" spans="1:6" x14ac:dyDescent="0.25">
      <c r="A5283" s="4">
        <v>42075</v>
      </c>
      <c r="B5283">
        <v>117.72150000000001</v>
      </c>
      <c r="C5283">
        <v>118.9228</v>
      </c>
      <c r="D5283">
        <v>117.3211</v>
      </c>
      <c r="E5283">
        <v>118.5223</v>
      </c>
      <c r="F5283">
        <v>32365</v>
      </c>
    </row>
    <row r="5284" spans="1:6" x14ac:dyDescent="0.25">
      <c r="A5284" s="4">
        <v>42076</v>
      </c>
      <c r="B5284">
        <v>118.5223</v>
      </c>
      <c r="C5284">
        <v>119.7236</v>
      </c>
      <c r="D5284">
        <v>117.72150000000001</v>
      </c>
      <c r="E5284">
        <v>119.3232</v>
      </c>
      <c r="F5284">
        <v>46408</v>
      </c>
    </row>
    <row r="5285" spans="1:6" x14ac:dyDescent="0.25">
      <c r="A5285" s="4">
        <v>42079</v>
      </c>
      <c r="B5285">
        <v>119.3232</v>
      </c>
      <c r="C5285">
        <v>119.7236</v>
      </c>
      <c r="D5285">
        <v>116.9207</v>
      </c>
      <c r="E5285">
        <v>116.9207</v>
      </c>
      <c r="F5285">
        <v>37463</v>
      </c>
    </row>
    <row r="5286" spans="1:6" x14ac:dyDescent="0.25">
      <c r="A5286" s="4">
        <v>42080</v>
      </c>
      <c r="B5286">
        <v>118.9228</v>
      </c>
      <c r="C5286">
        <v>120.124</v>
      </c>
      <c r="D5286">
        <v>118.9228</v>
      </c>
      <c r="E5286">
        <v>119.3232</v>
      </c>
      <c r="F5286">
        <v>55770</v>
      </c>
    </row>
    <row r="5287" spans="1:6" x14ac:dyDescent="0.25">
      <c r="A5287" s="4">
        <v>42081</v>
      </c>
      <c r="B5287">
        <v>120.9248</v>
      </c>
      <c r="C5287">
        <v>123.32729999999999</v>
      </c>
      <c r="D5287">
        <v>120.124</v>
      </c>
      <c r="E5287">
        <v>122.9269</v>
      </c>
      <c r="F5287">
        <v>71221</v>
      </c>
    </row>
    <row r="5288" spans="1:6" x14ac:dyDescent="0.25">
      <c r="A5288" s="4">
        <v>42082</v>
      </c>
      <c r="B5288">
        <v>122.12609999999999</v>
      </c>
      <c r="C5288">
        <v>124.1281</v>
      </c>
      <c r="D5288">
        <v>122.12609999999999</v>
      </c>
      <c r="E5288">
        <v>123.32729999999999</v>
      </c>
      <c r="F5288">
        <v>43513</v>
      </c>
    </row>
    <row r="5289" spans="1:6" x14ac:dyDescent="0.25">
      <c r="A5289" s="4">
        <v>42083</v>
      </c>
      <c r="B5289">
        <v>121.3252</v>
      </c>
      <c r="C5289">
        <v>123.32729999999999</v>
      </c>
      <c r="D5289">
        <v>121.3252</v>
      </c>
      <c r="E5289">
        <v>123.32729999999999</v>
      </c>
      <c r="F5289">
        <v>38595</v>
      </c>
    </row>
    <row r="5290" spans="1:6" x14ac:dyDescent="0.25">
      <c r="A5290" s="4">
        <v>42086</v>
      </c>
      <c r="B5290">
        <v>123.32729999999999</v>
      </c>
      <c r="C5290">
        <v>123.32729999999999</v>
      </c>
      <c r="D5290">
        <v>122.12609999999999</v>
      </c>
      <c r="E5290">
        <v>122.9269</v>
      </c>
      <c r="F5290">
        <v>26369</v>
      </c>
    </row>
    <row r="5291" spans="1:6" x14ac:dyDescent="0.25">
      <c r="A5291" s="4">
        <v>42087</v>
      </c>
      <c r="B5291">
        <v>122.9269</v>
      </c>
      <c r="C5291">
        <v>122.9269</v>
      </c>
      <c r="D5291">
        <v>121.3252</v>
      </c>
      <c r="E5291">
        <v>121.3252</v>
      </c>
      <c r="F5291">
        <v>38208</v>
      </c>
    </row>
    <row r="5292" spans="1:6" x14ac:dyDescent="0.25">
      <c r="A5292" s="4">
        <v>42088</v>
      </c>
      <c r="B5292">
        <v>121.7256</v>
      </c>
      <c r="C5292">
        <v>122.12609999999999</v>
      </c>
      <c r="D5292">
        <v>120.5244</v>
      </c>
      <c r="E5292">
        <v>120.9248</v>
      </c>
      <c r="F5292">
        <v>50141</v>
      </c>
    </row>
    <row r="5293" spans="1:6" x14ac:dyDescent="0.25">
      <c r="A5293" s="4">
        <v>42089</v>
      </c>
      <c r="B5293">
        <v>116.52030000000001</v>
      </c>
      <c r="C5293">
        <v>117.72150000000001</v>
      </c>
      <c r="D5293">
        <v>115.71939999999999</v>
      </c>
      <c r="E5293">
        <v>116.52030000000001</v>
      </c>
      <c r="F5293">
        <v>162835</v>
      </c>
    </row>
    <row r="5294" spans="1:6" x14ac:dyDescent="0.25">
      <c r="A5294" s="4">
        <v>42090</v>
      </c>
      <c r="B5294">
        <v>115.319</v>
      </c>
      <c r="C5294">
        <v>116.52030000000001</v>
      </c>
      <c r="D5294">
        <v>114.1178</v>
      </c>
      <c r="E5294">
        <v>114.1178</v>
      </c>
      <c r="F5294">
        <v>112920</v>
      </c>
    </row>
    <row r="5295" spans="1:6" x14ac:dyDescent="0.25">
      <c r="A5295" s="4">
        <v>42093</v>
      </c>
      <c r="B5295">
        <v>114.1178</v>
      </c>
      <c r="C5295">
        <v>115.319</v>
      </c>
      <c r="D5295">
        <v>113.7174</v>
      </c>
      <c r="E5295">
        <v>114.1178</v>
      </c>
      <c r="F5295">
        <v>64898</v>
      </c>
    </row>
    <row r="5296" spans="1:6" x14ac:dyDescent="0.25">
      <c r="A5296" s="4">
        <v>42094</v>
      </c>
      <c r="B5296">
        <v>115.319</v>
      </c>
      <c r="C5296">
        <v>116.52030000000001</v>
      </c>
      <c r="D5296">
        <v>114.51819999999999</v>
      </c>
      <c r="E5296">
        <v>116.52030000000001</v>
      </c>
      <c r="F5296">
        <v>56919</v>
      </c>
    </row>
    <row r="5297" spans="1:6" x14ac:dyDescent="0.25">
      <c r="A5297" s="4">
        <v>42095</v>
      </c>
      <c r="B5297">
        <v>116.1199</v>
      </c>
      <c r="C5297">
        <v>116.1199</v>
      </c>
      <c r="D5297">
        <v>114.9186</v>
      </c>
      <c r="E5297">
        <v>115.319</v>
      </c>
      <c r="F5297">
        <v>39056</v>
      </c>
    </row>
    <row r="5298" spans="1:6" x14ac:dyDescent="0.25">
      <c r="A5298" s="4">
        <v>42096</v>
      </c>
      <c r="B5298">
        <v>116.1199</v>
      </c>
      <c r="C5298">
        <v>118.5223</v>
      </c>
      <c r="D5298">
        <v>115.71939999999999</v>
      </c>
      <c r="E5298">
        <v>117.72150000000001</v>
      </c>
      <c r="F5298">
        <v>52174</v>
      </c>
    </row>
    <row r="5299" spans="1:6" x14ac:dyDescent="0.25">
      <c r="A5299" s="4">
        <v>42101</v>
      </c>
      <c r="B5299">
        <v>117.3211</v>
      </c>
      <c r="C5299">
        <v>118.1219</v>
      </c>
      <c r="D5299">
        <v>116.1199</v>
      </c>
      <c r="E5299">
        <v>116.9207</v>
      </c>
      <c r="F5299">
        <v>34902</v>
      </c>
    </row>
    <row r="5300" spans="1:6" x14ac:dyDescent="0.25">
      <c r="A5300" s="4">
        <v>42102</v>
      </c>
      <c r="B5300">
        <v>116.52030000000001</v>
      </c>
      <c r="C5300">
        <v>116.9207</v>
      </c>
      <c r="D5300">
        <v>114.51819999999999</v>
      </c>
      <c r="E5300">
        <v>114.51819999999999</v>
      </c>
      <c r="F5300">
        <v>49474</v>
      </c>
    </row>
    <row r="5301" spans="1:6" x14ac:dyDescent="0.25">
      <c r="A5301" s="4">
        <v>42103</v>
      </c>
      <c r="B5301">
        <v>115.319</v>
      </c>
      <c r="C5301">
        <v>116.52030000000001</v>
      </c>
      <c r="D5301">
        <v>114.51819999999999</v>
      </c>
      <c r="E5301">
        <v>114.51819999999999</v>
      </c>
      <c r="F5301">
        <v>47243</v>
      </c>
    </row>
    <row r="5302" spans="1:6" x14ac:dyDescent="0.25">
      <c r="A5302" s="4">
        <v>42104</v>
      </c>
      <c r="B5302">
        <v>116.9207</v>
      </c>
      <c r="C5302">
        <v>117.72150000000001</v>
      </c>
      <c r="D5302">
        <v>116.1199</v>
      </c>
      <c r="E5302">
        <v>117.72150000000001</v>
      </c>
      <c r="F5302">
        <v>33909</v>
      </c>
    </row>
    <row r="5303" spans="1:6" x14ac:dyDescent="0.25">
      <c r="A5303" s="4">
        <v>42107</v>
      </c>
      <c r="B5303">
        <v>117.3211</v>
      </c>
      <c r="C5303">
        <v>118.1219</v>
      </c>
      <c r="D5303">
        <v>116.9207</v>
      </c>
      <c r="E5303">
        <v>117.72150000000001</v>
      </c>
      <c r="F5303">
        <v>26427</v>
      </c>
    </row>
    <row r="5304" spans="1:6" x14ac:dyDescent="0.25">
      <c r="A5304" s="4">
        <v>42108</v>
      </c>
      <c r="B5304">
        <v>116.1199</v>
      </c>
      <c r="C5304">
        <v>116.52030000000001</v>
      </c>
      <c r="D5304">
        <v>114.9186</v>
      </c>
      <c r="E5304">
        <v>115.319</v>
      </c>
      <c r="F5304">
        <v>41702</v>
      </c>
    </row>
    <row r="5305" spans="1:6" x14ac:dyDescent="0.25">
      <c r="A5305" s="4">
        <v>42109</v>
      </c>
      <c r="B5305">
        <v>114.9186</v>
      </c>
      <c r="C5305">
        <v>115.71939999999999</v>
      </c>
      <c r="D5305">
        <v>113.31699999999999</v>
      </c>
      <c r="E5305">
        <v>114.51819999999999</v>
      </c>
      <c r="F5305">
        <v>71626</v>
      </c>
    </row>
    <row r="5306" spans="1:6" x14ac:dyDescent="0.25">
      <c r="A5306" s="4">
        <v>42110</v>
      </c>
      <c r="B5306">
        <v>116.1199</v>
      </c>
      <c r="C5306">
        <v>117.72150000000001</v>
      </c>
      <c r="D5306">
        <v>115.71939999999999</v>
      </c>
      <c r="E5306">
        <v>117.72150000000001</v>
      </c>
      <c r="F5306">
        <v>55563</v>
      </c>
    </row>
    <row r="5307" spans="1:6" x14ac:dyDescent="0.25">
      <c r="A5307" s="4">
        <v>42111</v>
      </c>
      <c r="B5307">
        <v>114.51819999999999</v>
      </c>
      <c r="C5307">
        <v>115.319</v>
      </c>
      <c r="D5307">
        <v>114.1178</v>
      </c>
      <c r="E5307">
        <v>114.1178</v>
      </c>
      <c r="F5307">
        <v>79008</v>
      </c>
    </row>
    <row r="5308" spans="1:6" x14ac:dyDescent="0.25">
      <c r="A5308" s="4">
        <v>42114</v>
      </c>
      <c r="B5308">
        <v>113.7174</v>
      </c>
      <c r="C5308">
        <v>115.319</v>
      </c>
      <c r="D5308">
        <v>113.31699999999999</v>
      </c>
      <c r="E5308">
        <v>114.51819999999999</v>
      </c>
      <c r="F5308">
        <v>43594</v>
      </c>
    </row>
    <row r="5309" spans="1:6" x14ac:dyDescent="0.25">
      <c r="A5309" s="4">
        <v>42115</v>
      </c>
      <c r="B5309">
        <v>113.7174</v>
      </c>
      <c r="C5309">
        <v>114.9186</v>
      </c>
      <c r="D5309">
        <v>113.31699999999999</v>
      </c>
      <c r="E5309">
        <v>114.1178</v>
      </c>
      <c r="F5309">
        <v>40893</v>
      </c>
    </row>
    <row r="5310" spans="1:6" x14ac:dyDescent="0.25">
      <c r="A5310" s="4">
        <v>42116</v>
      </c>
      <c r="B5310">
        <v>114.9186</v>
      </c>
      <c r="C5310">
        <v>116.1199</v>
      </c>
      <c r="D5310">
        <v>114.51819999999999</v>
      </c>
      <c r="E5310">
        <v>114.9186</v>
      </c>
      <c r="F5310">
        <v>40632</v>
      </c>
    </row>
    <row r="5311" spans="1:6" x14ac:dyDescent="0.25">
      <c r="A5311" s="4">
        <v>42117</v>
      </c>
      <c r="B5311">
        <v>116.52030000000001</v>
      </c>
      <c r="C5311">
        <v>117.72150000000001</v>
      </c>
      <c r="D5311">
        <v>116.1199</v>
      </c>
      <c r="E5311">
        <v>117.72150000000001</v>
      </c>
      <c r="F5311">
        <v>47852</v>
      </c>
    </row>
    <row r="5312" spans="1:6" x14ac:dyDescent="0.25">
      <c r="A5312" s="4">
        <v>42118</v>
      </c>
      <c r="B5312">
        <v>119.3232</v>
      </c>
      <c r="C5312">
        <v>122.12609999999999</v>
      </c>
      <c r="D5312">
        <v>118.9228</v>
      </c>
      <c r="E5312">
        <v>122.12609999999999</v>
      </c>
      <c r="F5312">
        <v>135458</v>
      </c>
    </row>
    <row r="5313" spans="1:6" x14ac:dyDescent="0.25">
      <c r="A5313" s="4">
        <v>42121</v>
      </c>
      <c r="B5313">
        <v>122.5265</v>
      </c>
      <c r="C5313">
        <v>122.5265</v>
      </c>
      <c r="D5313">
        <v>120.124</v>
      </c>
      <c r="E5313">
        <v>121.3252</v>
      </c>
      <c r="F5313">
        <v>58113</v>
      </c>
    </row>
    <row r="5314" spans="1:6" x14ac:dyDescent="0.25">
      <c r="A5314" s="4">
        <v>42122</v>
      </c>
      <c r="B5314">
        <v>122.9269</v>
      </c>
      <c r="C5314">
        <v>122.9269</v>
      </c>
      <c r="D5314">
        <v>120.5244</v>
      </c>
      <c r="E5314">
        <v>121.3252</v>
      </c>
      <c r="F5314">
        <v>43296</v>
      </c>
    </row>
    <row r="5315" spans="1:6" x14ac:dyDescent="0.25">
      <c r="A5315" s="4">
        <v>42123</v>
      </c>
      <c r="B5315">
        <v>120.124</v>
      </c>
      <c r="C5315">
        <v>120.9248</v>
      </c>
      <c r="D5315">
        <v>118.5223</v>
      </c>
      <c r="E5315">
        <v>118.9228</v>
      </c>
      <c r="F5315">
        <v>37440</v>
      </c>
    </row>
    <row r="5316" spans="1:6" x14ac:dyDescent="0.25">
      <c r="A5316" s="4">
        <v>42124</v>
      </c>
      <c r="B5316">
        <v>117.72150000000001</v>
      </c>
      <c r="C5316">
        <v>118.9228</v>
      </c>
      <c r="D5316">
        <v>117.3211</v>
      </c>
      <c r="E5316">
        <v>117.72150000000001</v>
      </c>
      <c r="F5316">
        <v>48983</v>
      </c>
    </row>
    <row r="5317" spans="1:6" x14ac:dyDescent="0.25">
      <c r="A5317" s="4">
        <v>42128</v>
      </c>
      <c r="B5317">
        <v>118.9228</v>
      </c>
      <c r="C5317">
        <v>118.9228</v>
      </c>
      <c r="D5317">
        <v>116.9207</v>
      </c>
      <c r="E5317">
        <v>118.1219</v>
      </c>
      <c r="F5317">
        <v>30869</v>
      </c>
    </row>
    <row r="5318" spans="1:6" x14ac:dyDescent="0.25">
      <c r="A5318" s="4">
        <v>42129</v>
      </c>
      <c r="B5318">
        <v>118.1219</v>
      </c>
      <c r="C5318">
        <v>118.5223</v>
      </c>
      <c r="D5318">
        <v>116.9207</v>
      </c>
      <c r="E5318">
        <v>117.72150000000001</v>
      </c>
      <c r="F5318">
        <v>27789</v>
      </c>
    </row>
    <row r="5319" spans="1:6" x14ac:dyDescent="0.25">
      <c r="A5319" s="4">
        <v>42130</v>
      </c>
      <c r="B5319">
        <v>116.52030000000001</v>
      </c>
      <c r="C5319">
        <v>118.5223</v>
      </c>
      <c r="D5319">
        <v>116.52030000000001</v>
      </c>
      <c r="E5319">
        <v>118.1219</v>
      </c>
      <c r="F5319">
        <v>18824</v>
      </c>
    </row>
    <row r="5320" spans="1:6" x14ac:dyDescent="0.25">
      <c r="A5320" s="4">
        <v>42131</v>
      </c>
      <c r="B5320">
        <v>116.9207</v>
      </c>
      <c r="C5320">
        <v>118.1219</v>
      </c>
      <c r="D5320">
        <v>116.9207</v>
      </c>
      <c r="E5320">
        <v>117.3211</v>
      </c>
      <c r="F5320">
        <v>21908</v>
      </c>
    </row>
    <row r="5321" spans="1:6" x14ac:dyDescent="0.25">
      <c r="A5321" s="4">
        <v>42132</v>
      </c>
      <c r="B5321">
        <v>116.9207</v>
      </c>
      <c r="C5321">
        <v>118.1219</v>
      </c>
      <c r="D5321">
        <v>116.9207</v>
      </c>
      <c r="E5321">
        <v>117.3211</v>
      </c>
      <c r="F5321">
        <v>20036</v>
      </c>
    </row>
    <row r="5322" spans="1:6" x14ac:dyDescent="0.25">
      <c r="A5322" s="4">
        <v>42135</v>
      </c>
      <c r="B5322">
        <v>119.3232</v>
      </c>
      <c r="C5322">
        <v>119.3232</v>
      </c>
      <c r="D5322">
        <v>117.72150000000001</v>
      </c>
      <c r="E5322">
        <v>118.9228</v>
      </c>
      <c r="F5322">
        <v>20403</v>
      </c>
    </row>
    <row r="5323" spans="1:6" x14ac:dyDescent="0.25">
      <c r="A5323" s="4">
        <v>42136</v>
      </c>
      <c r="B5323">
        <v>117.72150000000001</v>
      </c>
      <c r="C5323">
        <v>118.9228</v>
      </c>
      <c r="D5323">
        <v>117.72150000000001</v>
      </c>
      <c r="E5323">
        <v>118.1219</v>
      </c>
      <c r="F5323">
        <v>24956</v>
      </c>
    </row>
    <row r="5324" spans="1:6" x14ac:dyDescent="0.25">
      <c r="A5324" s="4">
        <v>42137</v>
      </c>
      <c r="B5324">
        <v>118.1219</v>
      </c>
      <c r="C5324">
        <v>119.3232</v>
      </c>
      <c r="D5324">
        <v>117.72150000000001</v>
      </c>
      <c r="E5324">
        <v>118.5223</v>
      </c>
      <c r="F5324">
        <v>19438</v>
      </c>
    </row>
    <row r="5325" spans="1:6" x14ac:dyDescent="0.25">
      <c r="A5325" s="4">
        <v>42138</v>
      </c>
      <c r="B5325">
        <v>118.5223</v>
      </c>
      <c r="C5325">
        <v>118.9228</v>
      </c>
      <c r="D5325">
        <v>116.9207</v>
      </c>
      <c r="E5325">
        <v>116.9207</v>
      </c>
      <c r="F5325">
        <v>39889</v>
      </c>
    </row>
    <row r="5326" spans="1:6" x14ac:dyDescent="0.25">
      <c r="A5326" s="4">
        <v>42139</v>
      </c>
      <c r="B5326">
        <v>117.72150000000001</v>
      </c>
      <c r="C5326">
        <v>117.72150000000001</v>
      </c>
      <c r="D5326">
        <v>116.1199</v>
      </c>
      <c r="E5326">
        <v>117.3211</v>
      </c>
      <c r="F5326">
        <v>24832</v>
      </c>
    </row>
    <row r="5327" spans="1:6" x14ac:dyDescent="0.25">
      <c r="A5327" s="4">
        <v>42142</v>
      </c>
      <c r="B5327">
        <v>117.72150000000001</v>
      </c>
      <c r="C5327">
        <v>117.72150000000001</v>
      </c>
      <c r="D5327">
        <v>116.1199</v>
      </c>
      <c r="E5327">
        <v>117.3211</v>
      </c>
      <c r="F5327">
        <v>26212</v>
      </c>
    </row>
    <row r="5328" spans="1:6" x14ac:dyDescent="0.25">
      <c r="A5328" s="4">
        <v>42143</v>
      </c>
      <c r="B5328">
        <v>116.52030000000001</v>
      </c>
      <c r="C5328">
        <v>118.1219</v>
      </c>
      <c r="D5328">
        <v>116.1199</v>
      </c>
      <c r="E5328">
        <v>117.3211</v>
      </c>
      <c r="F5328">
        <v>26321</v>
      </c>
    </row>
    <row r="5329" spans="1:6" x14ac:dyDescent="0.25">
      <c r="A5329" s="4">
        <v>42144</v>
      </c>
      <c r="B5329">
        <v>117.3211</v>
      </c>
      <c r="C5329">
        <v>117.72150000000001</v>
      </c>
      <c r="D5329">
        <v>116.9207</v>
      </c>
      <c r="E5329">
        <v>117.3211</v>
      </c>
      <c r="F5329">
        <v>26985</v>
      </c>
    </row>
    <row r="5330" spans="1:6" x14ac:dyDescent="0.25">
      <c r="A5330" s="4">
        <v>42145</v>
      </c>
      <c r="B5330">
        <v>116.9207</v>
      </c>
      <c r="C5330">
        <v>117.3211</v>
      </c>
      <c r="D5330">
        <v>115.71939999999999</v>
      </c>
      <c r="E5330">
        <v>116.52030000000001</v>
      </c>
      <c r="F5330">
        <v>41287</v>
      </c>
    </row>
    <row r="5331" spans="1:6" x14ac:dyDescent="0.25">
      <c r="A5331" s="4">
        <v>42146</v>
      </c>
      <c r="B5331">
        <v>116.9207</v>
      </c>
      <c r="C5331">
        <v>117.72150000000001</v>
      </c>
      <c r="D5331">
        <v>116.1199</v>
      </c>
      <c r="E5331">
        <v>116.52030000000001</v>
      </c>
      <c r="F5331">
        <v>22104</v>
      </c>
    </row>
    <row r="5332" spans="1:6" x14ac:dyDescent="0.25">
      <c r="A5332" s="4">
        <v>42149</v>
      </c>
      <c r="B5332">
        <v>117.3211</v>
      </c>
      <c r="C5332">
        <v>118.1219</v>
      </c>
      <c r="D5332">
        <v>116.52030000000001</v>
      </c>
      <c r="E5332">
        <v>118.1219</v>
      </c>
      <c r="F5332">
        <v>16323</v>
      </c>
    </row>
    <row r="5333" spans="1:6" x14ac:dyDescent="0.25">
      <c r="A5333" s="4">
        <v>42150</v>
      </c>
      <c r="B5333">
        <v>118.9228</v>
      </c>
      <c r="C5333">
        <v>118.9228</v>
      </c>
      <c r="D5333">
        <v>117.3211</v>
      </c>
      <c r="E5333">
        <v>117.3211</v>
      </c>
      <c r="F5333">
        <v>16070</v>
      </c>
    </row>
    <row r="5334" spans="1:6" x14ac:dyDescent="0.25">
      <c r="A5334" s="4">
        <v>42151</v>
      </c>
      <c r="B5334">
        <v>116.52030000000001</v>
      </c>
      <c r="C5334">
        <v>117.72150000000001</v>
      </c>
      <c r="D5334">
        <v>116.1199</v>
      </c>
      <c r="E5334">
        <v>116.1199</v>
      </c>
      <c r="F5334">
        <v>24258</v>
      </c>
    </row>
    <row r="5335" spans="1:6" x14ac:dyDescent="0.25">
      <c r="A5335" s="4">
        <v>42152</v>
      </c>
      <c r="B5335">
        <v>117.72150000000001</v>
      </c>
      <c r="C5335">
        <v>118.1219</v>
      </c>
      <c r="D5335">
        <v>116.9207</v>
      </c>
      <c r="E5335">
        <v>117.72150000000001</v>
      </c>
      <c r="F5335">
        <v>36704</v>
      </c>
    </row>
    <row r="5336" spans="1:6" x14ac:dyDescent="0.25">
      <c r="A5336" s="4">
        <v>42153</v>
      </c>
      <c r="B5336">
        <v>117.72150000000001</v>
      </c>
      <c r="C5336">
        <v>118.1219</v>
      </c>
      <c r="D5336">
        <v>116.52030000000001</v>
      </c>
      <c r="E5336">
        <v>116.9207</v>
      </c>
      <c r="F5336">
        <v>61984</v>
      </c>
    </row>
    <row r="5337" spans="1:6" x14ac:dyDescent="0.25">
      <c r="A5337" s="4">
        <v>42156</v>
      </c>
      <c r="B5337">
        <v>116.52030000000001</v>
      </c>
      <c r="C5337">
        <v>116.9207</v>
      </c>
      <c r="D5337">
        <v>115.319</v>
      </c>
      <c r="E5337">
        <v>116.1199</v>
      </c>
      <c r="F5337">
        <v>31647</v>
      </c>
    </row>
    <row r="5338" spans="1:6" x14ac:dyDescent="0.25">
      <c r="A5338" s="4">
        <v>42157</v>
      </c>
      <c r="B5338">
        <v>115.71939999999999</v>
      </c>
      <c r="C5338">
        <v>115.71939999999999</v>
      </c>
      <c r="D5338">
        <v>114.9186</v>
      </c>
      <c r="E5338">
        <v>115.319</v>
      </c>
      <c r="F5338">
        <v>33433</v>
      </c>
    </row>
    <row r="5339" spans="1:6" x14ac:dyDescent="0.25">
      <c r="A5339" s="4">
        <v>42158</v>
      </c>
      <c r="B5339">
        <v>114.9186</v>
      </c>
      <c r="C5339">
        <v>115.71939999999999</v>
      </c>
      <c r="D5339">
        <v>114.51819999999999</v>
      </c>
      <c r="E5339">
        <v>114.51819999999999</v>
      </c>
      <c r="F5339">
        <v>30175</v>
      </c>
    </row>
    <row r="5340" spans="1:6" x14ac:dyDescent="0.25">
      <c r="A5340" s="4">
        <v>42159</v>
      </c>
      <c r="B5340">
        <v>113.7174</v>
      </c>
      <c r="C5340">
        <v>114.1178</v>
      </c>
      <c r="D5340">
        <v>112.1157</v>
      </c>
      <c r="E5340">
        <v>112.9166</v>
      </c>
      <c r="F5340">
        <v>62313</v>
      </c>
    </row>
    <row r="5341" spans="1:6" x14ac:dyDescent="0.25">
      <c r="A5341" s="4">
        <v>42160</v>
      </c>
      <c r="B5341">
        <v>111.7153</v>
      </c>
      <c r="C5341">
        <v>112.51609999999999</v>
      </c>
      <c r="D5341">
        <v>111.31489999999999</v>
      </c>
      <c r="E5341">
        <v>112.1157</v>
      </c>
      <c r="F5341">
        <v>42847</v>
      </c>
    </row>
    <row r="5342" spans="1:6" x14ac:dyDescent="0.25">
      <c r="A5342" s="4">
        <v>42163</v>
      </c>
      <c r="B5342">
        <v>111.7153</v>
      </c>
      <c r="C5342">
        <v>112.1157</v>
      </c>
      <c r="D5342">
        <v>110.9145</v>
      </c>
      <c r="E5342">
        <v>110.9145</v>
      </c>
      <c r="F5342">
        <v>45638</v>
      </c>
    </row>
    <row r="5343" spans="1:6" x14ac:dyDescent="0.25">
      <c r="A5343" s="4">
        <v>42164</v>
      </c>
      <c r="B5343">
        <v>110.9145</v>
      </c>
      <c r="C5343">
        <v>112.1157</v>
      </c>
      <c r="D5343">
        <v>110.5141</v>
      </c>
      <c r="E5343">
        <v>111.31489999999999</v>
      </c>
      <c r="F5343">
        <v>31664</v>
      </c>
    </row>
    <row r="5344" spans="1:6" x14ac:dyDescent="0.25">
      <c r="A5344" s="4">
        <v>42165</v>
      </c>
      <c r="B5344">
        <v>112.9166</v>
      </c>
      <c r="C5344">
        <v>113.31699999999999</v>
      </c>
      <c r="D5344">
        <v>111.7153</v>
      </c>
      <c r="E5344">
        <v>111.7153</v>
      </c>
      <c r="F5344">
        <v>37243</v>
      </c>
    </row>
    <row r="5345" spans="1:6" x14ac:dyDescent="0.25">
      <c r="A5345" s="4">
        <v>42166</v>
      </c>
      <c r="B5345">
        <v>112.9166</v>
      </c>
      <c r="C5345">
        <v>115.319</v>
      </c>
      <c r="D5345">
        <v>112.9166</v>
      </c>
      <c r="E5345">
        <v>114.9186</v>
      </c>
      <c r="F5345">
        <v>46456</v>
      </c>
    </row>
    <row r="5346" spans="1:6" x14ac:dyDescent="0.25">
      <c r="A5346" s="4">
        <v>42167</v>
      </c>
      <c r="B5346">
        <v>115.319</v>
      </c>
      <c r="C5346">
        <v>115.71939999999999</v>
      </c>
      <c r="D5346">
        <v>114.1178</v>
      </c>
      <c r="E5346">
        <v>115.71939999999999</v>
      </c>
      <c r="F5346">
        <v>35244</v>
      </c>
    </row>
    <row r="5347" spans="1:6" x14ac:dyDescent="0.25">
      <c r="A5347" s="4">
        <v>42170</v>
      </c>
      <c r="B5347">
        <v>115.71939999999999</v>
      </c>
      <c r="C5347">
        <v>115.71939999999999</v>
      </c>
      <c r="D5347">
        <v>114.1178</v>
      </c>
      <c r="E5347">
        <v>114.51819999999999</v>
      </c>
      <c r="F5347">
        <v>23776</v>
      </c>
    </row>
    <row r="5348" spans="1:6" x14ac:dyDescent="0.25">
      <c r="A5348" s="4">
        <v>42171</v>
      </c>
      <c r="B5348">
        <v>114.51819999999999</v>
      </c>
      <c r="C5348">
        <v>114.51819999999999</v>
      </c>
      <c r="D5348">
        <v>112.9166</v>
      </c>
      <c r="E5348">
        <v>113.7174</v>
      </c>
      <c r="F5348">
        <v>28697</v>
      </c>
    </row>
    <row r="5349" spans="1:6" x14ac:dyDescent="0.25">
      <c r="A5349" s="4">
        <v>42172</v>
      </c>
      <c r="B5349">
        <v>114.51819999999999</v>
      </c>
      <c r="C5349">
        <v>114.9186</v>
      </c>
      <c r="D5349">
        <v>113.7174</v>
      </c>
      <c r="E5349">
        <v>114.1178</v>
      </c>
      <c r="F5349">
        <v>31676</v>
      </c>
    </row>
    <row r="5350" spans="1:6" x14ac:dyDescent="0.25">
      <c r="A5350" s="4">
        <v>42173</v>
      </c>
      <c r="B5350">
        <v>113.7174</v>
      </c>
      <c r="C5350">
        <v>114.51819999999999</v>
      </c>
      <c r="D5350">
        <v>113.7174</v>
      </c>
      <c r="E5350">
        <v>113.7174</v>
      </c>
      <c r="F5350">
        <v>28627</v>
      </c>
    </row>
    <row r="5351" spans="1:6" x14ac:dyDescent="0.25">
      <c r="A5351" s="4">
        <v>42177</v>
      </c>
      <c r="B5351">
        <v>113.7174</v>
      </c>
      <c r="C5351">
        <v>114.9186</v>
      </c>
      <c r="D5351">
        <v>113.7174</v>
      </c>
      <c r="E5351">
        <v>113.7174</v>
      </c>
      <c r="F5351">
        <v>29599</v>
      </c>
    </row>
    <row r="5352" spans="1:6" x14ac:dyDescent="0.25">
      <c r="A5352" s="4">
        <v>42178</v>
      </c>
      <c r="B5352">
        <v>114.51819999999999</v>
      </c>
      <c r="C5352">
        <v>116.1199</v>
      </c>
      <c r="D5352">
        <v>114.1178</v>
      </c>
      <c r="E5352">
        <v>115.71939999999999</v>
      </c>
      <c r="F5352">
        <v>37809</v>
      </c>
    </row>
    <row r="5353" spans="1:6" x14ac:dyDescent="0.25">
      <c r="A5353" s="4">
        <v>42179</v>
      </c>
      <c r="B5353">
        <v>115.71939999999999</v>
      </c>
      <c r="C5353">
        <v>116.1199</v>
      </c>
      <c r="D5353">
        <v>114.9186</v>
      </c>
      <c r="E5353">
        <v>116.1199</v>
      </c>
      <c r="F5353">
        <v>21134</v>
      </c>
    </row>
    <row r="5354" spans="1:6" x14ac:dyDescent="0.25">
      <c r="A5354" s="4">
        <v>42180</v>
      </c>
      <c r="B5354">
        <v>116.1199</v>
      </c>
      <c r="C5354">
        <v>117.72150000000001</v>
      </c>
      <c r="D5354">
        <v>116.1199</v>
      </c>
      <c r="E5354">
        <v>117.3211</v>
      </c>
      <c r="F5354">
        <v>45571</v>
      </c>
    </row>
    <row r="5355" spans="1:6" x14ac:dyDescent="0.25">
      <c r="A5355" s="4">
        <v>42181</v>
      </c>
      <c r="B5355">
        <v>117.72150000000001</v>
      </c>
      <c r="C5355">
        <v>118.1219</v>
      </c>
      <c r="D5355">
        <v>116.52030000000001</v>
      </c>
      <c r="E5355">
        <v>116.9207</v>
      </c>
      <c r="F5355">
        <v>34171</v>
      </c>
    </row>
    <row r="5356" spans="1:6" x14ac:dyDescent="0.25">
      <c r="A5356" s="4">
        <v>42184</v>
      </c>
      <c r="B5356">
        <v>116.0943</v>
      </c>
      <c r="C5356">
        <v>116.5074</v>
      </c>
      <c r="D5356">
        <v>114.4417</v>
      </c>
      <c r="E5356">
        <v>114.4417</v>
      </c>
      <c r="F5356">
        <v>53096</v>
      </c>
    </row>
    <row r="5357" spans="1:6" x14ac:dyDescent="0.25">
      <c r="A5357" s="4">
        <v>42185</v>
      </c>
      <c r="B5357">
        <v>114.8548</v>
      </c>
      <c r="C5357">
        <v>116.0943</v>
      </c>
      <c r="D5357">
        <v>114.4417</v>
      </c>
      <c r="E5357">
        <v>116.0943</v>
      </c>
      <c r="F5357">
        <v>45376</v>
      </c>
    </row>
    <row r="5358" spans="1:6" x14ac:dyDescent="0.25">
      <c r="A5358" s="4">
        <v>42186</v>
      </c>
      <c r="B5358">
        <v>115.6811</v>
      </c>
      <c r="C5358">
        <v>117.7469</v>
      </c>
      <c r="D5358">
        <v>114.8548</v>
      </c>
      <c r="E5358">
        <v>116.5074</v>
      </c>
      <c r="F5358">
        <v>33330</v>
      </c>
    </row>
    <row r="5359" spans="1:6" x14ac:dyDescent="0.25">
      <c r="A5359" s="4">
        <v>42187</v>
      </c>
      <c r="B5359">
        <v>116.0943</v>
      </c>
      <c r="C5359">
        <v>117.33369999999999</v>
      </c>
      <c r="D5359">
        <v>116.0943</v>
      </c>
      <c r="E5359">
        <v>116.92059999999999</v>
      </c>
      <c r="F5359">
        <v>24309</v>
      </c>
    </row>
    <row r="5360" spans="1:6" x14ac:dyDescent="0.25">
      <c r="A5360" s="4">
        <v>42188</v>
      </c>
      <c r="B5360">
        <v>116.92059999999999</v>
      </c>
      <c r="C5360">
        <v>117.7469</v>
      </c>
      <c r="D5360">
        <v>115.6811</v>
      </c>
      <c r="E5360">
        <v>117.7469</v>
      </c>
      <c r="F5360">
        <v>17091</v>
      </c>
    </row>
    <row r="5361" spans="1:6" x14ac:dyDescent="0.25">
      <c r="A5361" s="4">
        <v>42191</v>
      </c>
      <c r="B5361">
        <v>116.5074</v>
      </c>
      <c r="C5361">
        <v>116.92059999999999</v>
      </c>
      <c r="D5361">
        <v>116.0943</v>
      </c>
      <c r="E5361">
        <v>116.0943</v>
      </c>
      <c r="F5361">
        <v>20684</v>
      </c>
    </row>
    <row r="5362" spans="1:6" x14ac:dyDescent="0.25">
      <c r="A5362" s="4">
        <v>42192</v>
      </c>
      <c r="B5362">
        <v>116.5074</v>
      </c>
      <c r="C5362">
        <v>117.33369999999999</v>
      </c>
      <c r="D5362">
        <v>116.0943</v>
      </c>
      <c r="E5362">
        <v>116.0943</v>
      </c>
      <c r="F5362">
        <v>26546</v>
      </c>
    </row>
    <row r="5363" spans="1:6" x14ac:dyDescent="0.25">
      <c r="A5363" s="4">
        <v>42193</v>
      </c>
      <c r="B5363">
        <v>116.0943</v>
      </c>
      <c r="C5363">
        <v>116.5074</v>
      </c>
      <c r="D5363">
        <v>114.0286</v>
      </c>
      <c r="E5363">
        <v>114.0286</v>
      </c>
      <c r="F5363">
        <v>52066</v>
      </c>
    </row>
    <row r="5364" spans="1:6" x14ac:dyDescent="0.25">
      <c r="A5364" s="4">
        <v>42194</v>
      </c>
      <c r="B5364">
        <v>110.7234</v>
      </c>
      <c r="C5364">
        <v>114.0286</v>
      </c>
      <c r="D5364">
        <v>110.7234</v>
      </c>
      <c r="E5364">
        <v>112.7891</v>
      </c>
      <c r="F5364">
        <v>53785</v>
      </c>
    </row>
    <row r="5365" spans="1:6" x14ac:dyDescent="0.25">
      <c r="A5365" s="4">
        <v>42198</v>
      </c>
      <c r="B5365">
        <v>113.20229999999999</v>
      </c>
      <c r="C5365">
        <v>115.268</v>
      </c>
      <c r="D5365">
        <v>113.20229999999999</v>
      </c>
      <c r="E5365">
        <v>114.4417</v>
      </c>
      <c r="F5365">
        <v>35405</v>
      </c>
    </row>
    <row r="5366" spans="1:6" x14ac:dyDescent="0.25">
      <c r="A5366" s="4">
        <v>42199</v>
      </c>
      <c r="B5366">
        <v>115.268</v>
      </c>
      <c r="C5366">
        <v>116.0943</v>
      </c>
      <c r="D5366">
        <v>114.0286</v>
      </c>
      <c r="E5366">
        <v>114.4417</v>
      </c>
      <c r="F5366">
        <v>27574</v>
      </c>
    </row>
    <row r="5367" spans="1:6" x14ac:dyDescent="0.25">
      <c r="A5367" s="4">
        <v>42200</v>
      </c>
      <c r="B5367">
        <v>114.8548</v>
      </c>
      <c r="C5367">
        <v>115.268</v>
      </c>
      <c r="D5367">
        <v>114.0286</v>
      </c>
      <c r="E5367">
        <v>114.4417</v>
      </c>
      <c r="F5367">
        <v>23486</v>
      </c>
    </row>
    <row r="5368" spans="1:6" x14ac:dyDescent="0.25">
      <c r="A5368" s="4">
        <v>42201</v>
      </c>
      <c r="B5368">
        <v>115.6811</v>
      </c>
      <c r="C5368">
        <v>115.6811</v>
      </c>
      <c r="D5368">
        <v>111.9628</v>
      </c>
      <c r="E5368">
        <v>112.7891</v>
      </c>
      <c r="F5368">
        <v>37250</v>
      </c>
    </row>
    <row r="5369" spans="1:6" x14ac:dyDescent="0.25">
      <c r="A5369" s="4">
        <v>42202</v>
      </c>
      <c r="B5369">
        <v>114.0286</v>
      </c>
      <c r="C5369">
        <v>115.6811</v>
      </c>
      <c r="D5369">
        <v>114.0286</v>
      </c>
      <c r="E5369">
        <v>115.6811</v>
      </c>
      <c r="F5369">
        <v>55848</v>
      </c>
    </row>
    <row r="5370" spans="1:6" x14ac:dyDescent="0.25">
      <c r="A5370" s="4">
        <v>42205</v>
      </c>
      <c r="B5370">
        <v>116.92059999999999</v>
      </c>
      <c r="C5370">
        <v>117.33369999999999</v>
      </c>
      <c r="D5370">
        <v>114.4417</v>
      </c>
      <c r="E5370">
        <v>114.8548</v>
      </c>
      <c r="F5370">
        <v>27907</v>
      </c>
    </row>
    <row r="5371" spans="1:6" x14ac:dyDescent="0.25">
      <c r="A5371" s="4">
        <v>42206</v>
      </c>
      <c r="B5371">
        <v>116.5074</v>
      </c>
      <c r="C5371">
        <v>116.92059999999999</v>
      </c>
      <c r="D5371">
        <v>115.268</v>
      </c>
      <c r="E5371">
        <v>116.0943</v>
      </c>
      <c r="F5371">
        <v>21857</v>
      </c>
    </row>
    <row r="5372" spans="1:6" x14ac:dyDescent="0.25">
      <c r="A5372" s="4">
        <v>42207</v>
      </c>
      <c r="B5372">
        <v>114.8548</v>
      </c>
      <c r="C5372">
        <v>115.268</v>
      </c>
      <c r="D5372">
        <v>114.0286</v>
      </c>
      <c r="E5372">
        <v>114.8548</v>
      </c>
      <c r="F5372">
        <v>27409</v>
      </c>
    </row>
    <row r="5373" spans="1:6" x14ac:dyDescent="0.25">
      <c r="A5373" s="4">
        <v>42208</v>
      </c>
      <c r="B5373">
        <v>113.20229999999999</v>
      </c>
      <c r="C5373">
        <v>113.61539999999999</v>
      </c>
      <c r="D5373">
        <v>112.376</v>
      </c>
      <c r="E5373">
        <v>112.376</v>
      </c>
      <c r="F5373">
        <v>38176</v>
      </c>
    </row>
    <row r="5374" spans="1:6" x14ac:dyDescent="0.25">
      <c r="A5374" s="4">
        <v>42209</v>
      </c>
      <c r="B5374">
        <v>114.0286</v>
      </c>
      <c r="C5374">
        <v>114.0286</v>
      </c>
      <c r="D5374">
        <v>112.376</v>
      </c>
      <c r="E5374">
        <v>113.20229999999999</v>
      </c>
      <c r="F5374">
        <v>39063</v>
      </c>
    </row>
    <row r="5375" spans="1:6" x14ac:dyDescent="0.25">
      <c r="A5375" s="4">
        <v>42212</v>
      </c>
      <c r="B5375">
        <v>111.5497</v>
      </c>
      <c r="C5375">
        <v>111.9628</v>
      </c>
      <c r="D5375">
        <v>110.7234</v>
      </c>
      <c r="E5375">
        <v>110.7234</v>
      </c>
      <c r="F5375">
        <v>45080</v>
      </c>
    </row>
    <row r="5376" spans="1:6" x14ac:dyDescent="0.25">
      <c r="A5376" s="4">
        <v>42213</v>
      </c>
      <c r="B5376">
        <v>111.5497</v>
      </c>
      <c r="C5376">
        <v>112.7891</v>
      </c>
      <c r="D5376">
        <v>110.7234</v>
      </c>
      <c r="E5376">
        <v>110.7234</v>
      </c>
      <c r="F5376">
        <v>35778</v>
      </c>
    </row>
    <row r="5377" spans="1:6" x14ac:dyDescent="0.25">
      <c r="A5377" s="4">
        <v>42214</v>
      </c>
      <c r="B5377">
        <v>111.5497</v>
      </c>
      <c r="C5377">
        <v>112.376</v>
      </c>
      <c r="D5377">
        <v>111.1365</v>
      </c>
      <c r="E5377">
        <v>111.9628</v>
      </c>
      <c r="F5377">
        <v>30500</v>
      </c>
    </row>
    <row r="5378" spans="1:6" x14ac:dyDescent="0.25">
      <c r="A5378" s="4">
        <v>42215</v>
      </c>
      <c r="B5378">
        <v>112.376</v>
      </c>
      <c r="C5378">
        <v>114.8548</v>
      </c>
      <c r="D5378">
        <v>112.376</v>
      </c>
      <c r="E5378">
        <v>114.4417</v>
      </c>
      <c r="F5378">
        <v>37086</v>
      </c>
    </row>
    <row r="5379" spans="1:6" x14ac:dyDescent="0.25">
      <c r="A5379" s="4">
        <v>42216</v>
      </c>
      <c r="B5379">
        <v>116.0943</v>
      </c>
      <c r="C5379">
        <v>116.0943</v>
      </c>
      <c r="D5379">
        <v>113.61539999999999</v>
      </c>
      <c r="E5379">
        <v>115.268</v>
      </c>
      <c r="F5379">
        <v>40479</v>
      </c>
    </row>
    <row r="5380" spans="1:6" x14ac:dyDescent="0.25">
      <c r="A5380" s="4">
        <v>42219</v>
      </c>
      <c r="B5380">
        <v>114.4417</v>
      </c>
      <c r="C5380">
        <v>114.4417</v>
      </c>
      <c r="D5380">
        <v>111.1365</v>
      </c>
      <c r="E5380">
        <v>111.1365</v>
      </c>
      <c r="F5380">
        <v>33816</v>
      </c>
    </row>
    <row r="5381" spans="1:6" x14ac:dyDescent="0.25">
      <c r="A5381" s="4">
        <v>42220</v>
      </c>
      <c r="B5381">
        <v>111.5497</v>
      </c>
      <c r="C5381">
        <v>112.7891</v>
      </c>
      <c r="D5381">
        <v>111.1365</v>
      </c>
      <c r="E5381">
        <v>112.7891</v>
      </c>
      <c r="F5381">
        <v>27515</v>
      </c>
    </row>
    <row r="5382" spans="1:6" x14ac:dyDescent="0.25">
      <c r="A5382" s="4">
        <v>42221</v>
      </c>
      <c r="B5382">
        <v>111.9628</v>
      </c>
      <c r="C5382">
        <v>111.9628</v>
      </c>
      <c r="D5382">
        <v>110.7234</v>
      </c>
      <c r="E5382">
        <v>110.7234</v>
      </c>
      <c r="F5382">
        <v>28578</v>
      </c>
    </row>
    <row r="5383" spans="1:6" x14ac:dyDescent="0.25">
      <c r="A5383" s="4">
        <v>42222</v>
      </c>
      <c r="B5383">
        <v>112.376</v>
      </c>
      <c r="C5383">
        <v>112.376</v>
      </c>
      <c r="D5383">
        <v>109.07080000000001</v>
      </c>
      <c r="E5383">
        <v>110.7234</v>
      </c>
      <c r="F5383">
        <v>39658</v>
      </c>
    </row>
    <row r="5384" spans="1:6" x14ac:dyDescent="0.25">
      <c r="A5384" s="4">
        <v>42223</v>
      </c>
      <c r="B5384">
        <v>109.89709999999999</v>
      </c>
      <c r="C5384">
        <v>110.31019999999999</v>
      </c>
      <c r="D5384">
        <v>108.6576</v>
      </c>
      <c r="E5384">
        <v>109.89709999999999</v>
      </c>
      <c r="F5384">
        <v>30592</v>
      </c>
    </row>
    <row r="5385" spans="1:6" x14ac:dyDescent="0.25">
      <c r="A5385" s="4">
        <v>42226</v>
      </c>
      <c r="B5385">
        <v>108.2445</v>
      </c>
      <c r="C5385">
        <v>108.2445</v>
      </c>
      <c r="D5385">
        <v>103.6999</v>
      </c>
      <c r="E5385">
        <v>106.5919</v>
      </c>
      <c r="F5385">
        <v>65583</v>
      </c>
    </row>
    <row r="5386" spans="1:6" x14ac:dyDescent="0.25">
      <c r="A5386" s="4">
        <v>42227</v>
      </c>
      <c r="B5386">
        <v>110.31019999999999</v>
      </c>
      <c r="C5386">
        <v>110.31019999999999</v>
      </c>
      <c r="D5386">
        <v>107.8313</v>
      </c>
      <c r="E5386">
        <v>107.8313</v>
      </c>
      <c r="F5386">
        <v>65988</v>
      </c>
    </row>
    <row r="5387" spans="1:6" x14ac:dyDescent="0.25">
      <c r="A5387" s="4">
        <v>42228</v>
      </c>
      <c r="B5387">
        <v>107.0051</v>
      </c>
      <c r="C5387">
        <v>107.4182</v>
      </c>
      <c r="D5387">
        <v>105.35250000000001</v>
      </c>
      <c r="E5387">
        <v>106.1788</v>
      </c>
      <c r="F5387">
        <v>45838</v>
      </c>
    </row>
    <row r="5388" spans="1:6" x14ac:dyDescent="0.25">
      <c r="A5388" s="4">
        <v>42229</v>
      </c>
      <c r="B5388">
        <v>106.5919</v>
      </c>
      <c r="C5388">
        <v>107.4182</v>
      </c>
      <c r="D5388">
        <v>105.35250000000001</v>
      </c>
      <c r="E5388">
        <v>105.76560000000001</v>
      </c>
      <c r="F5388">
        <v>43697</v>
      </c>
    </row>
    <row r="5389" spans="1:6" x14ac:dyDescent="0.25">
      <c r="A5389" s="4">
        <v>42230</v>
      </c>
      <c r="B5389">
        <v>105.76560000000001</v>
      </c>
      <c r="C5389">
        <v>106.1788</v>
      </c>
      <c r="D5389">
        <v>103.2867</v>
      </c>
      <c r="E5389">
        <v>104.113</v>
      </c>
      <c r="F5389">
        <v>40367</v>
      </c>
    </row>
    <row r="5390" spans="1:6" x14ac:dyDescent="0.25">
      <c r="A5390" s="4">
        <v>42233</v>
      </c>
      <c r="B5390">
        <v>103.6999</v>
      </c>
      <c r="C5390">
        <v>103.6999</v>
      </c>
      <c r="D5390">
        <v>101.6341</v>
      </c>
      <c r="E5390">
        <v>102.46040000000001</v>
      </c>
      <c r="F5390">
        <v>38956</v>
      </c>
    </row>
    <row r="5391" spans="1:6" x14ac:dyDescent="0.25">
      <c r="A5391" s="4">
        <v>42234</v>
      </c>
      <c r="B5391">
        <v>103.2867</v>
      </c>
      <c r="C5391">
        <v>104.5262</v>
      </c>
      <c r="D5391">
        <v>103.2867</v>
      </c>
      <c r="E5391">
        <v>104.113</v>
      </c>
      <c r="F5391">
        <v>41824</v>
      </c>
    </row>
    <row r="5392" spans="1:6" x14ac:dyDescent="0.25">
      <c r="A5392" s="4">
        <v>42235</v>
      </c>
      <c r="B5392">
        <v>105.35250000000001</v>
      </c>
      <c r="C5392">
        <v>105.35250000000001</v>
      </c>
      <c r="D5392">
        <v>102.46040000000001</v>
      </c>
      <c r="E5392">
        <v>103.2867</v>
      </c>
      <c r="F5392">
        <v>47213</v>
      </c>
    </row>
    <row r="5393" spans="1:6" x14ac:dyDescent="0.25">
      <c r="A5393" s="4">
        <v>42236</v>
      </c>
      <c r="B5393">
        <v>102.8736</v>
      </c>
      <c r="C5393">
        <v>104.113</v>
      </c>
      <c r="D5393">
        <v>102.04730000000001</v>
      </c>
      <c r="E5393">
        <v>104.113</v>
      </c>
      <c r="F5393">
        <v>38768</v>
      </c>
    </row>
    <row r="5394" spans="1:6" x14ac:dyDescent="0.25">
      <c r="A5394" s="4">
        <v>42237</v>
      </c>
      <c r="B5394">
        <v>101.6341</v>
      </c>
      <c r="C5394">
        <v>102.8736</v>
      </c>
      <c r="D5394">
        <v>99.9816</v>
      </c>
      <c r="E5394">
        <v>99.9816</v>
      </c>
      <c r="F5394">
        <v>67342</v>
      </c>
    </row>
    <row r="5395" spans="1:6" x14ac:dyDescent="0.25">
      <c r="A5395" s="4">
        <v>42240</v>
      </c>
      <c r="B5395">
        <v>99.155299999999997</v>
      </c>
      <c r="C5395">
        <v>99.9816</v>
      </c>
      <c r="D5395">
        <v>92.958100000000002</v>
      </c>
      <c r="E5395">
        <v>95.023799999999994</v>
      </c>
      <c r="F5395">
        <v>118882</v>
      </c>
    </row>
    <row r="5396" spans="1:6" x14ac:dyDescent="0.25">
      <c r="A5396" s="4">
        <v>42241</v>
      </c>
      <c r="B5396">
        <v>97.502700000000004</v>
      </c>
      <c r="C5396">
        <v>102.46040000000001</v>
      </c>
      <c r="D5396">
        <v>97.089500000000001</v>
      </c>
      <c r="E5396">
        <v>102.04730000000001</v>
      </c>
      <c r="F5396">
        <v>99479</v>
      </c>
    </row>
    <row r="5397" spans="1:6" x14ac:dyDescent="0.25">
      <c r="A5397" s="4">
        <v>42242</v>
      </c>
      <c r="B5397">
        <v>99.9816</v>
      </c>
      <c r="C5397">
        <v>102.8736</v>
      </c>
      <c r="D5397">
        <v>98.742099999999994</v>
      </c>
      <c r="E5397">
        <v>101.221</v>
      </c>
      <c r="F5397">
        <v>65900</v>
      </c>
    </row>
    <row r="5398" spans="1:6" x14ac:dyDescent="0.25">
      <c r="A5398" s="4">
        <v>42243</v>
      </c>
      <c r="B5398">
        <v>103.2867</v>
      </c>
      <c r="C5398">
        <v>103.2867</v>
      </c>
      <c r="D5398">
        <v>100.8079</v>
      </c>
      <c r="E5398">
        <v>102.46040000000001</v>
      </c>
      <c r="F5398">
        <v>53549</v>
      </c>
    </row>
    <row r="5399" spans="1:6" x14ac:dyDescent="0.25">
      <c r="A5399" s="4">
        <v>42244</v>
      </c>
      <c r="B5399">
        <v>104.9393</v>
      </c>
      <c r="C5399">
        <v>104.9393</v>
      </c>
      <c r="D5399">
        <v>102.8736</v>
      </c>
      <c r="E5399">
        <v>103.2867</v>
      </c>
      <c r="F5399">
        <v>41880</v>
      </c>
    </row>
    <row r="5400" spans="1:6" x14ac:dyDescent="0.25">
      <c r="A5400" s="4">
        <v>42247</v>
      </c>
      <c r="B5400">
        <v>104.113</v>
      </c>
      <c r="C5400">
        <v>106.5919</v>
      </c>
      <c r="D5400">
        <v>102.04730000000001</v>
      </c>
      <c r="E5400">
        <v>106.5919</v>
      </c>
      <c r="F5400">
        <v>57088</v>
      </c>
    </row>
    <row r="5401" spans="1:6" x14ac:dyDescent="0.25">
      <c r="A5401" s="4">
        <v>42248</v>
      </c>
      <c r="B5401">
        <v>105.35250000000001</v>
      </c>
      <c r="C5401">
        <v>105.35250000000001</v>
      </c>
      <c r="D5401">
        <v>102.46040000000001</v>
      </c>
      <c r="E5401">
        <v>102.46040000000001</v>
      </c>
      <c r="F5401">
        <v>42395</v>
      </c>
    </row>
    <row r="5402" spans="1:6" x14ac:dyDescent="0.25">
      <c r="A5402" s="4">
        <v>42249</v>
      </c>
      <c r="B5402">
        <v>101.6341</v>
      </c>
      <c r="C5402">
        <v>104.9393</v>
      </c>
      <c r="D5402">
        <v>101.6341</v>
      </c>
      <c r="E5402">
        <v>103.6999</v>
      </c>
      <c r="F5402">
        <v>37232</v>
      </c>
    </row>
    <row r="5403" spans="1:6" x14ac:dyDescent="0.25">
      <c r="A5403" s="4">
        <v>42250</v>
      </c>
      <c r="B5403">
        <v>105.35250000000001</v>
      </c>
      <c r="C5403">
        <v>105.35250000000001</v>
      </c>
      <c r="D5403">
        <v>103.2867</v>
      </c>
      <c r="E5403">
        <v>104.9393</v>
      </c>
      <c r="F5403">
        <v>24054</v>
      </c>
    </row>
    <row r="5404" spans="1:6" x14ac:dyDescent="0.25">
      <c r="A5404" s="4">
        <v>42251</v>
      </c>
      <c r="B5404">
        <v>104.5262</v>
      </c>
      <c r="C5404">
        <v>104.9393</v>
      </c>
      <c r="D5404">
        <v>102.04730000000001</v>
      </c>
      <c r="E5404">
        <v>103.2867</v>
      </c>
      <c r="F5404">
        <v>23047</v>
      </c>
    </row>
    <row r="5405" spans="1:6" x14ac:dyDescent="0.25">
      <c r="A5405" s="4">
        <v>42254</v>
      </c>
      <c r="B5405">
        <v>102.8736</v>
      </c>
      <c r="C5405">
        <v>104.113</v>
      </c>
      <c r="D5405">
        <v>100.8079</v>
      </c>
      <c r="E5405">
        <v>101.221</v>
      </c>
      <c r="F5405">
        <v>26153</v>
      </c>
    </row>
    <row r="5406" spans="1:6" x14ac:dyDescent="0.25">
      <c r="A5406" s="4">
        <v>42255</v>
      </c>
      <c r="B5406">
        <v>101.221</v>
      </c>
      <c r="C5406">
        <v>102.04730000000001</v>
      </c>
      <c r="D5406">
        <v>100.8079</v>
      </c>
      <c r="E5406">
        <v>101.6341</v>
      </c>
      <c r="F5406">
        <v>15113</v>
      </c>
    </row>
    <row r="5407" spans="1:6" x14ac:dyDescent="0.25">
      <c r="A5407" s="4">
        <v>42256</v>
      </c>
      <c r="B5407">
        <v>104.5262</v>
      </c>
      <c r="C5407">
        <v>106.5919</v>
      </c>
      <c r="D5407">
        <v>104.5262</v>
      </c>
      <c r="E5407">
        <v>106.5919</v>
      </c>
      <c r="F5407">
        <v>53970</v>
      </c>
    </row>
    <row r="5408" spans="1:6" x14ac:dyDescent="0.25">
      <c r="A5408" s="4">
        <v>42257</v>
      </c>
      <c r="B5408">
        <v>104.9393</v>
      </c>
      <c r="C5408">
        <v>105.76560000000001</v>
      </c>
      <c r="D5408">
        <v>103.2867</v>
      </c>
      <c r="E5408">
        <v>103.2867</v>
      </c>
      <c r="F5408">
        <v>34030</v>
      </c>
    </row>
    <row r="5409" spans="1:6" x14ac:dyDescent="0.25">
      <c r="A5409" s="4">
        <v>42258</v>
      </c>
      <c r="B5409">
        <v>103.6999</v>
      </c>
      <c r="C5409">
        <v>105.35250000000001</v>
      </c>
      <c r="D5409">
        <v>102.46040000000001</v>
      </c>
      <c r="E5409">
        <v>105.35250000000001</v>
      </c>
      <c r="F5409">
        <v>24549</v>
      </c>
    </row>
    <row r="5410" spans="1:6" x14ac:dyDescent="0.25">
      <c r="A5410" s="4">
        <v>42261</v>
      </c>
      <c r="B5410">
        <v>105.76560000000001</v>
      </c>
      <c r="C5410">
        <v>106.5919</v>
      </c>
      <c r="D5410">
        <v>104.113</v>
      </c>
      <c r="E5410">
        <v>105.35250000000001</v>
      </c>
      <c r="F5410">
        <v>25582</v>
      </c>
    </row>
    <row r="5411" spans="1:6" x14ac:dyDescent="0.25">
      <c r="A5411" s="4">
        <v>42262</v>
      </c>
      <c r="B5411">
        <v>105.35250000000001</v>
      </c>
      <c r="C5411">
        <v>105.76560000000001</v>
      </c>
      <c r="D5411">
        <v>103.6999</v>
      </c>
      <c r="E5411">
        <v>104.113</v>
      </c>
      <c r="F5411">
        <v>22223</v>
      </c>
    </row>
    <row r="5412" spans="1:6" x14ac:dyDescent="0.25">
      <c r="A5412" s="4">
        <v>42263</v>
      </c>
      <c r="B5412">
        <v>105.76560000000001</v>
      </c>
      <c r="C5412">
        <v>107.4182</v>
      </c>
      <c r="D5412">
        <v>105.35250000000001</v>
      </c>
      <c r="E5412">
        <v>107.0051</v>
      </c>
      <c r="F5412">
        <v>44137</v>
      </c>
    </row>
    <row r="5413" spans="1:6" x14ac:dyDescent="0.25">
      <c r="A5413" s="4">
        <v>42264</v>
      </c>
      <c r="B5413">
        <v>107.8313</v>
      </c>
      <c r="C5413">
        <v>108.6576</v>
      </c>
      <c r="D5413">
        <v>107.4182</v>
      </c>
      <c r="E5413">
        <v>108.2445</v>
      </c>
      <c r="F5413">
        <v>52529</v>
      </c>
    </row>
    <row r="5414" spans="1:6" x14ac:dyDescent="0.25">
      <c r="A5414" s="4">
        <v>42265</v>
      </c>
      <c r="B5414">
        <v>107.0051</v>
      </c>
      <c r="C5414">
        <v>108.6576</v>
      </c>
      <c r="D5414">
        <v>106.5919</v>
      </c>
      <c r="E5414">
        <v>108.6576</v>
      </c>
      <c r="F5414">
        <v>32590</v>
      </c>
    </row>
    <row r="5415" spans="1:6" x14ac:dyDescent="0.25">
      <c r="A5415" s="4">
        <v>42268</v>
      </c>
      <c r="B5415">
        <v>107.4182</v>
      </c>
      <c r="C5415">
        <v>107.4182</v>
      </c>
      <c r="D5415">
        <v>106.1788</v>
      </c>
      <c r="E5415">
        <v>107.0051</v>
      </c>
      <c r="F5415">
        <v>35272</v>
      </c>
    </row>
    <row r="5416" spans="1:6" x14ac:dyDescent="0.25">
      <c r="A5416" s="4">
        <v>42269</v>
      </c>
      <c r="B5416">
        <v>107.4182</v>
      </c>
      <c r="C5416">
        <v>107.4182</v>
      </c>
      <c r="D5416">
        <v>106.1788</v>
      </c>
      <c r="E5416">
        <v>106.5919</v>
      </c>
      <c r="F5416">
        <v>18378</v>
      </c>
    </row>
    <row r="5417" spans="1:6" x14ac:dyDescent="0.25">
      <c r="A5417" s="4">
        <v>42270</v>
      </c>
      <c r="B5417">
        <v>104.9393</v>
      </c>
      <c r="C5417">
        <v>105.35250000000001</v>
      </c>
      <c r="D5417">
        <v>102.8736</v>
      </c>
      <c r="E5417">
        <v>102.8736</v>
      </c>
      <c r="F5417">
        <v>35523</v>
      </c>
    </row>
    <row r="5418" spans="1:6" x14ac:dyDescent="0.25">
      <c r="A5418" s="4">
        <v>42271</v>
      </c>
      <c r="B5418">
        <v>104.9393</v>
      </c>
      <c r="C5418">
        <v>105.76560000000001</v>
      </c>
      <c r="D5418">
        <v>103.6999</v>
      </c>
      <c r="E5418">
        <v>104.9393</v>
      </c>
      <c r="F5418">
        <v>44709</v>
      </c>
    </row>
    <row r="5419" spans="1:6" x14ac:dyDescent="0.25">
      <c r="A5419" s="4">
        <v>42272</v>
      </c>
      <c r="B5419">
        <v>104.9393</v>
      </c>
      <c r="C5419">
        <v>105.35250000000001</v>
      </c>
      <c r="D5419">
        <v>103.2867</v>
      </c>
      <c r="E5419">
        <v>104.9393</v>
      </c>
      <c r="F5419">
        <v>24689</v>
      </c>
    </row>
    <row r="5420" spans="1:6" x14ac:dyDescent="0.25">
      <c r="A5420" s="4">
        <v>42277</v>
      </c>
      <c r="B5420">
        <v>105.76560000000001</v>
      </c>
      <c r="C5420">
        <v>108.2445</v>
      </c>
      <c r="D5420">
        <v>104.9393</v>
      </c>
      <c r="E5420">
        <v>107.4182</v>
      </c>
      <c r="F5420">
        <v>76377</v>
      </c>
    </row>
    <row r="5421" spans="1:6" x14ac:dyDescent="0.25">
      <c r="A5421" s="4">
        <v>42278</v>
      </c>
      <c r="B5421">
        <v>108.2445</v>
      </c>
      <c r="C5421">
        <v>110.7234</v>
      </c>
      <c r="D5421">
        <v>107.0051</v>
      </c>
      <c r="E5421">
        <v>110.31019999999999</v>
      </c>
      <c r="F5421">
        <v>53401</v>
      </c>
    </row>
    <row r="5422" spans="1:6" x14ac:dyDescent="0.25">
      <c r="A5422" s="4">
        <v>42279</v>
      </c>
      <c r="B5422">
        <v>109.48390000000001</v>
      </c>
      <c r="C5422">
        <v>109.48390000000001</v>
      </c>
      <c r="D5422">
        <v>108.6576</v>
      </c>
      <c r="E5422">
        <v>109.07080000000001</v>
      </c>
      <c r="F5422">
        <v>25252</v>
      </c>
    </row>
    <row r="5423" spans="1:6" x14ac:dyDescent="0.25">
      <c r="A5423" s="4">
        <v>42282</v>
      </c>
      <c r="B5423">
        <v>109.89709999999999</v>
      </c>
      <c r="C5423">
        <v>110.31019999999999</v>
      </c>
      <c r="D5423">
        <v>108.6576</v>
      </c>
      <c r="E5423">
        <v>109.48390000000001</v>
      </c>
      <c r="F5423">
        <v>30895</v>
      </c>
    </row>
    <row r="5424" spans="1:6" x14ac:dyDescent="0.25">
      <c r="A5424" s="4">
        <v>42283</v>
      </c>
      <c r="B5424">
        <v>111.5497</v>
      </c>
      <c r="C5424">
        <v>111.9628</v>
      </c>
      <c r="D5424">
        <v>109.48390000000001</v>
      </c>
      <c r="E5424">
        <v>109.89709999999999</v>
      </c>
      <c r="F5424">
        <v>49925</v>
      </c>
    </row>
    <row r="5425" spans="1:6" x14ac:dyDescent="0.25">
      <c r="A5425" s="4">
        <v>42284</v>
      </c>
      <c r="B5425">
        <v>110.31019999999999</v>
      </c>
      <c r="C5425">
        <v>111.5497</v>
      </c>
      <c r="D5425">
        <v>109.89709999999999</v>
      </c>
      <c r="E5425">
        <v>111.5497</v>
      </c>
      <c r="F5425">
        <v>32541</v>
      </c>
    </row>
    <row r="5426" spans="1:6" x14ac:dyDescent="0.25">
      <c r="A5426" s="4">
        <v>42285</v>
      </c>
      <c r="B5426">
        <v>113.20229999999999</v>
      </c>
      <c r="C5426">
        <v>113.20229999999999</v>
      </c>
      <c r="D5426">
        <v>111.5497</v>
      </c>
      <c r="E5426">
        <v>112.376</v>
      </c>
      <c r="F5426">
        <v>32055</v>
      </c>
    </row>
    <row r="5427" spans="1:6" x14ac:dyDescent="0.25">
      <c r="A5427" s="4">
        <v>42289</v>
      </c>
      <c r="B5427">
        <v>113.20229999999999</v>
      </c>
      <c r="C5427">
        <v>114.8548</v>
      </c>
      <c r="D5427">
        <v>112.7891</v>
      </c>
      <c r="E5427">
        <v>114.4417</v>
      </c>
      <c r="F5427">
        <v>51618</v>
      </c>
    </row>
    <row r="5428" spans="1:6" x14ac:dyDescent="0.25">
      <c r="A5428" s="4">
        <v>42290</v>
      </c>
      <c r="B5428">
        <v>114.4417</v>
      </c>
      <c r="C5428">
        <v>114.4417</v>
      </c>
      <c r="D5428">
        <v>112.376</v>
      </c>
      <c r="E5428">
        <v>113.61539999999999</v>
      </c>
      <c r="F5428">
        <v>37227</v>
      </c>
    </row>
    <row r="5429" spans="1:6" x14ac:dyDescent="0.25">
      <c r="A5429" s="4">
        <v>42291</v>
      </c>
      <c r="B5429">
        <v>112.7891</v>
      </c>
      <c r="C5429">
        <v>113.61539999999999</v>
      </c>
      <c r="D5429">
        <v>112.376</v>
      </c>
      <c r="E5429">
        <v>112.7891</v>
      </c>
      <c r="F5429">
        <v>65521</v>
      </c>
    </row>
    <row r="5430" spans="1:6" x14ac:dyDescent="0.25">
      <c r="A5430" s="4">
        <v>42292</v>
      </c>
      <c r="B5430">
        <v>114.8548</v>
      </c>
      <c r="C5430">
        <v>116.5074</v>
      </c>
      <c r="D5430">
        <v>114.8548</v>
      </c>
      <c r="E5430">
        <v>115.6811</v>
      </c>
      <c r="F5430">
        <v>73316</v>
      </c>
    </row>
    <row r="5431" spans="1:6" x14ac:dyDescent="0.25">
      <c r="A5431" s="4">
        <v>42293</v>
      </c>
      <c r="B5431">
        <v>113.20229999999999</v>
      </c>
      <c r="C5431">
        <v>113.61539999999999</v>
      </c>
      <c r="D5431">
        <v>112.376</v>
      </c>
      <c r="E5431">
        <v>113.61539999999999</v>
      </c>
      <c r="F5431">
        <v>37190</v>
      </c>
    </row>
    <row r="5432" spans="1:6" x14ac:dyDescent="0.25">
      <c r="A5432" s="4">
        <v>42296</v>
      </c>
      <c r="B5432">
        <v>114.4417</v>
      </c>
      <c r="C5432">
        <v>114.8548</v>
      </c>
      <c r="D5432">
        <v>113.20229999999999</v>
      </c>
      <c r="E5432">
        <v>114.0286</v>
      </c>
      <c r="F5432">
        <v>26174</v>
      </c>
    </row>
    <row r="5433" spans="1:6" x14ac:dyDescent="0.25">
      <c r="A5433" s="4">
        <v>42297</v>
      </c>
      <c r="B5433">
        <v>114.8548</v>
      </c>
      <c r="C5433">
        <v>114.8548</v>
      </c>
      <c r="D5433">
        <v>113.61539999999999</v>
      </c>
      <c r="E5433">
        <v>114.8548</v>
      </c>
      <c r="F5433">
        <v>28796</v>
      </c>
    </row>
    <row r="5434" spans="1:6" x14ac:dyDescent="0.25">
      <c r="A5434" s="4">
        <v>42298</v>
      </c>
      <c r="B5434">
        <v>115.268</v>
      </c>
      <c r="C5434">
        <v>115.6811</v>
      </c>
      <c r="D5434">
        <v>113.61539999999999</v>
      </c>
      <c r="E5434">
        <v>114.4417</v>
      </c>
      <c r="F5434">
        <v>20007</v>
      </c>
    </row>
    <row r="5435" spans="1:6" x14ac:dyDescent="0.25">
      <c r="A5435" s="4">
        <v>42299</v>
      </c>
      <c r="B5435">
        <v>114.0286</v>
      </c>
      <c r="C5435">
        <v>114.4417</v>
      </c>
      <c r="D5435">
        <v>113.20229999999999</v>
      </c>
      <c r="E5435">
        <v>113.61539999999999</v>
      </c>
      <c r="F5435">
        <v>15169</v>
      </c>
    </row>
    <row r="5436" spans="1:6" x14ac:dyDescent="0.25">
      <c r="A5436" s="4">
        <v>42300</v>
      </c>
      <c r="B5436">
        <v>115.6811</v>
      </c>
      <c r="C5436">
        <v>116.0943</v>
      </c>
      <c r="D5436">
        <v>114.8548</v>
      </c>
      <c r="E5436">
        <v>115.6811</v>
      </c>
      <c r="F5436">
        <v>35666</v>
      </c>
    </row>
    <row r="5437" spans="1:6" x14ac:dyDescent="0.25">
      <c r="A5437" s="4">
        <v>42303</v>
      </c>
      <c r="B5437">
        <v>116.0943</v>
      </c>
      <c r="C5437">
        <v>116.0943</v>
      </c>
      <c r="D5437">
        <v>114.8548</v>
      </c>
      <c r="E5437">
        <v>115.6811</v>
      </c>
      <c r="F5437">
        <v>24412</v>
      </c>
    </row>
    <row r="5438" spans="1:6" x14ac:dyDescent="0.25">
      <c r="A5438" s="4">
        <v>42304</v>
      </c>
      <c r="B5438">
        <v>114.4417</v>
      </c>
      <c r="C5438">
        <v>115.6811</v>
      </c>
      <c r="D5438">
        <v>113.61539999999999</v>
      </c>
      <c r="E5438">
        <v>114.8548</v>
      </c>
      <c r="F5438">
        <v>26558</v>
      </c>
    </row>
    <row r="5439" spans="1:6" x14ac:dyDescent="0.25">
      <c r="A5439" s="4">
        <v>42305</v>
      </c>
      <c r="B5439">
        <v>113.20229999999999</v>
      </c>
      <c r="C5439">
        <v>114.8548</v>
      </c>
      <c r="D5439">
        <v>113.20229999999999</v>
      </c>
      <c r="E5439">
        <v>114.0286</v>
      </c>
      <c r="F5439">
        <v>22557</v>
      </c>
    </row>
    <row r="5440" spans="1:6" x14ac:dyDescent="0.25">
      <c r="A5440" s="4">
        <v>42306</v>
      </c>
      <c r="B5440">
        <v>114.8548</v>
      </c>
      <c r="C5440">
        <v>115.268</v>
      </c>
      <c r="D5440">
        <v>112.7891</v>
      </c>
      <c r="E5440">
        <v>112.7891</v>
      </c>
      <c r="F5440">
        <v>20464</v>
      </c>
    </row>
    <row r="5441" spans="1:6" x14ac:dyDescent="0.25">
      <c r="A5441" s="4">
        <v>42307</v>
      </c>
      <c r="B5441">
        <v>113.20229999999999</v>
      </c>
      <c r="C5441">
        <v>113.61539999999999</v>
      </c>
      <c r="D5441">
        <v>112.376</v>
      </c>
      <c r="E5441">
        <v>112.7891</v>
      </c>
      <c r="F5441">
        <v>28293</v>
      </c>
    </row>
    <row r="5442" spans="1:6" x14ac:dyDescent="0.25">
      <c r="A5442" s="4">
        <v>42310</v>
      </c>
      <c r="B5442">
        <v>114.4417</v>
      </c>
      <c r="C5442">
        <v>114.4417</v>
      </c>
      <c r="D5442">
        <v>111.9628</v>
      </c>
      <c r="E5442">
        <v>113.61539999999999</v>
      </c>
      <c r="F5442">
        <v>22789</v>
      </c>
    </row>
    <row r="5443" spans="1:6" x14ac:dyDescent="0.25">
      <c r="A5443" s="4">
        <v>42311</v>
      </c>
      <c r="B5443">
        <v>114.4417</v>
      </c>
      <c r="C5443">
        <v>115.6811</v>
      </c>
      <c r="D5443">
        <v>114.0286</v>
      </c>
      <c r="E5443">
        <v>115.268</v>
      </c>
      <c r="F5443">
        <v>36443</v>
      </c>
    </row>
    <row r="5444" spans="1:6" x14ac:dyDescent="0.25">
      <c r="A5444" s="4">
        <v>42312</v>
      </c>
      <c r="B5444">
        <v>116.92059999999999</v>
      </c>
      <c r="C5444">
        <v>119.3995</v>
      </c>
      <c r="D5444">
        <v>116.5074</v>
      </c>
      <c r="E5444">
        <v>119.3995</v>
      </c>
      <c r="F5444">
        <v>75685</v>
      </c>
    </row>
    <row r="5445" spans="1:6" x14ac:dyDescent="0.25">
      <c r="A5445" s="4">
        <v>42313</v>
      </c>
      <c r="B5445">
        <v>118.9863</v>
      </c>
      <c r="C5445">
        <v>119.3995</v>
      </c>
      <c r="D5445">
        <v>117.7469</v>
      </c>
      <c r="E5445">
        <v>117.7469</v>
      </c>
      <c r="F5445">
        <v>37828</v>
      </c>
    </row>
    <row r="5446" spans="1:6" x14ac:dyDescent="0.25">
      <c r="A5446" s="4">
        <v>42314</v>
      </c>
      <c r="B5446">
        <v>118.9863</v>
      </c>
      <c r="C5446">
        <v>118.9863</v>
      </c>
      <c r="D5446">
        <v>114.8548</v>
      </c>
      <c r="E5446">
        <v>115.6811</v>
      </c>
      <c r="F5446">
        <v>51889</v>
      </c>
    </row>
    <row r="5447" spans="1:6" x14ac:dyDescent="0.25">
      <c r="A5447" s="4">
        <v>42317</v>
      </c>
      <c r="B5447">
        <v>116.5074</v>
      </c>
      <c r="C5447">
        <v>118.16</v>
      </c>
      <c r="D5447">
        <v>116.0943</v>
      </c>
      <c r="E5447">
        <v>117.33369999999999</v>
      </c>
      <c r="F5447">
        <v>24863</v>
      </c>
    </row>
    <row r="5448" spans="1:6" x14ac:dyDescent="0.25">
      <c r="A5448" s="4">
        <v>42318</v>
      </c>
      <c r="B5448">
        <v>116.92059999999999</v>
      </c>
      <c r="C5448">
        <v>116.92059999999999</v>
      </c>
      <c r="D5448">
        <v>114.8548</v>
      </c>
      <c r="E5448">
        <v>115.268</v>
      </c>
      <c r="F5448">
        <v>23337</v>
      </c>
    </row>
    <row r="5449" spans="1:6" x14ac:dyDescent="0.25">
      <c r="A5449" s="4">
        <v>42319</v>
      </c>
      <c r="B5449">
        <v>116.0943</v>
      </c>
      <c r="C5449">
        <v>116.0943</v>
      </c>
      <c r="D5449">
        <v>112.7891</v>
      </c>
      <c r="E5449">
        <v>113.61539999999999</v>
      </c>
      <c r="F5449">
        <v>29463</v>
      </c>
    </row>
    <row r="5450" spans="1:6" x14ac:dyDescent="0.25">
      <c r="A5450" s="4">
        <v>42320</v>
      </c>
      <c r="B5450">
        <v>114.4417</v>
      </c>
      <c r="C5450">
        <v>114.8548</v>
      </c>
      <c r="D5450">
        <v>114.0286</v>
      </c>
      <c r="E5450">
        <v>114.4417</v>
      </c>
      <c r="F5450">
        <v>16486</v>
      </c>
    </row>
    <row r="5451" spans="1:6" x14ac:dyDescent="0.25">
      <c r="A5451" s="4">
        <v>42321</v>
      </c>
      <c r="B5451">
        <v>113.61539999999999</v>
      </c>
      <c r="C5451">
        <v>114.8548</v>
      </c>
      <c r="D5451">
        <v>112.376</v>
      </c>
      <c r="E5451">
        <v>112.376</v>
      </c>
      <c r="F5451">
        <v>22956</v>
      </c>
    </row>
    <row r="5452" spans="1:6" x14ac:dyDescent="0.25">
      <c r="A5452" s="4">
        <v>42324</v>
      </c>
      <c r="B5452">
        <v>110.7234</v>
      </c>
      <c r="C5452">
        <v>111.9628</v>
      </c>
      <c r="D5452">
        <v>110.7234</v>
      </c>
      <c r="E5452">
        <v>111.5497</v>
      </c>
      <c r="F5452">
        <v>32133</v>
      </c>
    </row>
    <row r="5453" spans="1:6" x14ac:dyDescent="0.25">
      <c r="A5453" s="4">
        <v>42325</v>
      </c>
      <c r="B5453">
        <v>114.0286</v>
      </c>
      <c r="C5453">
        <v>115.6811</v>
      </c>
      <c r="D5453">
        <v>113.61539999999999</v>
      </c>
      <c r="E5453">
        <v>114.4417</v>
      </c>
      <c r="F5453">
        <v>28225</v>
      </c>
    </row>
    <row r="5454" spans="1:6" x14ac:dyDescent="0.25">
      <c r="A5454" s="4">
        <v>42326</v>
      </c>
      <c r="B5454">
        <v>115.268</v>
      </c>
      <c r="C5454">
        <v>115.6811</v>
      </c>
      <c r="D5454">
        <v>112.7891</v>
      </c>
      <c r="E5454">
        <v>113.20229999999999</v>
      </c>
      <c r="F5454">
        <v>29455</v>
      </c>
    </row>
    <row r="5455" spans="1:6" x14ac:dyDescent="0.25">
      <c r="A5455" s="4">
        <v>42327</v>
      </c>
      <c r="B5455">
        <v>114.4417</v>
      </c>
      <c r="C5455">
        <v>116.0943</v>
      </c>
      <c r="D5455">
        <v>114.0286</v>
      </c>
      <c r="E5455">
        <v>116.0943</v>
      </c>
      <c r="F5455">
        <v>28724</v>
      </c>
    </row>
    <row r="5456" spans="1:6" x14ac:dyDescent="0.25">
      <c r="A5456" s="4">
        <v>42328</v>
      </c>
      <c r="B5456">
        <v>116.0943</v>
      </c>
      <c r="C5456">
        <v>116.5074</v>
      </c>
      <c r="D5456">
        <v>115.6811</v>
      </c>
      <c r="E5456">
        <v>116.5074</v>
      </c>
      <c r="F5456">
        <v>21649</v>
      </c>
    </row>
    <row r="5457" spans="1:6" x14ac:dyDescent="0.25">
      <c r="A5457" s="4">
        <v>42331</v>
      </c>
      <c r="B5457">
        <v>116.5074</v>
      </c>
      <c r="C5457">
        <v>116.92059999999999</v>
      </c>
      <c r="D5457">
        <v>115.6811</v>
      </c>
      <c r="E5457">
        <v>116.5074</v>
      </c>
      <c r="F5457">
        <v>20544</v>
      </c>
    </row>
    <row r="5458" spans="1:6" x14ac:dyDescent="0.25">
      <c r="A5458" s="4">
        <v>42332</v>
      </c>
      <c r="B5458">
        <v>115.6811</v>
      </c>
      <c r="C5458">
        <v>116.92059999999999</v>
      </c>
      <c r="D5458">
        <v>115.268</v>
      </c>
      <c r="E5458">
        <v>115.268</v>
      </c>
      <c r="F5458">
        <v>23246</v>
      </c>
    </row>
    <row r="5459" spans="1:6" x14ac:dyDescent="0.25">
      <c r="A5459" s="4">
        <v>42333</v>
      </c>
      <c r="B5459">
        <v>115.268</v>
      </c>
      <c r="C5459">
        <v>116.5074</v>
      </c>
      <c r="D5459">
        <v>114.4417</v>
      </c>
      <c r="E5459">
        <v>116.5074</v>
      </c>
      <c r="F5459">
        <v>34541</v>
      </c>
    </row>
    <row r="5460" spans="1:6" x14ac:dyDescent="0.25">
      <c r="A5460" s="4">
        <v>42334</v>
      </c>
      <c r="B5460">
        <v>116.5074</v>
      </c>
      <c r="C5460">
        <v>117.7469</v>
      </c>
      <c r="D5460">
        <v>115.6811</v>
      </c>
      <c r="E5460">
        <v>117.7469</v>
      </c>
      <c r="F5460">
        <v>32928</v>
      </c>
    </row>
    <row r="5461" spans="1:6" x14ac:dyDescent="0.25">
      <c r="A5461" s="4">
        <v>42335</v>
      </c>
      <c r="B5461">
        <v>118.16</v>
      </c>
      <c r="C5461">
        <v>118.16</v>
      </c>
      <c r="D5461">
        <v>114.8548</v>
      </c>
      <c r="E5461">
        <v>114.8548</v>
      </c>
      <c r="F5461">
        <v>26743</v>
      </c>
    </row>
    <row r="5462" spans="1:6" x14ac:dyDescent="0.25">
      <c r="A5462" s="4">
        <v>42338</v>
      </c>
      <c r="B5462">
        <v>112.7891</v>
      </c>
      <c r="C5462">
        <v>114.8548</v>
      </c>
      <c r="D5462">
        <v>112.376</v>
      </c>
      <c r="E5462">
        <v>114.8548</v>
      </c>
      <c r="F5462">
        <v>110350</v>
      </c>
    </row>
    <row r="5463" spans="1:6" x14ac:dyDescent="0.25">
      <c r="A5463" s="4">
        <v>42339</v>
      </c>
      <c r="B5463">
        <v>116.0943</v>
      </c>
      <c r="C5463">
        <v>117.7469</v>
      </c>
      <c r="D5463">
        <v>114.4417</v>
      </c>
      <c r="E5463">
        <v>117.7469</v>
      </c>
      <c r="F5463">
        <v>48932</v>
      </c>
    </row>
    <row r="5464" spans="1:6" x14ac:dyDescent="0.25">
      <c r="A5464" s="4">
        <v>42340</v>
      </c>
      <c r="B5464">
        <v>118.9863</v>
      </c>
      <c r="C5464">
        <v>118.9863</v>
      </c>
      <c r="D5464">
        <v>117.33369999999999</v>
      </c>
      <c r="E5464">
        <v>117.7469</v>
      </c>
      <c r="F5464">
        <v>31768</v>
      </c>
    </row>
    <row r="5465" spans="1:6" x14ac:dyDescent="0.25">
      <c r="A5465" s="4">
        <v>42341</v>
      </c>
      <c r="B5465">
        <v>116.92059999999999</v>
      </c>
      <c r="C5465">
        <v>118.16</v>
      </c>
      <c r="D5465">
        <v>116.92059999999999</v>
      </c>
      <c r="E5465">
        <v>117.7469</v>
      </c>
      <c r="F5465">
        <v>28205</v>
      </c>
    </row>
    <row r="5466" spans="1:6" x14ac:dyDescent="0.25">
      <c r="A5466" s="4">
        <v>42342</v>
      </c>
      <c r="B5466">
        <v>116.5074</v>
      </c>
      <c r="C5466">
        <v>117.7469</v>
      </c>
      <c r="D5466">
        <v>116.0943</v>
      </c>
      <c r="E5466">
        <v>116.0943</v>
      </c>
      <c r="F5466">
        <v>31781</v>
      </c>
    </row>
    <row r="5467" spans="1:6" x14ac:dyDescent="0.25">
      <c r="A5467" s="4">
        <v>42345</v>
      </c>
      <c r="B5467">
        <v>117.33369999999999</v>
      </c>
      <c r="C5467">
        <v>119.3995</v>
      </c>
      <c r="D5467">
        <v>117.33369999999999</v>
      </c>
      <c r="E5467">
        <v>118.5732</v>
      </c>
      <c r="F5467">
        <v>41098</v>
      </c>
    </row>
    <row r="5468" spans="1:6" x14ac:dyDescent="0.25">
      <c r="A5468" s="4">
        <v>42346</v>
      </c>
      <c r="B5468">
        <v>118.5732</v>
      </c>
      <c r="C5468">
        <v>118.9863</v>
      </c>
      <c r="D5468">
        <v>116.5074</v>
      </c>
      <c r="E5468">
        <v>117.7469</v>
      </c>
      <c r="F5468">
        <v>34037</v>
      </c>
    </row>
    <row r="5469" spans="1:6" x14ac:dyDescent="0.25">
      <c r="A5469" s="4">
        <v>42347</v>
      </c>
      <c r="B5469">
        <v>117.33369999999999</v>
      </c>
      <c r="C5469">
        <v>117.33369999999999</v>
      </c>
      <c r="D5469">
        <v>116.0943</v>
      </c>
      <c r="E5469">
        <v>116.0943</v>
      </c>
      <c r="F5469">
        <v>30640</v>
      </c>
    </row>
    <row r="5470" spans="1:6" x14ac:dyDescent="0.25">
      <c r="A5470" s="4">
        <v>42348</v>
      </c>
      <c r="B5470">
        <v>116.0943</v>
      </c>
      <c r="C5470">
        <v>116.92059999999999</v>
      </c>
      <c r="D5470">
        <v>114.8548</v>
      </c>
      <c r="E5470">
        <v>116.5074</v>
      </c>
      <c r="F5470">
        <v>41488</v>
      </c>
    </row>
    <row r="5471" spans="1:6" x14ac:dyDescent="0.25">
      <c r="A5471" s="4">
        <v>42349</v>
      </c>
      <c r="B5471">
        <v>116.5074</v>
      </c>
      <c r="C5471">
        <v>117.33369999999999</v>
      </c>
      <c r="D5471">
        <v>114.8548</v>
      </c>
      <c r="E5471">
        <v>115.268</v>
      </c>
      <c r="F5471">
        <v>32031</v>
      </c>
    </row>
    <row r="5472" spans="1:6" x14ac:dyDescent="0.25">
      <c r="A5472" s="4">
        <v>42352</v>
      </c>
      <c r="B5472">
        <v>113.61539999999999</v>
      </c>
      <c r="C5472">
        <v>115.268</v>
      </c>
      <c r="D5472">
        <v>113.61539999999999</v>
      </c>
      <c r="E5472">
        <v>114.8548</v>
      </c>
      <c r="F5472">
        <v>37667</v>
      </c>
    </row>
    <row r="5473" spans="1:6" x14ac:dyDescent="0.25">
      <c r="A5473" s="4">
        <v>42353</v>
      </c>
      <c r="B5473">
        <v>115.268</v>
      </c>
      <c r="C5473">
        <v>116.0943</v>
      </c>
      <c r="D5473">
        <v>114.0286</v>
      </c>
      <c r="E5473">
        <v>114.0286</v>
      </c>
      <c r="F5473">
        <v>27973</v>
      </c>
    </row>
    <row r="5474" spans="1:6" x14ac:dyDescent="0.25">
      <c r="A5474" s="4">
        <v>42354</v>
      </c>
      <c r="B5474">
        <v>117.33369999999999</v>
      </c>
      <c r="C5474">
        <v>118.9863</v>
      </c>
      <c r="D5474">
        <v>116.5074</v>
      </c>
      <c r="E5474">
        <v>118.5732</v>
      </c>
      <c r="F5474">
        <v>58669</v>
      </c>
    </row>
    <row r="5475" spans="1:6" x14ac:dyDescent="0.25">
      <c r="A5475" s="4">
        <v>42355</v>
      </c>
      <c r="B5475">
        <v>119.3995</v>
      </c>
      <c r="C5475">
        <v>119.8126</v>
      </c>
      <c r="D5475">
        <v>118.16</v>
      </c>
      <c r="E5475">
        <v>119.8126</v>
      </c>
      <c r="F5475">
        <v>34711</v>
      </c>
    </row>
    <row r="5476" spans="1:6" x14ac:dyDescent="0.25">
      <c r="A5476" s="4">
        <v>42356</v>
      </c>
      <c r="B5476">
        <v>118.16</v>
      </c>
      <c r="C5476">
        <v>119.8126</v>
      </c>
      <c r="D5476">
        <v>117.33369999999999</v>
      </c>
      <c r="E5476">
        <v>117.33369999999999</v>
      </c>
      <c r="F5476">
        <v>41616</v>
      </c>
    </row>
    <row r="5477" spans="1:6" x14ac:dyDescent="0.25">
      <c r="A5477" s="4">
        <v>42359</v>
      </c>
      <c r="B5477">
        <v>116.92059999999999</v>
      </c>
      <c r="C5477">
        <v>117.7469</v>
      </c>
      <c r="D5477">
        <v>116.0943</v>
      </c>
      <c r="E5477">
        <v>116.92059999999999</v>
      </c>
      <c r="F5477">
        <v>26939</v>
      </c>
    </row>
    <row r="5478" spans="1:6" x14ac:dyDescent="0.25">
      <c r="A5478" s="4">
        <v>42360</v>
      </c>
      <c r="B5478">
        <v>116.5074</v>
      </c>
      <c r="C5478">
        <v>117.33369999999999</v>
      </c>
      <c r="D5478">
        <v>116.0943</v>
      </c>
      <c r="E5478">
        <v>117.33369999999999</v>
      </c>
      <c r="F5478">
        <v>17210</v>
      </c>
    </row>
    <row r="5479" spans="1:6" x14ac:dyDescent="0.25">
      <c r="A5479" s="4">
        <v>42361</v>
      </c>
      <c r="B5479">
        <v>116.5074</v>
      </c>
      <c r="C5479">
        <v>118.16</v>
      </c>
      <c r="D5479">
        <v>116.0943</v>
      </c>
      <c r="E5479">
        <v>116.92059999999999</v>
      </c>
      <c r="F5479">
        <v>18152</v>
      </c>
    </row>
    <row r="5480" spans="1:6" x14ac:dyDescent="0.25">
      <c r="A5480" s="4">
        <v>42362</v>
      </c>
      <c r="B5480">
        <v>118.16</v>
      </c>
      <c r="C5480">
        <v>118.5732</v>
      </c>
      <c r="D5480">
        <v>117.33369999999999</v>
      </c>
      <c r="E5480">
        <v>117.33369999999999</v>
      </c>
      <c r="F5480">
        <v>13495</v>
      </c>
    </row>
    <row r="5481" spans="1:6" x14ac:dyDescent="0.25">
      <c r="A5481" s="4">
        <v>42363</v>
      </c>
      <c r="B5481">
        <v>117.33369999999999</v>
      </c>
      <c r="C5481">
        <v>118.5732</v>
      </c>
      <c r="D5481">
        <v>117.33369999999999</v>
      </c>
      <c r="E5481">
        <v>118.16</v>
      </c>
      <c r="F5481">
        <v>6169</v>
      </c>
    </row>
    <row r="5482" spans="1:6" x14ac:dyDescent="0.25">
      <c r="A5482" s="4">
        <v>42366</v>
      </c>
      <c r="B5482">
        <v>118.5732</v>
      </c>
      <c r="C5482">
        <v>118.9863</v>
      </c>
      <c r="D5482">
        <v>118.16</v>
      </c>
      <c r="E5482">
        <v>118.5732</v>
      </c>
      <c r="F5482">
        <v>10831</v>
      </c>
    </row>
    <row r="5483" spans="1:6" x14ac:dyDescent="0.25">
      <c r="A5483" s="4">
        <v>42367</v>
      </c>
      <c r="B5483">
        <v>118.5732</v>
      </c>
      <c r="C5483">
        <v>118.9863</v>
      </c>
      <c r="D5483">
        <v>116.92059999999999</v>
      </c>
      <c r="E5483">
        <v>117.33369999999999</v>
      </c>
      <c r="F5483">
        <v>12968</v>
      </c>
    </row>
    <row r="5484" spans="1:6" x14ac:dyDescent="0.25">
      <c r="A5484" s="4">
        <v>42368</v>
      </c>
      <c r="B5484">
        <v>117.7469</v>
      </c>
      <c r="C5484">
        <v>118.9863</v>
      </c>
      <c r="D5484">
        <v>117.33369999999999</v>
      </c>
      <c r="E5484">
        <v>117.7469</v>
      </c>
      <c r="F5484">
        <v>14713</v>
      </c>
    </row>
    <row r="5485" spans="1:6" x14ac:dyDescent="0.25">
      <c r="A5485" s="4">
        <v>42369</v>
      </c>
      <c r="B5485">
        <v>117.33369999999999</v>
      </c>
      <c r="C5485">
        <v>118.9863</v>
      </c>
      <c r="D5485">
        <v>116.5074</v>
      </c>
      <c r="E5485">
        <v>118.16</v>
      </c>
      <c r="F5485">
        <v>18678</v>
      </c>
    </row>
    <row r="5486" spans="1:6" x14ac:dyDescent="0.25">
      <c r="A5486" s="4">
        <v>42373</v>
      </c>
      <c r="B5486">
        <v>117.7469</v>
      </c>
      <c r="C5486">
        <v>118.5732</v>
      </c>
      <c r="D5486">
        <v>114.8548</v>
      </c>
      <c r="E5486">
        <v>115.268</v>
      </c>
      <c r="F5486">
        <v>43800</v>
      </c>
    </row>
    <row r="5487" spans="1:6" x14ac:dyDescent="0.25">
      <c r="A5487" s="4">
        <v>42374</v>
      </c>
      <c r="B5487">
        <v>114.8548</v>
      </c>
      <c r="C5487">
        <v>115.6811</v>
      </c>
      <c r="D5487">
        <v>113.20229999999999</v>
      </c>
      <c r="E5487">
        <v>114.0286</v>
      </c>
      <c r="F5487">
        <v>46502</v>
      </c>
    </row>
    <row r="5488" spans="1:6" x14ac:dyDescent="0.25">
      <c r="A5488" s="4">
        <v>42375</v>
      </c>
      <c r="B5488">
        <v>114.0286</v>
      </c>
      <c r="C5488">
        <v>114.0286</v>
      </c>
      <c r="D5488">
        <v>111.5497</v>
      </c>
      <c r="E5488">
        <v>111.9628</v>
      </c>
      <c r="F5488">
        <v>53873</v>
      </c>
    </row>
    <row r="5489" spans="1:6" x14ac:dyDescent="0.25">
      <c r="A5489" s="4">
        <v>42376</v>
      </c>
      <c r="B5489">
        <v>111.1365</v>
      </c>
      <c r="C5489">
        <v>111.5497</v>
      </c>
      <c r="D5489">
        <v>107.8313</v>
      </c>
      <c r="E5489">
        <v>109.89709999999999</v>
      </c>
      <c r="F5489">
        <v>63475</v>
      </c>
    </row>
    <row r="5490" spans="1:6" x14ac:dyDescent="0.25">
      <c r="A5490" s="4">
        <v>42377</v>
      </c>
      <c r="B5490">
        <v>109.07080000000001</v>
      </c>
      <c r="C5490">
        <v>111.5497</v>
      </c>
      <c r="D5490">
        <v>109.07080000000001</v>
      </c>
      <c r="E5490">
        <v>110.7234</v>
      </c>
      <c r="F5490">
        <v>52641</v>
      </c>
    </row>
    <row r="5491" spans="1:6" x14ac:dyDescent="0.25">
      <c r="A5491" s="4">
        <v>42380</v>
      </c>
      <c r="B5491">
        <v>109.89709999999999</v>
      </c>
      <c r="C5491">
        <v>111.1365</v>
      </c>
      <c r="D5491">
        <v>107.8313</v>
      </c>
      <c r="E5491">
        <v>109.89709999999999</v>
      </c>
      <c r="F5491">
        <v>48536</v>
      </c>
    </row>
    <row r="5492" spans="1:6" x14ac:dyDescent="0.25">
      <c r="A5492" s="4">
        <v>42381</v>
      </c>
      <c r="B5492">
        <v>109.89709999999999</v>
      </c>
      <c r="C5492">
        <v>110.7234</v>
      </c>
      <c r="D5492">
        <v>108.6576</v>
      </c>
      <c r="E5492">
        <v>109.89709999999999</v>
      </c>
      <c r="F5492">
        <v>35133</v>
      </c>
    </row>
    <row r="5493" spans="1:6" x14ac:dyDescent="0.25">
      <c r="A5493" s="4">
        <v>42382</v>
      </c>
      <c r="B5493">
        <v>110.31019999999999</v>
      </c>
      <c r="C5493">
        <v>111.9628</v>
      </c>
      <c r="D5493">
        <v>109.89709999999999</v>
      </c>
      <c r="E5493">
        <v>110.31019999999999</v>
      </c>
      <c r="F5493">
        <v>50237</v>
      </c>
    </row>
    <row r="5494" spans="1:6" x14ac:dyDescent="0.25">
      <c r="A5494" s="4">
        <v>42383</v>
      </c>
      <c r="B5494">
        <v>107.8313</v>
      </c>
      <c r="C5494">
        <v>109.07080000000001</v>
      </c>
      <c r="D5494">
        <v>107.8313</v>
      </c>
      <c r="E5494">
        <v>108.6576</v>
      </c>
      <c r="F5494">
        <v>39498</v>
      </c>
    </row>
    <row r="5495" spans="1:6" x14ac:dyDescent="0.25">
      <c r="A5495" s="4">
        <v>42384</v>
      </c>
      <c r="B5495">
        <v>113.61539999999999</v>
      </c>
      <c r="C5495">
        <v>114.0286</v>
      </c>
      <c r="D5495">
        <v>111.9628</v>
      </c>
      <c r="E5495">
        <v>113.20229999999999</v>
      </c>
      <c r="F5495">
        <v>79649</v>
      </c>
    </row>
    <row r="5496" spans="1:6" x14ac:dyDescent="0.25">
      <c r="A5496" s="4">
        <v>42387</v>
      </c>
      <c r="B5496">
        <v>111.5497</v>
      </c>
      <c r="C5496">
        <v>114.0286</v>
      </c>
      <c r="D5496">
        <v>111.1365</v>
      </c>
      <c r="E5496">
        <v>113.20229999999999</v>
      </c>
      <c r="F5496">
        <v>37009</v>
      </c>
    </row>
    <row r="5497" spans="1:6" x14ac:dyDescent="0.25">
      <c r="A5497" s="4">
        <v>42388</v>
      </c>
      <c r="B5497">
        <v>113.61539999999999</v>
      </c>
      <c r="C5497">
        <v>114.0286</v>
      </c>
      <c r="D5497">
        <v>112.376</v>
      </c>
      <c r="E5497">
        <v>114.0286</v>
      </c>
      <c r="F5497">
        <v>24996</v>
      </c>
    </row>
    <row r="5498" spans="1:6" x14ac:dyDescent="0.25">
      <c r="A5498" s="4">
        <v>42389</v>
      </c>
      <c r="B5498">
        <v>113.61539999999999</v>
      </c>
      <c r="C5498">
        <v>113.61539999999999</v>
      </c>
      <c r="D5498">
        <v>110.31019999999999</v>
      </c>
      <c r="E5498">
        <v>111.1365</v>
      </c>
      <c r="F5498">
        <v>44423</v>
      </c>
    </row>
    <row r="5499" spans="1:6" x14ac:dyDescent="0.25">
      <c r="A5499" s="4">
        <v>42390</v>
      </c>
      <c r="B5499">
        <v>110.7234</v>
      </c>
      <c r="C5499">
        <v>112.7891</v>
      </c>
      <c r="D5499">
        <v>110.7234</v>
      </c>
      <c r="E5499">
        <v>111.5497</v>
      </c>
      <c r="F5499">
        <v>31957</v>
      </c>
    </row>
    <row r="5500" spans="1:6" x14ac:dyDescent="0.25">
      <c r="A5500" s="4">
        <v>42391</v>
      </c>
      <c r="B5500">
        <v>112.7891</v>
      </c>
      <c r="C5500">
        <v>114.4417</v>
      </c>
      <c r="D5500">
        <v>112.376</v>
      </c>
      <c r="E5500">
        <v>114.4417</v>
      </c>
      <c r="F5500">
        <v>33926</v>
      </c>
    </row>
    <row r="5501" spans="1:6" x14ac:dyDescent="0.25">
      <c r="A5501" s="4">
        <v>42394</v>
      </c>
      <c r="B5501">
        <v>115.6811</v>
      </c>
      <c r="C5501">
        <v>115.6811</v>
      </c>
      <c r="D5501">
        <v>114.8548</v>
      </c>
      <c r="E5501">
        <v>115.268</v>
      </c>
      <c r="F5501">
        <v>27213</v>
      </c>
    </row>
    <row r="5502" spans="1:6" x14ac:dyDescent="0.25">
      <c r="A5502" s="4">
        <v>42395</v>
      </c>
      <c r="B5502">
        <v>113.61539999999999</v>
      </c>
      <c r="C5502">
        <v>114.8548</v>
      </c>
      <c r="D5502">
        <v>113.20229999999999</v>
      </c>
      <c r="E5502">
        <v>113.61539999999999</v>
      </c>
      <c r="F5502">
        <v>24103</v>
      </c>
    </row>
    <row r="5503" spans="1:6" x14ac:dyDescent="0.25">
      <c r="A5503" s="4">
        <v>42396</v>
      </c>
      <c r="B5503">
        <v>114.8548</v>
      </c>
      <c r="C5503">
        <v>115.268</v>
      </c>
      <c r="D5503">
        <v>114.4417</v>
      </c>
      <c r="E5503">
        <v>115.268</v>
      </c>
      <c r="F5503">
        <v>24548</v>
      </c>
    </row>
    <row r="5504" spans="1:6" x14ac:dyDescent="0.25">
      <c r="A5504" s="4">
        <v>42397</v>
      </c>
      <c r="B5504">
        <v>114.0286</v>
      </c>
      <c r="C5504">
        <v>116.0943</v>
      </c>
      <c r="D5504">
        <v>114.0286</v>
      </c>
      <c r="E5504">
        <v>115.6811</v>
      </c>
      <c r="F5504">
        <v>37913</v>
      </c>
    </row>
    <row r="5505" spans="1:6" x14ac:dyDescent="0.25">
      <c r="A5505" s="4">
        <v>42398</v>
      </c>
      <c r="B5505">
        <v>114.4417</v>
      </c>
      <c r="C5505">
        <v>118.16</v>
      </c>
      <c r="D5505">
        <v>114.0286</v>
      </c>
      <c r="E5505">
        <v>118.16</v>
      </c>
      <c r="F5505">
        <v>57558</v>
      </c>
    </row>
    <row r="5506" spans="1:6" x14ac:dyDescent="0.25">
      <c r="A5506" s="4">
        <v>42399</v>
      </c>
      <c r="B5506">
        <v>117.7469</v>
      </c>
      <c r="C5506">
        <v>118.16</v>
      </c>
      <c r="D5506">
        <v>116.5074</v>
      </c>
      <c r="E5506">
        <v>117.33369999999999</v>
      </c>
      <c r="F5506">
        <v>11865</v>
      </c>
    </row>
    <row r="5507" spans="1:6" x14ac:dyDescent="0.25">
      <c r="A5507" s="4">
        <v>42401</v>
      </c>
      <c r="B5507">
        <v>118.9863</v>
      </c>
      <c r="C5507">
        <v>118.9863</v>
      </c>
      <c r="D5507">
        <v>116.92059999999999</v>
      </c>
      <c r="E5507">
        <v>118.9863</v>
      </c>
      <c r="F5507">
        <v>43828</v>
      </c>
    </row>
    <row r="5508" spans="1:6" x14ac:dyDescent="0.25">
      <c r="A5508" s="4">
        <v>42402</v>
      </c>
      <c r="B5508">
        <v>118.9863</v>
      </c>
      <c r="C5508">
        <v>119.3995</v>
      </c>
      <c r="D5508">
        <v>116.92059999999999</v>
      </c>
      <c r="E5508">
        <v>117.7469</v>
      </c>
      <c r="F5508">
        <v>25401</v>
      </c>
    </row>
    <row r="5509" spans="1:6" x14ac:dyDescent="0.25">
      <c r="A5509" s="4">
        <v>42403</v>
      </c>
      <c r="B5509">
        <v>119.8126</v>
      </c>
      <c r="C5509">
        <v>120.63890000000001</v>
      </c>
      <c r="D5509">
        <v>119.3995</v>
      </c>
      <c r="E5509">
        <v>120.63890000000001</v>
      </c>
      <c r="F5509">
        <v>71653</v>
      </c>
    </row>
    <row r="5510" spans="1:6" x14ac:dyDescent="0.25">
      <c r="A5510" s="4">
        <v>42415</v>
      </c>
      <c r="B5510">
        <v>117.33369999999999</v>
      </c>
      <c r="C5510">
        <v>121.0521</v>
      </c>
      <c r="D5510">
        <v>117.33369999999999</v>
      </c>
      <c r="E5510">
        <v>119.8126</v>
      </c>
      <c r="F5510">
        <v>77065</v>
      </c>
    </row>
    <row r="5511" spans="1:6" x14ac:dyDescent="0.25">
      <c r="A5511" s="4">
        <v>42416</v>
      </c>
      <c r="B5511">
        <v>120.63890000000001</v>
      </c>
      <c r="C5511">
        <v>122.2915</v>
      </c>
      <c r="D5511">
        <v>120.22580000000001</v>
      </c>
      <c r="E5511">
        <v>121.8783</v>
      </c>
      <c r="F5511">
        <v>56362</v>
      </c>
    </row>
    <row r="5512" spans="1:6" x14ac:dyDescent="0.25">
      <c r="A5512" s="4">
        <v>42417</v>
      </c>
      <c r="B5512">
        <v>123.1178</v>
      </c>
      <c r="C5512">
        <v>123.1178</v>
      </c>
      <c r="D5512">
        <v>121.4652</v>
      </c>
      <c r="E5512">
        <v>122.2915</v>
      </c>
      <c r="F5512">
        <v>38487</v>
      </c>
    </row>
    <row r="5513" spans="1:6" x14ac:dyDescent="0.25">
      <c r="A5513" s="4">
        <v>42418</v>
      </c>
      <c r="B5513">
        <v>123.94410000000001</v>
      </c>
      <c r="C5513">
        <v>124.7704</v>
      </c>
      <c r="D5513">
        <v>123.5309</v>
      </c>
      <c r="E5513">
        <v>124.7704</v>
      </c>
      <c r="F5513">
        <v>61877</v>
      </c>
    </row>
    <row r="5514" spans="1:6" x14ac:dyDescent="0.25">
      <c r="A5514" s="4">
        <v>42419</v>
      </c>
      <c r="B5514">
        <v>123.1178</v>
      </c>
      <c r="C5514">
        <v>124.7704</v>
      </c>
      <c r="D5514">
        <v>123.1178</v>
      </c>
      <c r="E5514">
        <v>124.7704</v>
      </c>
      <c r="F5514">
        <v>37445</v>
      </c>
    </row>
    <row r="5515" spans="1:6" x14ac:dyDescent="0.25">
      <c r="A5515" s="4">
        <v>42422</v>
      </c>
      <c r="B5515">
        <v>123.5309</v>
      </c>
      <c r="C5515">
        <v>126.0098</v>
      </c>
      <c r="D5515">
        <v>123.5309</v>
      </c>
      <c r="E5515">
        <v>124.7704</v>
      </c>
      <c r="F5515">
        <v>29751</v>
      </c>
    </row>
    <row r="5516" spans="1:6" x14ac:dyDescent="0.25">
      <c r="A5516" s="4">
        <v>42423</v>
      </c>
      <c r="B5516">
        <v>124.35720000000001</v>
      </c>
      <c r="C5516">
        <v>124.7704</v>
      </c>
      <c r="D5516">
        <v>123.1178</v>
      </c>
      <c r="E5516">
        <v>123.5309</v>
      </c>
      <c r="F5516">
        <v>22500</v>
      </c>
    </row>
    <row r="5517" spans="1:6" x14ac:dyDescent="0.25">
      <c r="A5517" s="4">
        <v>42424</v>
      </c>
      <c r="B5517">
        <v>123.5309</v>
      </c>
      <c r="C5517">
        <v>124.35720000000001</v>
      </c>
      <c r="D5517">
        <v>121.4652</v>
      </c>
      <c r="E5517">
        <v>122.2915</v>
      </c>
      <c r="F5517">
        <v>22083</v>
      </c>
    </row>
    <row r="5518" spans="1:6" x14ac:dyDescent="0.25">
      <c r="A5518" s="4">
        <v>42425</v>
      </c>
      <c r="B5518">
        <v>123.1178</v>
      </c>
      <c r="C5518">
        <v>124.7704</v>
      </c>
      <c r="D5518">
        <v>122.7046</v>
      </c>
      <c r="E5518">
        <v>124.35720000000001</v>
      </c>
      <c r="F5518">
        <v>25233</v>
      </c>
    </row>
    <row r="5519" spans="1:6" x14ac:dyDescent="0.25">
      <c r="A5519" s="4">
        <v>42426</v>
      </c>
      <c r="B5519">
        <v>124.7704</v>
      </c>
      <c r="C5519">
        <v>125.1835</v>
      </c>
      <c r="D5519">
        <v>122.2915</v>
      </c>
      <c r="E5519">
        <v>123.1178</v>
      </c>
      <c r="F5519">
        <v>46426</v>
      </c>
    </row>
    <row r="5520" spans="1:6" x14ac:dyDescent="0.25">
      <c r="A5520" s="4">
        <v>42430</v>
      </c>
      <c r="B5520">
        <v>122.7046</v>
      </c>
      <c r="C5520">
        <v>125.5967</v>
      </c>
      <c r="D5520">
        <v>122.7046</v>
      </c>
      <c r="E5520">
        <v>125.5967</v>
      </c>
      <c r="F5520">
        <v>44046</v>
      </c>
    </row>
    <row r="5521" spans="1:6" x14ac:dyDescent="0.25">
      <c r="A5521" s="4">
        <v>42431</v>
      </c>
      <c r="B5521">
        <v>127.24930000000001</v>
      </c>
      <c r="C5521">
        <v>127.66240000000001</v>
      </c>
      <c r="D5521">
        <v>126.423</v>
      </c>
      <c r="E5521">
        <v>126.423</v>
      </c>
      <c r="F5521">
        <v>36102</v>
      </c>
    </row>
    <row r="5522" spans="1:6" x14ac:dyDescent="0.25">
      <c r="A5522" s="4">
        <v>42432</v>
      </c>
      <c r="B5522">
        <v>127.24930000000001</v>
      </c>
      <c r="C5522">
        <v>127.66240000000001</v>
      </c>
      <c r="D5522">
        <v>126.423</v>
      </c>
      <c r="E5522">
        <v>127.24930000000001</v>
      </c>
      <c r="F5522">
        <v>28867</v>
      </c>
    </row>
    <row r="5523" spans="1:6" x14ac:dyDescent="0.25">
      <c r="A5523" s="4">
        <v>42433</v>
      </c>
      <c r="B5523">
        <v>126.423</v>
      </c>
      <c r="C5523">
        <v>126.8361</v>
      </c>
      <c r="D5523">
        <v>125.1835</v>
      </c>
      <c r="E5523">
        <v>126.0098</v>
      </c>
      <c r="F5523">
        <v>37794</v>
      </c>
    </row>
    <row r="5524" spans="1:6" x14ac:dyDescent="0.25">
      <c r="A5524" s="4">
        <v>42436</v>
      </c>
      <c r="B5524">
        <v>126.0098</v>
      </c>
      <c r="C5524">
        <v>126.8361</v>
      </c>
      <c r="D5524">
        <v>124.7704</v>
      </c>
      <c r="E5524">
        <v>125.5967</v>
      </c>
      <c r="F5524">
        <v>24053</v>
      </c>
    </row>
    <row r="5525" spans="1:6" x14ac:dyDescent="0.25">
      <c r="A5525" s="4">
        <v>42437</v>
      </c>
      <c r="B5525">
        <v>124.7704</v>
      </c>
      <c r="C5525">
        <v>125.5967</v>
      </c>
      <c r="D5525">
        <v>123.5309</v>
      </c>
      <c r="E5525">
        <v>125.5967</v>
      </c>
      <c r="F5525">
        <v>40643</v>
      </c>
    </row>
    <row r="5526" spans="1:6" x14ac:dyDescent="0.25">
      <c r="A5526" s="4">
        <v>42438</v>
      </c>
      <c r="B5526">
        <v>125.5967</v>
      </c>
      <c r="C5526">
        <v>126.423</v>
      </c>
      <c r="D5526">
        <v>124.35720000000001</v>
      </c>
      <c r="E5526">
        <v>126.423</v>
      </c>
      <c r="F5526">
        <v>24635</v>
      </c>
    </row>
    <row r="5527" spans="1:6" x14ac:dyDescent="0.25">
      <c r="A5527" s="4">
        <v>42439</v>
      </c>
      <c r="B5527">
        <v>126.423</v>
      </c>
      <c r="C5527">
        <v>127.66240000000001</v>
      </c>
      <c r="D5527">
        <v>125.1835</v>
      </c>
      <c r="E5527">
        <v>127.66240000000001</v>
      </c>
      <c r="F5527">
        <v>31344</v>
      </c>
    </row>
    <row r="5528" spans="1:6" x14ac:dyDescent="0.25">
      <c r="A5528" s="4">
        <v>42440</v>
      </c>
      <c r="B5528">
        <v>127.66240000000001</v>
      </c>
      <c r="C5528">
        <v>128.07550000000001</v>
      </c>
      <c r="D5528">
        <v>126.423</v>
      </c>
      <c r="E5528">
        <v>128.07550000000001</v>
      </c>
      <c r="F5528">
        <v>31297</v>
      </c>
    </row>
    <row r="5529" spans="1:6" x14ac:dyDescent="0.25">
      <c r="A5529" s="4">
        <v>42443</v>
      </c>
      <c r="B5529">
        <v>129.315</v>
      </c>
      <c r="C5529">
        <v>130.1413</v>
      </c>
      <c r="D5529">
        <v>128.48869999999999</v>
      </c>
      <c r="E5529">
        <v>128.90180000000001</v>
      </c>
      <c r="F5529">
        <v>32988</v>
      </c>
    </row>
    <row r="5530" spans="1:6" x14ac:dyDescent="0.25">
      <c r="A5530" s="4">
        <v>42444</v>
      </c>
      <c r="B5530">
        <v>128.07550000000001</v>
      </c>
      <c r="C5530">
        <v>129.315</v>
      </c>
      <c r="D5530">
        <v>126.423</v>
      </c>
      <c r="E5530">
        <v>127.66240000000001</v>
      </c>
      <c r="F5530">
        <v>29438</v>
      </c>
    </row>
    <row r="5531" spans="1:6" x14ac:dyDescent="0.25">
      <c r="A5531" s="4">
        <v>42445</v>
      </c>
      <c r="B5531">
        <v>128.48869999999999</v>
      </c>
      <c r="C5531">
        <v>128.90180000000001</v>
      </c>
      <c r="D5531">
        <v>127.24930000000001</v>
      </c>
      <c r="E5531">
        <v>128.90180000000001</v>
      </c>
      <c r="F5531">
        <v>31127</v>
      </c>
    </row>
    <row r="5532" spans="1:6" x14ac:dyDescent="0.25">
      <c r="A5532" s="4">
        <v>42446</v>
      </c>
      <c r="B5532">
        <v>131.79390000000001</v>
      </c>
      <c r="C5532">
        <v>132.20699999999999</v>
      </c>
      <c r="D5532">
        <v>130.1413</v>
      </c>
      <c r="E5532">
        <v>130.9676</v>
      </c>
      <c r="F5532">
        <v>52229</v>
      </c>
    </row>
    <row r="5533" spans="1:6" x14ac:dyDescent="0.25">
      <c r="A5533" s="4">
        <v>42447</v>
      </c>
      <c r="B5533">
        <v>130.9676</v>
      </c>
      <c r="C5533">
        <v>131.79390000000001</v>
      </c>
      <c r="D5533">
        <v>130.9676</v>
      </c>
      <c r="E5533">
        <v>131.79390000000001</v>
      </c>
      <c r="F5533">
        <v>57867</v>
      </c>
    </row>
    <row r="5534" spans="1:6" x14ac:dyDescent="0.25">
      <c r="A5534" s="4">
        <v>42450</v>
      </c>
      <c r="B5534">
        <v>132.20699999999999</v>
      </c>
      <c r="C5534">
        <v>132.20699999999999</v>
      </c>
      <c r="D5534">
        <v>130.55439999999999</v>
      </c>
      <c r="E5534">
        <v>132.20699999999999</v>
      </c>
      <c r="F5534">
        <v>27687</v>
      </c>
    </row>
    <row r="5535" spans="1:6" x14ac:dyDescent="0.25">
      <c r="A5535" s="4">
        <v>42451</v>
      </c>
      <c r="B5535">
        <v>131.79390000000001</v>
      </c>
      <c r="C5535">
        <v>131.79390000000001</v>
      </c>
      <c r="D5535">
        <v>129.72810000000001</v>
      </c>
      <c r="E5535">
        <v>130.9676</v>
      </c>
      <c r="F5535">
        <v>29304</v>
      </c>
    </row>
    <row r="5536" spans="1:6" x14ac:dyDescent="0.25">
      <c r="A5536" s="4">
        <v>42452</v>
      </c>
      <c r="B5536">
        <v>130.9676</v>
      </c>
      <c r="C5536">
        <v>131.79390000000001</v>
      </c>
      <c r="D5536">
        <v>130.55439999999999</v>
      </c>
      <c r="E5536">
        <v>131.79390000000001</v>
      </c>
      <c r="F5536">
        <v>29440</v>
      </c>
    </row>
    <row r="5537" spans="1:6" x14ac:dyDescent="0.25">
      <c r="A5537" s="4">
        <v>42453</v>
      </c>
      <c r="B5537">
        <v>130.55439999999999</v>
      </c>
      <c r="C5537">
        <v>131.38069999999999</v>
      </c>
      <c r="D5537">
        <v>129.72810000000001</v>
      </c>
      <c r="E5537">
        <v>130.9676</v>
      </c>
      <c r="F5537">
        <v>25199</v>
      </c>
    </row>
    <row r="5538" spans="1:6" x14ac:dyDescent="0.25">
      <c r="A5538" s="4">
        <v>42454</v>
      </c>
      <c r="B5538">
        <v>130.9676</v>
      </c>
      <c r="C5538">
        <v>131.38069999999999</v>
      </c>
      <c r="D5538">
        <v>129.72810000000001</v>
      </c>
      <c r="E5538">
        <v>130.55439999999999</v>
      </c>
      <c r="F5538">
        <v>10970</v>
      </c>
    </row>
    <row r="5539" spans="1:6" x14ac:dyDescent="0.25">
      <c r="A5539" s="4">
        <v>42457</v>
      </c>
      <c r="B5539">
        <v>130.55439999999999</v>
      </c>
      <c r="C5539">
        <v>131.38069999999999</v>
      </c>
      <c r="D5539">
        <v>129.72810000000001</v>
      </c>
      <c r="E5539">
        <v>131.38069999999999</v>
      </c>
      <c r="F5539">
        <v>15857</v>
      </c>
    </row>
    <row r="5540" spans="1:6" x14ac:dyDescent="0.25">
      <c r="A5540" s="4">
        <v>42458</v>
      </c>
      <c r="B5540">
        <v>130.9676</v>
      </c>
      <c r="C5540">
        <v>131.79390000000001</v>
      </c>
      <c r="D5540">
        <v>130.55439999999999</v>
      </c>
      <c r="E5540">
        <v>131.38069999999999</v>
      </c>
      <c r="F5540">
        <v>19152</v>
      </c>
    </row>
    <row r="5541" spans="1:6" x14ac:dyDescent="0.25">
      <c r="A5541" s="4">
        <v>42459</v>
      </c>
      <c r="B5541">
        <v>130.9676</v>
      </c>
      <c r="C5541">
        <v>133.8596</v>
      </c>
      <c r="D5541">
        <v>130.9676</v>
      </c>
      <c r="E5541">
        <v>133.44649999999999</v>
      </c>
      <c r="F5541">
        <v>46113</v>
      </c>
    </row>
    <row r="5542" spans="1:6" x14ac:dyDescent="0.25">
      <c r="A5542" s="4">
        <v>42460</v>
      </c>
      <c r="B5542">
        <v>133.8596</v>
      </c>
      <c r="C5542">
        <v>134.6859</v>
      </c>
      <c r="D5542">
        <v>131.38069999999999</v>
      </c>
      <c r="E5542">
        <v>133.8596</v>
      </c>
      <c r="F5542">
        <v>54094</v>
      </c>
    </row>
    <row r="5543" spans="1:6" x14ac:dyDescent="0.25">
      <c r="A5543" s="4">
        <v>42461</v>
      </c>
      <c r="B5543">
        <v>133.0333</v>
      </c>
      <c r="C5543">
        <v>133.0333</v>
      </c>
      <c r="D5543">
        <v>130.1413</v>
      </c>
      <c r="E5543">
        <v>130.9676</v>
      </c>
      <c r="F5543">
        <v>34545</v>
      </c>
    </row>
    <row r="5544" spans="1:6" x14ac:dyDescent="0.25">
      <c r="A5544" s="4">
        <v>42466</v>
      </c>
      <c r="B5544">
        <v>128.48869999999999</v>
      </c>
      <c r="C5544">
        <v>128.90180000000001</v>
      </c>
      <c r="D5544">
        <v>126.8361</v>
      </c>
      <c r="E5544">
        <v>126.8361</v>
      </c>
      <c r="F5544">
        <v>63133</v>
      </c>
    </row>
    <row r="5545" spans="1:6" x14ac:dyDescent="0.25">
      <c r="A5545" s="4">
        <v>42467</v>
      </c>
      <c r="B5545">
        <v>128.07550000000001</v>
      </c>
      <c r="C5545">
        <v>128.07550000000001</v>
      </c>
      <c r="D5545">
        <v>126.0098</v>
      </c>
      <c r="E5545">
        <v>127.66240000000001</v>
      </c>
      <c r="F5545">
        <v>35933</v>
      </c>
    </row>
    <row r="5546" spans="1:6" x14ac:dyDescent="0.25">
      <c r="A5546" s="4">
        <v>42468</v>
      </c>
      <c r="B5546">
        <v>127.24930000000001</v>
      </c>
      <c r="C5546">
        <v>130.55439999999999</v>
      </c>
      <c r="D5546">
        <v>127.24930000000001</v>
      </c>
      <c r="E5546">
        <v>130.1413</v>
      </c>
      <c r="F5546">
        <v>42325</v>
      </c>
    </row>
    <row r="5547" spans="1:6" x14ac:dyDescent="0.25">
      <c r="A5547" s="4">
        <v>42471</v>
      </c>
      <c r="B5547">
        <v>128.90180000000001</v>
      </c>
      <c r="C5547">
        <v>131.38069999999999</v>
      </c>
      <c r="D5547">
        <v>128.48869999999999</v>
      </c>
      <c r="E5547">
        <v>130.9676</v>
      </c>
      <c r="F5547">
        <v>23189</v>
      </c>
    </row>
    <row r="5548" spans="1:6" x14ac:dyDescent="0.25">
      <c r="A5548" s="4">
        <v>42472</v>
      </c>
      <c r="B5548">
        <v>130.1413</v>
      </c>
      <c r="C5548">
        <v>131.79390000000001</v>
      </c>
      <c r="D5548">
        <v>130.1413</v>
      </c>
      <c r="E5548">
        <v>130.9676</v>
      </c>
      <c r="F5548">
        <v>14877</v>
      </c>
    </row>
    <row r="5549" spans="1:6" x14ac:dyDescent="0.25">
      <c r="A5549" s="4">
        <v>42473</v>
      </c>
      <c r="B5549">
        <v>132.20699999999999</v>
      </c>
      <c r="C5549">
        <v>133.8596</v>
      </c>
      <c r="D5549">
        <v>131.79390000000001</v>
      </c>
      <c r="E5549">
        <v>133.44649999999999</v>
      </c>
      <c r="F5549">
        <v>40333</v>
      </c>
    </row>
    <row r="5550" spans="1:6" x14ac:dyDescent="0.25">
      <c r="A5550" s="4">
        <v>42474</v>
      </c>
      <c r="B5550">
        <v>133.8596</v>
      </c>
      <c r="C5550">
        <v>134.27279999999999</v>
      </c>
      <c r="D5550">
        <v>132.20699999999999</v>
      </c>
      <c r="E5550">
        <v>133.44649999999999</v>
      </c>
      <c r="F5550">
        <v>31377</v>
      </c>
    </row>
    <row r="5551" spans="1:6" x14ac:dyDescent="0.25">
      <c r="A5551" s="4">
        <v>42475</v>
      </c>
      <c r="B5551">
        <v>129.72810000000001</v>
      </c>
      <c r="C5551">
        <v>132.20699999999999</v>
      </c>
      <c r="D5551">
        <v>128.90180000000001</v>
      </c>
      <c r="E5551">
        <v>131.79390000000001</v>
      </c>
      <c r="F5551">
        <v>50340</v>
      </c>
    </row>
    <row r="5552" spans="1:6" x14ac:dyDescent="0.25">
      <c r="A5552" s="4">
        <v>42478</v>
      </c>
      <c r="B5552">
        <v>130.55439999999999</v>
      </c>
      <c r="C5552">
        <v>130.9676</v>
      </c>
      <c r="D5552">
        <v>130.1413</v>
      </c>
      <c r="E5552">
        <v>130.55439999999999</v>
      </c>
      <c r="F5552">
        <v>20876</v>
      </c>
    </row>
    <row r="5553" spans="1:6" x14ac:dyDescent="0.25">
      <c r="A5553" s="4">
        <v>42479</v>
      </c>
      <c r="B5553">
        <v>132.20699999999999</v>
      </c>
      <c r="C5553">
        <v>133.0333</v>
      </c>
      <c r="D5553">
        <v>129.72810000000001</v>
      </c>
      <c r="E5553">
        <v>130.1413</v>
      </c>
      <c r="F5553">
        <v>27622</v>
      </c>
    </row>
    <row r="5554" spans="1:6" x14ac:dyDescent="0.25">
      <c r="A5554" s="4">
        <v>42480</v>
      </c>
      <c r="B5554">
        <v>130.1413</v>
      </c>
      <c r="C5554">
        <v>130.55439999999999</v>
      </c>
      <c r="D5554">
        <v>127.24930000000001</v>
      </c>
      <c r="E5554">
        <v>127.24930000000001</v>
      </c>
      <c r="F5554">
        <v>43418</v>
      </c>
    </row>
    <row r="5555" spans="1:6" x14ac:dyDescent="0.25">
      <c r="A5555" s="4">
        <v>42481</v>
      </c>
      <c r="B5555">
        <v>128.90180000000001</v>
      </c>
      <c r="C5555">
        <v>129.72810000000001</v>
      </c>
      <c r="D5555">
        <v>127.24930000000001</v>
      </c>
      <c r="E5555">
        <v>129.72810000000001</v>
      </c>
      <c r="F5555">
        <v>30419</v>
      </c>
    </row>
    <row r="5556" spans="1:6" x14ac:dyDescent="0.25">
      <c r="A5556" s="4">
        <v>42482</v>
      </c>
      <c r="B5556">
        <v>128.48869999999999</v>
      </c>
      <c r="C5556">
        <v>130.55439999999999</v>
      </c>
      <c r="D5556">
        <v>128.07550000000001</v>
      </c>
      <c r="E5556">
        <v>129.315</v>
      </c>
      <c r="F5556">
        <v>29237</v>
      </c>
    </row>
    <row r="5557" spans="1:6" x14ac:dyDescent="0.25">
      <c r="A5557" s="4">
        <v>42485</v>
      </c>
      <c r="B5557">
        <v>129.315</v>
      </c>
      <c r="C5557">
        <v>130.1413</v>
      </c>
      <c r="D5557">
        <v>128.90180000000001</v>
      </c>
      <c r="E5557">
        <v>130.1413</v>
      </c>
      <c r="F5557">
        <v>14669</v>
      </c>
    </row>
    <row r="5558" spans="1:6" x14ac:dyDescent="0.25">
      <c r="A5558" s="4">
        <v>42486</v>
      </c>
      <c r="B5558">
        <v>129.315</v>
      </c>
      <c r="C5558">
        <v>130.9676</v>
      </c>
      <c r="D5558">
        <v>129.315</v>
      </c>
      <c r="E5558">
        <v>130.55439999999999</v>
      </c>
      <c r="F5558">
        <v>18539</v>
      </c>
    </row>
    <row r="5559" spans="1:6" x14ac:dyDescent="0.25">
      <c r="A5559" s="4">
        <v>42487</v>
      </c>
      <c r="B5559">
        <v>128.90180000000001</v>
      </c>
      <c r="C5559">
        <v>130.1413</v>
      </c>
      <c r="D5559">
        <v>128.48869999999999</v>
      </c>
      <c r="E5559">
        <v>129.315</v>
      </c>
      <c r="F5559">
        <v>36967</v>
      </c>
    </row>
    <row r="5560" spans="1:6" x14ac:dyDescent="0.25">
      <c r="A5560" s="4">
        <v>42488</v>
      </c>
      <c r="B5560">
        <v>130.1413</v>
      </c>
      <c r="C5560">
        <v>130.55439999999999</v>
      </c>
      <c r="D5560">
        <v>126.423</v>
      </c>
      <c r="E5560">
        <v>126.423</v>
      </c>
      <c r="F5560">
        <v>49283</v>
      </c>
    </row>
    <row r="5561" spans="1:6" x14ac:dyDescent="0.25">
      <c r="A5561" s="4">
        <v>42489</v>
      </c>
      <c r="B5561">
        <v>124.7704</v>
      </c>
      <c r="C5561">
        <v>124.7704</v>
      </c>
      <c r="D5561">
        <v>123.1178</v>
      </c>
      <c r="E5561">
        <v>123.94410000000001</v>
      </c>
      <c r="F5561">
        <v>75960</v>
      </c>
    </row>
    <row r="5562" spans="1:6" x14ac:dyDescent="0.25">
      <c r="A5562" s="4">
        <v>42493</v>
      </c>
      <c r="B5562">
        <v>122.2915</v>
      </c>
      <c r="C5562">
        <v>122.7046</v>
      </c>
      <c r="D5562">
        <v>121.0521</v>
      </c>
      <c r="E5562">
        <v>121.8783</v>
      </c>
      <c r="F5562">
        <v>68909</v>
      </c>
    </row>
    <row r="5563" spans="1:6" x14ac:dyDescent="0.25">
      <c r="A5563" s="4">
        <v>42494</v>
      </c>
      <c r="B5563">
        <v>121.4652</v>
      </c>
      <c r="C5563">
        <v>123.1178</v>
      </c>
      <c r="D5563">
        <v>121.0521</v>
      </c>
      <c r="E5563">
        <v>121.4652</v>
      </c>
      <c r="F5563">
        <v>55586</v>
      </c>
    </row>
    <row r="5564" spans="1:6" x14ac:dyDescent="0.25">
      <c r="A5564" s="4">
        <v>42495</v>
      </c>
      <c r="B5564">
        <v>121.8783</v>
      </c>
      <c r="C5564">
        <v>122.7046</v>
      </c>
      <c r="D5564">
        <v>120.63890000000001</v>
      </c>
      <c r="E5564">
        <v>121.8783</v>
      </c>
      <c r="F5564">
        <v>40687</v>
      </c>
    </row>
    <row r="5565" spans="1:6" x14ac:dyDescent="0.25">
      <c r="A5565" s="4">
        <v>42496</v>
      </c>
      <c r="B5565">
        <v>122.7046</v>
      </c>
      <c r="C5565">
        <v>122.7046</v>
      </c>
      <c r="D5565">
        <v>121.4652</v>
      </c>
      <c r="E5565">
        <v>122.2915</v>
      </c>
      <c r="F5565">
        <v>39401</v>
      </c>
    </row>
    <row r="5566" spans="1:6" x14ac:dyDescent="0.25">
      <c r="A5566" s="4">
        <v>42499</v>
      </c>
      <c r="B5566">
        <v>122.7046</v>
      </c>
      <c r="C5566">
        <v>123.1178</v>
      </c>
      <c r="D5566">
        <v>121.0521</v>
      </c>
      <c r="E5566">
        <v>121.8783</v>
      </c>
      <c r="F5566">
        <v>39784</v>
      </c>
    </row>
    <row r="5567" spans="1:6" x14ac:dyDescent="0.25">
      <c r="A5567" s="4">
        <v>42500</v>
      </c>
      <c r="B5567">
        <v>121.4652</v>
      </c>
      <c r="C5567">
        <v>122.2915</v>
      </c>
      <c r="D5567">
        <v>121.0521</v>
      </c>
      <c r="E5567">
        <v>121.4652</v>
      </c>
      <c r="F5567">
        <v>39210</v>
      </c>
    </row>
    <row r="5568" spans="1:6" x14ac:dyDescent="0.25">
      <c r="A5568" s="4">
        <v>42501</v>
      </c>
      <c r="B5568">
        <v>122.7046</v>
      </c>
      <c r="C5568">
        <v>123.1178</v>
      </c>
      <c r="D5568">
        <v>121.0521</v>
      </c>
      <c r="E5568">
        <v>121.4652</v>
      </c>
      <c r="F5568">
        <v>45611</v>
      </c>
    </row>
    <row r="5569" spans="1:6" x14ac:dyDescent="0.25">
      <c r="A5569" s="4">
        <v>42502</v>
      </c>
      <c r="B5569">
        <v>121.4652</v>
      </c>
      <c r="C5569">
        <v>122.2915</v>
      </c>
      <c r="D5569">
        <v>120.63890000000001</v>
      </c>
      <c r="E5569">
        <v>120.63890000000001</v>
      </c>
      <c r="F5569">
        <v>24009</v>
      </c>
    </row>
    <row r="5570" spans="1:6" x14ac:dyDescent="0.25">
      <c r="A5570" s="4">
        <v>42503</v>
      </c>
      <c r="B5570">
        <v>119.8126</v>
      </c>
      <c r="C5570">
        <v>120.22580000000001</v>
      </c>
      <c r="D5570">
        <v>118.16</v>
      </c>
      <c r="E5570">
        <v>118.9863</v>
      </c>
      <c r="F5570">
        <v>60713</v>
      </c>
    </row>
    <row r="5571" spans="1:6" x14ac:dyDescent="0.25">
      <c r="A5571" s="4">
        <v>42506</v>
      </c>
      <c r="B5571">
        <v>118.16</v>
      </c>
      <c r="C5571">
        <v>120.22580000000001</v>
      </c>
      <c r="D5571">
        <v>118.16</v>
      </c>
      <c r="E5571">
        <v>119.3995</v>
      </c>
      <c r="F5571">
        <v>32239</v>
      </c>
    </row>
    <row r="5572" spans="1:6" x14ac:dyDescent="0.25">
      <c r="A5572" s="4">
        <v>42507</v>
      </c>
      <c r="B5572">
        <v>120.22580000000001</v>
      </c>
      <c r="C5572">
        <v>121.4652</v>
      </c>
      <c r="D5572">
        <v>119.8126</v>
      </c>
      <c r="E5572">
        <v>121.4652</v>
      </c>
      <c r="F5572">
        <v>32717</v>
      </c>
    </row>
    <row r="5573" spans="1:6" x14ac:dyDescent="0.25">
      <c r="A5573" s="4">
        <v>42508</v>
      </c>
      <c r="B5573">
        <v>120.63890000000001</v>
      </c>
      <c r="C5573">
        <v>121.4652</v>
      </c>
      <c r="D5573">
        <v>119.8126</v>
      </c>
      <c r="E5573">
        <v>121.4652</v>
      </c>
      <c r="F5573">
        <v>31107</v>
      </c>
    </row>
    <row r="5574" spans="1:6" x14ac:dyDescent="0.25">
      <c r="A5574" s="4">
        <v>42509</v>
      </c>
      <c r="B5574">
        <v>122.2915</v>
      </c>
      <c r="C5574">
        <v>122.7046</v>
      </c>
      <c r="D5574">
        <v>120.22580000000001</v>
      </c>
      <c r="E5574">
        <v>121.4652</v>
      </c>
      <c r="F5574">
        <v>35193</v>
      </c>
    </row>
    <row r="5575" spans="1:6" x14ac:dyDescent="0.25">
      <c r="A5575" s="4">
        <v>42510</v>
      </c>
      <c r="B5575">
        <v>121.8783</v>
      </c>
      <c r="C5575">
        <v>123.5309</v>
      </c>
      <c r="D5575">
        <v>121.4652</v>
      </c>
      <c r="E5575">
        <v>122.7046</v>
      </c>
      <c r="F5575">
        <v>38046</v>
      </c>
    </row>
    <row r="5576" spans="1:6" x14ac:dyDescent="0.25">
      <c r="A5576" s="4">
        <v>42513</v>
      </c>
      <c r="B5576">
        <v>124.35720000000001</v>
      </c>
      <c r="C5576">
        <v>127.66240000000001</v>
      </c>
      <c r="D5576">
        <v>123.5309</v>
      </c>
      <c r="E5576">
        <v>127.24930000000001</v>
      </c>
      <c r="F5576">
        <v>50174</v>
      </c>
    </row>
    <row r="5577" spans="1:6" x14ac:dyDescent="0.25">
      <c r="A5577" s="4">
        <v>42514</v>
      </c>
      <c r="B5577">
        <v>126.0098</v>
      </c>
      <c r="C5577">
        <v>126.8361</v>
      </c>
      <c r="D5577">
        <v>124.7704</v>
      </c>
      <c r="E5577">
        <v>124.7704</v>
      </c>
      <c r="F5577">
        <v>25678</v>
      </c>
    </row>
    <row r="5578" spans="1:6" x14ac:dyDescent="0.25">
      <c r="A5578" s="4">
        <v>42515</v>
      </c>
      <c r="B5578">
        <v>126.8361</v>
      </c>
      <c r="C5578">
        <v>128.07550000000001</v>
      </c>
      <c r="D5578">
        <v>126.0098</v>
      </c>
      <c r="E5578">
        <v>127.66240000000001</v>
      </c>
      <c r="F5578">
        <v>35411</v>
      </c>
    </row>
    <row r="5579" spans="1:6" x14ac:dyDescent="0.25">
      <c r="A5579" s="4">
        <v>42516</v>
      </c>
      <c r="B5579">
        <v>127.66240000000001</v>
      </c>
      <c r="C5579">
        <v>128.07550000000001</v>
      </c>
      <c r="D5579">
        <v>126.8361</v>
      </c>
      <c r="E5579">
        <v>128.07550000000001</v>
      </c>
      <c r="F5579">
        <v>18822</v>
      </c>
    </row>
    <row r="5580" spans="1:6" x14ac:dyDescent="0.25">
      <c r="A5580" s="4">
        <v>42517</v>
      </c>
      <c r="B5580">
        <v>128.90180000000001</v>
      </c>
      <c r="C5580">
        <v>129.315</v>
      </c>
      <c r="D5580">
        <v>127.66240000000001</v>
      </c>
      <c r="E5580">
        <v>129.315</v>
      </c>
      <c r="F5580">
        <v>26618</v>
      </c>
    </row>
    <row r="5581" spans="1:6" x14ac:dyDescent="0.25">
      <c r="A5581" s="4">
        <v>42520</v>
      </c>
      <c r="B5581">
        <v>129.72810000000001</v>
      </c>
      <c r="C5581">
        <v>130.55439999999999</v>
      </c>
      <c r="D5581">
        <v>128.07550000000001</v>
      </c>
      <c r="E5581">
        <v>129.72810000000001</v>
      </c>
      <c r="F5581">
        <v>38312</v>
      </c>
    </row>
    <row r="5582" spans="1:6" x14ac:dyDescent="0.25">
      <c r="A5582" s="4">
        <v>42521</v>
      </c>
      <c r="B5582">
        <v>129.315</v>
      </c>
      <c r="C5582">
        <v>130.1413</v>
      </c>
      <c r="D5582">
        <v>128.07550000000001</v>
      </c>
      <c r="E5582">
        <v>129.315</v>
      </c>
      <c r="F5582">
        <v>70177</v>
      </c>
    </row>
    <row r="5583" spans="1:6" x14ac:dyDescent="0.25">
      <c r="A5583" s="4">
        <v>42522</v>
      </c>
      <c r="B5583">
        <v>128.90180000000001</v>
      </c>
      <c r="C5583">
        <v>131.38069999999999</v>
      </c>
      <c r="D5583">
        <v>128.90180000000001</v>
      </c>
      <c r="E5583">
        <v>131.38069999999999</v>
      </c>
      <c r="F5583">
        <v>27743</v>
      </c>
    </row>
    <row r="5584" spans="1:6" x14ac:dyDescent="0.25">
      <c r="A5584" s="4">
        <v>42523</v>
      </c>
      <c r="B5584">
        <v>131.38069999999999</v>
      </c>
      <c r="C5584">
        <v>132.20699999999999</v>
      </c>
      <c r="D5584">
        <v>130.55439999999999</v>
      </c>
      <c r="E5584">
        <v>131.38069999999999</v>
      </c>
      <c r="F5584">
        <v>22000</v>
      </c>
    </row>
    <row r="5585" spans="1:6" x14ac:dyDescent="0.25">
      <c r="A5585" s="4">
        <v>42524</v>
      </c>
      <c r="B5585">
        <v>131.38069999999999</v>
      </c>
      <c r="C5585">
        <v>132.62020000000001</v>
      </c>
      <c r="D5585">
        <v>131.38069999999999</v>
      </c>
      <c r="E5585">
        <v>132.62020000000001</v>
      </c>
      <c r="F5585">
        <v>32020</v>
      </c>
    </row>
    <row r="5586" spans="1:6" x14ac:dyDescent="0.25">
      <c r="A5586" s="4">
        <v>42525</v>
      </c>
      <c r="B5586">
        <v>132.20699999999999</v>
      </c>
      <c r="C5586">
        <v>132.20699999999999</v>
      </c>
      <c r="D5586">
        <v>131.79390000000001</v>
      </c>
      <c r="E5586">
        <v>132.20699999999999</v>
      </c>
      <c r="F5586">
        <v>2631</v>
      </c>
    </row>
    <row r="5587" spans="1:6" x14ac:dyDescent="0.25">
      <c r="A5587" s="4">
        <v>42527</v>
      </c>
      <c r="B5587">
        <v>133.0333</v>
      </c>
      <c r="C5587">
        <v>133.8596</v>
      </c>
      <c r="D5587">
        <v>132.20699999999999</v>
      </c>
      <c r="E5587">
        <v>133.0333</v>
      </c>
      <c r="F5587">
        <v>28899</v>
      </c>
    </row>
    <row r="5588" spans="1:6" x14ac:dyDescent="0.25">
      <c r="A5588" s="4">
        <v>42528</v>
      </c>
      <c r="B5588">
        <v>133.44649999999999</v>
      </c>
      <c r="C5588">
        <v>135.09899999999999</v>
      </c>
      <c r="D5588">
        <v>133.0333</v>
      </c>
      <c r="E5588">
        <v>133.8596</v>
      </c>
      <c r="F5588">
        <v>47574</v>
      </c>
    </row>
    <row r="5589" spans="1:6" x14ac:dyDescent="0.25">
      <c r="A5589" s="4">
        <v>42529</v>
      </c>
      <c r="B5589">
        <v>135.51220000000001</v>
      </c>
      <c r="C5589">
        <v>137.16480000000001</v>
      </c>
      <c r="D5589">
        <v>135.09899999999999</v>
      </c>
      <c r="E5589">
        <v>136.7516</v>
      </c>
      <c r="F5589">
        <v>45588</v>
      </c>
    </row>
    <row r="5590" spans="1:6" x14ac:dyDescent="0.25">
      <c r="A5590" s="4">
        <v>42534</v>
      </c>
      <c r="B5590">
        <v>133.0333</v>
      </c>
      <c r="C5590">
        <v>134.27279999999999</v>
      </c>
      <c r="D5590">
        <v>133.0333</v>
      </c>
      <c r="E5590">
        <v>133.8596</v>
      </c>
      <c r="F5590">
        <v>54689</v>
      </c>
    </row>
    <row r="5591" spans="1:6" x14ac:dyDescent="0.25">
      <c r="A5591" s="4">
        <v>42535</v>
      </c>
      <c r="B5591">
        <v>133.0333</v>
      </c>
      <c r="C5591">
        <v>134.6859</v>
      </c>
      <c r="D5591">
        <v>133.0333</v>
      </c>
      <c r="E5591">
        <v>133.8596</v>
      </c>
      <c r="F5591">
        <v>27823</v>
      </c>
    </row>
    <row r="5592" spans="1:6" x14ac:dyDescent="0.25">
      <c r="A5592" s="4">
        <v>42536</v>
      </c>
      <c r="B5592">
        <v>133.8596</v>
      </c>
      <c r="C5592">
        <v>134.6859</v>
      </c>
      <c r="D5592">
        <v>133.0333</v>
      </c>
      <c r="E5592">
        <v>134.6859</v>
      </c>
      <c r="F5592">
        <v>29329</v>
      </c>
    </row>
    <row r="5593" spans="1:6" x14ac:dyDescent="0.25">
      <c r="A5593" s="4">
        <v>42537</v>
      </c>
      <c r="B5593">
        <v>133.44649999999999</v>
      </c>
      <c r="C5593">
        <v>134.27279999999999</v>
      </c>
      <c r="D5593">
        <v>131.79390000000001</v>
      </c>
      <c r="E5593">
        <v>132.62020000000001</v>
      </c>
      <c r="F5593">
        <v>36957</v>
      </c>
    </row>
    <row r="5594" spans="1:6" x14ac:dyDescent="0.25">
      <c r="A5594" s="4">
        <v>42538</v>
      </c>
      <c r="B5594">
        <v>134.27279999999999</v>
      </c>
      <c r="C5594">
        <v>135.92529999999999</v>
      </c>
      <c r="D5594">
        <v>133.8596</v>
      </c>
      <c r="E5594">
        <v>134.6859</v>
      </c>
      <c r="F5594">
        <v>31326</v>
      </c>
    </row>
    <row r="5595" spans="1:6" x14ac:dyDescent="0.25">
      <c r="A5595" s="4">
        <v>42541</v>
      </c>
      <c r="B5595">
        <v>135.92529999999999</v>
      </c>
      <c r="C5595">
        <v>136.33850000000001</v>
      </c>
      <c r="D5595">
        <v>134.6859</v>
      </c>
      <c r="E5595">
        <v>134.6859</v>
      </c>
      <c r="F5595">
        <v>24949</v>
      </c>
    </row>
    <row r="5596" spans="1:6" x14ac:dyDescent="0.25">
      <c r="A5596" s="4">
        <v>42542</v>
      </c>
      <c r="B5596">
        <v>135.51220000000001</v>
      </c>
      <c r="C5596">
        <v>136.7516</v>
      </c>
      <c r="D5596">
        <v>135.09899999999999</v>
      </c>
      <c r="E5596">
        <v>136.7516</v>
      </c>
      <c r="F5596">
        <v>28042</v>
      </c>
    </row>
    <row r="5597" spans="1:6" x14ac:dyDescent="0.25">
      <c r="A5597" s="4">
        <v>42543</v>
      </c>
      <c r="B5597">
        <v>135.92529999999999</v>
      </c>
      <c r="C5597">
        <v>137.16480000000001</v>
      </c>
      <c r="D5597">
        <v>135.09899999999999</v>
      </c>
      <c r="E5597">
        <v>137.16480000000001</v>
      </c>
      <c r="F5597">
        <v>30409</v>
      </c>
    </row>
    <row r="5598" spans="1:6" x14ac:dyDescent="0.25">
      <c r="A5598" s="4">
        <v>42544</v>
      </c>
      <c r="B5598">
        <v>136.7516</v>
      </c>
      <c r="C5598">
        <v>137.16480000000001</v>
      </c>
      <c r="D5598">
        <v>135.51220000000001</v>
      </c>
      <c r="E5598">
        <v>135.51220000000001</v>
      </c>
      <c r="F5598">
        <v>22593</v>
      </c>
    </row>
    <row r="5599" spans="1:6" x14ac:dyDescent="0.25">
      <c r="A5599" s="4">
        <v>42545</v>
      </c>
      <c r="B5599">
        <v>135.51220000000001</v>
      </c>
      <c r="C5599">
        <v>135.51220000000001</v>
      </c>
      <c r="D5599">
        <v>127.66240000000001</v>
      </c>
      <c r="E5599">
        <v>131.38069999999999</v>
      </c>
      <c r="F5599">
        <v>86994</v>
      </c>
    </row>
    <row r="5600" spans="1:6" x14ac:dyDescent="0.25">
      <c r="A5600" s="4">
        <v>42548</v>
      </c>
      <c r="B5600">
        <v>132.6688</v>
      </c>
      <c r="C5600">
        <v>133.95679999999999</v>
      </c>
      <c r="D5600">
        <v>132.23939999999999</v>
      </c>
      <c r="E5600">
        <v>133.5275</v>
      </c>
      <c r="F5600">
        <v>43402</v>
      </c>
    </row>
    <row r="5601" spans="1:6" x14ac:dyDescent="0.25">
      <c r="A5601" s="4">
        <v>42549</v>
      </c>
      <c r="B5601">
        <v>133.5275</v>
      </c>
      <c r="C5601">
        <v>135.2449</v>
      </c>
      <c r="D5601">
        <v>133.09809999999999</v>
      </c>
      <c r="E5601">
        <v>134.81549999999999</v>
      </c>
      <c r="F5601">
        <v>39096</v>
      </c>
    </row>
    <row r="5602" spans="1:6" x14ac:dyDescent="0.25">
      <c r="A5602" s="4">
        <v>42550</v>
      </c>
      <c r="B5602">
        <v>136.1036</v>
      </c>
      <c r="C5602">
        <v>137.39160000000001</v>
      </c>
      <c r="D5602">
        <v>135.67420000000001</v>
      </c>
      <c r="E5602">
        <v>136.53290000000001</v>
      </c>
      <c r="F5602">
        <v>32132</v>
      </c>
    </row>
    <row r="5603" spans="1:6" x14ac:dyDescent="0.25">
      <c r="A5603" s="4">
        <v>42551</v>
      </c>
      <c r="B5603">
        <v>138.25030000000001</v>
      </c>
      <c r="C5603">
        <v>139.96770000000001</v>
      </c>
      <c r="D5603">
        <v>136.9623</v>
      </c>
      <c r="E5603">
        <v>139.5384</v>
      </c>
      <c r="F5603">
        <v>42854</v>
      </c>
    </row>
    <row r="5604" spans="1:6" x14ac:dyDescent="0.25">
      <c r="A5604" s="4">
        <v>42552</v>
      </c>
      <c r="B5604">
        <v>141.25569999999999</v>
      </c>
      <c r="C5604">
        <v>142.5438</v>
      </c>
      <c r="D5604">
        <v>140.39699999999999</v>
      </c>
      <c r="E5604">
        <v>142.5438</v>
      </c>
      <c r="F5604">
        <v>36578</v>
      </c>
    </row>
    <row r="5605" spans="1:6" x14ac:dyDescent="0.25">
      <c r="A5605" s="4">
        <v>42555</v>
      </c>
      <c r="B5605">
        <v>142.11439999999999</v>
      </c>
      <c r="C5605">
        <v>142.97309999999999</v>
      </c>
      <c r="D5605">
        <v>141.25569999999999</v>
      </c>
      <c r="E5605">
        <v>142.5438</v>
      </c>
      <c r="F5605">
        <v>25969</v>
      </c>
    </row>
    <row r="5606" spans="1:6" x14ac:dyDescent="0.25">
      <c r="A5606" s="4">
        <v>42556</v>
      </c>
      <c r="B5606">
        <v>141.68510000000001</v>
      </c>
      <c r="C5606">
        <v>142.11439999999999</v>
      </c>
      <c r="D5606">
        <v>140.82640000000001</v>
      </c>
      <c r="E5606">
        <v>140.82640000000001</v>
      </c>
      <c r="F5606">
        <v>16423</v>
      </c>
    </row>
    <row r="5607" spans="1:6" x14ac:dyDescent="0.25">
      <c r="A5607" s="4">
        <v>42557</v>
      </c>
      <c r="B5607">
        <v>139.96770000000001</v>
      </c>
      <c r="C5607">
        <v>139.96770000000001</v>
      </c>
      <c r="D5607">
        <v>137.821</v>
      </c>
      <c r="E5607">
        <v>138.6797</v>
      </c>
      <c r="F5607">
        <v>35100</v>
      </c>
    </row>
    <row r="5608" spans="1:6" x14ac:dyDescent="0.25">
      <c r="A5608" s="4">
        <v>42558</v>
      </c>
      <c r="B5608">
        <v>140.39699999999999</v>
      </c>
      <c r="C5608">
        <v>141.68510000000001</v>
      </c>
      <c r="D5608">
        <v>139.96770000000001</v>
      </c>
      <c r="E5608">
        <v>141.25569999999999</v>
      </c>
      <c r="F5608">
        <v>24442</v>
      </c>
    </row>
    <row r="5609" spans="1:6" x14ac:dyDescent="0.25">
      <c r="A5609" s="4">
        <v>42562</v>
      </c>
      <c r="B5609">
        <v>145.9786</v>
      </c>
      <c r="C5609">
        <v>146.40790000000001</v>
      </c>
      <c r="D5609">
        <v>144.69049999999999</v>
      </c>
      <c r="E5609">
        <v>145.9786</v>
      </c>
      <c r="F5609">
        <v>53435</v>
      </c>
    </row>
    <row r="5610" spans="1:6" x14ac:dyDescent="0.25">
      <c r="A5610" s="4">
        <v>42563</v>
      </c>
      <c r="B5610">
        <v>146.8373</v>
      </c>
      <c r="C5610">
        <v>147.26660000000001</v>
      </c>
      <c r="D5610">
        <v>145.54920000000001</v>
      </c>
      <c r="E5610">
        <v>146.8373</v>
      </c>
      <c r="F5610">
        <v>42129</v>
      </c>
    </row>
    <row r="5611" spans="1:6" x14ac:dyDescent="0.25">
      <c r="A5611" s="4">
        <v>42564</v>
      </c>
      <c r="B5611">
        <v>145.54920000000001</v>
      </c>
      <c r="C5611">
        <v>145.9786</v>
      </c>
      <c r="D5611">
        <v>143.4025</v>
      </c>
      <c r="E5611">
        <v>144.69049999999999</v>
      </c>
      <c r="F5611">
        <v>51720</v>
      </c>
    </row>
    <row r="5612" spans="1:6" x14ac:dyDescent="0.25">
      <c r="A5612" s="4">
        <v>42565</v>
      </c>
      <c r="B5612">
        <v>143.4025</v>
      </c>
      <c r="C5612">
        <v>145.9786</v>
      </c>
      <c r="D5612">
        <v>143.4025</v>
      </c>
      <c r="E5612">
        <v>145.1199</v>
      </c>
      <c r="F5612">
        <v>36132</v>
      </c>
    </row>
    <row r="5613" spans="1:6" x14ac:dyDescent="0.25">
      <c r="A5613" s="4">
        <v>42566</v>
      </c>
      <c r="B5613">
        <v>144.2612</v>
      </c>
      <c r="C5613">
        <v>145.54920000000001</v>
      </c>
      <c r="D5613">
        <v>142.97309999999999</v>
      </c>
      <c r="E5613">
        <v>145.54920000000001</v>
      </c>
      <c r="F5613">
        <v>41822</v>
      </c>
    </row>
    <row r="5614" spans="1:6" x14ac:dyDescent="0.25">
      <c r="A5614" s="4">
        <v>42569</v>
      </c>
      <c r="B5614">
        <v>144.2612</v>
      </c>
      <c r="C5614">
        <v>145.9786</v>
      </c>
      <c r="D5614">
        <v>144.2612</v>
      </c>
      <c r="E5614">
        <v>145.54920000000001</v>
      </c>
      <c r="F5614">
        <v>24774</v>
      </c>
    </row>
    <row r="5615" spans="1:6" x14ac:dyDescent="0.25">
      <c r="A5615" s="4">
        <v>42570</v>
      </c>
      <c r="B5615">
        <v>146.40790000000001</v>
      </c>
      <c r="C5615">
        <v>146.40790000000001</v>
      </c>
      <c r="D5615">
        <v>145.1199</v>
      </c>
      <c r="E5615">
        <v>146.40790000000001</v>
      </c>
      <c r="F5615">
        <v>43707</v>
      </c>
    </row>
    <row r="5616" spans="1:6" x14ac:dyDescent="0.25">
      <c r="A5616" s="4">
        <v>42571</v>
      </c>
      <c r="B5616">
        <v>145.9786</v>
      </c>
      <c r="C5616">
        <v>146.40790000000001</v>
      </c>
      <c r="D5616">
        <v>145.1199</v>
      </c>
      <c r="E5616">
        <v>145.9786</v>
      </c>
      <c r="F5616">
        <v>39077</v>
      </c>
    </row>
    <row r="5617" spans="1:6" x14ac:dyDescent="0.25">
      <c r="A5617" s="4">
        <v>42572</v>
      </c>
      <c r="B5617">
        <v>146.8373</v>
      </c>
      <c r="C5617">
        <v>147.696</v>
      </c>
      <c r="D5617">
        <v>145.9786</v>
      </c>
      <c r="E5617">
        <v>147.696</v>
      </c>
      <c r="F5617">
        <v>35221</v>
      </c>
    </row>
    <row r="5618" spans="1:6" x14ac:dyDescent="0.25">
      <c r="A5618" s="4">
        <v>42573</v>
      </c>
      <c r="B5618">
        <v>147.696</v>
      </c>
      <c r="C5618">
        <v>147.696</v>
      </c>
      <c r="D5618">
        <v>146.40790000000001</v>
      </c>
      <c r="E5618">
        <v>146.8373</v>
      </c>
      <c r="F5618">
        <v>29804</v>
      </c>
    </row>
    <row r="5619" spans="1:6" x14ac:dyDescent="0.25">
      <c r="A5619" s="4">
        <v>42576</v>
      </c>
      <c r="B5619">
        <v>147.696</v>
      </c>
      <c r="C5619">
        <v>148.5547</v>
      </c>
      <c r="D5619">
        <v>145.1199</v>
      </c>
      <c r="E5619">
        <v>147.26660000000001</v>
      </c>
      <c r="F5619">
        <v>27181</v>
      </c>
    </row>
    <row r="5620" spans="1:6" x14ac:dyDescent="0.25">
      <c r="A5620" s="4">
        <v>42577</v>
      </c>
      <c r="B5620">
        <v>147.696</v>
      </c>
      <c r="C5620">
        <v>148.5547</v>
      </c>
      <c r="D5620">
        <v>147.26660000000001</v>
      </c>
      <c r="E5620">
        <v>148.5547</v>
      </c>
      <c r="F5620">
        <v>32736</v>
      </c>
    </row>
    <row r="5621" spans="1:6" x14ac:dyDescent="0.25">
      <c r="A5621" s="4">
        <v>42578</v>
      </c>
      <c r="B5621">
        <v>150.27209999999999</v>
      </c>
      <c r="C5621">
        <v>151.13079999999999</v>
      </c>
      <c r="D5621">
        <v>149.84270000000001</v>
      </c>
      <c r="E5621">
        <v>150.27209999999999</v>
      </c>
      <c r="F5621">
        <v>36108</v>
      </c>
    </row>
    <row r="5622" spans="1:6" x14ac:dyDescent="0.25">
      <c r="A5622" s="4">
        <v>42579</v>
      </c>
      <c r="B5622">
        <v>150.27209999999999</v>
      </c>
      <c r="C5622">
        <v>151.56010000000001</v>
      </c>
      <c r="D5622">
        <v>148.5547</v>
      </c>
      <c r="E5622">
        <v>151.56010000000001</v>
      </c>
      <c r="F5622">
        <v>31138</v>
      </c>
    </row>
    <row r="5623" spans="1:6" x14ac:dyDescent="0.25">
      <c r="A5623" s="4">
        <v>42580</v>
      </c>
      <c r="B5623">
        <v>151.98949999999999</v>
      </c>
      <c r="C5623">
        <v>151.98949999999999</v>
      </c>
      <c r="D5623">
        <v>148.12530000000001</v>
      </c>
      <c r="E5623">
        <v>148.12530000000001</v>
      </c>
      <c r="F5623">
        <v>30009</v>
      </c>
    </row>
    <row r="5624" spans="1:6" x14ac:dyDescent="0.25">
      <c r="A5624" s="4">
        <v>42583</v>
      </c>
      <c r="B5624">
        <v>150.27209999999999</v>
      </c>
      <c r="C5624">
        <v>151.98949999999999</v>
      </c>
      <c r="D5624">
        <v>149.84270000000001</v>
      </c>
      <c r="E5624">
        <v>151.98949999999999</v>
      </c>
      <c r="F5624">
        <v>34704</v>
      </c>
    </row>
    <row r="5625" spans="1:6" x14ac:dyDescent="0.25">
      <c r="A5625" s="4">
        <v>42584</v>
      </c>
      <c r="B5625">
        <v>152.4188</v>
      </c>
      <c r="C5625">
        <v>152.4188</v>
      </c>
      <c r="D5625">
        <v>150.70140000000001</v>
      </c>
      <c r="E5625">
        <v>151.13079999999999</v>
      </c>
      <c r="F5625">
        <v>15366</v>
      </c>
    </row>
    <row r="5626" spans="1:6" x14ac:dyDescent="0.25">
      <c r="A5626" s="4">
        <v>42585</v>
      </c>
      <c r="B5626">
        <v>148.12530000000001</v>
      </c>
      <c r="C5626">
        <v>149.4134</v>
      </c>
      <c r="D5626">
        <v>147.696</v>
      </c>
      <c r="E5626">
        <v>148.12530000000001</v>
      </c>
      <c r="F5626">
        <v>21652</v>
      </c>
    </row>
    <row r="5627" spans="1:6" x14ac:dyDescent="0.25">
      <c r="A5627" s="4">
        <v>42586</v>
      </c>
      <c r="B5627">
        <v>148.5547</v>
      </c>
      <c r="C5627">
        <v>149.84270000000001</v>
      </c>
      <c r="D5627">
        <v>148.12530000000001</v>
      </c>
      <c r="E5627">
        <v>149.84270000000001</v>
      </c>
      <c r="F5627">
        <v>14292</v>
      </c>
    </row>
    <row r="5628" spans="1:6" x14ac:dyDescent="0.25">
      <c r="A5628" s="4">
        <v>42587</v>
      </c>
      <c r="B5628">
        <v>150.27209999999999</v>
      </c>
      <c r="C5628">
        <v>152.4188</v>
      </c>
      <c r="D5628">
        <v>149.4134</v>
      </c>
      <c r="E5628">
        <v>151.98949999999999</v>
      </c>
      <c r="F5628">
        <v>25804</v>
      </c>
    </row>
    <row r="5629" spans="1:6" x14ac:dyDescent="0.25">
      <c r="A5629" s="4">
        <v>42590</v>
      </c>
      <c r="B5629">
        <v>152.84819999999999</v>
      </c>
      <c r="C5629">
        <v>152.84819999999999</v>
      </c>
      <c r="D5629">
        <v>151.56010000000001</v>
      </c>
      <c r="E5629">
        <v>152.84819999999999</v>
      </c>
      <c r="F5629">
        <v>16242</v>
      </c>
    </row>
    <row r="5630" spans="1:6" x14ac:dyDescent="0.25">
      <c r="A5630" s="4">
        <v>42591</v>
      </c>
      <c r="B5630">
        <v>153.2775</v>
      </c>
      <c r="C5630">
        <v>154.1362</v>
      </c>
      <c r="D5630">
        <v>151.98949999999999</v>
      </c>
      <c r="E5630">
        <v>153.2775</v>
      </c>
      <c r="F5630">
        <v>16443</v>
      </c>
    </row>
    <row r="5631" spans="1:6" x14ac:dyDescent="0.25">
      <c r="A5631" s="4">
        <v>42592</v>
      </c>
      <c r="B5631">
        <v>153.70689999999999</v>
      </c>
      <c r="C5631">
        <v>154.1362</v>
      </c>
      <c r="D5631">
        <v>152.84819999999999</v>
      </c>
      <c r="E5631">
        <v>154.1362</v>
      </c>
      <c r="F5631">
        <v>19308</v>
      </c>
    </row>
    <row r="5632" spans="1:6" x14ac:dyDescent="0.25">
      <c r="A5632" s="4">
        <v>42593</v>
      </c>
      <c r="B5632">
        <v>152.4188</v>
      </c>
      <c r="C5632">
        <v>152.84819999999999</v>
      </c>
      <c r="D5632">
        <v>150.70140000000001</v>
      </c>
      <c r="E5632">
        <v>151.56010000000001</v>
      </c>
      <c r="F5632">
        <v>28216</v>
      </c>
    </row>
    <row r="5633" spans="1:6" x14ac:dyDescent="0.25">
      <c r="A5633" s="4">
        <v>42594</v>
      </c>
      <c r="B5633">
        <v>153.2775</v>
      </c>
      <c r="C5633">
        <v>153.2775</v>
      </c>
      <c r="D5633">
        <v>151.98949999999999</v>
      </c>
      <c r="E5633">
        <v>152.4188</v>
      </c>
      <c r="F5633">
        <v>23987</v>
      </c>
    </row>
    <row r="5634" spans="1:6" x14ac:dyDescent="0.25">
      <c r="A5634" s="4">
        <v>42597</v>
      </c>
      <c r="B5634">
        <v>153.2775</v>
      </c>
      <c r="C5634">
        <v>153.70689999999999</v>
      </c>
      <c r="D5634">
        <v>152.4188</v>
      </c>
      <c r="E5634">
        <v>153.70689999999999</v>
      </c>
      <c r="F5634">
        <v>13660</v>
      </c>
    </row>
    <row r="5635" spans="1:6" x14ac:dyDescent="0.25">
      <c r="A5635" s="4">
        <v>42598</v>
      </c>
      <c r="B5635">
        <v>152.84819999999999</v>
      </c>
      <c r="C5635">
        <v>153.70689999999999</v>
      </c>
      <c r="D5635">
        <v>150.27209999999999</v>
      </c>
      <c r="E5635">
        <v>150.70140000000001</v>
      </c>
      <c r="F5635">
        <v>34284</v>
      </c>
    </row>
    <row r="5636" spans="1:6" x14ac:dyDescent="0.25">
      <c r="A5636" s="4">
        <v>42599</v>
      </c>
      <c r="B5636">
        <v>151.98949999999999</v>
      </c>
      <c r="C5636">
        <v>152.4188</v>
      </c>
      <c r="D5636">
        <v>151.13079999999999</v>
      </c>
      <c r="E5636">
        <v>151.98949999999999</v>
      </c>
      <c r="F5636">
        <v>24170</v>
      </c>
    </row>
    <row r="5637" spans="1:6" x14ac:dyDescent="0.25">
      <c r="A5637" s="4">
        <v>42600</v>
      </c>
      <c r="B5637">
        <v>151.13079999999999</v>
      </c>
      <c r="C5637">
        <v>151.56010000000001</v>
      </c>
      <c r="D5637">
        <v>150.27209999999999</v>
      </c>
      <c r="E5637">
        <v>151.13079999999999</v>
      </c>
      <c r="F5637">
        <v>27900</v>
      </c>
    </row>
    <row r="5638" spans="1:6" x14ac:dyDescent="0.25">
      <c r="A5638" s="4">
        <v>42601</v>
      </c>
      <c r="B5638">
        <v>151.98949999999999</v>
      </c>
      <c r="C5638">
        <v>152.4188</v>
      </c>
      <c r="D5638">
        <v>149.4134</v>
      </c>
      <c r="E5638">
        <v>149.84270000000001</v>
      </c>
      <c r="F5638">
        <v>23497</v>
      </c>
    </row>
    <row r="5639" spans="1:6" x14ac:dyDescent="0.25">
      <c r="A5639" s="4">
        <v>42604</v>
      </c>
      <c r="B5639">
        <v>148.5547</v>
      </c>
      <c r="C5639">
        <v>149.4134</v>
      </c>
      <c r="D5639">
        <v>147.26660000000001</v>
      </c>
      <c r="E5639">
        <v>148.5547</v>
      </c>
      <c r="F5639">
        <v>21822</v>
      </c>
    </row>
    <row r="5640" spans="1:6" x14ac:dyDescent="0.25">
      <c r="A5640" s="4">
        <v>42605</v>
      </c>
      <c r="B5640">
        <v>149.4134</v>
      </c>
      <c r="C5640">
        <v>150.27209999999999</v>
      </c>
      <c r="D5640">
        <v>148.98400000000001</v>
      </c>
      <c r="E5640">
        <v>149.4134</v>
      </c>
      <c r="F5640">
        <v>21468</v>
      </c>
    </row>
    <row r="5641" spans="1:6" x14ac:dyDescent="0.25">
      <c r="A5641" s="4">
        <v>42606</v>
      </c>
      <c r="B5641">
        <v>150.27209999999999</v>
      </c>
      <c r="C5641">
        <v>150.70140000000001</v>
      </c>
      <c r="D5641">
        <v>148.98400000000001</v>
      </c>
      <c r="E5641">
        <v>148.98400000000001</v>
      </c>
      <c r="F5641">
        <v>12532</v>
      </c>
    </row>
    <row r="5642" spans="1:6" x14ac:dyDescent="0.25">
      <c r="A5642" s="4">
        <v>42607</v>
      </c>
      <c r="B5642">
        <v>150.27209999999999</v>
      </c>
      <c r="C5642">
        <v>151.98949999999999</v>
      </c>
      <c r="D5642">
        <v>149.84270000000001</v>
      </c>
      <c r="E5642">
        <v>151.98949999999999</v>
      </c>
      <c r="F5642">
        <v>23974</v>
      </c>
    </row>
    <row r="5643" spans="1:6" x14ac:dyDescent="0.25">
      <c r="A5643" s="4">
        <v>42608</v>
      </c>
      <c r="B5643">
        <v>150.27209999999999</v>
      </c>
      <c r="C5643">
        <v>151.98949999999999</v>
      </c>
      <c r="D5643">
        <v>150.27209999999999</v>
      </c>
      <c r="E5643">
        <v>151.98949999999999</v>
      </c>
      <c r="F5643">
        <v>15805</v>
      </c>
    </row>
    <row r="5644" spans="1:6" x14ac:dyDescent="0.25">
      <c r="A5644" s="4">
        <v>42611</v>
      </c>
      <c r="B5644">
        <v>150.27209999999999</v>
      </c>
      <c r="C5644">
        <v>151.98949999999999</v>
      </c>
      <c r="D5644">
        <v>149.4134</v>
      </c>
      <c r="E5644">
        <v>151.56010000000001</v>
      </c>
      <c r="F5644">
        <v>16967</v>
      </c>
    </row>
    <row r="5645" spans="1:6" x14ac:dyDescent="0.25">
      <c r="A5645" s="4">
        <v>42612</v>
      </c>
      <c r="B5645">
        <v>151.13079999999999</v>
      </c>
      <c r="C5645">
        <v>151.56010000000001</v>
      </c>
      <c r="D5645">
        <v>149.4134</v>
      </c>
      <c r="E5645">
        <v>149.84270000000001</v>
      </c>
      <c r="F5645">
        <v>19752</v>
      </c>
    </row>
    <row r="5646" spans="1:6" x14ac:dyDescent="0.25">
      <c r="A5646" s="4">
        <v>42613</v>
      </c>
      <c r="B5646">
        <v>151.56010000000001</v>
      </c>
      <c r="C5646">
        <v>151.98949999999999</v>
      </c>
      <c r="D5646">
        <v>149.84270000000001</v>
      </c>
      <c r="E5646">
        <v>151.13079999999999</v>
      </c>
      <c r="F5646">
        <v>42461</v>
      </c>
    </row>
    <row r="5647" spans="1:6" x14ac:dyDescent="0.25">
      <c r="A5647" s="4">
        <v>42614</v>
      </c>
      <c r="B5647">
        <v>151.13079999999999</v>
      </c>
      <c r="C5647">
        <v>151.13079999999999</v>
      </c>
      <c r="D5647">
        <v>148.5547</v>
      </c>
      <c r="E5647">
        <v>148.98400000000001</v>
      </c>
      <c r="F5647">
        <v>26101</v>
      </c>
    </row>
    <row r="5648" spans="1:6" x14ac:dyDescent="0.25">
      <c r="A5648" s="4">
        <v>42615</v>
      </c>
      <c r="B5648">
        <v>151.56010000000001</v>
      </c>
      <c r="C5648">
        <v>151.56010000000001</v>
      </c>
      <c r="D5648">
        <v>149.4134</v>
      </c>
      <c r="E5648">
        <v>149.84270000000001</v>
      </c>
      <c r="F5648">
        <v>19489</v>
      </c>
    </row>
    <row r="5649" spans="1:6" x14ac:dyDescent="0.25">
      <c r="A5649" s="4">
        <v>42618</v>
      </c>
      <c r="B5649">
        <v>151.56010000000001</v>
      </c>
      <c r="C5649">
        <v>152.4188</v>
      </c>
      <c r="D5649">
        <v>151.56010000000001</v>
      </c>
      <c r="E5649">
        <v>151.56010000000001</v>
      </c>
      <c r="F5649">
        <v>27983</v>
      </c>
    </row>
    <row r="5650" spans="1:6" x14ac:dyDescent="0.25">
      <c r="A5650" s="4">
        <v>42619</v>
      </c>
      <c r="B5650">
        <v>151.98949999999999</v>
      </c>
      <c r="C5650">
        <v>153.70689999999999</v>
      </c>
      <c r="D5650">
        <v>151.56010000000001</v>
      </c>
      <c r="E5650">
        <v>153.70689999999999</v>
      </c>
      <c r="F5650">
        <v>29647</v>
      </c>
    </row>
    <row r="5651" spans="1:6" x14ac:dyDescent="0.25">
      <c r="A5651" s="4">
        <v>42620</v>
      </c>
      <c r="B5651">
        <v>154.9949</v>
      </c>
      <c r="C5651">
        <v>158.85900000000001</v>
      </c>
      <c r="D5651">
        <v>154.56559999999999</v>
      </c>
      <c r="E5651">
        <v>158.00030000000001</v>
      </c>
      <c r="F5651">
        <v>50851</v>
      </c>
    </row>
    <row r="5652" spans="1:6" x14ac:dyDescent="0.25">
      <c r="A5652" s="4">
        <v>42621</v>
      </c>
      <c r="B5652">
        <v>156.7123</v>
      </c>
      <c r="C5652">
        <v>158.4297</v>
      </c>
      <c r="D5652">
        <v>156.7123</v>
      </c>
      <c r="E5652">
        <v>157.14160000000001</v>
      </c>
      <c r="F5652">
        <v>30308</v>
      </c>
    </row>
    <row r="5653" spans="1:6" x14ac:dyDescent="0.25">
      <c r="A5653" s="4">
        <v>42622</v>
      </c>
      <c r="B5653">
        <v>155.42429999999999</v>
      </c>
      <c r="C5653">
        <v>155.42429999999999</v>
      </c>
      <c r="D5653">
        <v>154.1362</v>
      </c>
      <c r="E5653">
        <v>154.1362</v>
      </c>
      <c r="F5653">
        <v>30636</v>
      </c>
    </row>
    <row r="5654" spans="1:6" x14ac:dyDescent="0.25">
      <c r="A5654" s="4">
        <v>42623</v>
      </c>
      <c r="B5654">
        <v>151.98949999999999</v>
      </c>
      <c r="C5654">
        <v>153.70689999999999</v>
      </c>
      <c r="D5654">
        <v>151.13079999999999</v>
      </c>
      <c r="E5654">
        <v>152.84819999999999</v>
      </c>
      <c r="F5654">
        <v>15470</v>
      </c>
    </row>
    <row r="5655" spans="1:6" x14ac:dyDescent="0.25">
      <c r="A5655" s="4">
        <v>42625</v>
      </c>
      <c r="B5655">
        <v>152.4188</v>
      </c>
      <c r="C5655">
        <v>152.4188</v>
      </c>
      <c r="D5655">
        <v>149.4134</v>
      </c>
      <c r="E5655">
        <v>150.27209999999999</v>
      </c>
      <c r="F5655">
        <v>42752</v>
      </c>
    </row>
    <row r="5656" spans="1:6" x14ac:dyDescent="0.25">
      <c r="A5656" s="4">
        <v>42626</v>
      </c>
      <c r="B5656">
        <v>151.56010000000001</v>
      </c>
      <c r="C5656">
        <v>151.56010000000001</v>
      </c>
      <c r="D5656">
        <v>148.98400000000001</v>
      </c>
      <c r="E5656">
        <v>150.27209999999999</v>
      </c>
      <c r="F5656">
        <v>38439</v>
      </c>
    </row>
    <row r="5657" spans="1:6" x14ac:dyDescent="0.25">
      <c r="A5657" s="4">
        <v>42627</v>
      </c>
      <c r="B5657">
        <v>149.4134</v>
      </c>
      <c r="C5657">
        <v>151.13079999999999</v>
      </c>
      <c r="D5657">
        <v>148.98400000000001</v>
      </c>
      <c r="E5657">
        <v>148.98400000000001</v>
      </c>
      <c r="F5657">
        <v>52966</v>
      </c>
    </row>
    <row r="5658" spans="1:6" x14ac:dyDescent="0.25">
      <c r="A5658" s="4">
        <v>42632</v>
      </c>
      <c r="B5658">
        <v>154.1362</v>
      </c>
      <c r="C5658">
        <v>157.14160000000001</v>
      </c>
      <c r="D5658">
        <v>153.2775</v>
      </c>
      <c r="E5658">
        <v>156.7123</v>
      </c>
      <c r="F5658">
        <v>57297</v>
      </c>
    </row>
    <row r="5659" spans="1:6" x14ac:dyDescent="0.25">
      <c r="A5659" s="4">
        <v>42633</v>
      </c>
      <c r="B5659">
        <v>156.28299999999999</v>
      </c>
      <c r="C5659">
        <v>157.571</v>
      </c>
      <c r="D5659">
        <v>155.8536</v>
      </c>
      <c r="E5659">
        <v>157.14160000000001</v>
      </c>
      <c r="F5659">
        <v>23647</v>
      </c>
    </row>
    <row r="5660" spans="1:6" x14ac:dyDescent="0.25">
      <c r="A5660" s="4">
        <v>42634</v>
      </c>
      <c r="B5660">
        <v>155.42429999999999</v>
      </c>
      <c r="C5660">
        <v>158.00030000000001</v>
      </c>
      <c r="D5660">
        <v>154.9949</v>
      </c>
      <c r="E5660">
        <v>158.00030000000001</v>
      </c>
      <c r="F5660">
        <v>26262</v>
      </c>
    </row>
    <row r="5661" spans="1:6" x14ac:dyDescent="0.25">
      <c r="A5661" s="4">
        <v>42635</v>
      </c>
      <c r="B5661">
        <v>158.85900000000001</v>
      </c>
      <c r="C5661">
        <v>159.2884</v>
      </c>
      <c r="D5661">
        <v>157.571</v>
      </c>
      <c r="E5661">
        <v>159.2884</v>
      </c>
      <c r="F5661">
        <v>21213</v>
      </c>
    </row>
    <row r="5662" spans="1:6" x14ac:dyDescent="0.25">
      <c r="A5662" s="4">
        <v>42636</v>
      </c>
      <c r="B5662">
        <v>158.85900000000001</v>
      </c>
      <c r="C5662">
        <v>161.00579999999999</v>
      </c>
      <c r="D5662">
        <v>158.4297</v>
      </c>
      <c r="E5662">
        <v>161.00579999999999</v>
      </c>
      <c r="F5662">
        <v>23141</v>
      </c>
    </row>
    <row r="5663" spans="1:6" x14ac:dyDescent="0.25">
      <c r="A5663" s="4">
        <v>42639</v>
      </c>
      <c r="B5663">
        <v>157.571</v>
      </c>
      <c r="C5663">
        <v>158.85900000000001</v>
      </c>
      <c r="D5663">
        <v>157.14160000000001</v>
      </c>
      <c r="E5663">
        <v>157.14160000000001</v>
      </c>
      <c r="F5663">
        <v>25219</v>
      </c>
    </row>
    <row r="5664" spans="1:6" x14ac:dyDescent="0.25">
      <c r="A5664" s="4">
        <v>42642</v>
      </c>
      <c r="B5664">
        <v>159.2884</v>
      </c>
      <c r="C5664">
        <v>161.00579999999999</v>
      </c>
      <c r="D5664">
        <v>159.2884</v>
      </c>
      <c r="E5664">
        <v>159.2884</v>
      </c>
      <c r="F5664">
        <v>57779</v>
      </c>
    </row>
    <row r="5665" spans="1:6" x14ac:dyDescent="0.25">
      <c r="A5665" s="4">
        <v>42643</v>
      </c>
      <c r="B5665">
        <v>159.2884</v>
      </c>
      <c r="C5665">
        <v>160.14709999999999</v>
      </c>
      <c r="D5665">
        <v>156.7123</v>
      </c>
      <c r="E5665">
        <v>156.7123</v>
      </c>
      <c r="F5665">
        <v>45163</v>
      </c>
    </row>
    <row r="5666" spans="1:6" x14ac:dyDescent="0.25">
      <c r="A5666" s="4">
        <v>42646</v>
      </c>
      <c r="B5666">
        <v>159.71770000000001</v>
      </c>
      <c r="C5666">
        <v>160.14709999999999</v>
      </c>
      <c r="D5666">
        <v>158.4297</v>
      </c>
      <c r="E5666">
        <v>159.71770000000001</v>
      </c>
      <c r="F5666">
        <v>18988</v>
      </c>
    </row>
    <row r="5667" spans="1:6" x14ac:dyDescent="0.25">
      <c r="A5667" s="4">
        <v>42647</v>
      </c>
      <c r="B5667">
        <v>158.85900000000001</v>
      </c>
      <c r="C5667">
        <v>160.57640000000001</v>
      </c>
      <c r="D5667">
        <v>158.85900000000001</v>
      </c>
      <c r="E5667">
        <v>160.57640000000001</v>
      </c>
      <c r="F5667">
        <v>17140</v>
      </c>
    </row>
    <row r="5668" spans="1:6" x14ac:dyDescent="0.25">
      <c r="A5668" s="4">
        <v>42648</v>
      </c>
      <c r="B5668">
        <v>159.71770000000001</v>
      </c>
      <c r="C5668">
        <v>159.71770000000001</v>
      </c>
      <c r="D5668">
        <v>158.4297</v>
      </c>
      <c r="E5668">
        <v>159.71770000000001</v>
      </c>
      <c r="F5668">
        <v>19144</v>
      </c>
    </row>
    <row r="5669" spans="1:6" x14ac:dyDescent="0.25">
      <c r="A5669" s="4">
        <v>42649</v>
      </c>
      <c r="B5669">
        <v>158.85900000000001</v>
      </c>
      <c r="C5669">
        <v>161.00579999999999</v>
      </c>
      <c r="D5669">
        <v>158.85900000000001</v>
      </c>
      <c r="E5669">
        <v>161.00579999999999</v>
      </c>
      <c r="F5669">
        <v>15716</v>
      </c>
    </row>
    <row r="5670" spans="1:6" x14ac:dyDescent="0.25">
      <c r="A5670" s="4">
        <v>42650</v>
      </c>
      <c r="B5670">
        <v>161.43510000000001</v>
      </c>
      <c r="C5670">
        <v>161.43510000000001</v>
      </c>
      <c r="D5670">
        <v>159.71770000000001</v>
      </c>
      <c r="E5670">
        <v>161.43510000000001</v>
      </c>
      <c r="F5670">
        <v>15870</v>
      </c>
    </row>
    <row r="5671" spans="1:6" x14ac:dyDescent="0.25">
      <c r="A5671" s="4">
        <v>42654</v>
      </c>
      <c r="B5671">
        <v>164.0112</v>
      </c>
      <c r="C5671">
        <v>164.0112</v>
      </c>
      <c r="D5671">
        <v>159.71770000000001</v>
      </c>
      <c r="E5671">
        <v>161.00579999999999</v>
      </c>
      <c r="F5671">
        <v>31108</v>
      </c>
    </row>
    <row r="5672" spans="1:6" x14ac:dyDescent="0.25">
      <c r="A5672" s="4">
        <v>42655</v>
      </c>
      <c r="B5672">
        <v>160.14709999999999</v>
      </c>
      <c r="C5672">
        <v>163.1525</v>
      </c>
      <c r="D5672">
        <v>159.71770000000001</v>
      </c>
      <c r="E5672">
        <v>162.72319999999999</v>
      </c>
      <c r="F5672">
        <v>24592</v>
      </c>
    </row>
    <row r="5673" spans="1:6" x14ac:dyDescent="0.25">
      <c r="A5673" s="4">
        <v>42656</v>
      </c>
      <c r="B5673">
        <v>163.58189999999999</v>
      </c>
      <c r="C5673">
        <v>164.0112</v>
      </c>
      <c r="D5673">
        <v>160.57640000000001</v>
      </c>
      <c r="E5673">
        <v>161.86449999999999</v>
      </c>
      <c r="F5673">
        <v>40728</v>
      </c>
    </row>
    <row r="5674" spans="1:6" x14ac:dyDescent="0.25">
      <c r="A5674" s="4">
        <v>42657</v>
      </c>
      <c r="B5674">
        <v>160.57640000000001</v>
      </c>
      <c r="C5674">
        <v>162.2938</v>
      </c>
      <c r="D5674">
        <v>160.14709999999999</v>
      </c>
      <c r="E5674">
        <v>161.43510000000001</v>
      </c>
      <c r="F5674">
        <v>34340</v>
      </c>
    </row>
    <row r="5675" spans="1:6" x14ac:dyDescent="0.25">
      <c r="A5675" s="4">
        <v>42660</v>
      </c>
      <c r="B5675">
        <v>160.14709999999999</v>
      </c>
      <c r="C5675">
        <v>161.00579999999999</v>
      </c>
      <c r="D5675">
        <v>158.85900000000001</v>
      </c>
      <c r="E5675">
        <v>160.14709999999999</v>
      </c>
      <c r="F5675">
        <v>37878</v>
      </c>
    </row>
    <row r="5676" spans="1:6" x14ac:dyDescent="0.25">
      <c r="A5676" s="4">
        <v>42661</v>
      </c>
      <c r="B5676">
        <v>160.14709999999999</v>
      </c>
      <c r="C5676">
        <v>160.57640000000001</v>
      </c>
      <c r="D5676">
        <v>159.2884</v>
      </c>
      <c r="E5676">
        <v>160.57640000000001</v>
      </c>
      <c r="F5676">
        <v>40652</v>
      </c>
    </row>
    <row r="5677" spans="1:6" x14ac:dyDescent="0.25">
      <c r="A5677" s="4">
        <v>42662</v>
      </c>
      <c r="B5677">
        <v>161.00579999999999</v>
      </c>
      <c r="C5677">
        <v>162.72319999999999</v>
      </c>
      <c r="D5677">
        <v>161.00579999999999</v>
      </c>
      <c r="E5677">
        <v>162.72319999999999</v>
      </c>
      <c r="F5677">
        <v>38144</v>
      </c>
    </row>
    <row r="5678" spans="1:6" x14ac:dyDescent="0.25">
      <c r="A5678" s="4">
        <v>42663</v>
      </c>
      <c r="B5678">
        <v>162.72319999999999</v>
      </c>
      <c r="C5678">
        <v>163.58189999999999</v>
      </c>
      <c r="D5678">
        <v>162.2938</v>
      </c>
      <c r="E5678">
        <v>163.58189999999999</v>
      </c>
      <c r="F5678">
        <v>15736</v>
      </c>
    </row>
    <row r="5679" spans="1:6" x14ac:dyDescent="0.25">
      <c r="A5679" s="4">
        <v>42664</v>
      </c>
      <c r="B5679">
        <v>164.0112</v>
      </c>
      <c r="C5679">
        <v>164.8699</v>
      </c>
      <c r="D5679">
        <v>161.86449999999999</v>
      </c>
      <c r="E5679">
        <v>161.86449999999999</v>
      </c>
      <c r="F5679">
        <v>22317</v>
      </c>
    </row>
    <row r="5680" spans="1:6" x14ac:dyDescent="0.25">
      <c r="A5680" s="4">
        <v>42667</v>
      </c>
      <c r="B5680">
        <v>164.0112</v>
      </c>
      <c r="C5680">
        <v>164.0112</v>
      </c>
      <c r="D5680">
        <v>162.72319999999999</v>
      </c>
      <c r="E5680">
        <v>164.0112</v>
      </c>
      <c r="F5680">
        <v>14381</v>
      </c>
    </row>
    <row r="5681" spans="1:6" x14ac:dyDescent="0.25">
      <c r="A5681" s="4">
        <v>42668</v>
      </c>
      <c r="B5681">
        <v>164.8699</v>
      </c>
      <c r="C5681">
        <v>165.7286</v>
      </c>
      <c r="D5681">
        <v>164.0112</v>
      </c>
      <c r="E5681">
        <v>165.7286</v>
      </c>
      <c r="F5681">
        <v>19146</v>
      </c>
    </row>
    <row r="5682" spans="1:6" x14ac:dyDescent="0.25">
      <c r="A5682" s="4">
        <v>42669</v>
      </c>
      <c r="B5682">
        <v>163.58189999999999</v>
      </c>
      <c r="C5682">
        <v>165.29929999999999</v>
      </c>
      <c r="D5682">
        <v>163.58189999999999</v>
      </c>
      <c r="E5682">
        <v>164.44059999999999</v>
      </c>
      <c r="F5682">
        <v>24885</v>
      </c>
    </row>
    <row r="5683" spans="1:6" x14ac:dyDescent="0.25">
      <c r="A5683" s="4">
        <v>42670</v>
      </c>
      <c r="B5683">
        <v>164.44059999999999</v>
      </c>
      <c r="C5683">
        <v>164.44059999999999</v>
      </c>
      <c r="D5683">
        <v>161.86449999999999</v>
      </c>
      <c r="E5683">
        <v>161.86449999999999</v>
      </c>
      <c r="F5683">
        <v>26883</v>
      </c>
    </row>
    <row r="5684" spans="1:6" x14ac:dyDescent="0.25">
      <c r="A5684" s="4">
        <v>42671</v>
      </c>
      <c r="B5684">
        <v>162.72319999999999</v>
      </c>
      <c r="C5684">
        <v>163.1525</v>
      </c>
      <c r="D5684">
        <v>161.86449999999999</v>
      </c>
      <c r="E5684">
        <v>162.72319999999999</v>
      </c>
      <c r="F5684">
        <v>33107</v>
      </c>
    </row>
    <row r="5685" spans="1:6" x14ac:dyDescent="0.25">
      <c r="A5685" s="4">
        <v>42674</v>
      </c>
      <c r="B5685">
        <v>162.2938</v>
      </c>
      <c r="C5685">
        <v>163.58189999999999</v>
      </c>
      <c r="D5685">
        <v>160.14709999999999</v>
      </c>
      <c r="E5685">
        <v>161.86449999999999</v>
      </c>
      <c r="F5685">
        <v>25831</v>
      </c>
    </row>
    <row r="5686" spans="1:6" x14ac:dyDescent="0.25">
      <c r="A5686" s="4">
        <v>42675</v>
      </c>
      <c r="B5686">
        <v>161.86449999999999</v>
      </c>
      <c r="C5686">
        <v>162.72319999999999</v>
      </c>
      <c r="D5686">
        <v>161.00579999999999</v>
      </c>
      <c r="E5686">
        <v>162.72319999999999</v>
      </c>
      <c r="F5686">
        <v>15129</v>
      </c>
    </row>
    <row r="5687" spans="1:6" x14ac:dyDescent="0.25">
      <c r="A5687" s="4">
        <v>42676</v>
      </c>
      <c r="B5687">
        <v>161.00579999999999</v>
      </c>
      <c r="C5687">
        <v>161.43510000000001</v>
      </c>
      <c r="D5687">
        <v>159.71770000000001</v>
      </c>
      <c r="E5687">
        <v>159.71770000000001</v>
      </c>
      <c r="F5687">
        <v>16530</v>
      </c>
    </row>
    <row r="5688" spans="1:6" x14ac:dyDescent="0.25">
      <c r="A5688" s="4">
        <v>42677</v>
      </c>
      <c r="B5688">
        <v>159.2884</v>
      </c>
      <c r="C5688">
        <v>160.14709999999999</v>
      </c>
      <c r="D5688">
        <v>158.4297</v>
      </c>
      <c r="E5688">
        <v>158.4297</v>
      </c>
      <c r="F5688">
        <v>25532</v>
      </c>
    </row>
    <row r="5689" spans="1:6" x14ac:dyDescent="0.25">
      <c r="A5689" s="4">
        <v>42678</v>
      </c>
      <c r="B5689">
        <v>158.4297</v>
      </c>
      <c r="C5689">
        <v>159.71770000000001</v>
      </c>
      <c r="D5689">
        <v>158.00030000000001</v>
      </c>
      <c r="E5689">
        <v>158.4297</v>
      </c>
      <c r="F5689">
        <v>15107</v>
      </c>
    </row>
    <row r="5690" spans="1:6" x14ac:dyDescent="0.25">
      <c r="A5690" s="4">
        <v>42681</v>
      </c>
      <c r="B5690">
        <v>160.14709999999999</v>
      </c>
      <c r="C5690">
        <v>162.2938</v>
      </c>
      <c r="D5690">
        <v>159.71770000000001</v>
      </c>
      <c r="E5690">
        <v>162.2938</v>
      </c>
      <c r="F5690">
        <v>21430</v>
      </c>
    </row>
    <row r="5691" spans="1:6" x14ac:dyDescent="0.25">
      <c r="A5691" s="4">
        <v>42682</v>
      </c>
      <c r="B5691">
        <v>163.1525</v>
      </c>
      <c r="C5691">
        <v>163.1525</v>
      </c>
      <c r="D5691">
        <v>161.43510000000001</v>
      </c>
      <c r="E5691">
        <v>161.86449999999999</v>
      </c>
      <c r="F5691">
        <v>15954</v>
      </c>
    </row>
    <row r="5692" spans="1:6" x14ac:dyDescent="0.25">
      <c r="A5692" s="4">
        <v>42683</v>
      </c>
      <c r="B5692">
        <v>163.1525</v>
      </c>
      <c r="C5692">
        <v>163.58189999999999</v>
      </c>
      <c r="D5692">
        <v>156.28299999999999</v>
      </c>
      <c r="E5692">
        <v>156.28299999999999</v>
      </c>
      <c r="F5692">
        <v>55579</v>
      </c>
    </row>
    <row r="5693" spans="1:6" x14ac:dyDescent="0.25">
      <c r="A5693" s="4">
        <v>42684</v>
      </c>
      <c r="B5693">
        <v>160.57640000000001</v>
      </c>
      <c r="C5693">
        <v>161.43510000000001</v>
      </c>
      <c r="D5693">
        <v>159.2884</v>
      </c>
      <c r="E5693">
        <v>159.2884</v>
      </c>
      <c r="F5693">
        <v>38869</v>
      </c>
    </row>
    <row r="5694" spans="1:6" x14ac:dyDescent="0.25">
      <c r="A5694" s="4">
        <v>42685</v>
      </c>
      <c r="B5694">
        <v>155.8536</v>
      </c>
      <c r="C5694">
        <v>157.14160000000001</v>
      </c>
      <c r="D5694">
        <v>155.42429999999999</v>
      </c>
      <c r="E5694">
        <v>155.8536</v>
      </c>
      <c r="F5694">
        <v>67636</v>
      </c>
    </row>
    <row r="5695" spans="1:6" x14ac:dyDescent="0.25">
      <c r="A5695" s="4">
        <v>42688</v>
      </c>
      <c r="B5695">
        <v>155.42429999999999</v>
      </c>
      <c r="C5695">
        <v>156.28299999999999</v>
      </c>
      <c r="D5695">
        <v>154.56559999999999</v>
      </c>
      <c r="E5695">
        <v>154.9949</v>
      </c>
      <c r="F5695">
        <v>48033</v>
      </c>
    </row>
    <row r="5696" spans="1:6" x14ac:dyDescent="0.25">
      <c r="A5696" s="4">
        <v>42689</v>
      </c>
      <c r="B5696">
        <v>154.1362</v>
      </c>
      <c r="C5696">
        <v>156.28299999999999</v>
      </c>
      <c r="D5696">
        <v>153.70689999999999</v>
      </c>
      <c r="E5696">
        <v>154.56559999999999</v>
      </c>
      <c r="F5696">
        <v>33529</v>
      </c>
    </row>
    <row r="5697" spans="1:6" x14ac:dyDescent="0.25">
      <c r="A5697" s="4">
        <v>42690</v>
      </c>
      <c r="B5697">
        <v>154.9949</v>
      </c>
      <c r="C5697">
        <v>157.14160000000001</v>
      </c>
      <c r="D5697">
        <v>154.56559999999999</v>
      </c>
      <c r="E5697">
        <v>154.56559999999999</v>
      </c>
      <c r="F5697">
        <v>35294</v>
      </c>
    </row>
    <row r="5698" spans="1:6" x14ac:dyDescent="0.25">
      <c r="A5698" s="4">
        <v>42691</v>
      </c>
      <c r="B5698">
        <v>156.28299999999999</v>
      </c>
      <c r="C5698">
        <v>156.7123</v>
      </c>
      <c r="D5698">
        <v>154.9949</v>
      </c>
      <c r="E5698">
        <v>155.8536</v>
      </c>
      <c r="F5698">
        <v>23256</v>
      </c>
    </row>
    <row r="5699" spans="1:6" x14ac:dyDescent="0.25">
      <c r="A5699" s="4">
        <v>42692</v>
      </c>
      <c r="B5699">
        <v>155.8536</v>
      </c>
      <c r="C5699">
        <v>155.8536</v>
      </c>
      <c r="D5699">
        <v>154.56559999999999</v>
      </c>
      <c r="E5699">
        <v>155.42429999999999</v>
      </c>
      <c r="F5699">
        <v>23731</v>
      </c>
    </row>
    <row r="5700" spans="1:6" x14ac:dyDescent="0.25">
      <c r="A5700" s="4">
        <v>42695</v>
      </c>
      <c r="B5700">
        <v>154.9949</v>
      </c>
      <c r="C5700">
        <v>155.8536</v>
      </c>
      <c r="D5700">
        <v>154.56559999999999</v>
      </c>
      <c r="E5700">
        <v>155.42429999999999</v>
      </c>
      <c r="F5700">
        <v>15623</v>
      </c>
    </row>
    <row r="5701" spans="1:6" x14ac:dyDescent="0.25">
      <c r="A5701" s="4">
        <v>42696</v>
      </c>
      <c r="B5701">
        <v>156.28299999999999</v>
      </c>
      <c r="C5701">
        <v>158.85900000000001</v>
      </c>
      <c r="D5701">
        <v>155.8536</v>
      </c>
      <c r="E5701">
        <v>158.00030000000001</v>
      </c>
      <c r="F5701">
        <v>31348</v>
      </c>
    </row>
    <row r="5702" spans="1:6" x14ac:dyDescent="0.25">
      <c r="A5702" s="4">
        <v>42697</v>
      </c>
      <c r="B5702">
        <v>158.4297</v>
      </c>
      <c r="C5702">
        <v>160.14709999999999</v>
      </c>
      <c r="D5702">
        <v>158.00030000000001</v>
      </c>
      <c r="E5702">
        <v>159.2884</v>
      </c>
      <c r="F5702">
        <v>23069</v>
      </c>
    </row>
    <row r="5703" spans="1:6" x14ac:dyDescent="0.25">
      <c r="A5703" s="4">
        <v>42698</v>
      </c>
      <c r="B5703">
        <v>158.00030000000001</v>
      </c>
      <c r="C5703">
        <v>158.85900000000001</v>
      </c>
      <c r="D5703">
        <v>157.14160000000001</v>
      </c>
      <c r="E5703">
        <v>157.14160000000001</v>
      </c>
      <c r="F5703">
        <v>19099</v>
      </c>
    </row>
    <row r="5704" spans="1:6" x14ac:dyDescent="0.25">
      <c r="A5704" s="4">
        <v>42699</v>
      </c>
      <c r="B5704">
        <v>156.7123</v>
      </c>
      <c r="C5704">
        <v>157.571</v>
      </c>
      <c r="D5704">
        <v>156.28299999999999</v>
      </c>
      <c r="E5704">
        <v>156.28299999999999</v>
      </c>
      <c r="F5704">
        <v>10227</v>
      </c>
    </row>
    <row r="5705" spans="1:6" x14ac:dyDescent="0.25">
      <c r="A5705" s="4">
        <v>42702</v>
      </c>
      <c r="B5705">
        <v>155.8536</v>
      </c>
      <c r="C5705">
        <v>158.00030000000001</v>
      </c>
      <c r="D5705">
        <v>155.8536</v>
      </c>
      <c r="E5705">
        <v>158.00030000000001</v>
      </c>
      <c r="F5705">
        <v>22360</v>
      </c>
    </row>
    <row r="5706" spans="1:6" x14ac:dyDescent="0.25">
      <c r="A5706" s="4">
        <v>42703</v>
      </c>
      <c r="B5706">
        <v>157.571</v>
      </c>
      <c r="C5706">
        <v>158.85900000000001</v>
      </c>
      <c r="D5706">
        <v>156.28299999999999</v>
      </c>
      <c r="E5706">
        <v>156.28299999999999</v>
      </c>
      <c r="F5706">
        <v>26895</v>
      </c>
    </row>
    <row r="5707" spans="1:6" x14ac:dyDescent="0.25">
      <c r="A5707" s="4">
        <v>42704</v>
      </c>
      <c r="B5707">
        <v>155.8536</v>
      </c>
      <c r="C5707">
        <v>157.14160000000001</v>
      </c>
      <c r="D5707">
        <v>155.8536</v>
      </c>
      <c r="E5707">
        <v>157.14160000000001</v>
      </c>
      <c r="F5707">
        <v>54053</v>
      </c>
    </row>
    <row r="5708" spans="1:6" x14ac:dyDescent="0.25">
      <c r="A5708" s="4">
        <v>42705</v>
      </c>
      <c r="B5708">
        <v>156.28299999999999</v>
      </c>
      <c r="C5708">
        <v>157.14160000000001</v>
      </c>
      <c r="D5708">
        <v>155.8536</v>
      </c>
      <c r="E5708">
        <v>157.14160000000001</v>
      </c>
      <c r="F5708">
        <v>13923</v>
      </c>
    </row>
    <row r="5709" spans="1:6" x14ac:dyDescent="0.25">
      <c r="A5709" s="4">
        <v>42706</v>
      </c>
      <c r="B5709">
        <v>153.70689999999999</v>
      </c>
      <c r="C5709">
        <v>154.1362</v>
      </c>
      <c r="D5709">
        <v>152.84819999999999</v>
      </c>
      <c r="E5709">
        <v>152.84819999999999</v>
      </c>
      <c r="F5709">
        <v>53946</v>
      </c>
    </row>
    <row r="5710" spans="1:6" x14ac:dyDescent="0.25">
      <c r="A5710" s="4">
        <v>42709</v>
      </c>
      <c r="B5710">
        <v>152.84819999999999</v>
      </c>
      <c r="C5710">
        <v>154.56559999999999</v>
      </c>
      <c r="D5710">
        <v>152.84819999999999</v>
      </c>
      <c r="E5710">
        <v>153.70689999999999</v>
      </c>
      <c r="F5710">
        <v>32250</v>
      </c>
    </row>
    <row r="5711" spans="1:6" x14ac:dyDescent="0.25">
      <c r="A5711" s="4">
        <v>42710</v>
      </c>
      <c r="B5711">
        <v>155.42429999999999</v>
      </c>
      <c r="C5711">
        <v>157.14160000000001</v>
      </c>
      <c r="D5711">
        <v>154.9949</v>
      </c>
      <c r="E5711">
        <v>156.28299999999999</v>
      </c>
      <c r="F5711">
        <v>27729</v>
      </c>
    </row>
    <row r="5712" spans="1:6" x14ac:dyDescent="0.25">
      <c r="A5712" s="4">
        <v>42711</v>
      </c>
      <c r="B5712">
        <v>157.14160000000001</v>
      </c>
      <c r="C5712">
        <v>157.571</v>
      </c>
      <c r="D5712">
        <v>155.8536</v>
      </c>
      <c r="E5712">
        <v>155.8536</v>
      </c>
      <c r="F5712">
        <v>14529</v>
      </c>
    </row>
    <row r="5713" spans="1:6" x14ac:dyDescent="0.25">
      <c r="A5713" s="4">
        <v>42712</v>
      </c>
      <c r="B5713">
        <v>158.00030000000001</v>
      </c>
      <c r="C5713">
        <v>159.2884</v>
      </c>
      <c r="D5713">
        <v>157.14160000000001</v>
      </c>
      <c r="E5713">
        <v>159.2884</v>
      </c>
      <c r="F5713">
        <v>27277</v>
      </c>
    </row>
    <row r="5714" spans="1:6" x14ac:dyDescent="0.25">
      <c r="A5714" s="4">
        <v>42713</v>
      </c>
      <c r="B5714">
        <v>159.71770000000001</v>
      </c>
      <c r="C5714">
        <v>159.71770000000001</v>
      </c>
      <c r="D5714">
        <v>158.4297</v>
      </c>
      <c r="E5714">
        <v>159.71770000000001</v>
      </c>
      <c r="F5714">
        <v>24891</v>
      </c>
    </row>
    <row r="5715" spans="1:6" x14ac:dyDescent="0.25">
      <c r="A5715" s="4">
        <v>42716</v>
      </c>
      <c r="B5715">
        <v>159.71770000000001</v>
      </c>
      <c r="C5715">
        <v>160.57640000000001</v>
      </c>
      <c r="D5715">
        <v>158.00030000000001</v>
      </c>
      <c r="E5715">
        <v>158.85900000000001</v>
      </c>
      <c r="F5715">
        <v>18818</v>
      </c>
    </row>
    <row r="5716" spans="1:6" x14ac:dyDescent="0.25">
      <c r="A5716" s="4">
        <v>42717</v>
      </c>
      <c r="B5716">
        <v>160.14709999999999</v>
      </c>
      <c r="C5716">
        <v>160.14709999999999</v>
      </c>
      <c r="D5716">
        <v>158.4297</v>
      </c>
      <c r="E5716">
        <v>159.71770000000001</v>
      </c>
      <c r="F5716">
        <v>23693</v>
      </c>
    </row>
    <row r="5717" spans="1:6" x14ac:dyDescent="0.25">
      <c r="A5717" s="4">
        <v>42718</v>
      </c>
      <c r="B5717">
        <v>160.14709999999999</v>
      </c>
      <c r="C5717">
        <v>161.00579999999999</v>
      </c>
      <c r="D5717">
        <v>159.2884</v>
      </c>
      <c r="E5717">
        <v>161.00579999999999</v>
      </c>
      <c r="F5717">
        <v>16769</v>
      </c>
    </row>
    <row r="5718" spans="1:6" x14ac:dyDescent="0.25">
      <c r="A5718" s="4">
        <v>42719</v>
      </c>
      <c r="B5718">
        <v>158.85900000000001</v>
      </c>
      <c r="C5718">
        <v>161.00579999999999</v>
      </c>
      <c r="D5718">
        <v>158.4297</v>
      </c>
      <c r="E5718">
        <v>160.57640000000001</v>
      </c>
      <c r="F5718">
        <v>24245</v>
      </c>
    </row>
    <row r="5719" spans="1:6" x14ac:dyDescent="0.25">
      <c r="A5719" s="4">
        <v>42720</v>
      </c>
      <c r="B5719">
        <v>159.2884</v>
      </c>
      <c r="C5719">
        <v>160.57640000000001</v>
      </c>
      <c r="D5719">
        <v>158.85900000000001</v>
      </c>
      <c r="E5719">
        <v>158.85900000000001</v>
      </c>
      <c r="F5719">
        <v>36267</v>
      </c>
    </row>
    <row r="5720" spans="1:6" x14ac:dyDescent="0.25">
      <c r="A5720" s="4">
        <v>42723</v>
      </c>
      <c r="B5720">
        <v>158.00030000000001</v>
      </c>
      <c r="C5720">
        <v>158.4297</v>
      </c>
      <c r="D5720">
        <v>156.7123</v>
      </c>
      <c r="E5720">
        <v>156.7123</v>
      </c>
      <c r="F5720">
        <v>20553</v>
      </c>
    </row>
    <row r="5721" spans="1:6" x14ac:dyDescent="0.25">
      <c r="A5721" s="4">
        <v>42724</v>
      </c>
      <c r="B5721">
        <v>155.42429999999999</v>
      </c>
      <c r="C5721">
        <v>156.7123</v>
      </c>
      <c r="D5721">
        <v>154.56559999999999</v>
      </c>
      <c r="E5721">
        <v>156.7123</v>
      </c>
      <c r="F5721">
        <v>24243</v>
      </c>
    </row>
    <row r="5722" spans="1:6" x14ac:dyDescent="0.25">
      <c r="A5722" s="4">
        <v>42725</v>
      </c>
      <c r="B5722">
        <v>155.42429999999999</v>
      </c>
      <c r="C5722">
        <v>156.28299999999999</v>
      </c>
      <c r="D5722">
        <v>154.56559999999999</v>
      </c>
      <c r="E5722">
        <v>154.56559999999999</v>
      </c>
      <c r="F5722">
        <v>32234</v>
      </c>
    </row>
    <row r="5723" spans="1:6" x14ac:dyDescent="0.25">
      <c r="A5723" s="4">
        <v>42726</v>
      </c>
      <c r="B5723">
        <v>154.56559999999999</v>
      </c>
      <c r="C5723">
        <v>154.9949</v>
      </c>
      <c r="D5723">
        <v>153.70689999999999</v>
      </c>
      <c r="E5723">
        <v>153.70689999999999</v>
      </c>
      <c r="F5723">
        <v>26509</v>
      </c>
    </row>
    <row r="5724" spans="1:6" x14ac:dyDescent="0.25">
      <c r="A5724" s="4">
        <v>42727</v>
      </c>
      <c r="B5724">
        <v>153.70689999999999</v>
      </c>
      <c r="C5724">
        <v>154.56559999999999</v>
      </c>
      <c r="D5724">
        <v>153.2775</v>
      </c>
      <c r="E5724">
        <v>153.2775</v>
      </c>
      <c r="F5724">
        <v>24377</v>
      </c>
    </row>
    <row r="5725" spans="1:6" x14ac:dyDescent="0.25">
      <c r="A5725" s="4">
        <v>42730</v>
      </c>
      <c r="B5725">
        <v>153.70689999999999</v>
      </c>
      <c r="C5725">
        <v>154.56559999999999</v>
      </c>
      <c r="D5725">
        <v>153.70689999999999</v>
      </c>
      <c r="E5725">
        <v>154.1362</v>
      </c>
      <c r="F5725">
        <v>5694</v>
      </c>
    </row>
    <row r="5726" spans="1:6" x14ac:dyDescent="0.25">
      <c r="A5726" s="4">
        <v>42731</v>
      </c>
      <c r="B5726">
        <v>154.56559999999999</v>
      </c>
      <c r="C5726">
        <v>154.9949</v>
      </c>
      <c r="D5726">
        <v>154.1362</v>
      </c>
      <c r="E5726">
        <v>154.56559999999999</v>
      </c>
      <c r="F5726">
        <v>8276</v>
      </c>
    </row>
    <row r="5727" spans="1:6" x14ac:dyDescent="0.25">
      <c r="A5727" s="4">
        <v>42732</v>
      </c>
      <c r="B5727">
        <v>155.42429999999999</v>
      </c>
      <c r="C5727">
        <v>156.28299999999999</v>
      </c>
      <c r="D5727">
        <v>154.9949</v>
      </c>
      <c r="E5727">
        <v>156.28299999999999</v>
      </c>
      <c r="F5727">
        <v>21441</v>
      </c>
    </row>
    <row r="5728" spans="1:6" x14ac:dyDescent="0.25">
      <c r="A5728" s="4">
        <v>42733</v>
      </c>
      <c r="B5728">
        <v>154.56559999999999</v>
      </c>
      <c r="C5728">
        <v>155.8536</v>
      </c>
      <c r="D5728">
        <v>154.56559999999999</v>
      </c>
      <c r="E5728">
        <v>154.56559999999999</v>
      </c>
      <c r="F5728">
        <v>30212</v>
      </c>
    </row>
    <row r="5729" spans="1:6" x14ac:dyDescent="0.25">
      <c r="A5729" s="4">
        <v>42734</v>
      </c>
      <c r="B5729">
        <v>155.42429999999999</v>
      </c>
      <c r="C5729">
        <v>156.7123</v>
      </c>
      <c r="D5729">
        <v>154.56559999999999</v>
      </c>
      <c r="E5729">
        <v>155.8536</v>
      </c>
      <c r="F5729">
        <v>36748</v>
      </c>
    </row>
    <row r="5730" spans="1:6" x14ac:dyDescent="0.25">
      <c r="A5730" s="4">
        <v>42738</v>
      </c>
      <c r="B5730">
        <v>155.8536</v>
      </c>
      <c r="C5730">
        <v>157.571</v>
      </c>
      <c r="D5730">
        <v>155.42429999999999</v>
      </c>
      <c r="E5730">
        <v>157.14160000000001</v>
      </c>
      <c r="F5730">
        <v>23551</v>
      </c>
    </row>
    <row r="5731" spans="1:6" x14ac:dyDescent="0.25">
      <c r="A5731" s="4">
        <v>42739</v>
      </c>
      <c r="B5731">
        <v>157.14160000000001</v>
      </c>
      <c r="C5731">
        <v>158.00030000000001</v>
      </c>
      <c r="D5731">
        <v>155.8536</v>
      </c>
      <c r="E5731">
        <v>157.14160000000001</v>
      </c>
      <c r="F5731">
        <v>24482</v>
      </c>
    </row>
    <row r="5732" spans="1:6" x14ac:dyDescent="0.25">
      <c r="A5732" s="4">
        <v>42740</v>
      </c>
      <c r="B5732">
        <v>156.28299999999999</v>
      </c>
      <c r="C5732">
        <v>157.571</v>
      </c>
      <c r="D5732">
        <v>155.8536</v>
      </c>
      <c r="E5732">
        <v>157.571</v>
      </c>
      <c r="F5732">
        <v>21374</v>
      </c>
    </row>
    <row r="5733" spans="1:6" x14ac:dyDescent="0.25">
      <c r="A5733" s="4">
        <v>42741</v>
      </c>
      <c r="B5733">
        <v>158.00030000000001</v>
      </c>
      <c r="C5733">
        <v>158.4297</v>
      </c>
      <c r="D5733">
        <v>157.571</v>
      </c>
      <c r="E5733">
        <v>158.00030000000001</v>
      </c>
      <c r="F5733">
        <v>23121</v>
      </c>
    </row>
    <row r="5734" spans="1:6" x14ac:dyDescent="0.25">
      <c r="A5734" s="4">
        <v>42744</v>
      </c>
      <c r="B5734">
        <v>158.00030000000001</v>
      </c>
      <c r="C5734">
        <v>158.85900000000001</v>
      </c>
      <c r="D5734">
        <v>157.14160000000001</v>
      </c>
      <c r="E5734">
        <v>158.00030000000001</v>
      </c>
      <c r="F5734">
        <v>18584</v>
      </c>
    </row>
    <row r="5735" spans="1:6" x14ac:dyDescent="0.25">
      <c r="A5735" s="4">
        <v>42745</v>
      </c>
      <c r="B5735">
        <v>158.4297</v>
      </c>
      <c r="C5735">
        <v>159.2884</v>
      </c>
      <c r="D5735">
        <v>157.571</v>
      </c>
      <c r="E5735">
        <v>158.00030000000001</v>
      </c>
      <c r="F5735">
        <v>20691</v>
      </c>
    </row>
    <row r="5736" spans="1:6" x14ac:dyDescent="0.25">
      <c r="A5736" s="4">
        <v>42746</v>
      </c>
      <c r="B5736">
        <v>158.85900000000001</v>
      </c>
      <c r="C5736">
        <v>158.85900000000001</v>
      </c>
      <c r="D5736">
        <v>155.8536</v>
      </c>
      <c r="E5736">
        <v>156.28299999999999</v>
      </c>
      <c r="F5736">
        <v>29747</v>
      </c>
    </row>
    <row r="5737" spans="1:6" x14ac:dyDescent="0.25">
      <c r="A5737" s="4">
        <v>42747</v>
      </c>
      <c r="B5737">
        <v>156.7123</v>
      </c>
      <c r="C5737">
        <v>159.2884</v>
      </c>
      <c r="D5737">
        <v>156.7123</v>
      </c>
      <c r="E5737">
        <v>158.4297</v>
      </c>
      <c r="F5737">
        <v>48600</v>
      </c>
    </row>
    <row r="5738" spans="1:6" x14ac:dyDescent="0.25">
      <c r="A5738" s="4">
        <v>42748</v>
      </c>
      <c r="B5738">
        <v>154.9949</v>
      </c>
      <c r="C5738">
        <v>156.7123</v>
      </c>
      <c r="D5738">
        <v>154.9949</v>
      </c>
      <c r="E5738">
        <v>155.8536</v>
      </c>
      <c r="F5738">
        <v>53089</v>
      </c>
    </row>
    <row r="5739" spans="1:6" x14ac:dyDescent="0.25">
      <c r="A5739" s="4">
        <v>42751</v>
      </c>
      <c r="B5739">
        <v>154.56559999999999</v>
      </c>
      <c r="C5739">
        <v>154.9949</v>
      </c>
      <c r="D5739">
        <v>153.70689999999999</v>
      </c>
      <c r="E5739">
        <v>154.1362</v>
      </c>
      <c r="F5739">
        <v>30878</v>
      </c>
    </row>
    <row r="5740" spans="1:6" x14ac:dyDescent="0.25">
      <c r="A5740" s="4">
        <v>42752</v>
      </c>
      <c r="B5740">
        <v>154.9949</v>
      </c>
      <c r="C5740">
        <v>155.42429999999999</v>
      </c>
      <c r="D5740">
        <v>154.1362</v>
      </c>
      <c r="E5740">
        <v>155.42429999999999</v>
      </c>
      <c r="F5740">
        <v>13207</v>
      </c>
    </row>
    <row r="5741" spans="1:6" x14ac:dyDescent="0.25">
      <c r="A5741" s="4">
        <v>42753</v>
      </c>
      <c r="B5741">
        <v>154.9949</v>
      </c>
      <c r="C5741">
        <v>155.42429999999999</v>
      </c>
      <c r="D5741">
        <v>154.1362</v>
      </c>
      <c r="E5741">
        <v>155.42429999999999</v>
      </c>
      <c r="F5741">
        <v>23811</v>
      </c>
    </row>
    <row r="5742" spans="1:6" x14ac:dyDescent="0.25">
      <c r="A5742" s="4">
        <v>42754</v>
      </c>
      <c r="B5742">
        <v>154.1362</v>
      </c>
      <c r="C5742">
        <v>155.42429999999999</v>
      </c>
      <c r="D5742">
        <v>154.1362</v>
      </c>
      <c r="E5742">
        <v>154.9949</v>
      </c>
      <c r="F5742">
        <v>25936</v>
      </c>
    </row>
    <row r="5743" spans="1:6" x14ac:dyDescent="0.25">
      <c r="A5743" s="4">
        <v>42755</v>
      </c>
      <c r="B5743">
        <v>155.42429999999999</v>
      </c>
      <c r="C5743">
        <v>155.8536</v>
      </c>
      <c r="D5743">
        <v>154.9949</v>
      </c>
      <c r="E5743">
        <v>155.42429999999999</v>
      </c>
      <c r="F5743">
        <v>42317</v>
      </c>
    </row>
    <row r="5744" spans="1:6" x14ac:dyDescent="0.25">
      <c r="A5744" s="4">
        <v>42758</v>
      </c>
      <c r="B5744">
        <v>156.7123</v>
      </c>
      <c r="C5744">
        <v>158.85900000000001</v>
      </c>
      <c r="D5744">
        <v>156.7123</v>
      </c>
      <c r="E5744">
        <v>158.85900000000001</v>
      </c>
      <c r="F5744">
        <v>58299</v>
      </c>
    </row>
    <row r="5745" spans="1:6" x14ac:dyDescent="0.25">
      <c r="A5745" s="4">
        <v>42759</v>
      </c>
      <c r="B5745">
        <v>158.85900000000001</v>
      </c>
      <c r="C5745">
        <v>160.14709999999999</v>
      </c>
      <c r="D5745">
        <v>158.4297</v>
      </c>
      <c r="E5745">
        <v>159.2884</v>
      </c>
      <c r="F5745">
        <v>72014</v>
      </c>
    </row>
    <row r="5746" spans="1:6" x14ac:dyDescent="0.25">
      <c r="A5746" s="4">
        <v>42768</v>
      </c>
      <c r="B5746">
        <v>161.43510000000001</v>
      </c>
      <c r="C5746">
        <v>161.86449999999999</v>
      </c>
      <c r="D5746">
        <v>158.00030000000001</v>
      </c>
      <c r="E5746">
        <v>158.4297</v>
      </c>
      <c r="F5746">
        <v>153704</v>
      </c>
    </row>
    <row r="5747" spans="1:6" x14ac:dyDescent="0.25">
      <c r="A5747" s="4">
        <v>42769</v>
      </c>
      <c r="B5747">
        <v>159.71770000000001</v>
      </c>
      <c r="C5747">
        <v>159.71770000000001</v>
      </c>
      <c r="D5747">
        <v>157.571</v>
      </c>
      <c r="E5747">
        <v>158.4297</v>
      </c>
      <c r="F5747">
        <v>30388</v>
      </c>
    </row>
    <row r="5748" spans="1:6" x14ac:dyDescent="0.25">
      <c r="A5748" s="4">
        <v>42772</v>
      </c>
      <c r="B5748">
        <v>158.4297</v>
      </c>
      <c r="C5748">
        <v>159.2884</v>
      </c>
      <c r="D5748">
        <v>158.00030000000001</v>
      </c>
      <c r="E5748">
        <v>158.4297</v>
      </c>
      <c r="F5748">
        <v>29703</v>
      </c>
    </row>
    <row r="5749" spans="1:6" x14ac:dyDescent="0.25">
      <c r="A5749" s="4">
        <v>42773</v>
      </c>
      <c r="B5749">
        <v>157.571</v>
      </c>
      <c r="C5749">
        <v>158.85900000000001</v>
      </c>
      <c r="D5749">
        <v>157.14160000000001</v>
      </c>
      <c r="E5749">
        <v>158.4297</v>
      </c>
      <c r="F5749">
        <v>23982</v>
      </c>
    </row>
    <row r="5750" spans="1:6" x14ac:dyDescent="0.25">
      <c r="A5750" s="4">
        <v>42774</v>
      </c>
      <c r="B5750">
        <v>157.571</v>
      </c>
      <c r="C5750">
        <v>158.4297</v>
      </c>
      <c r="D5750">
        <v>157.14160000000001</v>
      </c>
      <c r="E5750">
        <v>157.571</v>
      </c>
      <c r="F5750">
        <v>45607</v>
      </c>
    </row>
    <row r="5751" spans="1:6" x14ac:dyDescent="0.25">
      <c r="A5751" s="4">
        <v>42775</v>
      </c>
      <c r="B5751">
        <v>158.00030000000001</v>
      </c>
      <c r="C5751">
        <v>159.2884</v>
      </c>
      <c r="D5751">
        <v>157.571</v>
      </c>
      <c r="E5751">
        <v>158.00030000000001</v>
      </c>
      <c r="F5751">
        <v>23420</v>
      </c>
    </row>
    <row r="5752" spans="1:6" x14ac:dyDescent="0.25">
      <c r="A5752" s="4">
        <v>42776</v>
      </c>
      <c r="B5752">
        <v>158.4297</v>
      </c>
      <c r="C5752">
        <v>159.2884</v>
      </c>
      <c r="D5752">
        <v>158.00030000000001</v>
      </c>
      <c r="E5752">
        <v>159.2884</v>
      </c>
      <c r="F5752">
        <v>49257</v>
      </c>
    </row>
    <row r="5753" spans="1:6" x14ac:dyDescent="0.25">
      <c r="A5753" s="4">
        <v>42779</v>
      </c>
      <c r="B5753">
        <v>160.14709999999999</v>
      </c>
      <c r="C5753">
        <v>161.43510000000001</v>
      </c>
      <c r="D5753">
        <v>160.14709999999999</v>
      </c>
      <c r="E5753">
        <v>161.00579999999999</v>
      </c>
      <c r="F5753">
        <v>26156</v>
      </c>
    </row>
    <row r="5754" spans="1:6" x14ac:dyDescent="0.25">
      <c r="A5754" s="4">
        <v>42780</v>
      </c>
      <c r="B5754">
        <v>162.2938</v>
      </c>
      <c r="C5754">
        <v>163.1525</v>
      </c>
      <c r="D5754">
        <v>161.00579999999999</v>
      </c>
      <c r="E5754">
        <v>161.00579999999999</v>
      </c>
      <c r="F5754">
        <v>46717</v>
      </c>
    </row>
    <row r="5755" spans="1:6" x14ac:dyDescent="0.25">
      <c r="A5755" s="4">
        <v>42781</v>
      </c>
      <c r="B5755">
        <v>160.57640000000001</v>
      </c>
      <c r="C5755">
        <v>162.72319999999999</v>
      </c>
      <c r="D5755">
        <v>160.14709999999999</v>
      </c>
      <c r="E5755">
        <v>162.2938</v>
      </c>
      <c r="F5755">
        <v>39928</v>
      </c>
    </row>
    <row r="5756" spans="1:6" x14ac:dyDescent="0.25">
      <c r="A5756" s="4">
        <v>42782</v>
      </c>
      <c r="B5756">
        <v>163.1525</v>
      </c>
      <c r="C5756">
        <v>163.58189999999999</v>
      </c>
      <c r="D5756">
        <v>161.43510000000001</v>
      </c>
      <c r="E5756">
        <v>162.2938</v>
      </c>
      <c r="F5756">
        <v>28371</v>
      </c>
    </row>
    <row r="5757" spans="1:6" x14ac:dyDescent="0.25">
      <c r="A5757" s="4">
        <v>42783</v>
      </c>
      <c r="B5757">
        <v>163.1525</v>
      </c>
      <c r="C5757">
        <v>163.58189999999999</v>
      </c>
      <c r="D5757">
        <v>162.2938</v>
      </c>
      <c r="E5757">
        <v>162.72319999999999</v>
      </c>
      <c r="F5757">
        <v>20408</v>
      </c>
    </row>
    <row r="5758" spans="1:6" x14ac:dyDescent="0.25">
      <c r="A5758" s="4">
        <v>42784</v>
      </c>
      <c r="B5758">
        <v>163.1525</v>
      </c>
      <c r="C5758">
        <v>163.58189999999999</v>
      </c>
      <c r="D5758">
        <v>162.72319999999999</v>
      </c>
      <c r="E5758">
        <v>162.72319999999999</v>
      </c>
      <c r="F5758">
        <v>3517</v>
      </c>
    </row>
    <row r="5759" spans="1:6" x14ac:dyDescent="0.25">
      <c r="A5759" s="4">
        <v>42786</v>
      </c>
      <c r="B5759">
        <v>163.1525</v>
      </c>
      <c r="C5759">
        <v>163.58189999999999</v>
      </c>
      <c r="D5759">
        <v>162.72319999999999</v>
      </c>
      <c r="E5759">
        <v>163.1525</v>
      </c>
      <c r="F5759">
        <v>13280</v>
      </c>
    </row>
    <row r="5760" spans="1:6" x14ac:dyDescent="0.25">
      <c r="A5760" s="4">
        <v>42787</v>
      </c>
      <c r="B5760">
        <v>163.1525</v>
      </c>
      <c r="C5760">
        <v>163.1525</v>
      </c>
      <c r="D5760">
        <v>161.86449999999999</v>
      </c>
      <c r="E5760">
        <v>163.1525</v>
      </c>
      <c r="F5760">
        <v>31988</v>
      </c>
    </row>
    <row r="5761" spans="1:6" x14ac:dyDescent="0.25">
      <c r="A5761" s="4">
        <v>42788</v>
      </c>
      <c r="B5761">
        <v>163.58189999999999</v>
      </c>
      <c r="C5761">
        <v>164.0112</v>
      </c>
      <c r="D5761">
        <v>161.86449999999999</v>
      </c>
      <c r="E5761">
        <v>161.86449999999999</v>
      </c>
      <c r="F5761">
        <v>26145</v>
      </c>
    </row>
    <row r="5762" spans="1:6" x14ac:dyDescent="0.25">
      <c r="A5762" s="4">
        <v>42789</v>
      </c>
      <c r="B5762">
        <v>161.43510000000001</v>
      </c>
      <c r="C5762">
        <v>162.72319999999999</v>
      </c>
      <c r="D5762">
        <v>160.57640000000001</v>
      </c>
      <c r="E5762">
        <v>161.86449999999999</v>
      </c>
      <c r="F5762">
        <v>36096</v>
      </c>
    </row>
    <row r="5763" spans="1:6" x14ac:dyDescent="0.25">
      <c r="A5763" s="4">
        <v>42790</v>
      </c>
      <c r="B5763">
        <v>161.00579999999999</v>
      </c>
      <c r="C5763">
        <v>163.58189999999999</v>
      </c>
      <c r="D5763">
        <v>161.00579999999999</v>
      </c>
      <c r="E5763">
        <v>162.2938</v>
      </c>
      <c r="F5763">
        <v>26177</v>
      </c>
    </row>
    <row r="5764" spans="1:6" x14ac:dyDescent="0.25">
      <c r="A5764" s="4">
        <v>42795</v>
      </c>
      <c r="B5764">
        <v>161.86449999999999</v>
      </c>
      <c r="C5764">
        <v>161.86449999999999</v>
      </c>
      <c r="D5764">
        <v>159.71770000000001</v>
      </c>
      <c r="E5764">
        <v>159.71770000000001</v>
      </c>
      <c r="F5764">
        <v>48263</v>
      </c>
    </row>
    <row r="5765" spans="1:6" x14ac:dyDescent="0.25">
      <c r="A5765" s="4">
        <v>42796</v>
      </c>
      <c r="B5765">
        <v>161.43510000000001</v>
      </c>
      <c r="C5765">
        <v>161.86449999999999</v>
      </c>
      <c r="D5765">
        <v>158.85900000000001</v>
      </c>
      <c r="E5765">
        <v>159.71770000000001</v>
      </c>
      <c r="F5765">
        <v>40880</v>
      </c>
    </row>
    <row r="5766" spans="1:6" x14ac:dyDescent="0.25">
      <c r="A5766" s="4">
        <v>42797</v>
      </c>
      <c r="B5766">
        <v>158.4297</v>
      </c>
      <c r="C5766">
        <v>158.85900000000001</v>
      </c>
      <c r="D5766">
        <v>158.00030000000001</v>
      </c>
      <c r="E5766">
        <v>158.00030000000001</v>
      </c>
      <c r="F5766">
        <v>28214</v>
      </c>
    </row>
    <row r="5767" spans="1:6" x14ac:dyDescent="0.25">
      <c r="A5767" s="4">
        <v>42800</v>
      </c>
      <c r="B5767">
        <v>158.00030000000001</v>
      </c>
      <c r="C5767">
        <v>158.4297</v>
      </c>
      <c r="D5767">
        <v>157.571</v>
      </c>
      <c r="E5767">
        <v>157.571</v>
      </c>
      <c r="F5767">
        <v>12633</v>
      </c>
    </row>
    <row r="5768" spans="1:6" x14ac:dyDescent="0.25">
      <c r="A5768" s="4">
        <v>42801</v>
      </c>
      <c r="B5768">
        <v>158.00030000000001</v>
      </c>
      <c r="C5768">
        <v>159.2884</v>
      </c>
      <c r="D5768">
        <v>158.00030000000001</v>
      </c>
      <c r="E5768">
        <v>159.2884</v>
      </c>
      <c r="F5768">
        <v>22816</v>
      </c>
    </row>
    <row r="5769" spans="1:6" x14ac:dyDescent="0.25">
      <c r="A5769" s="4">
        <v>42802</v>
      </c>
      <c r="B5769">
        <v>159.71770000000001</v>
      </c>
      <c r="C5769">
        <v>161.43510000000001</v>
      </c>
      <c r="D5769">
        <v>159.2884</v>
      </c>
      <c r="E5769">
        <v>160.57640000000001</v>
      </c>
      <c r="F5769">
        <v>38657</v>
      </c>
    </row>
    <row r="5770" spans="1:6" x14ac:dyDescent="0.25">
      <c r="A5770" s="4">
        <v>42803</v>
      </c>
      <c r="B5770">
        <v>159.2884</v>
      </c>
      <c r="C5770">
        <v>159.71770000000001</v>
      </c>
      <c r="D5770">
        <v>158.00030000000001</v>
      </c>
      <c r="E5770">
        <v>158.4297</v>
      </c>
      <c r="F5770">
        <v>31119</v>
      </c>
    </row>
    <row r="5771" spans="1:6" x14ac:dyDescent="0.25">
      <c r="A5771" s="4">
        <v>42804</v>
      </c>
      <c r="B5771">
        <v>158.00030000000001</v>
      </c>
      <c r="C5771">
        <v>158.4297</v>
      </c>
      <c r="D5771">
        <v>157.14160000000001</v>
      </c>
      <c r="E5771">
        <v>157.571</v>
      </c>
      <c r="F5771">
        <v>24886</v>
      </c>
    </row>
    <row r="5772" spans="1:6" x14ac:dyDescent="0.25">
      <c r="A5772" s="4">
        <v>42807</v>
      </c>
      <c r="B5772">
        <v>158.85900000000001</v>
      </c>
      <c r="C5772">
        <v>160.14709999999999</v>
      </c>
      <c r="D5772">
        <v>158.85900000000001</v>
      </c>
      <c r="E5772">
        <v>160.14709999999999</v>
      </c>
      <c r="F5772">
        <v>11025</v>
      </c>
    </row>
    <row r="5773" spans="1:6" x14ac:dyDescent="0.25">
      <c r="A5773" s="4">
        <v>42808</v>
      </c>
      <c r="B5773">
        <v>161.43510000000001</v>
      </c>
      <c r="C5773">
        <v>161.43510000000001</v>
      </c>
      <c r="D5773">
        <v>159.71770000000001</v>
      </c>
      <c r="E5773">
        <v>159.71770000000001</v>
      </c>
      <c r="F5773">
        <v>24373</v>
      </c>
    </row>
    <row r="5774" spans="1:6" x14ac:dyDescent="0.25">
      <c r="A5774" s="4">
        <v>42809</v>
      </c>
      <c r="B5774">
        <v>159.2884</v>
      </c>
      <c r="C5774">
        <v>160.57640000000001</v>
      </c>
      <c r="D5774">
        <v>159.2884</v>
      </c>
      <c r="E5774">
        <v>160.14709999999999</v>
      </c>
      <c r="F5774">
        <v>14147</v>
      </c>
    </row>
    <row r="5775" spans="1:6" x14ac:dyDescent="0.25">
      <c r="A5775" s="4">
        <v>42810</v>
      </c>
      <c r="B5775">
        <v>161.43510000000001</v>
      </c>
      <c r="C5775">
        <v>163.1525</v>
      </c>
      <c r="D5775">
        <v>161.43510000000001</v>
      </c>
      <c r="E5775">
        <v>163.1525</v>
      </c>
      <c r="F5775">
        <v>32453</v>
      </c>
    </row>
    <row r="5776" spans="1:6" x14ac:dyDescent="0.25">
      <c r="A5776" s="4">
        <v>42811</v>
      </c>
      <c r="B5776">
        <v>162.72319999999999</v>
      </c>
      <c r="C5776">
        <v>164.44059999999999</v>
      </c>
      <c r="D5776">
        <v>162.2938</v>
      </c>
      <c r="E5776">
        <v>164.44059999999999</v>
      </c>
      <c r="F5776">
        <v>38698</v>
      </c>
    </row>
    <row r="5777" spans="1:6" x14ac:dyDescent="0.25">
      <c r="A5777" s="4">
        <v>42814</v>
      </c>
      <c r="B5777">
        <v>164.44059999999999</v>
      </c>
      <c r="C5777">
        <v>164.44059999999999</v>
      </c>
      <c r="D5777">
        <v>162.72319999999999</v>
      </c>
      <c r="E5777">
        <v>164.44059999999999</v>
      </c>
      <c r="F5777">
        <v>16532</v>
      </c>
    </row>
    <row r="5778" spans="1:6" x14ac:dyDescent="0.25">
      <c r="A5778" s="4">
        <v>42815</v>
      </c>
      <c r="B5778">
        <v>164.8699</v>
      </c>
      <c r="C5778">
        <v>167.446</v>
      </c>
      <c r="D5778">
        <v>164.44059999999999</v>
      </c>
      <c r="E5778">
        <v>167.446</v>
      </c>
      <c r="F5778">
        <v>33662</v>
      </c>
    </row>
    <row r="5779" spans="1:6" x14ac:dyDescent="0.25">
      <c r="A5779" s="4">
        <v>42816</v>
      </c>
      <c r="B5779">
        <v>165.29929999999999</v>
      </c>
      <c r="C5779">
        <v>166.15799999999999</v>
      </c>
      <c r="D5779">
        <v>164.44059999999999</v>
      </c>
      <c r="E5779">
        <v>166.15799999999999</v>
      </c>
      <c r="F5779">
        <v>27767</v>
      </c>
    </row>
    <row r="5780" spans="1:6" x14ac:dyDescent="0.25">
      <c r="A5780" s="4">
        <v>42817</v>
      </c>
      <c r="B5780">
        <v>164.8699</v>
      </c>
      <c r="C5780">
        <v>166.15799999999999</v>
      </c>
      <c r="D5780">
        <v>164.8699</v>
      </c>
      <c r="E5780">
        <v>166.15799999999999</v>
      </c>
      <c r="F5780">
        <v>18831</v>
      </c>
    </row>
    <row r="5781" spans="1:6" x14ac:dyDescent="0.25">
      <c r="A5781" s="4">
        <v>42818</v>
      </c>
      <c r="B5781">
        <v>164.8699</v>
      </c>
      <c r="C5781">
        <v>165.7286</v>
      </c>
      <c r="D5781">
        <v>164.8699</v>
      </c>
      <c r="E5781">
        <v>165.29929999999999</v>
      </c>
      <c r="F5781">
        <v>17722</v>
      </c>
    </row>
    <row r="5782" spans="1:6" x14ac:dyDescent="0.25">
      <c r="A5782" s="4">
        <v>42821</v>
      </c>
      <c r="B5782">
        <v>167.01669999999999</v>
      </c>
      <c r="C5782">
        <v>167.01669999999999</v>
      </c>
      <c r="D5782">
        <v>164.8699</v>
      </c>
      <c r="E5782">
        <v>165.7286</v>
      </c>
      <c r="F5782">
        <v>29868</v>
      </c>
    </row>
    <row r="5783" spans="1:6" x14ac:dyDescent="0.25">
      <c r="A5783" s="4">
        <v>42822</v>
      </c>
      <c r="B5783">
        <v>167.446</v>
      </c>
      <c r="C5783">
        <v>167.446</v>
      </c>
      <c r="D5783">
        <v>165.29929999999999</v>
      </c>
      <c r="E5783">
        <v>167.01669999999999</v>
      </c>
      <c r="F5783">
        <v>39522</v>
      </c>
    </row>
    <row r="5784" spans="1:6" x14ac:dyDescent="0.25">
      <c r="A5784" s="4">
        <v>42823</v>
      </c>
      <c r="B5784">
        <v>167.01669999999999</v>
      </c>
      <c r="C5784">
        <v>167.01669999999999</v>
      </c>
      <c r="D5784">
        <v>164.0112</v>
      </c>
      <c r="E5784">
        <v>164.44059999999999</v>
      </c>
      <c r="F5784">
        <v>33839</v>
      </c>
    </row>
    <row r="5785" spans="1:6" x14ac:dyDescent="0.25">
      <c r="A5785" s="4">
        <v>42824</v>
      </c>
      <c r="B5785">
        <v>165.29929999999999</v>
      </c>
      <c r="C5785">
        <v>165.7286</v>
      </c>
      <c r="D5785">
        <v>163.58189999999999</v>
      </c>
      <c r="E5785">
        <v>164.44059999999999</v>
      </c>
      <c r="F5785">
        <v>30717</v>
      </c>
    </row>
    <row r="5786" spans="1:6" x14ac:dyDescent="0.25">
      <c r="A5786" s="4">
        <v>42825</v>
      </c>
      <c r="B5786">
        <v>164.0112</v>
      </c>
      <c r="C5786">
        <v>164.8699</v>
      </c>
      <c r="D5786">
        <v>162.2938</v>
      </c>
      <c r="E5786">
        <v>162.2938</v>
      </c>
      <c r="F5786">
        <v>33997</v>
      </c>
    </row>
    <row r="5787" spans="1:6" x14ac:dyDescent="0.25">
      <c r="A5787" s="4">
        <v>42830</v>
      </c>
      <c r="B5787">
        <v>162.72319999999999</v>
      </c>
      <c r="C5787">
        <v>165.7286</v>
      </c>
      <c r="D5787">
        <v>162.72319999999999</v>
      </c>
      <c r="E5787">
        <v>165.7286</v>
      </c>
      <c r="F5787">
        <v>45116</v>
      </c>
    </row>
    <row r="5788" spans="1:6" x14ac:dyDescent="0.25">
      <c r="A5788" s="4">
        <v>42831</v>
      </c>
      <c r="B5788">
        <v>165.7286</v>
      </c>
      <c r="C5788">
        <v>165.7286</v>
      </c>
      <c r="D5788">
        <v>164.0112</v>
      </c>
      <c r="E5788">
        <v>164.44059999999999</v>
      </c>
      <c r="F5788">
        <v>17417</v>
      </c>
    </row>
    <row r="5789" spans="1:6" x14ac:dyDescent="0.25">
      <c r="A5789" s="4">
        <v>42832</v>
      </c>
      <c r="B5789">
        <v>164.8699</v>
      </c>
      <c r="C5789">
        <v>164.8699</v>
      </c>
      <c r="D5789">
        <v>161.86449999999999</v>
      </c>
      <c r="E5789">
        <v>164.0112</v>
      </c>
      <c r="F5789">
        <v>19066</v>
      </c>
    </row>
    <row r="5790" spans="1:6" x14ac:dyDescent="0.25">
      <c r="A5790" s="4">
        <v>42835</v>
      </c>
      <c r="B5790">
        <v>164.0112</v>
      </c>
      <c r="C5790">
        <v>164.44059999999999</v>
      </c>
      <c r="D5790">
        <v>162.72319999999999</v>
      </c>
      <c r="E5790">
        <v>163.1525</v>
      </c>
      <c r="F5790">
        <v>17389</v>
      </c>
    </row>
    <row r="5791" spans="1:6" x14ac:dyDescent="0.25">
      <c r="A5791" s="4">
        <v>42836</v>
      </c>
      <c r="B5791">
        <v>163.1525</v>
      </c>
      <c r="C5791">
        <v>164.0112</v>
      </c>
      <c r="D5791">
        <v>162.2938</v>
      </c>
      <c r="E5791">
        <v>164.0112</v>
      </c>
      <c r="F5791">
        <v>9789</v>
      </c>
    </row>
    <row r="5792" spans="1:6" x14ac:dyDescent="0.25">
      <c r="A5792" s="4">
        <v>42837</v>
      </c>
      <c r="B5792">
        <v>163.58189999999999</v>
      </c>
      <c r="C5792">
        <v>164.44059999999999</v>
      </c>
      <c r="D5792">
        <v>163.1525</v>
      </c>
      <c r="E5792">
        <v>164.0112</v>
      </c>
      <c r="F5792">
        <v>17418</v>
      </c>
    </row>
    <row r="5793" spans="1:6" x14ac:dyDescent="0.25">
      <c r="A5793" s="4">
        <v>42838</v>
      </c>
      <c r="B5793">
        <v>162.72319999999999</v>
      </c>
      <c r="C5793">
        <v>164.8699</v>
      </c>
      <c r="D5793">
        <v>162.72319999999999</v>
      </c>
      <c r="E5793">
        <v>164.44059999999999</v>
      </c>
      <c r="F5793">
        <v>14796</v>
      </c>
    </row>
    <row r="5794" spans="1:6" x14ac:dyDescent="0.25">
      <c r="A5794" s="4">
        <v>42839</v>
      </c>
      <c r="B5794">
        <v>162.72319999999999</v>
      </c>
      <c r="C5794">
        <v>162.72319999999999</v>
      </c>
      <c r="D5794">
        <v>161.43510000000001</v>
      </c>
      <c r="E5794">
        <v>162.2938</v>
      </c>
      <c r="F5794">
        <v>31318</v>
      </c>
    </row>
    <row r="5795" spans="1:6" x14ac:dyDescent="0.25">
      <c r="A5795" s="4">
        <v>42842</v>
      </c>
      <c r="B5795">
        <v>162.2938</v>
      </c>
      <c r="C5795">
        <v>162.2938</v>
      </c>
      <c r="D5795">
        <v>161.00579999999999</v>
      </c>
      <c r="E5795">
        <v>161.00579999999999</v>
      </c>
      <c r="F5795">
        <v>17112</v>
      </c>
    </row>
    <row r="5796" spans="1:6" x14ac:dyDescent="0.25">
      <c r="A5796" s="4">
        <v>42843</v>
      </c>
      <c r="B5796">
        <v>161.43510000000001</v>
      </c>
      <c r="C5796">
        <v>162.72319999999999</v>
      </c>
      <c r="D5796">
        <v>161.00579999999999</v>
      </c>
      <c r="E5796">
        <v>161.43510000000001</v>
      </c>
      <c r="F5796">
        <v>28733</v>
      </c>
    </row>
    <row r="5797" spans="1:6" x14ac:dyDescent="0.25">
      <c r="A5797" s="4">
        <v>42844</v>
      </c>
      <c r="B5797">
        <v>161.00579999999999</v>
      </c>
      <c r="C5797">
        <v>161.00579999999999</v>
      </c>
      <c r="D5797">
        <v>160.14709999999999</v>
      </c>
      <c r="E5797">
        <v>160.14709999999999</v>
      </c>
      <c r="F5797">
        <v>31171</v>
      </c>
    </row>
    <row r="5798" spans="1:6" x14ac:dyDescent="0.25">
      <c r="A5798" s="4">
        <v>42845</v>
      </c>
      <c r="B5798">
        <v>160.14709999999999</v>
      </c>
      <c r="C5798">
        <v>161.43510000000001</v>
      </c>
      <c r="D5798">
        <v>160.14709999999999</v>
      </c>
      <c r="E5798">
        <v>160.57640000000001</v>
      </c>
      <c r="F5798">
        <v>32697</v>
      </c>
    </row>
    <row r="5799" spans="1:6" x14ac:dyDescent="0.25">
      <c r="A5799" s="4">
        <v>42846</v>
      </c>
      <c r="B5799">
        <v>161.00579999999999</v>
      </c>
      <c r="C5799">
        <v>163.1525</v>
      </c>
      <c r="D5799">
        <v>161.00579999999999</v>
      </c>
      <c r="E5799">
        <v>163.1525</v>
      </c>
      <c r="F5799">
        <v>19034</v>
      </c>
    </row>
    <row r="5800" spans="1:6" x14ac:dyDescent="0.25">
      <c r="A5800" s="4">
        <v>42849</v>
      </c>
      <c r="B5800">
        <v>164.0112</v>
      </c>
      <c r="C5800">
        <v>164.44059999999999</v>
      </c>
      <c r="D5800">
        <v>161.86449999999999</v>
      </c>
      <c r="E5800">
        <v>163.1525</v>
      </c>
      <c r="F5800">
        <v>29573</v>
      </c>
    </row>
    <row r="5801" spans="1:6" x14ac:dyDescent="0.25">
      <c r="A5801" s="4">
        <v>42850</v>
      </c>
      <c r="B5801">
        <v>163.58189999999999</v>
      </c>
      <c r="C5801">
        <v>164.8699</v>
      </c>
      <c r="D5801">
        <v>162.72319999999999</v>
      </c>
      <c r="E5801">
        <v>164.8699</v>
      </c>
      <c r="F5801">
        <v>31953</v>
      </c>
    </row>
    <row r="5802" spans="1:6" x14ac:dyDescent="0.25">
      <c r="A5802" s="4">
        <v>42851</v>
      </c>
      <c r="B5802">
        <v>164.8699</v>
      </c>
      <c r="C5802">
        <v>164.8699</v>
      </c>
      <c r="D5802">
        <v>163.58189999999999</v>
      </c>
      <c r="E5802">
        <v>164.0112</v>
      </c>
      <c r="F5802">
        <v>31120</v>
      </c>
    </row>
    <row r="5803" spans="1:6" x14ac:dyDescent="0.25">
      <c r="A5803" s="4">
        <v>42852</v>
      </c>
      <c r="B5803">
        <v>164.8699</v>
      </c>
      <c r="C5803">
        <v>165.7286</v>
      </c>
      <c r="D5803">
        <v>163.58189999999999</v>
      </c>
      <c r="E5803">
        <v>165.7286</v>
      </c>
      <c r="F5803">
        <v>35813</v>
      </c>
    </row>
    <row r="5804" spans="1:6" x14ac:dyDescent="0.25">
      <c r="A5804" s="4">
        <v>42853</v>
      </c>
      <c r="B5804">
        <v>166.15799999999999</v>
      </c>
      <c r="C5804">
        <v>167.01669999999999</v>
      </c>
      <c r="D5804">
        <v>165.7286</v>
      </c>
      <c r="E5804">
        <v>167.01669999999999</v>
      </c>
      <c r="F5804">
        <v>38381</v>
      </c>
    </row>
    <row r="5805" spans="1:6" x14ac:dyDescent="0.25">
      <c r="A5805" s="4">
        <v>42857</v>
      </c>
      <c r="B5805">
        <v>170.45150000000001</v>
      </c>
      <c r="C5805">
        <v>170.88079999999999</v>
      </c>
      <c r="D5805">
        <v>167.87540000000001</v>
      </c>
      <c r="E5805">
        <v>168.73410000000001</v>
      </c>
      <c r="F5805">
        <v>45852</v>
      </c>
    </row>
    <row r="5806" spans="1:6" x14ac:dyDescent="0.25">
      <c r="A5806" s="4">
        <v>42858</v>
      </c>
      <c r="B5806">
        <v>170.02209999999999</v>
      </c>
      <c r="C5806">
        <v>170.45150000000001</v>
      </c>
      <c r="D5806">
        <v>169.1634</v>
      </c>
      <c r="E5806">
        <v>170.02209999999999</v>
      </c>
      <c r="F5806">
        <v>27241</v>
      </c>
    </row>
    <row r="5807" spans="1:6" x14ac:dyDescent="0.25">
      <c r="A5807" s="4">
        <v>42859</v>
      </c>
      <c r="B5807">
        <v>170.45150000000001</v>
      </c>
      <c r="C5807">
        <v>170.88079999999999</v>
      </c>
      <c r="D5807">
        <v>169.1634</v>
      </c>
      <c r="E5807">
        <v>170.02209999999999</v>
      </c>
      <c r="F5807">
        <v>22194</v>
      </c>
    </row>
    <row r="5808" spans="1:6" x14ac:dyDescent="0.25">
      <c r="A5808" s="4">
        <v>42860</v>
      </c>
      <c r="B5808">
        <v>169.1634</v>
      </c>
      <c r="C5808">
        <v>170.45150000000001</v>
      </c>
      <c r="D5808">
        <v>169.1634</v>
      </c>
      <c r="E5808">
        <v>169.59280000000001</v>
      </c>
      <c r="F5808">
        <v>17618</v>
      </c>
    </row>
    <row r="5809" spans="1:6" x14ac:dyDescent="0.25">
      <c r="A5809" s="4">
        <v>42863</v>
      </c>
      <c r="B5809">
        <v>170.88079999999999</v>
      </c>
      <c r="C5809">
        <v>173.88630000000001</v>
      </c>
      <c r="D5809">
        <v>170.88079999999999</v>
      </c>
      <c r="E5809">
        <v>173.88630000000001</v>
      </c>
      <c r="F5809">
        <v>39591</v>
      </c>
    </row>
    <row r="5810" spans="1:6" x14ac:dyDescent="0.25">
      <c r="A5810" s="4">
        <v>42864</v>
      </c>
      <c r="B5810">
        <v>176.4623</v>
      </c>
      <c r="C5810">
        <v>177.75040000000001</v>
      </c>
      <c r="D5810">
        <v>174.7449</v>
      </c>
      <c r="E5810">
        <v>174.7449</v>
      </c>
      <c r="F5810">
        <v>48285</v>
      </c>
    </row>
    <row r="5811" spans="1:6" x14ac:dyDescent="0.25">
      <c r="A5811" s="4">
        <v>42865</v>
      </c>
      <c r="B5811">
        <v>175.17429999999999</v>
      </c>
      <c r="C5811">
        <v>176.89169999999999</v>
      </c>
      <c r="D5811">
        <v>175.17429999999999</v>
      </c>
      <c r="E5811">
        <v>176.4623</v>
      </c>
      <c r="F5811">
        <v>31076</v>
      </c>
    </row>
    <row r="5812" spans="1:6" x14ac:dyDescent="0.25">
      <c r="A5812" s="4">
        <v>42866</v>
      </c>
      <c r="B5812">
        <v>175.6036</v>
      </c>
      <c r="C5812">
        <v>179.0384</v>
      </c>
      <c r="D5812">
        <v>175.17429999999999</v>
      </c>
      <c r="E5812">
        <v>178.1797</v>
      </c>
      <c r="F5812">
        <v>44286</v>
      </c>
    </row>
    <row r="5813" spans="1:6" x14ac:dyDescent="0.25">
      <c r="A5813" s="4">
        <v>42867</v>
      </c>
      <c r="B5813">
        <v>176.03299999999999</v>
      </c>
      <c r="C5813">
        <v>177.75040000000001</v>
      </c>
      <c r="D5813">
        <v>176.03299999999999</v>
      </c>
      <c r="E5813">
        <v>176.89169999999999</v>
      </c>
      <c r="F5813">
        <v>25507</v>
      </c>
    </row>
    <row r="5814" spans="1:6" x14ac:dyDescent="0.25">
      <c r="A5814" s="4">
        <v>42870</v>
      </c>
      <c r="B5814">
        <v>175.17429999999999</v>
      </c>
      <c r="C5814">
        <v>176.89169999999999</v>
      </c>
      <c r="D5814">
        <v>175.17429999999999</v>
      </c>
      <c r="E5814">
        <v>176.89169999999999</v>
      </c>
      <c r="F5814">
        <v>25922</v>
      </c>
    </row>
    <row r="5815" spans="1:6" x14ac:dyDescent="0.25">
      <c r="A5815" s="4">
        <v>42871</v>
      </c>
      <c r="B5815">
        <v>176.03299999999999</v>
      </c>
      <c r="C5815">
        <v>176.03299999999999</v>
      </c>
      <c r="D5815">
        <v>174.7449</v>
      </c>
      <c r="E5815">
        <v>175.6036</v>
      </c>
      <c r="F5815">
        <v>36605</v>
      </c>
    </row>
    <row r="5816" spans="1:6" x14ac:dyDescent="0.25">
      <c r="A5816" s="4">
        <v>42872</v>
      </c>
      <c r="B5816">
        <v>174.31559999999999</v>
      </c>
      <c r="C5816">
        <v>175.17429999999999</v>
      </c>
      <c r="D5816">
        <v>174.31559999999999</v>
      </c>
      <c r="E5816">
        <v>175.17429999999999</v>
      </c>
      <c r="F5816">
        <v>22606</v>
      </c>
    </row>
    <row r="5817" spans="1:6" x14ac:dyDescent="0.25">
      <c r="A5817" s="4">
        <v>42873</v>
      </c>
      <c r="B5817">
        <v>173.88630000000001</v>
      </c>
      <c r="C5817">
        <v>175.17429999999999</v>
      </c>
      <c r="D5817">
        <v>173.02760000000001</v>
      </c>
      <c r="E5817">
        <v>174.7449</v>
      </c>
      <c r="F5817">
        <v>22490</v>
      </c>
    </row>
    <row r="5818" spans="1:6" x14ac:dyDescent="0.25">
      <c r="A5818" s="4">
        <v>42874</v>
      </c>
      <c r="B5818">
        <v>174.7449</v>
      </c>
      <c r="C5818">
        <v>175.6036</v>
      </c>
      <c r="D5818">
        <v>173.88630000000001</v>
      </c>
      <c r="E5818">
        <v>174.31559999999999</v>
      </c>
      <c r="F5818">
        <v>17163</v>
      </c>
    </row>
    <row r="5819" spans="1:6" x14ac:dyDescent="0.25">
      <c r="A5819" s="4">
        <v>42877</v>
      </c>
      <c r="B5819">
        <v>174.7449</v>
      </c>
      <c r="C5819">
        <v>176.03299999999999</v>
      </c>
      <c r="D5819">
        <v>174.31559999999999</v>
      </c>
      <c r="E5819">
        <v>176.03299999999999</v>
      </c>
      <c r="F5819">
        <v>17420</v>
      </c>
    </row>
    <row r="5820" spans="1:6" x14ac:dyDescent="0.25">
      <c r="A5820" s="4">
        <v>42878</v>
      </c>
      <c r="B5820">
        <v>176.03299999999999</v>
      </c>
      <c r="C5820">
        <v>177.75040000000001</v>
      </c>
      <c r="D5820">
        <v>175.6036</v>
      </c>
      <c r="E5820">
        <v>176.03299999999999</v>
      </c>
      <c r="F5820">
        <v>23028</v>
      </c>
    </row>
    <row r="5821" spans="1:6" x14ac:dyDescent="0.25">
      <c r="A5821" s="4">
        <v>42879</v>
      </c>
      <c r="B5821">
        <v>176.03299999999999</v>
      </c>
      <c r="C5821">
        <v>176.89169999999999</v>
      </c>
      <c r="D5821">
        <v>176.03299999999999</v>
      </c>
      <c r="E5821">
        <v>176.4623</v>
      </c>
      <c r="F5821">
        <v>18308</v>
      </c>
    </row>
    <row r="5822" spans="1:6" x14ac:dyDescent="0.25">
      <c r="A5822" s="4">
        <v>42880</v>
      </c>
      <c r="B5822">
        <v>176.89169999999999</v>
      </c>
      <c r="C5822">
        <v>177.75040000000001</v>
      </c>
      <c r="D5822">
        <v>176.4623</v>
      </c>
      <c r="E5822">
        <v>177.75040000000001</v>
      </c>
      <c r="F5822">
        <v>26089</v>
      </c>
    </row>
    <row r="5823" spans="1:6" x14ac:dyDescent="0.25">
      <c r="A5823" s="4">
        <v>42881</v>
      </c>
      <c r="B5823">
        <v>176.03299999999999</v>
      </c>
      <c r="C5823">
        <v>177.75040000000001</v>
      </c>
      <c r="D5823">
        <v>176.03299999999999</v>
      </c>
      <c r="E5823">
        <v>177.75040000000001</v>
      </c>
      <c r="F5823">
        <v>32977</v>
      </c>
    </row>
    <row r="5824" spans="1:6" x14ac:dyDescent="0.25">
      <c r="A5824" s="4">
        <v>42886</v>
      </c>
      <c r="B5824">
        <v>177.321</v>
      </c>
      <c r="C5824">
        <v>177.75040000000001</v>
      </c>
      <c r="D5824">
        <v>174.31559999999999</v>
      </c>
      <c r="E5824">
        <v>174.31559999999999</v>
      </c>
      <c r="F5824">
        <v>67935</v>
      </c>
    </row>
    <row r="5825" spans="1:6" x14ac:dyDescent="0.25">
      <c r="A5825" s="4">
        <v>42887</v>
      </c>
      <c r="B5825">
        <v>176.03299999999999</v>
      </c>
      <c r="C5825">
        <v>177.75040000000001</v>
      </c>
      <c r="D5825">
        <v>175.6036</v>
      </c>
      <c r="E5825">
        <v>177.75040000000001</v>
      </c>
      <c r="F5825">
        <v>29624</v>
      </c>
    </row>
    <row r="5826" spans="1:6" x14ac:dyDescent="0.25">
      <c r="A5826" s="4">
        <v>42888</v>
      </c>
      <c r="B5826">
        <v>179.0384</v>
      </c>
      <c r="C5826">
        <v>179.46780000000001</v>
      </c>
      <c r="D5826">
        <v>178.1797</v>
      </c>
      <c r="E5826">
        <v>179.46780000000001</v>
      </c>
      <c r="F5826">
        <v>23265</v>
      </c>
    </row>
    <row r="5827" spans="1:6" x14ac:dyDescent="0.25">
      <c r="A5827" s="4">
        <v>42889</v>
      </c>
      <c r="B5827">
        <v>179.46780000000001</v>
      </c>
      <c r="C5827">
        <v>179.46780000000001</v>
      </c>
      <c r="D5827">
        <v>178.60910000000001</v>
      </c>
      <c r="E5827">
        <v>179.46780000000001</v>
      </c>
      <c r="F5827">
        <v>1535</v>
      </c>
    </row>
    <row r="5828" spans="1:6" x14ac:dyDescent="0.25">
      <c r="A5828" s="4">
        <v>42891</v>
      </c>
      <c r="B5828">
        <v>179.89709999999999</v>
      </c>
      <c r="C5828">
        <v>182.04390000000001</v>
      </c>
      <c r="D5828">
        <v>179.46780000000001</v>
      </c>
      <c r="E5828">
        <v>182.04390000000001</v>
      </c>
      <c r="F5828">
        <v>22545</v>
      </c>
    </row>
    <row r="5829" spans="1:6" x14ac:dyDescent="0.25">
      <c r="A5829" s="4">
        <v>42892</v>
      </c>
      <c r="B5829">
        <v>180.75579999999999</v>
      </c>
      <c r="C5829">
        <v>181.61449999999999</v>
      </c>
      <c r="D5829">
        <v>180.75579999999999</v>
      </c>
      <c r="E5829">
        <v>180.75579999999999</v>
      </c>
      <c r="F5829">
        <v>15382</v>
      </c>
    </row>
    <row r="5830" spans="1:6" x14ac:dyDescent="0.25">
      <c r="A5830" s="4">
        <v>42893</v>
      </c>
      <c r="B5830">
        <v>182.04390000000001</v>
      </c>
      <c r="C5830">
        <v>182.47319999999999</v>
      </c>
      <c r="D5830">
        <v>180.32650000000001</v>
      </c>
      <c r="E5830">
        <v>181.61449999999999</v>
      </c>
      <c r="F5830">
        <v>34729</v>
      </c>
    </row>
    <row r="5831" spans="1:6" x14ac:dyDescent="0.25">
      <c r="A5831" s="4">
        <v>42894</v>
      </c>
      <c r="B5831">
        <v>182.04390000000001</v>
      </c>
      <c r="C5831">
        <v>182.90260000000001</v>
      </c>
      <c r="D5831">
        <v>181.61449999999999</v>
      </c>
      <c r="E5831">
        <v>182.90260000000001</v>
      </c>
      <c r="F5831">
        <v>21654</v>
      </c>
    </row>
    <row r="5832" spans="1:6" x14ac:dyDescent="0.25">
      <c r="A5832" s="4">
        <v>42895</v>
      </c>
      <c r="B5832">
        <v>184.19059999999999</v>
      </c>
      <c r="C5832">
        <v>184.62</v>
      </c>
      <c r="D5832">
        <v>182.04390000000001</v>
      </c>
      <c r="E5832">
        <v>182.04390000000001</v>
      </c>
      <c r="F5832">
        <v>35190</v>
      </c>
    </row>
    <row r="5833" spans="1:6" x14ac:dyDescent="0.25">
      <c r="A5833" s="4">
        <v>42898</v>
      </c>
      <c r="B5833">
        <v>177.75040000000001</v>
      </c>
      <c r="C5833">
        <v>180.32650000000001</v>
      </c>
      <c r="D5833">
        <v>177.75040000000001</v>
      </c>
      <c r="E5833">
        <v>178.1797</v>
      </c>
      <c r="F5833">
        <v>63112</v>
      </c>
    </row>
    <row r="5834" spans="1:6" x14ac:dyDescent="0.25">
      <c r="A5834" s="4">
        <v>42899</v>
      </c>
      <c r="B5834">
        <v>177.75040000000001</v>
      </c>
      <c r="C5834">
        <v>179.0384</v>
      </c>
      <c r="D5834">
        <v>177.321</v>
      </c>
      <c r="E5834">
        <v>178.60910000000001</v>
      </c>
      <c r="F5834">
        <v>49983</v>
      </c>
    </row>
    <row r="5835" spans="1:6" x14ac:dyDescent="0.25">
      <c r="A5835" s="4">
        <v>42900</v>
      </c>
      <c r="B5835">
        <v>179.0384</v>
      </c>
      <c r="C5835">
        <v>179.89709999999999</v>
      </c>
      <c r="D5835">
        <v>176.89169999999999</v>
      </c>
      <c r="E5835">
        <v>177.75040000000001</v>
      </c>
      <c r="F5835">
        <v>39084</v>
      </c>
    </row>
    <row r="5836" spans="1:6" x14ac:dyDescent="0.25">
      <c r="A5836" s="4">
        <v>42901</v>
      </c>
      <c r="B5836">
        <v>178.1797</v>
      </c>
      <c r="C5836">
        <v>178.60910000000001</v>
      </c>
      <c r="D5836">
        <v>177.75040000000001</v>
      </c>
      <c r="E5836">
        <v>178.60910000000001</v>
      </c>
      <c r="F5836">
        <v>19486</v>
      </c>
    </row>
    <row r="5837" spans="1:6" x14ac:dyDescent="0.25">
      <c r="A5837" s="4">
        <v>42902</v>
      </c>
      <c r="B5837">
        <v>178.1797</v>
      </c>
      <c r="C5837">
        <v>182.04390000000001</v>
      </c>
      <c r="D5837">
        <v>177.75040000000001</v>
      </c>
      <c r="E5837">
        <v>181.61449999999999</v>
      </c>
      <c r="F5837">
        <v>32857</v>
      </c>
    </row>
    <row r="5838" spans="1:6" x14ac:dyDescent="0.25">
      <c r="A5838" s="4">
        <v>42905</v>
      </c>
      <c r="B5838">
        <v>181.18520000000001</v>
      </c>
      <c r="C5838">
        <v>182.90260000000001</v>
      </c>
      <c r="D5838">
        <v>180.75579999999999</v>
      </c>
      <c r="E5838">
        <v>182.90260000000001</v>
      </c>
      <c r="F5838">
        <v>17490</v>
      </c>
    </row>
    <row r="5839" spans="1:6" x14ac:dyDescent="0.25">
      <c r="A5839" s="4">
        <v>42906</v>
      </c>
      <c r="B5839">
        <v>184.62</v>
      </c>
      <c r="C5839">
        <v>187.1961</v>
      </c>
      <c r="D5839">
        <v>184.19059999999999</v>
      </c>
      <c r="E5839">
        <v>185.90799999999999</v>
      </c>
      <c r="F5839">
        <v>28784</v>
      </c>
    </row>
    <row r="5840" spans="1:6" x14ac:dyDescent="0.25">
      <c r="A5840" s="4">
        <v>42907</v>
      </c>
      <c r="B5840">
        <v>185.4787</v>
      </c>
      <c r="C5840">
        <v>186.3374</v>
      </c>
      <c r="D5840">
        <v>184.19059999999999</v>
      </c>
      <c r="E5840">
        <v>185.04929999999999</v>
      </c>
      <c r="F5840">
        <v>45384</v>
      </c>
    </row>
    <row r="5841" spans="1:6" x14ac:dyDescent="0.25">
      <c r="A5841" s="4">
        <v>42908</v>
      </c>
      <c r="B5841">
        <v>186.3374</v>
      </c>
      <c r="C5841">
        <v>187.1961</v>
      </c>
      <c r="D5841">
        <v>185.90799999999999</v>
      </c>
      <c r="E5841">
        <v>187.1961</v>
      </c>
      <c r="F5841">
        <v>26095</v>
      </c>
    </row>
    <row r="5842" spans="1:6" x14ac:dyDescent="0.25">
      <c r="A5842" s="4">
        <v>42909</v>
      </c>
      <c r="B5842">
        <v>187.1961</v>
      </c>
      <c r="C5842">
        <v>187.62540000000001</v>
      </c>
      <c r="D5842">
        <v>186.3374</v>
      </c>
      <c r="E5842">
        <v>186.3374</v>
      </c>
      <c r="F5842">
        <v>39686</v>
      </c>
    </row>
    <row r="5843" spans="1:6" x14ac:dyDescent="0.25">
      <c r="A5843" s="4">
        <v>42912</v>
      </c>
      <c r="B5843">
        <v>188.11199999999999</v>
      </c>
      <c r="C5843">
        <v>190.774</v>
      </c>
      <c r="D5843">
        <v>188.11199999999999</v>
      </c>
      <c r="E5843">
        <v>190.774</v>
      </c>
      <c r="F5843">
        <v>60141</v>
      </c>
    </row>
    <row r="5844" spans="1:6" x14ac:dyDescent="0.25">
      <c r="A5844" s="4">
        <v>42913</v>
      </c>
      <c r="B5844">
        <v>189.88659999999999</v>
      </c>
      <c r="C5844">
        <v>189.88659999999999</v>
      </c>
      <c r="D5844">
        <v>187.22470000000001</v>
      </c>
      <c r="E5844">
        <v>187.66829999999999</v>
      </c>
      <c r="F5844">
        <v>44505</v>
      </c>
    </row>
    <row r="5845" spans="1:6" x14ac:dyDescent="0.25">
      <c r="A5845" s="4">
        <v>42914</v>
      </c>
      <c r="B5845">
        <v>185.8937</v>
      </c>
      <c r="C5845">
        <v>186.3374</v>
      </c>
      <c r="D5845">
        <v>184.56270000000001</v>
      </c>
      <c r="E5845">
        <v>185.00640000000001</v>
      </c>
      <c r="F5845">
        <v>52274</v>
      </c>
    </row>
    <row r="5846" spans="1:6" x14ac:dyDescent="0.25">
      <c r="A5846" s="4">
        <v>42915</v>
      </c>
      <c r="B5846">
        <v>186.78100000000001</v>
      </c>
      <c r="C5846">
        <v>186.78100000000001</v>
      </c>
      <c r="D5846">
        <v>185.00640000000001</v>
      </c>
      <c r="E5846">
        <v>186.3374</v>
      </c>
      <c r="F5846">
        <v>27049</v>
      </c>
    </row>
    <row r="5847" spans="1:6" x14ac:dyDescent="0.25">
      <c r="A5847" s="4">
        <v>42916</v>
      </c>
      <c r="B5847">
        <v>183.23169999999999</v>
      </c>
      <c r="C5847">
        <v>185.00640000000001</v>
      </c>
      <c r="D5847">
        <v>183.23169999999999</v>
      </c>
      <c r="E5847">
        <v>185.00640000000001</v>
      </c>
      <c r="F5847">
        <v>31710</v>
      </c>
    </row>
    <row r="5848" spans="1:6" x14ac:dyDescent="0.25">
      <c r="A5848" s="4">
        <v>42919</v>
      </c>
      <c r="B5848">
        <v>184.1191</v>
      </c>
      <c r="C5848">
        <v>185.45</v>
      </c>
      <c r="D5848">
        <v>183.6754</v>
      </c>
      <c r="E5848">
        <v>185.45</v>
      </c>
      <c r="F5848">
        <v>21067</v>
      </c>
    </row>
    <row r="5849" spans="1:6" x14ac:dyDescent="0.25">
      <c r="A5849" s="4">
        <v>42920</v>
      </c>
      <c r="B5849">
        <v>184.56270000000001</v>
      </c>
      <c r="C5849">
        <v>185.00640000000001</v>
      </c>
      <c r="D5849">
        <v>183.6754</v>
      </c>
      <c r="E5849">
        <v>183.6754</v>
      </c>
      <c r="F5849">
        <v>21592</v>
      </c>
    </row>
    <row r="5850" spans="1:6" x14ac:dyDescent="0.25">
      <c r="A5850" s="4">
        <v>42921</v>
      </c>
      <c r="B5850">
        <v>183.6754</v>
      </c>
      <c r="C5850">
        <v>185.00640000000001</v>
      </c>
      <c r="D5850">
        <v>183.23169999999999</v>
      </c>
      <c r="E5850">
        <v>185.00640000000001</v>
      </c>
      <c r="F5850">
        <v>23463</v>
      </c>
    </row>
    <row r="5851" spans="1:6" x14ac:dyDescent="0.25">
      <c r="A5851" s="4">
        <v>42922</v>
      </c>
      <c r="B5851">
        <v>184.56270000000001</v>
      </c>
      <c r="C5851">
        <v>185.00640000000001</v>
      </c>
      <c r="D5851">
        <v>183.6754</v>
      </c>
      <c r="E5851">
        <v>184.1191</v>
      </c>
      <c r="F5851">
        <v>15261</v>
      </c>
    </row>
    <row r="5852" spans="1:6" x14ac:dyDescent="0.25">
      <c r="A5852" s="4">
        <v>42923</v>
      </c>
      <c r="B5852">
        <v>183.6754</v>
      </c>
      <c r="C5852">
        <v>184.1191</v>
      </c>
      <c r="D5852">
        <v>182.34440000000001</v>
      </c>
      <c r="E5852">
        <v>182.78809999999999</v>
      </c>
      <c r="F5852">
        <v>21568</v>
      </c>
    </row>
    <row r="5853" spans="1:6" x14ac:dyDescent="0.25">
      <c r="A5853" s="4">
        <v>42926</v>
      </c>
      <c r="B5853">
        <v>183.23169999999999</v>
      </c>
      <c r="C5853">
        <v>183.6754</v>
      </c>
      <c r="D5853">
        <v>182.78809999999999</v>
      </c>
      <c r="E5853">
        <v>182.78809999999999</v>
      </c>
      <c r="F5853">
        <v>13327</v>
      </c>
    </row>
    <row r="5854" spans="1:6" x14ac:dyDescent="0.25">
      <c r="A5854" s="4">
        <v>42927</v>
      </c>
      <c r="B5854">
        <v>184.56270000000001</v>
      </c>
      <c r="C5854">
        <v>188.11199999999999</v>
      </c>
      <c r="D5854">
        <v>184.1191</v>
      </c>
      <c r="E5854">
        <v>188.11199999999999</v>
      </c>
      <c r="F5854">
        <v>34594</v>
      </c>
    </row>
    <row r="5855" spans="1:6" x14ac:dyDescent="0.25">
      <c r="A5855" s="4">
        <v>42928</v>
      </c>
      <c r="B5855">
        <v>187.22470000000001</v>
      </c>
      <c r="C5855">
        <v>188.5557</v>
      </c>
      <c r="D5855">
        <v>186.78100000000001</v>
      </c>
      <c r="E5855">
        <v>186.78100000000001</v>
      </c>
      <c r="F5855">
        <v>26888</v>
      </c>
    </row>
    <row r="5856" spans="1:6" x14ac:dyDescent="0.25">
      <c r="A5856" s="4">
        <v>42929</v>
      </c>
      <c r="B5856">
        <v>188.11199999999999</v>
      </c>
      <c r="C5856">
        <v>191.66130000000001</v>
      </c>
      <c r="D5856">
        <v>187.66829999999999</v>
      </c>
      <c r="E5856">
        <v>190.33029999999999</v>
      </c>
      <c r="F5856">
        <v>50137</v>
      </c>
    </row>
    <row r="5857" spans="1:6" x14ac:dyDescent="0.25">
      <c r="A5857" s="4">
        <v>42930</v>
      </c>
      <c r="B5857">
        <v>188.99930000000001</v>
      </c>
      <c r="C5857">
        <v>190.33029999999999</v>
      </c>
      <c r="D5857">
        <v>188.11199999999999</v>
      </c>
      <c r="E5857">
        <v>188.99930000000001</v>
      </c>
      <c r="F5857">
        <v>22364</v>
      </c>
    </row>
    <row r="5858" spans="1:6" x14ac:dyDescent="0.25">
      <c r="A5858" s="4">
        <v>42933</v>
      </c>
      <c r="B5858">
        <v>190.774</v>
      </c>
      <c r="C5858">
        <v>191.2176</v>
      </c>
      <c r="D5858">
        <v>187.66829999999999</v>
      </c>
      <c r="E5858">
        <v>188.99930000000001</v>
      </c>
      <c r="F5858">
        <v>21400</v>
      </c>
    </row>
    <row r="5859" spans="1:6" x14ac:dyDescent="0.25">
      <c r="A5859" s="4">
        <v>42934</v>
      </c>
      <c r="B5859">
        <v>188.99930000000001</v>
      </c>
      <c r="C5859">
        <v>189.88659999999999</v>
      </c>
      <c r="D5859">
        <v>188.11199999999999</v>
      </c>
      <c r="E5859">
        <v>189.88659999999999</v>
      </c>
      <c r="F5859">
        <v>18756</v>
      </c>
    </row>
    <row r="5860" spans="1:6" x14ac:dyDescent="0.25">
      <c r="A5860" s="4">
        <v>42935</v>
      </c>
      <c r="B5860">
        <v>188.5557</v>
      </c>
      <c r="C5860">
        <v>190.774</v>
      </c>
      <c r="D5860">
        <v>188.5557</v>
      </c>
      <c r="E5860">
        <v>190.33029999999999</v>
      </c>
      <c r="F5860">
        <v>20661</v>
      </c>
    </row>
    <row r="5861" spans="1:6" x14ac:dyDescent="0.25">
      <c r="A5861" s="4">
        <v>42936</v>
      </c>
      <c r="B5861">
        <v>190.774</v>
      </c>
      <c r="C5861">
        <v>191.2176</v>
      </c>
      <c r="D5861">
        <v>189.88659999999999</v>
      </c>
      <c r="E5861">
        <v>191.2176</v>
      </c>
      <c r="F5861">
        <v>20796</v>
      </c>
    </row>
    <row r="5862" spans="1:6" x14ac:dyDescent="0.25">
      <c r="A5862" s="4">
        <v>42937</v>
      </c>
      <c r="B5862">
        <v>189.88659999999999</v>
      </c>
      <c r="C5862">
        <v>190.774</v>
      </c>
      <c r="D5862">
        <v>189.44300000000001</v>
      </c>
      <c r="E5862">
        <v>189.88659999999999</v>
      </c>
      <c r="F5862">
        <v>15422</v>
      </c>
    </row>
    <row r="5863" spans="1:6" x14ac:dyDescent="0.25">
      <c r="A5863" s="4">
        <v>42940</v>
      </c>
      <c r="B5863">
        <v>189.44300000000001</v>
      </c>
      <c r="C5863">
        <v>190.33029999999999</v>
      </c>
      <c r="D5863">
        <v>188.99930000000001</v>
      </c>
      <c r="E5863">
        <v>190.33029999999999</v>
      </c>
      <c r="F5863">
        <v>20003</v>
      </c>
    </row>
    <row r="5864" spans="1:6" x14ac:dyDescent="0.25">
      <c r="A5864" s="4">
        <v>42941</v>
      </c>
      <c r="B5864">
        <v>189.88659999999999</v>
      </c>
      <c r="C5864">
        <v>190.33029999999999</v>
      </c>
      <c r="D5864">
        <v>189.44300000000001</v>
      </c>
      <c r="E5864">
        <v>189.88659999999999</v>
      </c>
      <c r="F5864">
        <v>13853</v>
      </c>
    </row>
    <row r="5865" spans="1:6" x14ac:dyDescent="0.25">
      <c r="A5865" s="4">
        <v>42942</v>
      </c>
      <c r="B5865">
        <v>190.774</v>
      </c>
      <c r="C5865">
        <v>190.774</v>
      </c>
      <c r="D5865">
        <v>188.5557</v>
      </c>
      <c r="E5865">
        <v>188.99930000000001</v>
      </c>
      <c r="F5865">
        <v>15901</v>
      </c>
    </row>
    <row r="5866" spans="1:6" x14ac:dyDescent="0.25">
      <c r="A5866" s="4">
        <v>42943</v>
      </c>
      <c r="B5866">
        <v>189.44300000000001</v>
      </c>
      <c r="C5866">
        <v>191.66130000000001</v>
      </c>
      <c r="D5866">
        <v>189.44300000000001</v>
      </c>
      <c r="E5866">
        <v>191.2176</v>
      </c>
      <c r="F5866">
        <v>23045</v>
      </c>
    </row>
    <row r="5867" spans="1:6" x14ac:dyDescent="0.25">
      <c r="A5867" s="4">
        <v>42944</v>
      </c>
      <c r="B5867">
        <v>188.99930000000001</v>
      </c>
      <c r="C5867">
        <v>189.88659999999999</v>
      </c>
      <c r="D5867">
        <v>188.5557</v>
      </c>
      <c r="E5867">
        <v>188.99930000000001</v>
      </c>
      <c r="F5867">
        <v>21121</v>
      </c>
    </row>
    <row r="5868" spans="1:6" x14ac:dyDescent="0.25">
      <c r="A5868" s="4">
        <v>42947</v>
      </c>
      <c r="B5868">
        <v>187.66829999999999</v>
      </c>
      <c r="C5868">
        <v>190.33029999999999</v>
      </c>
      <c r="D5868">
        <v>187.66829999999999</v>
      </c>
      <c r="E5868">
        <v>190.33029999999999</v>
      </c>
      <c r="F5868">
        <v>20363</v>
      </c>
    </row>
    <row r="5869" spans="1:6" x14ac:dyDescent="0.25">
      <c r="A5869" s="4">
        <v>42948</v>
      </c>
      <c r="B5869">
        <v>188.5557</v>
      </c>
      <c r="C5869">
        <v>189.88659999999999</v>
      </c>
      <c r="D5869">
        <v>188.11199999999999</v>
      </c>
      <c r="E5869">
        <v>188.11199999999999</v>
      </c>
      <c r="F5869">
        <v>20315</v>
      </c>
    </row>
    <row r="5870" spans="1:6" x14ac:dyDescent="0.25">
      <c r="A5870" s="4">
        <v>42949</v>
      </c>
      <c r="B5870">
        <v>189.88659999999999</v>
      </c>
      <c r="C5870">
        <v>191.66130000000001</v>
      </c>
      <c r="D5870">
        <v>189.88659999999999</v>
      </c>
      <c r="E5870">
        <v>191.66130000000001</v>
      </c>
      <c r="F5870">
        <v>30528</v>
      </c>
    </row>
    <row r="5871" spans="1:6" x14ac:dyDescent="0.25">
      <c r="A5871" s="4">
        <v>42950</v>
      </c>
      <c r="B5871">
        <v>188.99930000000001</v>
      </c>
      <c r="C5871">
        <v>189.88659999999999</v>
      </c>
      <c r="D5871">
        <v>188.5557</v>
      </c>
      <c r="E5871">
        <v>189.44300000000001</v>
      </c>
      <c r="F5871">
        <v>27097</v>
      </c>
    </row>
    <row r="5872" spans="1:6" x14ac:dyDescent="0.25">
      <c r="A5872" s="4">
        <v>42951</v>
      </c>
      <c r="B5872">
        <v>189.44300000000001</v>
      </c>
      <c r="C5872">
        <v>189.88659999999999</v>
      </c>
      <c r="D5872">
        <v>188.5557</v>
      </c>
      <c r="E5872">
        <v>188.99930000000001</v>
      </c>
      <c r="F5872">
        <v>22187</v>
      </c>
    </row>
    <row r="5873" spans="1:6" x14ac:dyDescent="0.25">
      <c r="A5873" s="4">
        <v>42954</v>
      </c>
      <c r="B5873">
        <v>189.44300000000001</v>
      </c>
      <c r="C5873">
        <v>192.10499999999999</v>
      </c>
      <c r="D5873">
        <v>189.44300000000001</v>
      </c>
      <c r="E5873">
        <v>191.66130000000001</v>
      </c>
      <c r="F5873">
        <v>21595</v>
      </c>
    </row>
    <row r="5874" spans="1:6" x14ac:dyDescent="0.25">
      <c r="A5874" s="4">
        <v>42955</v>
      </c>
      <c r="B5874">
        <v>192.9923</v>
      </c>
      <c r="C5874">
        <v>194.32329999999999</v>
      </c>
      <c r="D5874">
        <v>191.66130000000001</v>
      </c>
      <c r="E5874">
        <v>192.9923</v>
      </c>
      <c r="F5874">
        <v>25224</v>
      </c>
    </row>
    <row r="5875" spans="1:6" x14ac:dyDescent="0.25">
      <c r="A5875" s="4">
        <v>42956</v>
      </c>
      <c r="B5875">
        <v>190.774</v>
      </c>
      <c r="C5875">
        <v>191.2176</v>
      </c>
      <c r="D5875">
        <v>189.44300000000001</v>
      </c>
      <c r="E5875">
        <v>190.33029999999999</v>
      </c>
      <c r="F5875">
        <v>28129</v>
      </c>
    </row>
    <row r="5876" spans="1:6" x14ac:dyDescent="0.25">
      <c r="A5876" s="4">
        <v>42957</v>
      </c>
      <c r="B5876">
        <v>191.2176</v>
      </c>
      <c r="C5876">
        <v>191.2176</v>
      </c>
      <c r="D5876">
        <v>188.5557</v>
      </c>
      <c r="E5876">
        <v>189.88659999999999</v>
      </c>
      <c r="F5876">
        <v>27440</v>
      </c>
    </row>
    <row r="5877" spans="1:6" x14ac:dyDescent="0.25">
      <c r="A5877" s="4">
        <v>42958</v>
      </c>
      <c r="B5877">
        <v>187.22470000000001</v>
      </c>
      <c r="C5877">
        <v>189.44300000000001</v>
      </c>
      <c r="D5877">
        <v>186.78100000000001</v>
      </c>
      <c r="E5877">
        <v>188.5557</v>
      </c>
      <c r="F5877">
        <v>41592</v>
      </c>
    </row>
    <row r="5878" spans="1:6" x14ac:dyDescent="0.25">
      <c r="A5878" s="4">
        <v>42961</v>
      </c>
      <c r="B5878">
        <v>189.44300000000001</v>
      </c>
      <c r="C5878">
        <v>189.88659999999999</v>
      </c>
      <c r="D5878">
        <v>186.3374</v>
      </c>
      <c r="E5878">
        <v>187.22470000000001</v>
      </c>
      <c r="F5878">
        <v>29415</v>
      </c>
    </row>
    <row r="5879" spans="1:6" x14ac:dyDescent="0.25">
      <c r="A5879" s="4">
        <v>42962</v>
      </c>
      <c r="B5879">
        <v>188.99930000000001</v>
      </c>
      <c r="C5879">
        <v>190.33029999999999</v>
      </c>
      <c r="D5879">
        <v>188.99930000000001</v>
      </c>
      <c r="E5879">
        <v>189.88659999999999</v>
      </c>
      <c r="F5879">
        <v>14386</v>
      </c>
    </row>
    <row r="5880" spans="1:6" x14ac:dyDescent="0.25">
      <c r="A5880" s="4">
        <v>42963</v>
      </c>
      <c r="B5880">
        <v>190.33029999999999</v>
      </c>
      <c r="C5880">
        <v>190.33029999999999</v>
      </c>
      <c r="D5880">
        <v>187.22470000000001</v>
      </c>
      <c r="E5880">
        <v>188.99930000000001</v>
      </c>
      <c r="F5880">
        <v>25207</v>
      </c>
    </row>
    <row r="5881" spans="1:6" x14ac:dyDescent="0.25">
      <c r="A5881" s="4">
        <v>42964</v>
      </c>
      <c r="B5881">
        <v>189.44300000000001</v>
      </c>
      <c r="C5881">
        <v>189.88659999999999</v>
      </c>
      <c r="D5881">
        <v>188.99930000000001</v>
      </c>
      <c r="E5881">
        <v>189.88659999999999</v>
      </c>
      <c r="F5881">
        <v>8353</v>
      </c>
    </row>
    <row r="5882" spans="1:6" x14ac:dyDescent="0.25">
      <c r="A5882" s="4">
        <v>42965</v>
      </c>
      <c r="B5882">
        <v>188.11199999999999</v>
      </c>
      <c r="C5882">
        <v>188.99930000000001</v>
      </c>
      <c r="D5882">
        <v>187.22470000000001</v>
      </c>
      <c r="E5882">
        <v>188.5557</v>
      </c>
      <c r="F5882">
        <v>14364</v>
      </c>
    </row>
    <row r="5883" spans="1:6" x14ac:dyDescent="0.25">
      <c r="A5883" s="4">
        <v>42968</v>
      </c>
      <c r="B5883">
        <v>188.5557</v>
      </c>
      <c r="C5883">
        <v>188.99930000000001</v>
      </c>
      <c r="D5883">
        <v>187.66829999999999</v>
      </c>
      <c r="E5883">
        <v>187.66829999999999</v>
      </c>
      <c r="F5883">
        <v>13847</v>
      </c>
    </row>
    <row r="5884" spans="1:6" x14ac:dyDescent="0.25">
      <c r="A5884" s="4">
        <v>42969</v>
      </c>
      <c r="B5884">
        <v>189.44300000000001</v>
      </c>
      <c r="C5884">
        <v>190.33029999999999</v>
      </c>
      <c r="D5884">
        <v>188.99930000000001</v>
      </c>
      <c r="E5884">
        <v>190.33029999999999</v>
      </c>
      <c r="F5884">
        <v>17330</v>
      </c>
    </row>
    <row r="5885" spans="1:6" x14ac:dyDescent="0.25">
      <c r="A5885" s="4">
        <v>42970</v>
      </c>
      <c r="B5885">
        <v>191.2176</v>
      </c>
      <c r="C5885">
        <v>191.66130000000001</v>
      </c>
      <c r="D5885">
        <v>189.88659999999999</v>
      </c>
      <c r="E5885">
        <v>191.2176</v>
      </c>
      <c r="F5885">
        <v>11758</v>
      </c>
    </row>
    <row r="5886" spans="1:6" x14ac:dyDescent="0.25">
      <c r="A5886" s="4">
        <v>42971</v>
      </c>
      <c r="B5886">
        <v>191.66130000000001</v>
      </c>
      <c r="C5886">
        <v>192.54859999999999</v>
      </c>
      <c r="D5886">
        <v>191.2176</v>
      </c>
      <c r="E5886">
        <v>192.54859999999999</v>
      </c>
      <c r="F5886">
        <v>15427</v>
      </c>
    </row>
    <row r="5887" spans="1:6" x14ac:dyDescent="0.25">
      <c r="A5887" s="4">
        <v>42972</v>
      </c>
      <c r="B5887">
        <v>192.9923</v>
      </c>
      <c r="C5887">
        <v>192.9923</v>
      </c>
      <c r="D5887">
        <v>191.66130000000001</v>
      </c>
      <c r="E5887">
        <v>192.9923</v>
      </c>
      <c r="F5887">
        <v>10975</v>
      </c>
    </row>
    <row r="5888" spans="1:6" x14ac:dyDescent="0.25">
      <c r="A5888" s="4">
        <v>42975</v>
      </c>
      <c r="B5888">
        <v>190.774</v>
      </c>
      <c r="C5888">
        <v>192.10499999999999</v>
      </c>
      <c r="D5888">
        <v>190.774</v>
      </c>
      <c r="E5888">
        <v>191.66130000000001</v>
      </c>
      <c r="F5888">
        <v>16512</v>
      </c>
    </row>
    <row r="5889" spans="1:6" x14ac:dyDescent="0.25">
      <c r="A5889" s="4">
        <v>42976</v>
      </c>
      <c r="B5889">
        <v>191.66130000000001</v>
      </c>
      <c r="C5889">
        <v>191.66130000000001</v>
      </c>
      <c r="D5889">
        <v>190.774</v>
      </c>
      <c r="E5889">
        <v>191.66130000000001</v>
      </c>
      <c r="F5889">
        <v>16561</v>
      </c>
    </row>
    <row r="5890" spans="1:6" x14ac:dyDescent="0.25">
      <c r="A5890" s="4">
        <v>42977</v>
      </c>
      <c r="B5890">
        <v>191.66130000000001</v>
      </c>
      <c r="C5890">
        <v>193.4359</v>
      </c>
      <c r="D5890">
        <v>191.66130000000001</v>
      </c>
      <c r="E5890">
        <v>192.9923</v>
      </c>
      <c r="F5890">
        <v>19674</v>
      </c>
    </row>
    <row r="5891" spans="1:6" x14ac:dyDescent="0.25">
      <c r="A5891" s="4">
        <v>42978</v>
      </c>
      <c r="B5891">
        <v>192.9923</v>
      </c>
      <c r="C5891">
        <v>193.4359</v>
      </c>
      <c r="D5891">
        <v>191.2176</v>
      </c>
      <c r="E5891">
        <v>192.10499999999999</v>
      </c>
      <c r="F5891">
        <v>26945</v>
      </c>
    </row>
    <row r="5892" spans="1:6" x14ac:dyDescent="0.25">
      <c r="A5892" s="4">
        <v>42979</v>
      </c>
      <c r="B5892">
        <v>190.774</v>
      </c>
      <c r="C5892">
        <v>192.9923</v>
      </c>
      <c r="D5892">
        <v>190.774</v>
      </c>
      <c r="E5892">
        <v>192.10499999999999</v>
      </c>
      <c r="F5892">
        <v>17805</v>
      </c>
    </row>
    <row r="5893" spans="1:6" x14ac:dyDescent="0.25">
      <c r="A5893" s="4">
        <v>42982</v>
      </c>
      <c r="B5893">
        <v>192.10499999999999</v>
      </c>
      <c r="C5893">
        <v>193.4359</v>
      </c>
      <c r="D5893">
        <v>191.2176</v>
      </c>
      <c r="E5893">
        <v>192.9923</v>
      </c>
      <c r="F5893">
        <v>15053</v>
      </c>
    </row>
    <row r="5894" spans="1:6" x14ac:dyDescent="0.25">
      <c r="A5894" s="4">
        <v>42983</v>
      </c>
      <c r="B5894">
        <v>193.4359</v>
      </c>
      <c r="C5894">
        <v>193.4359</v>
      </c>
      <c r="D5894">
        <v>192.10499999999999</v>
      </c>
      <c r="E5894">
        <v>193.4359</v>
      </c>
      <c r="F5894">
        <v>34514</v>
      </c>
    </row>
    <row r="5895" spans="1:6" x14ac:dyDescent="0.25">
      <c r="A5895" s="4">
        <v>42984</v>
      </c>
      <c r="B5895">
        <v>192.10499999999999</v>
      </c>
      <c r="C5895">
        <v>193.4359</v>
      </c>
      <c r="D5895">
        <v>191.66130000000001</v>
      </c>
      <c r="E5895">
        <v>192.54859999999999</v>
      </c>
      <c r="F5895">
        <v>28149</v>
      </c>
    </row>
    <row r="5896" spans="1:6" x14ac:dyDescent="0.25">
      <c r="A5896" s="4">
        <v>42985</v>
      </c>
      <c r="B5896">
        <v>193.4359</v>
      </c>
      <c r="C5896">
        <v>193.87960000000001</v>
      </c>
      <c r="D5896">
        <v>191.66130000000001</v>
      </c>
      <c r="E5896">
        <v>192.54859999999999</v>
      </c>
      <c r="F5896">
        <v>19199</v>
      </c>
    </row>
    <row r="5897" spans="1:6" x14ac:dyDescent="0.25">
      <c r="A5897" s="4">
        <v>42986</v>
      </c>
      <c r="B5897">
        <v>192.54859999999999</v>
      </c>
      <c r="C5897">
        <v>193.4359</v>
      </c>
      <c r="D5897">
        <v>192.10499999999999</v>
      </c>
      <c r="E5897">
        <v>193.4359</v>
      </c>
      <c r="F5897">
        <v>25512</v>
      </c>
    </row>
    <row r="5898" spans="1:6" x14ac:dyDescent="0.25">
      <c r="A5898" s="4">
        <v>42989</v>
      </c>
      <c r="B5898">
        <v>194.32329999999999</v>
      </c>
      <c r="C5898">
        <v>194.76689999999999</v>
      </c>
      <c r="D5898">
        <v>192.10499999999999</v>
      </c>
      <c r="E5898">
        <v>192.54859999999999</v>
      </c>
      <c r="F5898">
        <v>19388</v>
      </c>
    </row>
    <row r="5899" spans="1:6" x14ac:dyDescent="0.25">
      <c r="A5899" s="4">
        <v>42990</v>
      </c>
      <c r="B5899">
        <v>194.32329999999999</v>
      </c>
      <c r="C5899">
        <v>194.76689999999999</v>
      </c>
      <c r="D5899">
        <v>192.9923</v>
      </c>
      <c r="E5899">
        <v>194.32329999999999</v>
      </c>
      <c r="F5899">
        <v>24862</v>
      </c>
    </row>
    <row r="5900" spans="1:6" x14ac:dyDescent="0.25">
      <c r="A5900" s="4">
        <v>42991</v>
      </c>
      <c r="B5900">
        <v>192.9923</v>
      </c>
      <c r="C5900">
        <v>194.32329999999999</v>
      </c>
      <c r="D5900">
        <v>192.9923</v>
      </c>
      <c r="E5900">
        <v>193.4359</v>
      </c>
      <c r="F5900">
        <v>18337</v>
      </c>
    </row>
    <row r="5901" spans="1:6" x14ac:dyDescent="0.25">
      <c r="A5901" s="4">
        <v>42992</v>
      </c>
      <c r="B5901">
        <v>193.87960000000001</v>
      </c>
      <c r="C5901">
        <v>194.32329999999999</v>
      </c>
      <c r="D5901">
        <v>192.9923</v>
      </c>
      <c r="E5901">
        <v>193.87960000000001</v>
      </c>
      <c r="F5901">
        <v>21509</v>
      </c>
    </row>
    <row r="5902" spans="1:6" x14ac:dyDescent="0.25">
      <c r="A5902" s="4">
        <v>42993</v>
      </c>
      <c r="B5902">
        <v>193.87960000000001</v>
      </c>
      <c r="C5902">
        <v>194.32329999999999</v>
      </c>
      <c r="D5902">
        <v>192.54859999999999</v>
      </c>
      <c r="E5902">
        <v>193.87960000000001</v>
      </c>
      <c r="F5902">
        <v>48901</v>
      </c>
    </row>
    <row r="5903" spans="1:6" x14ac:dyDescent="0.25">
      <c r="A5903" s="4">
        <v>42996</v>
      </c>
      <c r="B5903">
        <v>194.32329999999999</v>
      </c>
      <c r="C5903">
        <v>195.2106</v>
      </c>
      <c r="D5903">
        <v>193.4359</v>
      </c>
      <c r="E5903">
        <v>194.76689999999999</v>
      </c>
      <c r="F5903">
        <v>17813</v>
      </c>
    </row>
    <row r="5904" spans="1:6" x14ac:dyDescent="0.25">
      <c r="A5904" s="4">
        <v>42997</v>
      </c>
      <c r="B5904">
        <v>196.54159999999999</v>
      </c>
      <c r="C5904">
        <v>196.54159999999999</v>
      </c>
      <c r="D5904">
        <v>195.2106</v>
      </c>
      <c r="E5904">
        <v>196.54159999999999</v>
      </c>
      <c r="F5904">
        <v>26256</v>
      </c>
    </row>
    <row r="5905" spans="1:6" x14ac:dyDescent="0.25">
      <c r="A5905" s="4">
        <v>42998</v>
      </c>
      <c r="B5905">
        <v>196.09790000000001</v>
      </c>
      <c r="C5905">
        <v>196.98519999999999</v>
      </c>
      <c r="D5905">
        <v>195.2106</v>
      </c>
      <c r="E5905">
        <v>196.54159999999999</v>
      </c>
      <c r="F5905">
        <v>23434</v>
      </c>
    </row>
    <row r="5906" spans="1:6" x14ac:dyDescent="0.25">
      <c r="A5906" s="4">
        <v>42999</v>
      </c>
      <c r="B5906">
        <v>196.09790000000001</v>
      </c>
      <c r="C5906">
        <v>197.8725</v>
      </c>
      <c r="D5906">
        <v>195.2106</v>
      </c>
      <c r="E5906">
        <v>196.09790000000001</v>
      </c>
      <c r="F5906">
        <v>18646</v>
      </c>
    </row>
    <row r="5907" spans="1:6" x14ac:dyDescent="0.25">
      <c r="A5907" s="4">
        <v>43000</v>
      </c>
      <c r="B5907">
        <v>196.54159999999999</v>
      </c>
      <c r="C5907">
        <v>196.98519999999999</v>
      </c>
      <c r="D5907">
        <v>193.87960000000001</v>
      </c>
      <c r="E5907">
        <v>193.87960000000001</v>
      </c>
      <c r="F5907">
        <v>22456</v>
      </c>
    </row>
    <row r="5908" spans="1:6" x14ac:dyDescent="0.25">
      <c r="A5908" s="4">
        <v>43003</v>
      </c>
      <c r="B5908">
        <v>192.9923</v>
      </c>
      <c r="C5908">
        <v>193.87960000000001</v>
      </c>
      <c r="D5908">
        <v>192.54859999999999</v>
      </c>
      <c r="E5908">
        <v>192.54859999999999</v>
      </c>
      <c r="F5908">
        <v>17458</v>
      </c>
    </row>
    <row r="5909" spans="1:6" x14ac:dyDescent="0.25">
      <c r="A5909" s="4">
        <v>43004</v>
      </c>
      <c r="B5909">
        <v>192.9923</v>
      </c>
      <c r="C5909">
        <v>193.4359</v>
      </c>
      <c r="D5909">
        <v>189.88659999999999</v>
      </c>
      <c r="E5909">
        <v>189.88659999999999</v>
      </c>
      <c r="F5909">
        <v>25004</v>
      </c>
    </row>
    <row r="5910" spans="1:6" x14ac:dyDescent="0.25">
      <c r="A5910" s="4">
        <v>43005</v>
      </c>
      <c r="B5910">
        <v>192.9923</v>
      </c>
      <c r="C5910">
        <v>192.9923</v>
      </c>
      <c r="D5910">
        <v>190.774</v>
      </c>
      <c r="E5910">
        <v>190.774</v>
      </c>
      <c r="F5910">
        <v>24795</v>
      </c>
    </row>
    <row r="5911" spans="1:6" x14ac:dyDescent="0.25">
      <c r="A5911" s="4">
        <v>43006</v>
      </c>
      <c r="B5911">
        <v>190.774</v>
      </c>
      <c r="C5911">
        <v>191.66130000000001</v>
      </c>
      <c r="D5911">
        <v>189.44300000000001</v>
      </c>
      <c r="E5911">
        <v>189.88659999999999</v>
      </c>
      <c r="F5911">
        <v>31616</v>
      </c>
    </row>
    <row r="5912" spans="1:6" x14ac:dyDescent="0.25">
      <c r="A5912" s="4">
        <v>43007</v>
      </c>
      <c r="B5912">
        <v>191.66130000000001</v>
      </c>
      <c r="C5912">
        <v>192.9923</v>
      </c>
      <c r="D5912">
        <v>191.2176</v>
      </c>
      <c r="E5912">
        <v>192.10499999999999</v>
      </c>
      <c r="F5912">
        <v>23955</v>
      </c>
    </row>
    <row r="5913" spans="1:6" x14ac:dyDescent="0.25">
      <c r="A5913" s="4">
        <v>43008</v>
      </c>
      <c r="B5913">
        <v>193.4359</v>
      </c>
      <c r="C5913">
        <v>193.87960000000001</v>
      </c>
      <c r="D5913">
        <v>192.10499999999999</v>
      </c>
      <c r="E5913">
        <v>192.10499999999999</v>
      </c>
      <c r="F5913">
        <v>4254</v>
      </c>
    </row>
    <row r="5914" spans="1:6" x14ac:dyDescent="0.25">
      <c r="A5914" s="4">
        <v>43010</v>
      </c>
      <c r="B5914">
        <v>194.76689999999999</v>
      </c>
      <c r="C5914">
        <v>195.6542</v>
      </c>
      <c r="D5914">
        <v>193.87960000000001</v>
      </c>
      <c r="E5914">
        <v>195.6542</v>
      </c>
      <c r="F5914">
        <v>28361</v>
      </c>
    </row>
    <row r="5915" spans="1:6" x14ac:dyDescent="0.25">
      <c r="A5915" s="4">
        <v>43011</v>
      </c>
      <c r="B5915">
        <v>194.32329999999999</v>
      </c>
      <c r="C5915">
        <v>197.8725</v>
      </c>
      <c r="D5915">
        <v>194.32329999999999</v>
      </c>
      <c r="E5915">
        <v>197.4289</v>
      </c>
      <c r="F5915">
        <v>38331</v>
      </c>
    </row>
    <row r="5916" spans="1:6" x14ac:dyDescent="0.25">
      <c r="A5916" s="4">
        <v>43013</v>
      </c>
      <c r="B5916">
        <v>196.98519999999999</v>
      </c>
      <c r="C5916">
        <v>200.0908</v>
      </c>
      <c r="D5916">
        <v>196.98519999999999</v>
      </c>
      <c r="E5916">
        <v>199.20349999999999</v>
      </c>
      <c r="F5916">
        <v>25398</v>
      </c>
    </row>
    <row r="5917" spans="1:6" x14ac:dyDescent="0.25">
      <c r="A5917" s="4">
        <v>43014</v>
      </c>
      <c r="B5917">
        <v>199.6472</v>
      </c>
      <c r="C5917">
        <v>200.0908</v>
      </c>
      <c r="D5917">
        <v>198.31620000000001</v>
      </c>
      <c r="E5917">
        <v>199.20349999999999</v>
      </c>
      <c r="F5917">
        <v>16041</v>
      </c>
    </row>
    <row r="5918" spans="1:6" x14ac:dyDescent="0.25">
      <c r="A5918" s="4">
        <v>43019</v>
      </c>
      <c r="B5918">
        <v>200.97819999999999</v>
      </c>
      <c r="C5918">
        <v>207.18940000000001</v>
      </c>
      <c r="D5918">
        <v>200.97819999999999</v>
      </c>
      <c r="E5918">
        <v>206.7457</v>
      </c>
      <c r="F5918">
        <v>67650</v>
      </c>
    </row>
    <row r="5919" spans="1:6" x14ac:dyDescent="0.25">
      <c r="A5919" s="4">
        <v>43020</v>
      </c>
      <c r="B5919">
        <v>208.5204</v>
      </c>
      <c r="C5919">
        <v>210.73869999999999</v>
      </c>
      <c r="D5919">
        <v>208.07669999999999</v>
      </c>
      <c r="E5919">
        <v>210.73869999999999</v>
      </c>
      <c r="F5919">
        <v>44176</v>
      </c>
    </row>
    <row r="5920" spans="1:6" x14ac:dyDescent="0.25">
      <c r="A5920" s="4">
        <v>43021</v>
      </c>
      <c r="B5920">
        <v>210.73869999999999</v>
      </c>
      <c r="C5920">
        <v>210.73869999999999</v>
      </c>
      <c r="D5920">
        <v>208.07669999999999</v>
      </c>
      <c r="E5920">
        <v>210.73869999999999</v>
      </c>
      <c r="F5920">
        <v>23145</v>
      </c>
    </row>
    <row r="5921" spans="1:6" x14ac:dyDescent="0.25">
      <c r="A5921" s="4">
        <v>43024</v>
      </c>
      <c r="B5921">
        <v>210.73869999999999</v>
      </c>
      <c r="C5921">
        <v>211.1823</v>
      </c>
      <c r="D5921">
        <v>209.40770000000001</v>
      </c>
      <c r="E5921">
        <v>211.1823</v>
      </c>
      <c r="F5921">
        <v>20673</v>
      </c>
    </row>
    <row r="5922" spans="1:6" x14ac:dyDescent="0.25">
      <c r="A5922" s="4">
        <v>43025</v>
      </c>
      <c r="B5922">
        <v>211.1823</v>
      </c>
      <c r="C5922">
        <v>211.1823</v>
      </c>
      <c r="D5922">
        <v>208.5204</v>
      </c>
      <c r="E5922">
        <v>208.964</v>
      </c>
      <c r="F5922">
        <v>17652</v>
      </c>
    </row>
    <row r="5923" spans="1:6" x14ac:dyDescent="0.25">
      <c r="A5923" s="4">
        <v>43026</v>
      </c>
      <c r="B5923">
        <v>212.51329999999999</v>
      </c>
      <c r="C5923">
        <v>212.51329999999999</v>
      </c>
      <c r="D5923">
        <v>210.29499999999999</v>
      </c>
      <c r="E5923">
        <v>210.73869999999999</v>
      </c>
      <c r="F5923">
        <v>28971</v>
      </c>
    </row>
    <row r="5924" spans="1:6" x14ac:dyDescent="0.25">
      <c r="A5924" s="4">
        <v>43027</v>
      </c>
      <c r="B5924">
        <v>212.51329999999999</v>
      </c>
      <c r="C5924">
        <v>214.28800000000001</v>
      </c>
      <c r="D5924">
        <v>212.06970000000001</v>
      </c>
      <c r="E5924">
        <v>212.06970000000001</v>
      </c>
      <c r="F5924">
        <v>23482</v>
      </c>
    </row>
    <row r="5925" spans="1:6" x14ac:dyDescent="0.25">
      <c r="A5925" s="4">
        <v>43028</v>
      </c>
      <c r="B5925">
        <v>211.1823</v>
      </c>
      <c r="C5925">
        <v>212.51329999999999</v>
      </c>
      <c r="D5925">
        <v>210.73869999999999</v>
      </c>
      <c r="E5925">
        <v>210.73869999999999</v>
      </c>
      <c r="F5925">
        <v>27056</v>
      </c>
    </row>
    <row r="5926" spans="1:6" x14ac:dyDescent="0.25">
      <c r="A5926" s="4">
        <v>43031</v>
      </c>
      <c r="B5926">
        <v>212.06970000000001</v>
      </c>
      <c r="C5926">
        <v>212.95699999999999</v>
      </c>
      <c r="D5926">
        <v>211.626</v>
      </c>
      <c r="E5926">
        <v>212.06970000000001</v>
      </c>
      <c r="F5926">
        <v>15960</v>
      </c>
    </row>
    <row r="5927" spans="1:6" x14ac:dyDescent="0.25">
      <c r="A5927" s="4">
        <v>43032</v>
      </c>
      <c r="B5927">
        <v>212.95699999999999</v>
      </c>
      <c r="C5927">
        <v>212.95699999999999</v>
      </c>
      <c r="D5927">
        <v>211.1823</v>
      </c>
      <c r="E5927">
        <v>211.1823</v>
      </c>
      <c r="F5927">
        <v>16101</v>
      </c>
    </row>
    <row r="5928" spans="1:6" x14ac:dyDescent="0.25">
      <c r="A5928" s="4">
        <v>43033</v>
      </c>
      <c r="B5928">
        <v>211.626</v>
      </c>
      <c r="C5928">
        <v>212.06970000000001</v>
      </c>
      <c r="D5928">
        <v>210.73869999999999</v>
      </c>
      <c r="E5928">
        <v>211.1823</v>
      </c>
      <c r="F5928">
        <v>17205</v>
      </c>
    </row>
    <row r="5929" spans="1:6" x14ac:dyDescent="0.25">
      <c r="A5929" s="4">
        <v>43034</v>
      </c>
      <c r="B5929">
        <v>210.29499999999999</v>
      </c>
      <c r="C5929">
        <v>211.1823</v>
      </c>
      <c r="D5929">
        <v>209.40770000000001</v>
      </c>
      <c r="E5929">
        <v>209.40770000000001</v>
      </c>
      <c r="F5929">
        <v>12960</v>
      </c>
    </row>
    <row r="5930" spans="1:6" x14ac:dyDescent="0.25">
      <c r="A5930" s="4">
        <v>43035</v>
      </c>
      <c r="B5930">
        <v>210.73869999999999</v>
      </c>
      <c r="C5930">
        <v>212.95699999999999</v>
      </c>
      <c r="D5930">
        <v>210.73869999999999</v>
      </c>
      <c r="E5930">
        <v>212.06970000000001</v>
      </c>
      <c r="F5930">
        <v>18041</v>
      </c>
    </row>
    <row r="5931" spans="1:6" x14ac:dyDescent="0.25">
      <c r="A5931" s="4">
        <v>43038</v>
      </c>
      <c r="B5931">
        <v>214.73159999999999</v>
      </c>
      <c r="C5931">
        <v>217.39359999999999</v>
      </c>
      <c r="D5931">
        <v>214.28800000000001</v>
      </c>
      <c r="E5931">
        <v>215.619</v>
      </c>
      <c r="F5931">
        <v>30242</v>
      </c>
    </row>
    <row r="5932" spans="1:6" x14ac:dyDescent="0.25">
      <c r="A5932" s="4">
        <v>43039</v>
      </c>
      <c r="B5932">
        <v>216.0626</v>
      </c>
      <c r="C5932">
        <v>217.39359999999999</v>
      </c>
      <c r="D5932">
        <v>214.28800000000001</v>
      </c>
      <c r="E5932">
        <v>215.619</v>
      </c>
      <c r="F5932">
        <v>22582</v>
      </c>
    </row>
    <row r="5933" spans="1:6" x14ac:dyDescent="0.25">
      <c r="A5933" s="4">
        <v>43040</v>
      </c>
      <c r="B5933">
        <v>216.0626</v>
      </c>
      <c r="C5933">
        <v>217.39359999999999</v>
      </c>
      <c r="D5933">
        <v>214.28800000000001</v>
      </c>
      <c r="E5933">
        <v>215.17529999999999</v>
      </c>
      <c r="F5933">
        <v>20465</v>
      </c>
    </row>
    <row r="5934" spans="1:6" x14ac:dyDescent="0.25">
      <c r="A5934" s="4">
        <v>43041</v>
      </c>
      <c r="B5934">
        <v>214.73159999999999</v>
      </c>
      <c r="C5934">
        <v>215.17529999999999</v>
      </c>
      <c r="D5934">
        <v>213.4007</v>
      </c>
      <c r="E5934">
        <v>213.8443</v>
      </c>
      <c r="F5934">
        <v>16309</v>
      </c>
    </row>
    <row r="5935" spans="1:6" x14ac:dyDescent="0.25">
      <c r="A5935" s="4">
        <v>43042</v>
      </c>
      <c r="B5935">
        <v>213.4007</v>
      </c>
      <c r="C5935">
        <v>213.8443</v>
      </c>
      <c r="D5935">
        <v>211.626</v>
      </c>
      <c r="E5935">
        <v>212.06970000000001</v>
      </c>
      <c r="F5935">
        <v>18328</v>
      </c>
    </row>
    <row r="5936" spans="1:6" x14ac:dyDescent="0.25">
      <c r="A5936" s="4">
        <v>43045</v>
      </c>
      <c r="B5936">
        <v>216.0626</v>
      </c>
      <c r="C5936">
        <v>216.50630000000001</v>
      </c>
      <c r="D5936">
        <v>212.06970000000001</v>
      </c>
      <c r="E5936">
        <v>212.51329999999999</v>
      </c>
      <c r="F5936">
        <v>21030</v>
      </c>
    </row>
    <row r="5937" spans="1:6" x14ac:dyDescent="0.25">
      <c r="A5937" s="4">
        <v>43046</v>
      </c>
      <c r="B5937">
        <v>214.73159999999999</v>
      </c>
      <c r="C5937">
        <v>216.50630000000001</v>
      </c>
      <c r="D5937">
        <v>214.28800000000001</v>
      </c>
      <c r="E5937">
        <v>216.50630000000001</v>
      </c>
      <c r="F5937">
        <v>21689</v>
      </c>
    </row>
    <row r="5938" spans="1:6" x14ac:dyDescent="0.25">
      <c r="A5938" s="4">
        <v>43047</v>
      </c>
      <c r="B5938">
        <v>215.619</v>
      </c>
      <c r="C5938">
        <v>216.0626</v>
      </c>
      <c r="D5938">
        <v>214.73159999999999</v>
      </c>
      <c r="E5938">
        <v>215.17529999999999</v>
      </c>
      <c r="F5938">
        <v>14579</v>
      </c>
    </row>
    <row r="5939" spans="1:6" x14ac:dyDescent="0.25">
      <c r="A5939" s="4">
        <v>43048</v>
      </c>
      <c r="B5939">
        <v>213.4007</v>
      </c>
      <c r="C5939">
        <v>215.619</v>
      </c>
      <c r="D5939">
        <v>212.95699999999999</v>
      </c>
      <c r="E5939">
        <v>213.8443</v>
      </c>
      <c r="F5939">
        <v>21367</v>
      </c>
    </row>
    <row r="5940" spans="1:6" x14ac:dyDescent="0.25">
      <c r="A5940" s="4">
        <v>43049</v>
      </c>
      <c r="B5940">
        <v>212.95699999999999</v>
      </c>
      <c r="C5940">
        <v>214.73159999999999</v>
      </c>
      <c r="D5940">
        <v>212.51329999999999</v>
      </c>
      <c r="E5940">
        <v>213.4007</v>
      </c>
      <c r="F5940">
        <v>15061</v>
      </c>
    </row>
    <row r="5941" spans="1:6" x14ac:dyDescent="0.25">
      <c r="A5941" s="4">
        <v>43052</v>
      </c>
      <c r="B5941">
        <v>212.95699999999999</v>
      </c>
      <c r="C5941">
        <v>214.28800000000001</v>
      </c>
      <c r="D5941">
        <v>212.51329999999999</v>
      </c>
      <c r="E5941">
        <v>212.51329999999999</v>
      </c>
      <c r="F5941">
        <v>12088</v>
      </c>
    </row>
    <row r="5942" spans="1:6" x14ac:dyDescent="0.25">
      <c r="A5942" s="4">
        <v>43053</v>
      </c>
      <c r="B5942">
        <v>213.8443</v>
      </c>
      <c r="C5942">
        <v>213.8443</v>
      </c>
      <c r="D5942">
        <v>212.06970000000001</v>
      </c>
      <c r="E5942">
        <v>212.95699999999999</v>
      </c>
      <c r="F5942">
        <v>17229</v>
      </c>
    </row>
    <row r="5943" spans="1:6" x14ac:dyDescent="0.25">
      <c r="A5943" s="4">
        <v>43054</v>
      </c>
      <c r="B5943">
        <v>212.06970000000001</v>
      </c>
      <c r="C5943">
        <v>212.51329999999999</v>
      </c>
      <c r="D5943">
        <v>209.40770000000001</v>
      </c>
      <c r="E5943">
        <v>210.73869999999999</v>
      </c>
      <c r="F5943">
        <v>29720</v>
      </c>
    </row>
    <row r="5944" spans="1:6" x14ac:dyDescent="0.25">
      <c r="A5944" s="4">
        <v>43055</v>
      </c>
      <c r="B5944">
        <v>211.1823</v>
      </c>
      <c r="C5944">
        <v>212.95699999999999</v>
      </c>
      <c r="D5944">
        <v>210.73869999999999</v>
      </c>
      <c r="E5944">
        <v>211.1823</v>
      </c>
      <c r="F5944">
        <v>17274</v>
      </c>
    </row>
    <row r="5945" spans="1:6" x14ac:dyDescent="0.25">
      <c r="A5945" s="4">
        <v>43056</v>
      </c>
      <c r="B5945">
        <v>213.4007</v>
      </c>
      <c r="C5945">
        <v>215.17529999999999</v>
      </c>
      <c r="D5945">
        <v>213.4007</v>
      </c>
      <c r="E5945">
        <v>214.28800000000001</v>
      </c>
      <c r="F5945">
        <v>18742</v>
      </c>
    </row>
    <row r="5946" spans="1:6" x14ac:dyDescent="0.25">
      <c r="A5946" s="4">
        <v>43059</v>
      </c>
      <c r="B5946">
        <v>213.8443</v>
      </c>
      <c r="C5946">
        <v>214.28800000000001</v>
      </c>
      <c r="D5946">
        <v>211.1823</v>
      </c>
      <c r="E5946">
        <v>211.626</v>
      </c>
      <c r="F5946">
        <v>19811</v>
      </c>
    </row>
    <row r="5947" spans="1:6" x14ac:dyDescent="0.25">
      <c r="A5947" s="4">
        <v>43060</v>
      </c>
      <c r="B5947">
        <v>212.95699999999999</v>
      </c>
      <c r="C5947">
        <v>215.619</v>
      </c>
      <c r="D5947">
        <v>212.51329999999999</v>
      </c>
      <c r="E5947">
        <v>215.619</v>
      </c>
      <c r="F5947">
        <v>22878</v>
      </c>
    </row>
    <row r="5948" spans="1:6" x14ac:dyDescent="0.25">
      <c r="A5948" s="4">
        <v>43061</v>
      </c>
      <c r="B5948">
        <v>216.94990000000001</v>
      </c>
      <c r="C5948">
        <v>216.94990000000001</v>
      </c>
      <c r="D5948">
        <v>214.73159999999999</v>
      </c>
      <c r="E5948">
        <v>214.73159999999999</v>
      </c>
      <c r="F5948">
        <v>27251</v>
      </c>
    </row>
    <row r="5949" spans="1:6" x14ac:dyDescent="0.25">
      <c r="A5949" s="4">
        <v>43062</v>
      </c>
      <c r="B5949">
        <v>214.73159999999999</v>
      </c>
      <c r="C5949">
        <v>216.0626</v>
      </c>
      <c r="D5949">
        <v>214.28800000000001</v>
      </c>
      <c r="E5949">
        <v>215.17529999999999</v>
      </c>
      <c r="F5949">
        <v>9563</v>
      </c>
    </row>
    <row r="5950" spans="1:6" x14ac:dyDescent="0.25">
      <c r="A5950" s="4">
        <v>43063</v>
      </c>
      <c r="B5950">
        <v>214.73159999999999</v>
      </c>
      <c r="C5950">
        <v>216.94990000000001</v>
      </c>
      <c r="D5950">
        <v>214.28800000000001</v>
      </c>
      <c r="E5950">
        <v>216.50630000000001</v>
      </c>
      <c r="F5950">
        <v>11404</v>
      </c>
    </row>
    <row r="5951" spans="1:6" x14ac:dyDescent="0.25">
      <c r="A5951" s="4">
        <v>43066</v>
      </c>
      <c r="B5951">
        <v>212.95699999999999</v>
      </c>
      <c r="C5951">
        <v>212.95699999999999</v>
      </c>
      <c r="D5951">
        <v>210.29499999999999</v>
      </c>
      <c r="E5951">
        <v>210.29499999999999</v>
      </c>
      <c r="F5951">
        <v>32247</v>
      </c>
    </row>
    <row r="5952" spans="1:6" x14ac:dyDescent="0.25">
      <c r="A5952" s="4">
        <v>43067</v>
      </c>
      <c r="B5952">
        <v>208.07669999999999</v>
      </c>
      <c r="C5952">
        <v>208.5204</v>
      </c>
      <c r="D5952">
        <v>206.7457</v>
      </c>
      <c r="E5952">
        <v>207.63310000000001</v>
      </c>
      <c r="F5952">
        <v>47834</v>
      </c>
    </row>
    <row r="5953" spans="1:6" x14ac:dyDescent="0.25">
      <c r="A5953" s="4">
        <v>43068</v>
      </c>
      <c r="B5953">
        <v>208.5204</v>
      </c>
      <c r="C5953">
        <v>209.40770000000001</v>
      </c>
      <c r="D5953">
        <v>208.07669999999999</v>
      </c>
      <c r="E5953">
        <v>208.07669999999999</v>
      </c>
      <c r="F5953">
        <v>26536</v>
      </c>
    </row>
    <row r="5954" spans="1:6" x14ac:dyDescent="0.25">
      <c r="A5954" s="4">
        <v>43069</v>
      </c>
      <c r="B5954">
        <v>200.97819999999999</v>
      </c>
      <c r="C5954">
        <v>204.5274</v>
      </c>
      <c r="D5954">
        <v>200.53450000000001</v>
      </c>
      <c r="E5954">
        <v>200.53450000000001</v>
      </c>
      <c r="F5954">
        <v>112263</v>
      </c>
    </row>
    <row r="5955" spans="1:6" x14ac:dyDescent="0.25">
      <c r="A5955" s="4">
        <v>43070</v>
      </c>
      <c r="B5955">
        <v>202.75280000000001</v>
      </c>
      <c r="C5955">
        <v>207.18940000000001</v>
      </c>
      <c r="D5955">
        <v>201.8655</v>
      </c>
      <c r="E5955">
        <v>204.97110000000001</v>
      </c>
      <c r="F5955">
        <v>38356</v>
      </c>
    </row>
    <row r="5956" spans="1:6" x14ac:dyDescent="0.25">
      <c r="A5956" s="4">
        <v>43073</v>
      </c>
      <c r="B5956">
        <v>206.3021</v>
      </c>
      <c r="C5956">
        <v>208.07669999999999</v>
      </c>
      <c r="D5956">
        <v>204.97110000000001</v>
      </c>
      <c r="E5956">
        <v>207.63310000000001</v>
      </c>
      <c r="F5956">
        <v>22939</v>
      </c>
    </row>
    <row r="5957" spans="1:6" x14ac:dyDescent="0.25">
      <c r="A5957" s="4">
        <v>43074</v>
      </c>
      <c r="B5957">
        <v>204.97110000000001</v>
      </c>
      <c r="C5957">
        <v>204.97110000000001</v>
      </c>
      <c r="D5957">
        <v>202.75280000000001</v>
      </c>
      <c r="E5957">
        <v>203.64009999999999</v>
      </c>
      <c r="F5957">
        <v>30190</v>
      </c>
    </row>
    <row r="5958" spans="1:6" x14ac:dyDescent="0.25">
      <c r="A5958" s="4">
        <v>43075</v>
      </c>
      <c r="B5958">
        <v>202.3091</v>
      </c>
      <c r="C5958">
        <v>203.64009999999999</v>
      </c>
      <c r="D5958">
        <v>200.97819999999999</v>
      </c>
      <c r="E5958">
        <v>201.42179999999999</v>
      </c>
      <c r="F5958">
        <v>34032</v>
      </c>
    </row>
    <row r="5959" spans="1:6" x14ac:dyDescent="0.25">
      <c r="A5959" s="4">
        <v>43076</v>
      </c>
      <c r="B5959">
        <v>200.97819999999999</v>
      </c>
      <c r="C5959">
        <v>200.97819999999999</v>
      </c>
      <c r="D5959">
        <v>197.4289</v>
      </c>
      <c r="E5959">
        <v>200.97819999999999</v>
      </c>
      <c r="F5959">
        <v>41620</v>
      </c>
    </row>
    <row r="5960" spans="1:6" x14ac:dyDescent="0.25">
      <c r="A5960" s="4">
        <v>43077</v>
      </c>
      <c r="B5960">
        <v>204.97110000000001</v>
      </c>
      <c r="C5960">
        <v>204.97110000000001</v>
      </c>
      <c r="D5960">
        <v>199.20349999999999</v>
      </c>
      <c r="E5960">
        <v>201.42179999999999</v>
      </c>
      <c r="F5960">
        <v>38183</v>
      </c>
    </row>
    <row r="5961" spans="1:6" x14ac:dyDescent="0.25">
      <c r="A5961" s="4">
        <v>43080</v>
      </c>
      <c r="B5961">
        <v>202.75280000000001</v>
      </c>
      <c r="C5961">
        <v>203.19649999999999</v>
      </c>
      <c r="D5961">
        <v>201.42179999999999</v>
      </c>
      <c r="E5961">
        <v>201.8655</v>
      </c>
      <c r="F5961">
        <v>20650</v>
      </c>
    </row>
    <row r="5962" spans="1:6" x14ac:dyDescent="0.25">
      <c r="A5962" s="4">
        <v>43081</v>
      </c>
      <c r="B5962">
        <v>203.64009999999999</v>
      </c>
      <c r="C5962">
        <v>203.64009999999999</v>
      </c>
      <c r="D5962">
        <v>199.6472</v>
      </c>
      <c r="E5962">
        <v>201.8655</v>
      </c>
      <c r="F5962">
        <v>28189</v>
      </c>
    </row>
    <row r="5963" spans="1:6" x14ac:dyDescent="0.25">
      <c r="A5963" s="4">
        <v>43082</v>
      </c>
      <c r="B5963">
        <v>201.8655</v>
      </c>
      <c r="C5963">
        <v>202.3091</v>
      </c>
      <c r="D5963">
        <v>200.97819999999999</v>
      </c>
      <c r="E5963">
        <v>201.42179999999999</v>
      </c>
      <c r="F5963">
        <v>19619</v>
      </c>
    </row>
    <row r="5964" spans="1:6" x14ac:dyDescent="0.25">
      <c r="A5964" s="4">
        <v>43083</v>
      </c>
      <c r="B5964">
        <v>202.3091</v>
      </c>
      <c r="C5964">
        <v>204.5274</v>
      </c>
      <c r="D5964">
        <v>201.8655</v>
      </c>
      <c r="E5964">
        <v>204.5274</v>
      </c>
      <c r="F5964">
        <v>17263</v>
      </c>
    </row>
    <row r="5965" spans="1:6" x14ac:dyDescent="0.25">
      <c r="A5965" s="4">
        <v>43084</v>
      </c>
      <c r="B5965">
        <v>202.75280000000001</v>
      </c>
      <c r="C5965">
        <v>204.0838</v>
      </c>
      <c r="D5965">
        <v>200.97819999999999</v>
      </c>
      <c r="E5965">
        <v>204.0838</v>
      </c>
      <c r="F5965">
        <v>42726</v>
      </c>
    </row>
    <row r="5966" spans="1:6" x14ac:dyDescent="0.25">
      <c r="A5966" s="4">
        <v>43087</v>
      </c>
      <c r="B5966">
        <v>201.42179999999999</v>
      </c>
      <c r="C5966">
        <v>202.3091</v>
      </c>
      <c r="D5966">
        <v>200.97819999999999</v>
      </c>
      <c r="E5966">
        <v>201.42179999999999</v>
      </c>
      <c r="F5966">
        <v>15703</v>
      </c>
    </row>
    <row r="5967" spans="1:6" x14ac:dyDescent="0.25">
      <c r="A5967" s="4">
        <v>43088</v>
      </c>
      <c r="B5967">
        <v>200.97819999999999</v>
      </c>
      <c r="C5967">
        <v>202.75280000000001</v>
      </c>
      <c r="D5967">
        <v>198.75989999999999</v>
      </c>
      <c r="E5967">
        <v>199.6472</v>
      </c>
      <c r="F5967">
        <v>25899</v>
      </c>
    </row>
    <row r="5968" spans="1:6" x14ac:dyDescent="0.25">
      <c r="A5968" s="4">
        <v>43089</v>
      </c>
      <c r="B5968">
        <v>199.6472</v>
      </c>
      <c r="C5968">
        <v>200.0908</v>
      </c>
      <c r="D5968">
        <v>198.31620000000001</v>
      </c>
      <c r="E5968">
        <v>199.20349999999999</v>
      </c>
      <c r="F5968">
        <v>34514</v>
      </c>
    </row>
    <row r="5969" spans="1:6" x14ac:dyDescent="0.25">
      <c r="A5969" s="4">
        <v>43090</v>
      </c>
      <c r="B5969">
        <v>200.97819999999999</v>
      </c>
      <c r="C5969">
        <v>201.42179999999999</v>
      </c>
      <c r="D5969">
        <v>199.20349999999999</v>
      </c>
      <c r="E5969">
        <v>199.6472</v>
      </c>
      <c r="F5969">
        <v>20826</v>
      </c>
    </row>
    <row r="5970" spans="1:6" x14ac:dyDescent="0.25">
      <c r="A5970" s="4">
        <v>43091</v>
      </c>
      <c r="B5970">
        <v>199.6472</v>
      </c>
      <c r="C5970">
        <v>201.8655</v>
      </c>
      <c r="D5970">
        <v>198.75989999999999</v>
      </c>
      <c r="E5970">
        <v>201.8655</v>
      </c>
      <c r="F5970">
        <v>19106</v>
      </c>
    </row>
    <row r="5971" spans="1:6" x14ac:dyDescent="0.25">
      <c r="A5971" s="4">
        <v>43094</v>
      </c>
      <c r="B5971">
        <v>202.3091</v>
      </c>
      <c r="C5971">
        <v>203.64009999999999</v>
      </c>
      <c r="D5971">
        <v>200.97819999999999</v>
      </c>
      <c r="E5971">
        <v>202.75280000000001</v>
      </c>
      <c r="F5971">
        <v>4580</v>
      </c>
    </row>
    <row r="5972" spans="1:6" x14ac:dyDescent="0.25">
      <c r="A5972" s="4">
        <v>43095</v>
      </c>
      <c r="B5972">
        <v>203.19649999999999</v>
      </c>
      <c r="C5972">
        <v>203.19649999999999</v>
      </c>
      <c r="D5972">
        <v>199.6472</v>
      </c>
      <c r="E5972">
        <v>200.53450000000001</v>
      </c>
      <c r="F5972">
        <v>13756</v>
      </c>
    </row>
    <row r="5973" spans="1:6" x14ac:dyDescent="0.25">
      <c r="A5973" s="4">
        <v>43096</v>
      </c>
      <c r="B5973">
        <v>199.6472</v>
      </c>
      <c r="C5973">
        <v>200.53450000000001</v>
      </c>
      <c r="D5973">
        <v>199.6472</v>
      </c>
      <c r="E5973">
        <v>199.6472</v>
      </c>
      <c r="F5973">
        <v>12515</v>
      </c>
    </row>
    <row r="5974" spans="1:6" x14ac:dyDescent="0.25">
      <c r="A5974" s="4">
        <v>43097</v>
      </c>
      <c r="B5974">
        <v>200.97819999999999</v>
      </c>
      <c r="C5974">
        <v>202.3091</v>
      </c>
      <c r="D5974">
        <v>199.6472</v>
      </c>
      <c r="E5974">
        <v>200.53450000000001</v>
      </c>
      <c r="F5974">
        <v>24370</v>
      </c>
    </row>
    <row r="5975" spans="1:6" x14ac:dyDescent="0.25">
      <c r="A5975" s="4">
        <v>43098</v>
      </c>
      <c r="B5975">
        <v>201.8655</v>
      </c>
      <c r="C5975">
        <v>204.0838</v>
      </c>
      <c r="D5975">
        <v>200.97819999999999</v>
      </c>
      <c r="E5975">
        <v>203.64009999999999</v>
      </c>
      <c r="F5975">
        <v>25610</v>
      </c>
    </row>
    <row r="5976" spans="1:6" x14ac:dyDescent="0.25">
      <c r="A5976" s="4">
        <v>43102</v>
      </c>
      <c r="B5976">
        <v>205.41480000000001</v>
      </c>
      <c r="C5976">
        <v>206.3021</v>
      </c>
      <c r="D5976">
        <v>204.97110000000001</v>
      </c>
      <c r="E5976">
        <v>206.3021</v>
      </c>
      <c r="F5976">
        <v>18055</v>
      </c>
    </row>
    <row r="5977" spans="1:6" x14ac:dyDescent="0.25">
      <c r="A5977" s="4">
        <v>43103</v>
      </c>
      <c r="B5977">
        <v>209.40770000000001</v>
      </c>
      <c r="C5977">
        <v>211.1823</v>
      </c>
      <c r="D5977">
        <v>208.964</v>
      </c>
      <c r="E5977">
        <v>210.29499999999999</v>
      </c>
      <c r="F5977">
        <v>31706</v>
      </c>
    </row>
    <row r="5978" spans="1:6" x14ac:dyDescent="0.25">
      <c r="A5978" s="4">
        <v>43104</v>
      </c>
      <c r="B5978">
        <v>212.95699999999999</v>
      </c>
      <c r="C5978">
        <v>212.95699999999999</v>
      </c>
      <c r="D5978">
        <v>209.85140000000001</v>
      </c>
      <c r="E5978">
        <v>212.51329999999999</v>
      </c>
      <c r="F5978">
        <v>29180</v>
      </c>
    </row>
    <row r="5979" spans="1:6" x14ac:dyDescent="0.25">
      <c r="A5979" s="4">
        <v>43105</v>
      </c>
      <c r="B5979">
        <v>212.95699999999999</v>
      </c>
      <c r="C5979">
        <v>212.95699999999999</v>
      </c>
      <c r="D5979">
        <v>211.1823</v>
      </c>
      <c r="E5979">
        <v>212.95699999999999</v>
      </c>
      <c r="F5979">
        <v>23721</v>
      </c>
    </row>
    <row r="5980" spans="1:6" x14ac:dyDescent="0.25">
      <c r="A5980" s="4">
        <v>43108</v>
      </c>
      <c r="B5980">
        <v>214.73159999999999</v>
      </c>
      <c r="C5980">
        <v>215.17529999999999</v>
      </c>
      <c r="D5980">
        <v>213.4007</v>
      </c>
      <c r="E5980">
        <v>214.73159999999999</v>
      </c>
      <c r="F5980">
        <v>21847</v>
      </c>
    </row>
    <row r="5981" spans="1:6" x14ac:dyDescent="0.25">
      <c r="A5981" s="4">
        <v>43109</v>
      </c>
      <c r="B5981">
        <v>214.73159999999999</v>
      </c>
      <c r="C5981">
        <v>214.73159999999999</v>
      </c>
      <c r="D5981">
        <v>212.51329999999999</v>
      </c>
      <c r="E5981">
        <v>214.73159999999999</v>
      </c>
      <c r="F5981">
        <v>19043</v>
      </c>
    </row>
    <row r="5982" spans="1:6" x14ac:dyDescent="0.25">
      <c r="A5982" s="4">
        <v>43110</v>
      </c>
      <c r="B5982">
        <v>214.28800000000001</v>
      </c>
      <c r="C5982">
        <v>214.73159999999999</v>
      </c>
      <c r="D5982">
        <v>209.40770000000001</v>
      </c>
      <c r="E5982">
        <v>209.85140000000001</v>
      </c>
      <c r="F5982">
        <v>25716</v>
      </c>
    </row>
    <row r="5983" spans="1:6" x14ac:dyDescent="0.25">
      <c r="A5983" s="4">
        <v>43111</v>
      </c>
      <c r="B5983">
        <v>208.5204</v>
      </c>
      <c r="C5983">
        <v>209.40770000000001</v>
      </c>
      <c r="D5983">
        <v>206.3021</v>
      </c>
      <c r="E5983">
        <v>208.5204</v>
      </c>
      <c r="F5983">
        <v>32070</v>
      </c>
    </row>
    <row r="5984" spans="1:6" x14ac:dyDescent="0.25">
      <c r="A5984" s="4">
        <v>43112</v>
      </c>
      <c r="B5984">
        <v>208.07669999999999</v>
      </c>
      <c r="C5984">
        <v>211.1823</v>
      </c>
      <c r="D5984">
        <v>207.18940000000001</v>
      </c>
      <c r="E5984">
        <v>210.29499999999999</v>
      </c>
      <c r="F5984">
        <v>23141</v>
      </c>
    </row>
    <row r="5985" spans="1:6" x14ac:dyDescent="0.25">
      <c r="A5985" s="4">
        <v>43115</v>
      </c>
      <c r="B5985">
        <v>212.95699999999999</v>
      </c>
      <c r="C5985">
        <v>212.95699999999999</v>
      </c>
      <c r="D5985">
        <v>211.1823</v>
      </c>
      <c r="E5985">
        <v>212.95699999999999</v>
      </c>
      <c r="F5985">
        <v>28577</v>
      </c>
    </row>
    <row r="5986" spans="1:6" x14ac:dyDescent="0.25">
      <c r="A5986" s="4">
        <v>43116</v>
      </c>
      <c r="B5986">
        <v>212.95699999999999</v>
      </c>
      <c r="C5986">
        <v>213.4007</v>
      </c>
      <c r="D5986">
        <v>211.1823</v>
      </c>
      <c r="E5986">
        <v>213.4007</v>
      </c>
      <c r="F5986">
        <v>23408</v>
      </c>
    </row>
    <row r="5987" spans="1:6" x14ac:dyDescent="0.25">
      <c r="A5987" s="4">
        <v>43117</v>
      </c>
      <c r="B5987">
        <v>213.4007</v>
      </c>
      <c r="C5987">
        <v>215.619</v>
      </c>
      <c r="D5987">
        <v>212.06970000000001</v>
      </c>
      <c r="E5987">
        <v>214.73159999999999</v>
      </c>
      <c r="F5987">
        <v>38118</v>
      </c>
    </row>
    <row r="5988" spans="1:6" x14ac:dyDescent="0.25">
      <c r="A5988" s="4">
        <v>43118</v>
      </c>
      <c r="B5988">
        <v>217.39359999999999</v>
      </c>
      <c r="C5988">
        <v>221.83019999999999</v>
      </c>
      <c r="D5988">
        <v>217.39359999999999</v>
      </c>
      <c r="E5988">
        <v>220.4992</v>
      </c>
      <c r="F5988">
        <v>50120</v>
      </c>
    </row>
    <row r="5989" spans="1:6" x14ac:dyDescent="0.25">
      <c r="A5989" s="4">
        <v>43119</v>
      </c>
      <c r="B5989">
        <v>224.9358</v>
      </c>
      <c r="C5989">
        <v>226.7105</v>
      </c>
      <c r="D5989">
        <v>223.16120000000001</v>
      </c>
      <c r="E5989">
        <v>226.7105</v>
      </c>
      <c r="F5989">
        <v>55061</v>
      </c>
    </row>
    <row r="5990" spans="1:6" x14ac:dyDescent="0.25">
      <c r="A5990" s="4">
        <v>43122</v>
      </c>
      <c r="B5990">
        <v>228.48509999999999</v>
      </c>
      <c r="C5990">
        <v>232.47800000000001</v>
      </c>
      <c r="D5990">
        <v>228.04140000000001</v>
      </c>
      <c r="E5990">
        <v>232.03440000000001</v>
      </c>
      <c r="F5990">
        <v>45908</v>
      </c>
    </row>
    <row r="5991" spans="1:6" x14ac:dyDescent="0.25">
      <c r="A5991" s="4">
        <v>43123</v>
      </c>
      <c r="B5991">
        <v>232.92169999999999</v>
      </c>
      <c r="C5991">
        <v>236.0273</v>
      </c>
      <c r="D5991">
        <v>232.92169999999999</v>
      </c>
      <c r="E5991">
        <v>236.0273</v>
      </c>
      <c r="F5991">
        <v>34606</v>
      </c>
    </row>
    <row r="5992" spans="1:6" x14ac:dyDescent="0.25">
      <c r="A5992" s="4">
        <v>43124</v>
      </c>
      <c r="B5992">
        <v>233.36539999999999</v>
      </c>
      <c r="C5992">
        <v>233.36539999999999</v>
      </c>
      <c r="D5992">
        <v>227.59780000000001</v>
      </c>
      <c r="E5992">
        <v>228.9288</v>
      </c>
      <c r="F5992">
        <v>42601</v>
      </c>
    </row>
    <row r="5993" spans="1:6" x14ac:dyDescent="0.25">
      <c r="A5993" s="4">
        <v>43125</v>
      </c>
      <c r="B5993">
        <v>228.9288</v>
      </c>
      <c r="C5993">
        <v>234.2527</v>
      </c>
      <c r="D5993">
        <v>227.59780000000001</v>
      </c>
      <c r="E5993">
        <v>228.9288</v>
      </c>
      <c r="F5993">
        <v>46215</v>
      </c>
    </row>
    <row r="5994" spans="1:6" x14ac:dyDescent="0.25">
      <c r="A5994" s="4">
        <v>43126</v>
      </c>
      <c r="B5994">
        <v>227.59780000000001</v>
      </c>
      <c r="C5994">
        <v>228.48509999999999</v>
      </c>
      <c r="D5994">
        <v>224.9358</v>
      </c>
      <c r="E5994">
        <v>226.26679999999999</v>
      </c>
      <c r="F5994">
        <v>43515</v>
      </c>
    </row>
    <row r="5995" spans="1:6" x14ac:dyDescent="0.25">
      <c r="A5995" s="4">
        <v>43129</v>
      </c>
      <c r="B5995">
        <v>229.81610000000001</v>
      </c>
      <c r="C5995">
        <v>232.03440000000001</v>
      </c>
      <c r="D5995">
        <v>226.26679999999999</v>
      </c>
      <c r="E5995">
        <v>229.3724</v>
      </c>
      <c r="F5995">
        <v>31306</v>
      </c>
    </row>
    <row r="5996" spans="1:6" x14ac:dyDescent="0.25">
      <c r="A5996" s="4">
        <v>43130</v>
      </c>
      <c r="B5996">
        <v>227.1541</v>
      </c>
      <c r="C5996">
        <v>228.48509999999999</v>
      </c>
      <c r="D5996">
        <v>224.04849999999999</v>
      </c>
      <c r="E5996">
        <v>224.4922</v>
      </c>
      <c r="F5996">
        <v>37411</v>
      </c>
    </row>
    <row r="5997" spans="1:6" x14ac:dyDescent="0.25">
      <c r="A5997" s="4">
        <v>43131</v>
      </c>
      <c r="B5997">
        <v>224.4922</v>
      </c>
      <c r="C5997">
        <v>228.48509999999999</v>
      </c>
      <c r="D5997">
        <v>223.60480000000001</v>
      </c>
      <c r="E5997">
        <v>226.26679999999999</v>
      </c>
      <c r="F5997">
        <v>45808</v>
      </c>
    </row>
    <row r="5998" spans="1:6" x14ac:dyDescent="0.25">
      <c r="A5998" s="4">
        <v>43132</v>
      </c>
      <c r="B5998">
        <v>228.48509999999999</v>
      </c>
      <c r="C5998">
        <v>231.5907</v>
      </c>
      <c r="D5998">
        <v>228.04140000000001</v>
      </c>
      <c r="E5998">
        <v>230.25970000000001</v>
      </c>
      <c r="F5998">
        <v>30900</v>
      </c>
    </row>
    <row r="5999" spans="1:6" x14ac:dyDescent="0.25">
      <c r="A5999" s="4">
        <v>43133</v>
      </c>
      <c r="B5999">
        <v>229.81610000000001</v>
      </c>
      <c r="C5999">
        <v>230.70339999999999</v>
      </c>
      <c r="D5999">
        <v>226.26679999999999</v>
      </c>
      <c r="E5999">
        <v>230.25970000000001</v>
      </c>
      <c r="F5999">
        <v>25708</v>
      </c>
    </row>
    <row r="6000" spans="1:6" x14ac:dyDescent="0.25">
      <c r="A6000" s="4">
        <v>43136</v>
      </c>
      <c r="B6000">
        <v>222.7175</v>
      </c>
      <c r="C6000">
        <v>225.82310000000001</v>
      </c>
      <c r="D6000">
        <v>222.2739</v>
      </c>
      <c r="E6000">
        <v>224.4922</v>
      </c>
      <c r="F6000">
        <v>46554</v>
      </c>
    </row>
    <row r="6001" spans="1:6" x14ac:dyDescent="0.25">
      <c r="A6001" s="4">
        <v>43137</v>
      </c>
      <c r="B6001">
        <v>215.17529999999999</v>
      </c>
      <c r="C6001">
        <v>216.0626</v>
      </c>
      <c r="D6001">
        <v>207.63310000000001</v>
      </c>
      <c r="E6001">
        <v>212.06970000000001</v>
      </c>
      <c r="F6001">
        <v>104448</v>
      </c>
    </row>
    <row r="6002" spans="1:6" x14ac:dyDescent="0.25">
      <c r="A6002" s="4">
        <v>43138</v>
      </c>
      <c r="B6002">
        <v>217.39359999999999</v>
      </c>
      <c r="C6002">
        <v>217.8373</v>
      </c>
      <c r="D6002">
        <v>212.51329999999999</v>
      </c>
      <c r="E6002">
        <v>212.95699999999999</v>
      </c>
      <c r="F6002">
        <v>82299</v>
      </c>
    </row>
    <row r="6003" spans="1:6" x14ac:dyDescent="0.25">
      <c r="A6003" s="4">
        <v>43139</v>
      </c>
      <c r="B6003">
        <v>212.51329999999999</v>
      </c>
      <c r="C6003">
        <v>214.73159999999999</v>
      </c>
      <c r="D6003">
        <v>211.1823</v>
      </c>
      <c r="E6003">
        <v>211.626</v>
      </c>
      <c r="F6003">
        <v>31193</v>
      </c>
    </row>
    <row r="6004" spans="1:6" x14ac:dyDescent="0.25">
      <c r="A6004" s="4">
        <v>43140</v>
      </c>
      <c r="B6004">
        <v>204.0838</v>
      </c>
      <c r="C6004">
        <v>206.7457</v>
      </c>
      <c r="D6004">
        <v>202.75280000000001</v>
      </c>
      <c r="E6004">
        <v>206.3021</v>
      </c>
      <c r="F6004">
        <v>65939</v>
      </c>
    </row>
    <row r="6005" spans="1:6" x14ac:dyDescent="0.25">
      <c r="A6005" s="4">
        <v>43143</v>
      </c>
      <c r="B6005">
        <v>208.964</v>
      </c>
      <c r="C6005">
        <v>210.73869999999999</v>
      </c>
      <c r="D6005">
        <v>208.5204</v>
      </c>
      <c r="E6005">
        <v>209.85140000000001</v>
      </c>
      <c r="F6005">
        <v>42917</v>
      </c>
    </row>
    <row r="6006" spans="1:6" x14ac:dyDescent="0.25">
      <c r="A6006" s="4">
        <v>43152</v>
      </c>
      <c r="B6006">
        <v>216.94990000000001</v>
      </c>
      <c r="C6006">
        <v>216.94990000000001</v>
      </c>
      <c r="D6006">
        <v>214.73159999999999</v>
      </c>
      <c r="E6006">
        <v>215.17529999999999</v>
      </c>
      <c r="F6006">
        <v>76396</v>
      </c>
    </row>
    <row r="6007" spans="1:6" x14ac:dyDescent="0.25">
      <c r="A6007" s="4">
        <v>43153</v>
      </c>
      <c r="B6007">
        <v>216.50630000000001</v>
      </c>
      <c r="C6007">
        <v>216.50630000000001</v>
      </c>
      <c r="D6007">
        <v>212.06970000000001</v>
      </c>
      <c r="E6007">
        <v>212.51329999999999</v>
      </c>
      <c r="F6007">
        <v>45493</v>
      </c>
    </row>
    <row r="6008" spans="1:6" x14ac:dyDescent="0.25">
      <c r="A6008" s="4">
        <v>43154</v>
      </c>
      <c r="B6008">
        <v>213.8443</v>
      </c>
      <c r="C6008">
        <v>217.39359999999999</v>
      </c>
      <c r="D6008">
        <v>213.8443</v>
      </c>
      <c r="E6008">
        <v>217.39359999999999</v>
      </c>
      <c r="F6008">
        <v>26986</v>
      </c>
    </row>
    <row r="6009" spans="1:6" x14ac:dyDescent="0.25">
      <c r="A6009" s="4">
        <v>43157</v>
      </c>
      <c r="B6009">
        <v>219.16820000000001</v>
      </c>
      <c r="C6009">
        <v>219.61189999999999</v>
      </c>
      <c r="D6009">
        <v>217.39359999999999</v>
      </c>
      <c r="E6009">
        <v>218.72460000000001</v>
      </c>
      <c r="F6009">
        <v>36166</v>
      </c>
    </row>
    <row r="6010" spans="1:6" x14ac:dyDescent="0.25">
      <c r="A6010" s="4">
        <v>43158</v>
      </c>
      <c r="B6010">
        <v>222.2739</v>
      </c>
      <c r="C6010">
        <v>222.2739</v>
      </c>
      <c r="D6010">
        <v>218.2809</v>
      </c>
      <c r="E6010">
        <v>218.2809</v>
      </c>
      <c r="F6010">
        <v>44699</v>
      </c>
    </row>
    <row r="6011" spans="1:6" x14ac:dyDescent="0.25">
      <c r="A6011" s="4">
        <v>43160</v>
      </c>
      <c r="B6011">
        <v>216.50630000000001</v>
      </c>
      <c r="C6011">
        <v>217.39359999999999</v>
      </c>
      <c r="D6011">
        <v>214.73159999999999</v>
      </c>
      <c r="E6011">
        <v>215.619</v>
      </c>
      <c r="F6011">
        <v>43848</v>
      </c>
    </row>
    <row r="6012" spans="1:6" x14ac:dyDescent="0.25">
      <c r="A6012" s="4">
        <v>43161</v>
      </c>
      <c r="B6012">
        <v>212.95699999999999</v>
      </c>
      <c r="C6012">
        <v>213.8443</v>
      </c>
      <c r="D6012">
        <v>211.626</v>
      </c>
      <c r="E6012">
        <v>212.95699999999999</v>
      </c>
      <c r="F6012">
        <v>35289</v>
      </c>
    </row>
    <row r="6013" spans="1:6" x14ac:dyDescent="0.25">
      <c r="A6013" s="4">
        <v>43164</v>
      </c>
      <c r="B6013">
        <v>215.17529999999999</v>
      </c>
      <c r="C6013">
        <v>215.619</v>
      </c>
      <c r="D6013">
        <v>213.4007</v>
      </c>
      <c r="E6013">
        <v>214.28800000000001</v>
      </c>
      <c r="F6013">
        <v>27338</v>
      </c>
    </row>
    <row r="6014" spans="1:6" x14ac:dyDescent="0.25">
      <c r="A6014" s="4">
        <v>43165</v>
      </c>
      <c r="B6014">
        <v>217.8373</v>
      </c>
      <c r="C6014">
        <v>221.83019999999999</v>
      </c>
      <c r="D6014">
        <v>217.8373</v>
      </c>
      <c r="E6014">
        <v>221.83019999999999</v>
      </c>
      <c r="F6014">
        <v>36946</v>
      </c>
    </row>
    <row r="6015" spans="1:6" x14ac:dyDescent="0.25">
      <c r="A6015" s="4">
        <v>43166</v>
      </c>
      <c r="B6015">
        <v>220.0556</v>
      </c>
      <c r="C6015">
        <v>220.4992</v>
      </c>
      <c r="D6015">
        <v>218.2809</v>
      </c>
      <c r="E6015">
        <v>219.16820000000001</v>
      </c>
      <c r="F6015">
        <v>30391</v>
      </c>
    </row>
    <row r="6016" spans="1:6" x14ac:dyDescent="0.25">
      <c r="A6016" s="4">
        <v>43167</v>
      </c>
      <c r="B6016">
        <v>221.38650000000001</v>
      </c>
      <c r="C6016">
        <v>223.16120000000001</v>
      </c>
      <c r="D6016">
        <v>220.94290000000001</v>
      </c>
      <c r="E6016">
        <v>221.38650000000001</v>
      </c>
      <c r="F6016">
        <v>20646</v>
      </c>
    </row>
    <row r="6017" spans="1:6" x14ac:dyDescent="0.25">
      <c r="A6017" s="4">
        <v>43168</v>
      </c>
      <c r="B6017">
        <v>221.83019999999999</v>
      </c>
      <c r="C6017">
        <v>222.7175</v>
      </c>
      <c r="D6017">
        <v>220.4992</v>
      </c>
      <c r="E6017">
        <v>222.2739</v>
      </c>
      <c r="F6017">
        <v>22887</v>
      </c>
    </row>
    <row r="6018" spans="1:6" x14ac:dyDescent="0.25">
      <c r="A6018" s="4">
        <v>43171</v>
      </c>
      <c r="B6018">
        <v>223.60480000000001</v>
      </c>
      <c r="C6018">
        <v>226.26679999999999</v>
      </c>
      <c r="D6018">
        <v>223.16120000000001</v>
      </c>
      <c r="E6018">
        <v>225.37950000000001</v>
      </c>
      <c r="F6018">
        <v>25101</v>
      </c>
    </row>
    <row r="6019" spans="1:6" x14ac:dyDescent="0.25">
      <c r="A6019" s="4">
        <v>43172</v>
      </c>
      <c r="B6019">
        <v>226.7105</v>
      </c>
      <c r="C6019">
        <v>229.81610000000001</v>
      </c>
      <c r="D6019">
        <v>226.26679999999999</v>
      </c>
      <c r="E6019">
        <v>229.81610000000001</v>
      </c>
      <c r="F6019">
        <v>34265</v>
      </c>
    </row>
    <row r="6020" spans="1:6" x14ac:dyDescent="0.25">
      <c r="A6020" s="4">
        <v>43173</v>
      </c>
      <c r="B6020">
        <v>227.59780000000001</v>
      </c>
      <c r="C6020">
        <v>228.48509999999999</v>
      </c>
      <c r="D6020">
        <v>226.7105</v>
      </c>
      <c r="E6020">
        <v>228.04140000000001</v>
      </c>
      <c r="F6020">
        <v>24255</v>
      </c>
    </row>
    <row r="6021" spans="1:6" x14ac:dyDescent="0.25">
      <c r="A6021" s="4">
        <v>43174</v>
      </c>
      <c r="B6021">
        <v>228.9288</v>
      </c>
      <c r="C6021">
        <v>228.9288</v>
      </c>
      <c r="D6021">
        <v>226.26679999999999</v>
      </c>
      <c r="E6021">
        <v>226.26679999999999</v>
      </c>
      <c r="F6021">
        <v>19396</v>
      </c>
    </row>
    <row r="6022" spans="1:6" x14ac:dyDescent="0.25">
      <c r="A6022" s="4">
        <v>43175</v>
      </c>
      <c r="B6022">
        <v>224.4922</v>
      </c>
      <c r="C6022">
        <v>227.1541</v>
      </c>
      <c r="D6022">
        <v>221.38650000000001</v>
      </c>
      <c r="E6022">
        <v>226.26679999999999</v>
      </c>
      <c r="F6022">
        <v>62989</v>
      </c>
    </row>
    <row r="6023" spans="1:6" x14ac:dyDescent="0.25">
      <c r="A6023" s="4">
        <v>43178</v>
      </c>
      <c r="B6023">
        <v>224.04849999999999</v>
      </c>
      <c r="C6023">
        <v>226.7105</v>
      </c>
      <c r="D6023">
        <v>222.7175</v>
      </c>
      <c r="E6023">
        <v>226.26679999999999</v>
      </c>
      <c r="F6023">
        <v>22441</v>
      </c>
    </row>
    <row r="6024" spans="1:6" x14ac:dyDescent="0.25">
      <c r="A6024" s="4">
        <v>43179</v>
      </c>
      <c r="B6024">
        <v>224.4922</v>
      </c>
      <c r="C6024">
        <v>225.37950000000001</v>
      </c>
      <c r="D6024">
        <v>223.16120000000001</v>
      </c>
      <c r="E6024">
        <v>224.4922</v>
      </c>
      <c r="F6024">
        <v>22335</v>
      </c>
    </row>
    <row r="6025" spans="1:6" x14ac:dyDescent="0.25">
      <c r="A6025" s="4">
        <v>43180</v>
      </c>
      <c r="B6025">
        <v>226.26679999999999</v>
      </c>
      <c r="C6025">
        <v>226.26679999999999</v>
      </c>
      <c r="D6025">
        <v>222.7175</v>
      </c>
      <c r="E6025">
        <v>224.04849999999999</v>
      </c>
      <c r="F6025">
        <v>32978</v>
      </c>
    </row>
    <row r="6026" spans="1:6" x14ac:dyDescent="0.25">
      <c r="A6026" s="4">
        <v>43181</v>
      </c>
      <c r="B6026">
        <v>225.82310000000001</v>
      </c>
      <c r="C6026">
        <v>225.82310000000001</v>
      </c>
      <c r="D6026">
        <v>221.38650000000001</v>
      </c>
      <c r="E6026">
        <v>223.16120000000001</v>
      </c>
      <c r="F6026">
        <v>27001</v>
      </c>
    </row>
    <row r="6027" spans="1:6" x14ac:dyDescent="0.25">
      <c r="A6027" s="4">
        <v>43182</v>
      </c>
      <c r="B6027">
        <v>217.39359999999999</v>
      </c>
      <c r="C6027">
        <v>219.16820000000001</v>
      </c>
      <c r="D6027">
        <v>216.50630000000001</v>
      </c>
      <c r="E6027">
        <v>217.39359999999999</v>
      </c>
      <c r="F6027">
        <v>52974</v>
      </c>
    </row>
    <row r="6028" spans="1:6" x14ac:dyDescent="0.25">
      <c r="A6028" s="4">
        <v>43185</v>
      </c>
      <c r="B6028">
        <v>214.28800000000001</v>
      </c>
      <c r="C6028">
        <v>216.94990000000001</v>
      </c>
      <c r="D6028">
        <v>214.28800000000001</v>
      </c>
      <c r="E6028">
        <v>216.0626</v>
      </c>
      <c r="F6028">
        <v>39488</v>
      </c>
    </row>
    <row r="6029" spans="1:6" x14ac:dyDescent="0.25">
      <c r="A6029" s="4">
        <v>43186</v>
      </c>
      <c r="B6029">
        <v>220.0556</v>
      </c>
      <c r="C6029">
        <v>222.7175</v>
      </c>
      <c r="D6029">
        <v>219.16820000000001</v>
      </c>
      <c r="E6029">
        <v>222.7175</v>
      </c>
      <c r="F6029">
        <v>31100</v>
      </c>
    </row>
    <row r="6030" spans="1:6" x14ac:dyDescent="0.25">
      <c r="A6030" s="4">
        <v>43187</v>
      </c>
      <c r="B6030">
        <v>219.61189999999999</v>
      </c>
      <c r="C6030">
        <v>220.0556</v>
      </c>
      <c r="D6030">
        <v>216.50630000000001</v>
      </c>
      <c r="E6030">
        <v>217.39359999999999</v>
      </c>
      <c r="F6030">
        <v>29924</v>
      </c>
    </row>
    <row r="6031" spans="1:6" x14ac:dyDescent="0.25">
      <c r="A6031" s="4">
        <v>43188</v>
      </c>
      <c r="B6031">
        <v>215.619</v>
      </c>
      <c r="C6031">
        <v>219.16820000000001</v>
      </c>
      <c r="D6031">
        <v>215.17529999999999</v>
      </c>
      <c r="E6031">
        <v>216.50630000000001</v>
      </c>
      <c r="F6031">
        <v>36427</v>
      </c>
    </row>
    <row r="6032" spans="1:6" x14ac:dyDescent="0.25">
      <c r="A6032" s="4">
        <v>43189</v>
      </c>
      <c r="B6032">
        <v>219.61189999999999</v>
      </c>
      <c r="C6032">
        <v>221.38650000000001</v>
      </c>
      <c r="D6032">
        <v>218.2809</v>
      </c>
      <c r="E6032">
        <v>218.2809</v>
      </c>
      <c r="F6032">
        <v>16996</v>
      </c>
    </row>
    <row r="6033" spans="1:6" x14ac:dyDescent="0.25">
      <c r="A6033" s="4">
        <v>43190</v>
      </c>
      <c r="B6033">
        <v>219.61189999999999</v>
      </c>
      <c r="C6033">
        <v>220.94290000000001</v>
      </c>
      <c r="D6033">
        <v>218.72460000000001</v>
      </c>
      <c r="E6033">
        <v>219.61189999999999</v>
      </c>
      <c r="F6033">
        <v>3604</v>
      </c>
    </row>
    <row r="6034" spans="1:6" x14ac:dyDescent="0.25">
      <c r="A6034" s="4">
        <v>43192</v>
      </c>
      <c r="B6034">
        <v>220.4992</v>
      </c>
      <c r="C6034">
        <v>220.94290000000001</v>
      </c>
      <c r="D6034">
        <v>217.39359999999999</v>
      </c>
      <c r="E6034">
        <v>218.72460000000001</v>
      </c>
      <c r="F6034">
        <v>19029</v>
      </c>
    </row>
    <row r="6035" spans="1:6" x14ac:dyDescent="0.25">
      <c r="A6035" s="4">
        <v>43193</v>
      </c>
      <c r="B6035">
        <v>215.619</v>
      </c>
      <c r="C6035">
        <v>216.94990000000001</v>
      </c>
      <c r="D6035">
        <v>214.73159999999999</v>
      </c>
      <c r="E6035">
        <v>216.50630000000001</v>
      </c>
      <c r="F6035">
        <v>35814</v>
      </c>
    </row>
    <row r="6036" spans="1:6" x14ac:dyDescent="0.25">
      <c r="A6036" s="4">
        <v>43199</v>
      </c>
      <c r="B6036">
        <v>220.0556</v>
      </c>
      <c r="C6036">
        <v>220.0556</v>
      </c>
      <c r="D6036">
        <v>216.0626</v>
      </c>
      <c r="E6036">
        <v>217.39359999999999</v>
      </c>
      <c r="F6036">
        <v>35466</v>
      </c>
    </row>
    <row r="6037" spans="1:6" x14ac:dyDescent="0.25">
      <c r="A6037" s="4">
        <v>43200</v>
      </c>
      <c r="B6037">
        <v>216.94990000000001</v>
      </c>
      <c r="C6037">
        <v>220.94290000000001</v>
      </c>
      <c r="D6037">
        <v>216.0626</v>
      </c>
      <c r="E6037">
        <v>217.8373</v>
      </c>
      <c r="F6037">
        <v>25269</v>
      </c>
    </row>
    <row r="6038" spans="1:6" x14ac:dyDescent="0.25">
      <c r="A6038" s="4">
        <v>43201</v>
      </c>
      <c r="B6038">
        <v>218.72460000000001</v>
      </c>
      <c r="C6038">
        <v>220.4992</v>
      </c>
      <c r="D6038">
        <v>218.72460000000001</v>
      </c>
      <c r="E6038">
        <v>220.0556</v>
      </c>
      <c r="F6038">
        <v>21778</v>
      </c>
    </row>
    <row r="6039" spans="1:6" x14ac:dyDescent="0.25">
      <c r="A6039" s="4">
        <v>43202</v>
      </c>
      <c r="B6039">
        <v>220.4992</v>
      </c>
      <c r="C6039">
        <v>220.4992</v>
      </c>
      <c r="D6039">
        <v>216.50630000000001</v>
      </c>
      <c r="E6039">
        <v>217.39359999999999</v>
      </c>
      <c r="F6039">
        <v>20477</v>
      </c>
    </row>
    <row r="6040" spans="1:6" x14ac:dyDescent="0.25">
      <c r="A6040" s="4">
        <v>43203</v>
      </c>
      <c r="B6040">
        <v>218.2809</v>
      </c>
      <c r="C6040">
        <v>218.2809</v>
      </c>
      <c r="D6040">
        <v>216.50630000000001</v>
      </c>
      <c r="E6040">
        <v>216.94990000000001</v>
      </c>
      <c r="F6040">
        <v>19947</v>
      </c>
    </row>
    <row r="6041" spans="1:6" x14ac:dyDescent="0.25">
      <c r="A6041" s="4">
        <v>43206</v>
      </c>
      <c r="B6041">
        <v>215.619</v>
      </c>
      <c r="C6041">
        <v>216.50630000000001</v>
      </c>
      <c r="D6041">
        <v>214.73159999999999</v>
      </c>
      <c r="E6041">
        <v>216.0626</v>
      </c>
      <c r="F6041">
        <v>21609</v>
      </c>
    </row>
    <row r="6042" spans="1:6" x14ac:dyDescent="0.25">
      <c r="A6042" s="4">
        <v>43207</v>
      </c>
      <c r="B6042">
        <v>215.619</v>
      </c>
      <c r="C6042">
        <v>216.0626</v>
      </c>
      <c r="D6042">
        <v>210.73869999999999</v>
      </c>
      <c r="E6042">
        <v>211.1823</v>
      </c>
      <c r="F6042">
        <v>42756</v>
      </c>
    </row>
    <row r="6043" spans="1:6" x14ac:dyDescent="0.25">
      <c r="A6043" s="4">
        <v>43208</v>
      </c>
      <c r="B6043">
        <v>212.51329999999999</v>
      </c>
      <c r="C6043">
        <v>214.28800000000001</v>
      </c>
      <c r="D6043">
        <v>209.85140000000001</v>
      </c>
      <c r="E6043">
        <v>211.1823</v>
      </c>
      <c r="F6043">
        <v>44768</v>
      </c>
    </row>
    <row r="6044" spans="1:6" x14ac:dyDescent="0.25">
      <c r="A6044" s="4">
        <v>43209</v>
      </c>
      <c r="B6044">
        <v>214.73159999999999</v>
      </c>
      <c r="C6044">
        <v>216.94990000000001</v>
      </c>
      <c r="D6044">
        <v>213.8443</v>
      </c>
      <c r="E6044">
        <v>216.94990000000001</v>
      </c>
      <c r="F6044">
        <v>33231</v>
      </c>
    </row>
    <row r="6045" spans="1:6" x14ac:dyDescent="0.25">
      <c r="A6045" s="4">
        <v>43210</v>
      </c>
      <c r="B6045">
        <v>202.3091</v>
      </c>
      <c r="C6045">
        <v>205.41480000000001</v>
      </c>
      <c r="D6045">
        <v>202.3091</v>
      </c>
      <c r="E6045">
        <v>203.19649999999999</v>
      </c>
      <c r="F6045">
        <v>129890</v>
      </c>
    </row>
    <row r="6046" spans="1:6" x14ac:dyDescent="0.25">
      <c r="A6046" s="4">
        <v>43213</v>
      </c>
      <c r="B6046">
        <v>200.97819999999999</v>
      </c>
      <c r="C6046">
        <v>201.8655</v>
      </c>
      <c r="D6046">
        <v>199.6472</v>
      </c>
      <c r="E6046">
        <v>200.97819999999999</v>
      </c>
      <c r="F6046">
        <v>71902</v>
      </c>
    </row>
    <row r="6047" spans="1:6" x14ac:dyDescent="0.25">
      <c r="A6047" s="4">
        <v>43214</v>
      </c>
      <c r="B6047">
        <v>199.6472</v>
      </c>
      <c r="C6047">
        <v>201.8655</v>
      </c>
      <c r="D6047">
        <v>199.6472</v>
      </c>
      <c r="E6047">
        <v>201.42179999999999</v>
      </c>
      <c r="F6047">
        <v>45207</v>
      </c>
    </row>
    <row r="6048" spans="1:6" x14ac:dyDescent="0.25">
      <c r="A6048" s="4">
        <v>43215</v>
      </c>
      <c r="B6048">
        <v>200.0908</v>
      </c>
      <c r="C6048">
        <v>200.53450000000001</v>
      </c>
      <c r="D6048">
        <v>198.75989999999999</v>
      </c>
      <c r="E6048">
        <v>199.6472</v>
      </c>
      <c r="F6048">
        <v>48975</v>
      </c>
    </row>
    <row r="6049" spans="1:6" x14ac:dyDescent="0.25">
      <c r="A6049" s="4">
        <v>43216</v>
      </c>
      <c r="B6049">
        <v>199.6472</v>
      </c>
      <c r="C6049">
        <v>200.0908</v>
      </c>
      <c r="D6049">
        <v>196.09790000000001</v>
      </c>
      <c r="E6049">
        <v>196.98519999999999</v>
      </c>
      <c r="F6049">
        <v>48177</v>
      </c>
    </row>
    <row r="6050" spans="1:6" x14ac:dyDescent="0.25">
      <c r="A6050" s="4">
        <v>43217</v>
      </c>
      <c r="B6050">
        <v>199.6472</v>
      </c>
      <c r="C6050">
        <v>200.0908</v>
      </c>
      <c r="D6050">
        <v>196.09790000000001</v>
      </c>
      <c r="E6050">
        <v>198.31620000000001</v>
      </c>
      <c r="F6050">
        <v>34443</v>
      </c>
    </row>
    <row r="6051" spans="1:6" x14ac:dyDescent="0.25">
      <c r="A6051" s="4">
        <v>43220</v>
      </c>
      <c r="B6051">
        <v>199.20349999999999</v>
      </c>
      <c r="C6051">
        <v>202.3091</v>
      </c>
      <c r="D6051">
        <v>197.4289</v>
      </c>
      <c r="E6051">
        <v>201.42179999999999</v>
      </c>
      <c r="F6051">
        <v>28501</v>
      </c>
    </row>
    <row r="6052" spans="1:6" x14ac:dyDescent="0.25">
      <c r="A6052" s="4">
        <v>43222</v>
      </c>
      <c r="B6052">
        <v>201.42179999999999</v>
      </c>
      <c r="C6052">
        <v>201.8655</v>
      </c>
      <c r="D6052">
        <v>197.4289</v>
      </c>
      <c r="E6052">
        <v>197.8725</v>
      </c>
      <c r="F6052">
        <v>38437</v>
      </c>
    </row>
    <row r="6053" spans="1:6" x14ac:dyDescent="0.25">
      <c r="A6053" s="4">
        <v>43223</v>
      </c>
      <c r="B6053">
        <v>196.09790000000001</v>
      </c>
      <c r="C6053">
        <v>197.4289</v>
      </c>
      <c r="D6053">
        <v>195.2106</v>
      </c>
      <c r="E6053">
        <v>195.6542</v>
      </c>
      <c r="F6053">
        <v>33508</v>
      </c>
    </row>
    <row r="6054" spans="1:6" x14ac:dyDescent="0.25">
      <c r="A6054" s="4">
        <v>43224</v>
      </c>
      <c r="B6054">
        <v>196.09790000000001</v>
      </c>
      <c r="C6054">
        <v>198.75989999999999</v>
      </c>
      <c r="D6054">
        <v>195.6542</v>
      </c>
      <c r="E6054">
        <v>197.8725</v>
      </c>
      <c r="F6054">
        <v>28478</v>
      </c>
    </row>
    <row r="6055" spans="1:6" x14ac:dyDescent="0.25">
      <c r="A6055" s="4">
        <v>43227</v>
      </c>
      <c r="B6055">
        <v>199.6472</v>
      </c>
      <c r="C6055">
        <v>200.0908</v>
      </c>
      <c r="D6055">
        <v>196.54159999999999</v>
      </c>
      <c r="E6055">
        <v>198.31620000000001</v>
      </c>
      <c r="F6055">
        <v>23752</v>
      </c>
    </row>
    <row r="6056" spans="1:6" x14ac:dyDescent="0.25">
      <c r="A6056" s="4">
        <v>43228</v>
      </c>
      <c r="B6056">
        <v>198.75989999999999</v>
      </c>
      <c r="C6056">
        <v>202.75280000000001</v>
      </c>
      <c r="D6056">
        <v>198.31620000000001</v>
      </c>
      <c r="E6056">
        <v>202.3091</v>
      </c>
      <c r="F6056">
        <v>40325</v>
      </c>
    </row>
    <row r="6057" spans="1:6" x14ac:dyDescent="0.25">
      <c r="A6057" s="4">
        <v>43229</v>
      </c>
      <c r="B6057">
        <v>202.75280000000001</v>
      </c>
      <c r="C6057">
        <v>205.85839999999999</v>
      </c>
      <c r="D6057">
        <v>202.75280000000001</v>
      </c>
      <c r="E6057">
        <v>203.64009999999999</v>
      </c>
      <c r="F6057">
        <v>35598</v>
      </c>
    </row>
    <row r="6058" spans="1:6" x14ac:dyDescent="0.25">
      <c r="A6058" s="4">
        <v>43230</v>
      </c>
      <c r="B6058">
        <v>204.97110000000001</v>
      </c>
      <c r="C6058">
        <v>205.41480000000001</v>
      </c>
      <c r="D6058">
        <v>203.19649999999999</v>
      </c>
      <c r="E6058">
        <v>203.64009999999999</v>
      </c>
      <c r="F6058">
        <v>27530</v>
      </c>
    </row>
    <row r="6059" spans="1:6" x14ac:dyDescent="0.25">
      <c r="A6059" s="4">
        <v>43231</v>
      </c>
      <c r="B6059">
        <v>205.85839999999999</v>
      </c>
      <c r="C6059">
        <v>207.63310000000001</v>
      </c>
      <c r="D6059">
        <v>204.5274</v>
      </c>
      <c r="E6059">
        <v>206.7457</v>
      </c>
      <c r="F6059">
        <v>30694</v>
      </c>
    </row>
    <row r="6060" spans="1:6" x14ac:dyDescent="0.25">
      <c r="A6060" s="4">
        <v>43234</v>
      </c>
      <c r="B6060">
        <v>208.07669999999999</v>
      </c>
      <c r="C6060">
        <v>208.07669999999999</v>
      </c>
      <c r="D6060">
        <v>206.3021</v>
      </c>
      <c r="E6060">
        <v>206.7457</v>
      </c>
      <c r="F6060">
        <v>23578</v>
      </c>
    </row>
    <row r="6061" spans="1:6" x14ac:dyDescent="0.25">
      <c r="A6061" s="4">
        <v>43235</v>
      </c>
      <c r="B6061">
        <v>207.18940000000001</v>
      </c>
      <c r="C6061">
        <v>207.63310000000001</v>
      </c>
      <c r="D6061">
        <v>203.64009999999999</v>
      </c>
      <c r="E6061">
        <v>204.5274</v>
      </c>
      <c r="F6061">
        <v>23772</v>
      </c>
    </row>
    <row r="6062" spans="1:6" x14ac:dyDescent="0.25">
      <c r="A6062" s="4">
        <v>43236</v>
      </c>
      <c r="B6062">
        <v>203.64009999999999</v>
      </c>
      <c r="C6062">
        <v>204.5274</v>
      </c>
      <c r="D6062">
        <v>202.75280000000001</v>
      </c>
      <c r="E6062">
        <v>204.5274</v>
      </c>
      <c r="F6062">
        <v>14834</v>
      </c>
    </row>
    <row r="6063" spans="1:6" x14ac:dyDescent="0.25">
      <c r="A6063" s="4">
        <v>43237</v>
      </c>
      <c r="B6063">
        <v>204.97110000000001</v>
      </c>
      <c r="C6063">
        <v>205.41480000000001</v>
      </c>
      <c r="D6063">
        <v>200.97819999999999</v>
      </c>
      <c r="E6063">
        <v>200.97819999999999</v>
      </c>
      <c r="F6063">
        <v>27703</v>
      </c>
    </row>
    <row r="6064" spans="1:6" x14ac:dyDescent="0.25">
      <c r="A6064" s="4">
        <v>43238</v>
      </c>
      <c r="B6064">
        <v>200.0908</v>
      </c>
      <c r="C6064">
        <v>201.8655</v>
      </c>
      <c r="D6064">
        <v>198.31620000000001</v>
      </c>
      <c r="E6064">
        <v>198.31620000000001</v>
      </c>
      <c r="F6064">
        <v>28188</v>
      </c>
    </row>
    <row r="6065" spans="1:6" x14ac:dyDescent="0.25">
      <c r="A6065" s="4">
        <v>43241</v>
      </c>
      <c r="B6065">
        <v>199.6472</v>
      </c>
      <c r="C6065">
        <v>204.0838</v>
      </c>
      <c r="D6065">
        <v>199.6472</v>
      </c>
      <c r="E6065">
        <v>203.19649999999999</v>
      </c>
      <c r="F6065">
        <v>16418</v>
      </c>
    </row>
    <row r="6066" spans="1:6" x14ac:dyDescent="0.25">
      <c r="A6066" s="4">
        <v>43242</v>
      </c>
      <c r="B6066">
        <v>204.0838</v>
      </c>
      <c r="C6066">
        <v>207.18940000000001</v>
      </c>
      <c r="D6066">
        <v>203.19649999999999</v>
      </c>
      <c r="E6066">
        <v>203.19649999999999</v>
      </c>
      <c r="F6066">
        <v>22422</v>
      </c>
    </row>
    <row r="6067" spans="1:6" x14ac:dyDescent="0.25">
      <c r="A6067" s="4">
        <v>43243</v>
      </c>
      <c r="B6067">
        <v>205.41480000000001</v>
      </c>
      <c r="C6067">
        <v>205.41480000000001</v>
      </c>
      <c r="D6067">
        <v>202.75280000000001</v>
      </c>
      <c r="E6067">
        <v>202.75280000000001</v>
      </c>
      <c r="F6067">
        <v>26738</v>
      </c>
    </row>
    <row r="6068" spans="1:6" x14ac:dyDescent="0.25">
      <c r="A6068" s="4">
        <v>43244</v>
      </c>
      <c r="B6068">
        <v>203.64009999999999</v>
      </c>
      <c r="C6068">
        <v>204.0838</v>
      </c>
      <c r="D6068">
        <v>202.75280000000001</v>
      </c>
      <c r="E6068">
        <v>203.19649999999999</v>
      </c>
      <c r="F6068">
        <v>13451</v>
      </c>
    </row>
    <row r="6069" spans="1:6" x14ac:dyDescent="0.25">
      <c r="A6069" s="4">
        <v>43245</v>
      </c>
      <c r="B6069">
        <v>202.75280000000001</v>
      </c>
      <c r="C6069">
        <v>203.64009999999999</v>
      </c>
      <c r="D6069">
        <v>202.3091</v>
      </c>
      <c r="E6069">
        <v>202.75280000000001</v>
      </c>
      <c r="F6069">
        <v>16486</v>
      </c>
    </row>
    <row r="6070" spans="1:6" x14ac:dyDescent="0.25">
      <c r="A6070" s="4">
        <v>43248</v>
      </c>
      <c r="B6070">
        <v>203.64009999999999</v>
      </c>
      <c r="C6070">
        <v>204.0838</v>
      </c>
      <c r="D6070">
        <v>200.97819999999999</v>
      </c>
      <c r="E6070">
        <v>201.42179999999999</v>
      </c>
      <c r="F6070">
        <v>17673</v>
      </c>
    </row>
    <row r="6071" spans="1:6" x14ac:dyDescent="0.25">
      <c r="A6071" s="4">
        <v>43249</v>
      </c>
      <c r="B6071">
        <v>200.97819999999999</v>
      </c>
      <c r="C6071">
        <v>200.97819999999999</v>
      </c>
      <c r="D6071">
        <v>198.31620000000001</v>
      </c>
      <c r="E6071">
        <v>199.6472</v>
      </c>
      <c r="F6071">
        <v>25771</v>
      </c>
    </row>
    <row r="6072" spans="1:6" x14ac:dyDescent="0.25">
      <c r="A6072" s="4">
        <v>43250</v>
      </c>
      <c r="B6072">
        <v>198.75989999999999</v>
      </c>
      <c r="C6072">
        <v>198.75989999999999</v>
      </c>
      <c r="D6072">
        <v>195.6542</v>
      </c>
      <c r="E6072">
        <v>196.09790000000001</v>
      </c>
      <c r="F6072">
        <v>49668</v>
      </c>
    </row>
    <row r="6073" spans="1:6" x14ac:dyDescent="0.25">
      <c r="A6073" s="4">
        <v>43251</v>
      </c>
      <c r="B6073">
        <v>196.54159999999999</v>
      </c>
      <c r="C6073">
        <v>198.75989999999999</v>
      </c>
      <c r="D6073">
        <v>195.6542</v>
      </c>
      <c r="E6073">
        <v>198.75989999999999</v>
      </c>
      <c r="F6073">
        <v>96587</v>
      </c>
    </row>
    <row r="6074" spans="1:6" x14ac:dyDescent="0.25">
      <c r="A6074" s="4">
        <v>43252</v>
      </c>
      <c r="B6074">
        <v>199.20349999999999</v>
      </c>
      <c r="C6074">
        <v>200.97819999999999</v>
      </c>
      <c r="D6074">
        <v>198.75989999999999</v>
      </c>
      <c r="E6074">
        <v>198.75989999999999</v>
      </c>
      <c r="F6074">
        <v>36652</v>
      </c>
    </row>
    <row r="6075" spans="1:6" x14ac:dyDescent="0.25">
      <c r="A6075" s="4">
        <v>43255</v>
      </c>
      <c r="B6075">
        <v>201.8655</v>
      </c>
      <c r="C6075">
        <v>203.19649999999999</v>
      </c>
      <c r="D6075">
        <v>201.42179999999999</v>
      </c>
      <c r="E6075">
        <v>203.19649999999999</v>
      </c>
      <c r="F6075">
        <v>31257</v>
      </c>
    </row>
    <row r="6076" spans="1:6" x14ac:dyDescent="0.25">
      <c r="A6076" s="4">
        <v>43256</v>
      </c>
      <c r="B6076">
        <v>204.0838</v>
      </c>
      <c r="C6076">
        <v>204.0838</v>
      </c>
      <c r="D6076">
        <v>200.97819999999999</v>
      </c>
      <c r="E6076">
        <v>203.19649999999999</v>
      </c>
      <c r="F6076">
        <v>27714</v>
      </c>
    </row>
    <row r="6077" spans="1:6" x14ac:dyDescent="0.25">
      <c r="A6077" s="4">
        <v>43257</v>
      </c>
      <c r="B6077">
        <v>203.19649999999999</v>
      </c>
      <c r="C6077">
        <v>204.0838</v>
      </c>
      <c r="D6077">
        <v>201.42179999999999</v>
      </c>
      <c r="E6077">
        <v>204.0838</v>
      </c>
      <c r="F6077">
        <v>30375</v>
      </c>
    </row>
    <row r="6078" spans="1:6" x14ac:dyDescent="0.25">
      <c r="A6078" s="4">
        <v>43258</v>
      </c>
      <c r="B6078">
        <v>204.97110000000001</v>
      </c>
      <c r="C6078">
        <v>205.41480000000001</v>
      </c>
      <c r="D6078">
        <v>202.3091</v>
      </c>
      <c r="E6078">
        <v>204.0838</v>
      </c>
      <c r="F6078">
        <v>25277</v>
      </c>
    </row>
    <row r="6079" spans="1:6" x14ac:dyDescent="0.25">
      <c r="A6079" s="4">
        <v>43259</v>
      </c>
      <c r="B6079">
        <v>203.19649999999999</v>
      </c>
      <c r="C6079">
        <v>203.19649999999999</v>
      </c>
      <c r="D6079">
        <v>200.53450000000001</v>
      </c>
      <c r="E6079">
        <v>201.42179999999999</v>
      </c>
      <c r="F6079">
        <v>24193</v>
      </c>
    </row>
    <row r="6080" spans="1:6" x14ac:dyDescent="0.25">
      <c r="A6080" s="4">
        <v>43262</v>
      </c>
      <c r="B6080">
        <v>200.97819999999999</v>
      </c>
      <c r="C6080">
        <v>201.42179999999999</v>
      </c>
      <c r="D6080">
        <v>199.6472</v>
      </c>
      <c r="E6080">
        <v>200.53450000000001</v>
      </c>
      <c r="F6080">
        <v>22029</v>
      </c>
    </row>
    <row r="6081" spans="1:6" x14ac:dyDescent="0.25">
      <c r="A6081" s="4">
        <v>43263</v>
      </c>
      <c r="B6081">
        <v>199.6472</v>
      </c>
      <c r="C6081">
        <v>203.19649999999999</v>
      </c>
      <c r="D6081">
        <v>198.75989999999999</v>
      </c>
      <c r="E6081">
        <v>203.19649999999999</v>
      </c>
      <c r="F6081">
        <v>30189</v>
      </c>
    </row>
    <row r="6082" spans="1:6" x14ac:dyDescent="0.25">
      <c r="A6082" s="4">
        <v>43264</v>
      </c>
      <c r="B6082">
        <v>203.19649999999999</v>
      </c>
      <c r="C6082">
        <v>205.85839999999999</v>
      </c>
      <c r="D6082">
        <v>202.3091</v>
      </c>
      <c r="E6082">
        <v>205.85839999999999</v>
      </c>
      <c r="F6082">
        <v>36081</v>
      </c>
    </row>
    <row r="6083" spans="1:6" x14ac:dyDescent="0.25">
      <c r="A6083" s="4">
        <v>43265</v>
      </c>
      <c r="B6083">
        <v>204.0838</v>
      </c>
      <c r="C6083">
        <v>204.0838</v>
      </c>
      <c r="D6083">
        <v>200.97819999999999</v>
      </c>
      <c r="E6083">
        <v>200.97819999999999</v>
      </c>
      <c r="F6083">
        <v>36932</v>
      </c>
    </row>
    <row r="6084" spans="1:6" x14ac:dyDescent="0.25">
      <c r="A6084" s="4">
        <v>43266</v>
      </c>
      <c r="B6084">
        <v>199.6472</v>
      </c>
      <c r="C6084">
        <v>204.97110000000001</v>
      </c>
      <c r="D6084">
        <v>198.75989999999999</v>
      </c>
      <c r="E6084">
        <v>204.97110000000001</v>
      </c>
      <c r="F6084">
        <v>49507</v>
      </c>
    </row>
    <row r="6085" spans="1:6" x14ac:dyDescent="0.25">
      <c r="A6085" s="4">
        <v>43270</v>
      </c>
      <c r="B6085">
        <v>200.0908</v>
      </c>
      <c r="C6085">
        <v>200.53450000000001</v>
      </c>
      <c r="D6085">
        <v>198.75989999999999</v>
      </c>
      <c r="E6085">
        <v>199.6472</v>
      </c>
      <c r="F6085">
        <v>61143</v>
      </c>
    </row>
    <row r="6086" spans="1:6" x14ac:dyDescent="0.25">
      <c r="A6086" s="4">
        <v>43271</v>
      </c>
      <c r="B6086">
        <v>199.20349999999999</v>
      </c>
      <c r="C6086">
        <v>201.8655</v>
      </c>
      <c r="D6086">
        <v>198.31620000000001</v>
      </c>
      <c r="E6086">
        <v>200.53450000000001</v>
      </c>
      <c r="F6086">
        <v>40709</v>
      </c>
    </row>
    <row r="6087" spans="1:6" x14ac:dyDescent="0.25">
      <c r="A6087" s="4">
        <v>43272</v>
      </c>
      <c r="B6087">
        <v>201.8655</v>
      </c>
      <c r="C6087">
        <v>202.3091</v>
      </c>
      <c r="D6087">
        <v>200.53450000000001</v>
      </c>
      <c r="E6087">
        <v>200.97819999999999</v>
      </c>
      <c r="F6087">
        <v>32573</v>
      </c>
    </row>
    <row r="6088" spans="1:6" x14ac:dyDescent="0.25">
      <c r="A6088" s="4">
        <v>43273</v>
      </c>
      <c r="B6088">
        <v>199.20349999999999</v>
      </c>
      <c r="C6088">
        <v>201.8655</v>
      </c>
      <c r="D6088">
        <v>198.75989999999999</v>
      </c>
      <c r="E6088">
        <v>201.8655</v>
      </c>
      <c r="F6088">
        <v>44211</v>
      </c>
    </row>
    <row r="6089" spans="1:6" x14ac:dyDescent="0.25">
      <c r="A6089" s="4">
        <v>43276</v>
      </c>
      <c r="B6089">
        <v>202.3253</v>
      </c>
      <c r="C6089">
        <v>202.7851</v>
      </c>
      <c r="D6089">
        <v>200.48599999999999</v>
      </c>
      <c r="E6089">
        <v>200.48599999999999</v>
      </c>
      <c r="F6089">
        <v>49058</v>
      </c>
    </row>
    <row r="6090" spans="1:6" x14ac:dyDescent="0.25">
      <c r="A6090" s="4">
        <v>43277</v>
      </c>
      <c r="B6090">
        <v>198.18680000000001</v>
      </c>
      <c r="C6090">
        <v>198.64670000000001</v>
      </c>
      <c r="D6090">
        <v>195.42789999999999</v>
      </c>
      <c r="E6090">
        <v>197.2672</v>
      </c>
      <c r="F6090">
        <v>43080</v>
      </c>
    </row>
    <row r="6091" spans="1:6" x14ac:dyDescent="0.25">
      <c r="A6091" s="4">
        <v>43278</v>
      </c>
      <c r="B6091">
        <v>198.64670000000001</v>
      </c>
      <c r="C6091">
        <v>198.64670000000001</v>
      </c>
      <c r="D6091">
        <v>195.42789999999999</v>
      </c>
      <c r="E6091">
        <v>195.8877</v>
      </c>
      <c r="F6091">
        <v>40863</v>
      </c>
    </row>
    <row r="6092" spans="1:6" x14ac:dyDescent="0.25">
      <c r="A6092" s="4">
        <v>43279</v>
      </c>
      <c r="B6092">
        <v>194.04839999999999</v>
      </c>
      <c r="C6092">
        <v>197.2672</v>
      </c>
      <c r="D6092">
        <v>193.12870000000001</v>
      </c>
      <c r="E6092">
        <v>194.96799999999999</v>
      </c>
      <c r="F6092">
        <v>38817</v>
      </c>
    </row>
    <row r="6093" spans="1:6" x14ac:dyDescent="0.25">
      <c r="A6093" s="4">
        <v>43280</v>
      </c>
      <c r="B6093">
        <v>194.96799999999999</v>
      </c>
      <c r="C6093">
        <v>199.56630000000001</v>
      </c>
      <c r="D6093">
        <v>194.96799999999999</v>
      </c>
      <c r="E6093">
        <v>199.10650000000001</v>
      </c>
      <c r="F6093">
        <v>36849</v>
      </c>
    </row>
    <row r="6094" spans="1:6" x14ac:dyDescent="0.25">
      <c r="A6094" s="4">
        <v>43283</v>
      </c>
      <c r="B6094">
        <v>200.94579999999999</v>
      </c>
      <c r="C6094">
        <v>201.40559999999999</v>
      </c>
      <c r="D6094">
        <v>196.8073</v>
      </c>
      <c r="E6094">
        <v>196.8073</v>
      </c>
      <c r="F6094">
        <v>33496</v>
      </c>
    </row>
    <row r="6095" spans="1:6" x14ac:dyDescent="0.25">
      <c r="A6095" s="4">
        <v>43284</v>
      </c>
      <c r="B6095">
        <v>198.18680000000001</v>
      </c>
      <c r="C6095">
        <v>200.48599999999999</v>
      </c>
      <c r="D6095">
        <v>196.3475</v>
      </c>
      <c r="E6095">
        <v>197.2672</v>
      </c>
      <c r="F6095">
        <v>28663</v>
      </c>
    </row>
    <row r="6096" spans="1:6" x14ac:dyDescent="0.25">
      <c r="A6096" s="4">
        <v>43285</v>
      </c>
      <c r="B6096">
        <v>199.56630000000001</v>
      </c>
      <c r="C6096">
        <v>200.02619999999999</v>
      </c>
      <c r="D6096">
        <v>198.18680000000001</v>
      </c>
      <c r="E6096">
        <v>198.64670000000001</v>
      </c>
      <c r="F6096">
        <v>15359</v>
      </c>
    </row>
    <row r="6097" spans="1:6" x14ac:dyDescent="0.25">
      <c r="A6097" s="4">
        <v>43286</v>
      </c>
      <c r="B6097">
        <v>196.8073</v>
      </c>
      <c r="C6097">
        <v>197.727</v>
      </c>
      <c r="D6097">
        <v>195.8877</v>
      </c>
      <c r="E6097">
        <v>197.2672</v>
      </c>
      <c r="F6097">
        <v>18225</v>
      </c>
    </row>
    <row r="6098" spans="1:6" x14ac:dyDescent="0.25">
      <c r="A6098" s="4">
        <v>43287</v>
      </c>
      <c r="B6098">
        <v>200.02619999999999</v>
      </c>
      <c r="C6098">
        <v>200.02619999999999</v>
      </c>
      <c r="D6098">
        <v>197.727</v>
      </c>
      <c r="E6098">
        <v>199.56630000000001</v>
      </c>
      <c r="F6098">
        <v>31345</v>
      </c>
    </row>
    <row r="6099" spans="1:6" x14ac:dyDescent="0.25">
      <c r="A6099" s="4">
        <v>43290</v>
      </c>
      <c r="B6099">
        <v>201.8655</v>
      </c>
      <c r="C6099">
        <v>205.08430000000001</v>
      </c>
      <c r="D6099">
        <v>200.94579999999999</v>
      </c>
      <c r="E6099">
        <v>203.70480000000001</v>
      </c>
      <c r="F6099">
        <v>41166</v>
      </c>
    </row>
    <row r="6100" spans="1:6" x14ac:dyDescent="0.25">
      <c r="A6100" s="4">
        <v>43291</v>
      </c>
      <c r="B6100">
        <v>205.08430000000001</v>
      </c>
      <c r="C6100">
        <v>206.00399999999999</v>
      </c>
      <c r="D6100">
        <v>204.16460000000001</v>
      </c>
      <c r="E6100">
        <v>204.16460000000001</v>
      </c>
      <c r="F6100">
        <v>20197</v>
      </c>
    </row>
    <row r="6101" spans="1:6" x14ac:dyDescent="0.25">
      <c r="A6101" s="4">
        <v>43292</v>
      </c>
      <c r="B6101">
        <v>202.3253</v>
      </c>
      <c r="C6101">
        <v>202.3253</v>
      </c>
      <c r="D6101">
        <v>200.48599999999999</v>
      </c>
      <c r="E6101">
        <v>202.3253</v>
      </c>
      <c r="F6101">
        <v>19855</v>
      </c>
    </row>
    <row r="6102" spans="1:6" x14ac:dyDescent="0.25">
      <c r="A6102" s="4">
        <v>43293</v>
      </c>
      <c r="B6102">
        <v>200.48599999999999</v>
      </c>
      <c r="C6102">
        <v>204.16460000000001</v>
      </c>
      <c r="D6102">
        <v>200.48599999999999</v>
      </c>
      <c r="E6102">
        <v>202.7851</v>
      </c>
      <c r="F6102">
        <v>23806</v>
      </c>
    </row>
    <row r="6103" spans="1:6" x14ac:dyDescent="0.25">
      <c r="A6103" s="4">
        <v>43294</v>
      </c>
      <c r="B6103">
        <v>204.62450000000001</v>
      </c>
      <c r="C6103">
        <v>206.46379999999999</v>
      </c>
      <c r="D6103">
        <v>204.62450000000001</v>
      </c>
      <c r="E6103">
        <v>206.46379999999999</v>
      </c>
      <c r="F6103">
        <v>30419</v>
      </c>
    </row>
    <row r="6104" spans="1:6" x14ac:dyDescent="0.25">
      <c r="A6104" s="4">
        <v>43297</v>
      </c>
      <c r="B6104">
        <v>206.46379999999999</v>
      </c>
      <c r="C6104">
        <v>206.92359999999999</v>
      </c>
      <c r="D6104">
        <v>205.54409999999999</v>
      </c>
      <c r="E6104">
        <v>205.54409999999999</v>
      </c>
      <c r="F6104">
        <v>16107</v>
      </c>
    </row>
    <row r="6105" spans="1:6" x14ac:dyDescent="0.25">
      <c r="A6105" s="4">
        <v>43298</v>
      </c>
      <c r="B6105">
        <v>204.62450000000001</v>
      </c>
      <c r="C6105">
        <v>205.54409999999999</v>
      </c>
      <c r="D6105">
        <v>203.245</v>
      </c>
      <c r="E6105">
        <v>203.70480000000001</v>
      </c>
      <c r="F6105">
        <v>22554</v>
      </c>
    </row>
    <row r="6106" spans="1:6" x14ac:dyDescent="0.25">
      <c r="A6106" s="4">
        <v>43299</v>
      </c>
      <c r="B6106">
        <v>205.08430000000001</v>
      </c>
      <c r="C6106">
        <v>206.00399999999999</v>
      </c>
      <c r="D6106">
        <v>204.16460000000001</v>
      </c>
      <c r="E6106">
        <v>205.08430000000001</v>
      </c>
      <c r="F6106">
        <v>45803</v>
      </c>
    </row>
    <row r="6107" spans="1:6" x14ac:dyDescent="0.25">
      <c r="A6107" s="4">
        <v>43300</v>
      </c>
      <c r="B6107">
        <v>207.38339999999999</v>
      </c>
      <c r="C6107">
        <v>208.7629</v>
      </c>
      <c r="D6107">
        <v>206.46379999999999</v>
      </c>
      <c r="E6107">
        <v>206.46379999999999</v>
      </c>
      <c r="F6107">
        <v>43976</v>
      </c>
    </row>
    <row r="6108" spans="1:6" x14ac:dyDescent="0.25">
      <c r="A6108" s="4">
        <v>43301</v>
      </c>
      <c r="B6108">
        <v>216.12020000000001</v>
      </c>
      <c r="C6108">
        <v>218.4194</v>
      </c>
      <c r="D6108">
        <v>214.2809</v>
      </c>
      <c r="E6108">
        <v>218.4194</v>
      </c>
      <c r="F6108">
        <v>103652</v>
      </c>
    </row>
    <row r="6109" spans="1:6" x14ac:dyDescent="0.25">
      <c r="A6109" s="4">
        <v>43304</v>
      </c>
      <c r="B6109">
        <v>219.7989</v>
      </c>
      <c r="C6109">
        <v>225.3168</v>
      </c>
      <c r="D6109">
        <v>219.339</v>
      </c>
      <c r="E6109">
        <v>221.63820000000001</v>
      </c>
      <c r="F6109">
        <v>52270</v>
      </c>
    </row>
    <row r="6110" spans="1:6" x14ac:dyDescent="0.25">
      <c r="A6110" s="4">
        <v>43305</v>
      </c>
      <c r="B6110">
        <v>220.71850000000001</v>
      </c>
      <c r="C6110">
        <v>222.09800000000001</v>
      </c>
      <c r="D6110">
        <v>219.339</v>
      </c>
      <c r="E6110">
        <v>221.63820000000001</v>
      </c>
      <c r="F6110">
        <v>27468</v>
      </c>
    </row>
    <row r="6111" spans="1:6" x14ac:dyDescent="0.25">
      <c r="A6111" s="4">
        <v>43306</v>
      </c>
      <c r="B6111">
        <v>219.7989</v>
      </c>
      <c r="C6111">
        <v>221.63820000000001</v>
      </c>
      <c r="D6111">
        <v>219.7989</v>
      </c>
      <c r="E6111">
        <v>221.17840000000001</v>
      </c>
      <c r="F6111">
        <v>21530</v>
      </c>
    </row>
    <row r="6112" spans="1:6" x14ac:dyDescent="0.25">
      <c r="A6112" s="4">
        <v>43307</v>
      </c>
      <c r="B6112">
        <v>221.63820000000001</v>
      </c>
      <c r="C6112">
        <v>223.01769999999999</v>
      </c>
      <c r="D6112">
        <v>220.2587</v>
      </c>
      <c r="E6112">
        <v>221.63820000000001</v>
      </c>
      <c r="F6112">
        <v>30856</v>
      </c>
    </row>
    <row r="6113" spans="1:6" x14ac:dyDescent="0.25">
      <c r="A6113" s="4">
        <v>43308</v>
      </c>
      <c r="B6113">
        <v>222.55779999999999</v>
      </c>
      <c r="C6113">
        <v>224.857</v>
      </c>
      <c r="D6113">
        <v>221.63820000000001</v>
      </c>
      <c r="E6113">
        <v>224.857</v>
      </c>
      <c r="F6113">
        <v>27130</v>
      </c>
    </row>
    <row r="6114" spans="1:6" x14ac:dyDescent="0.25">
      <c r="A6114" s="4">
        <v>43311</v>
      </c>
      <c r="B6114">
        <v>224.857</v>
      </c>
      <c r="C6114">
        <v>225.77670000000001</v>
      </c>
      <c r="D6114">
        <v>224.3972</v>
      </c>
      <c r="E6114">
        <v>225.77670000000001</v>
      </c>
      <c r="F6114">
        <v>22804</v>
      </c>
    </row>
    <row r="6115" spans="1:6" x14ac:dyDescent="0.25">
      <c r="A6115" s="4">
        <v>43312</v>
      </c>
      <c r="B6115">
        <v>223.93729999999999</v>
      </c>
      <c r="C6115">
        <v>226.23650000000001</v>
      </c>
      <c r="D6115">
        <v>222.55779999999999</v>
      </c>
      <c r="E6115">
        <v>226.23650000000001</v>
      </c>
      <c r="F6115">
        <v>28203</v>
      </c>
    </row>
    <row r="6116" spans="1:6" x14ac:dyDescent="0.25">
      <c r="A6116" s="4">
        <v>43313</v>
      </c>
      <c r="B6116">
        <v>227.15610000000001</v>
      </c>
      <c r="C6116">
        <v>228.07579999999999</v>
      </c>
      <c r="D6116">
        <v>226.69630000000001</v>
      </c>
      <c r="E6116">
        <v>228.07579999999999</v>
      </c>
      <c r="F6116">
        <v>29777</v>
      </c>
    </row>
    <row r="6117" spans="1:6" x14ac:dyDescent="0.25">
      <c r="A6117" s="4">
        <v>43314</v>
      </c>
      <c r="B6117">
        <v>228.99549999999999</v>
      </c>
      <c r="C6117">
        <v>229.45529999999999</v>
      </c>
      <c r="D6117">
        <v>223.93729999999999</v>
      </c>
      <c r="E6117">
        <v>224.857</v>
      </c>
      <c r="F6117">
        <v>22775</v>
      </c>
    </row>
    <row r="6118" spans="1:6" x14ac:dyDescent="0.25">
      <c r="A6118" s="4">
        <v>43315</v>
      </c>
      <c r="B6118">
        <v>226.23650000000001</v>
      </c>
      <c r="C6118">
        <v>228.07579999999999</v>
      </c>
      <c r="D6118">
        <v>225.3168</v>
      </c>
      <c r="E6118">
        <v>227.15610000000001</v>
      </c>
      <c r="F6118">
        <v>25165</v>
      </c>
    </row>
    <row r="6119" spans="1:6" x14ac:dyDescent="0.25">
      <c r="A6119" s="4">
        <v>43318</v>
      </c>
      <c r="B6119">
        <v>225.3168</v>
      </c>
      <c r="C6119">
        <v>227.15610000000001</v>
      </c>
      <c r="D6119">
        <v>224.3972</v>
      </c>
      <c r="E6119">
        <v>225.77670000000001</v>
      </c>
      <c r="F6119">
        <v>22365</v>
      </c>
    </row>
    <row r="6120" spans="1:6" x14ac:dyDescent="0.25">
      <c r="A6120" s="4">
        <v>43319</v>
      </c>
      <c r="B6120">
        <v>225.3168</v>
      </c>
      <c r="C6120">
        <v>225.77670000000001</v>
      </c>
      <c r="D6120">
        <v>222.09800000000001</v>
      </c>
      <c r="E6120">
        <v>222.09800000000001</v>
      </c>
      <c r="F6120">
        <v>24352</v>
      </c>
    </row>
    <row r="6121" spans="1:6" x14ac:dyDescent="0.25">
      <c r="A6121" s="4">
        <v>43320</v>
      </c>
      <c r="B6121">
        <v>225.3168</v>
      </c>
      <c r="C6121">
        <v>227.61600000000001</v>
      </c>
      <c r="D6121">
        <v>224.857</v>
      </c>
      <c r="E6121">
        <v>227.61600000000001</v>
      </c>
      <c r="F6121">
        <v>24382</v>
      </c>
    </row>
    <row r="6122" spans="1:6" x14ac:dyDescent="0.25">
      <c r="A6122" s="4">
        <v>43321</v>
      </c>
      <c r="B6122">
        <v>227.15610000000001</v>
      </c>
      <c r="C6122">
        <v>228.07579999999999</v>
      </c>
      <c r="D6122">
        <v>226.23650000000001</v>
      </c>
      <c r="E6122">
        <v>227.15610000000001</v>
      </c>
      <c r="F6122">
        <v>15129</v>
      </c>
    </row>
    <row r="6123" spans="1:6" x14ac:dyDescent="0.25">
      <c r="A6123" s="4">
        <v>43322</v>
      </c>
      <c r="B6123">
        <v>226.69630000000001</v>
      </c>
      <c r="C6123">
        <v>227.15610000000001</v>
      </c>
      <c r="D6123">
        <v>224.857</v>
      </c>
      <c r="E6123">
        <v>225.3168</v>
      </c>
      <c r="F6123">
        <v>16125</v>
      </c>
    </row>
    <row r="6124" spans="1:6" x14ac:dyDescent="0.25">
      <c r="A6124" s="4">
        <v>43325</v>
      </c>
      <c r="B6124">
        <v>222.09800000000001</v>
      </c>
      <c r="C6124">
        <v>223.47749999999999</v>
      </c>
      <c r="D6124">
        <v>219.7989</v>
      </c>
      <c r="E6124">
        <v>221.17840000000001</v>
      </c>
      <c r="F6124">
        <v>17881</v>
      </c>
    </row>
    <row r="6125" spans="1:6" x14ac:dyDescent="0.25">
      <c r="A6125" s="4">
        <v>43326</v>
      </c>
      <c r="B6125">
        <v>225.3168</v>
      </c>
      <c r="C6125">
        <v>225.3168</v>
      </c>
      <c r="D6125">
        <v>223.01769999999999</v>
      </c>
      <c r="E6125">
        <v>223.93729999999999</v>
      </c>
      <c r="F6125">
        <v>17489</v>
      </c>
    </row>
    <row r="6126" spans="1:6" x14ac:dyDescent="0.25">
      <c r="A6126" s="4">
        <v>43327</v>
      </c>
      <c r="B6126">
        <v>224.857</v>
      </c>
      <c r="C6126">
        <v>224.857</v>
      </c>
      <c r="D6126">
        <v>220.2587</v>
      </c>
      <c r="E6126">
        <v>222.09800000000001</v>
      </c>
      <c r="F6126">
        <v>19236</v>
      </c>
    </row>
    <row r="6127" spans="1:6" x14ac:dyDescent="0.25">
      <c r="A6127" s="4">
        <v>43328</v>
      </c>
      <c r="B6127">
        <v>218.8792</v>
      </c>
      <c r="C6127">
        <v>222.09800000000001</v>
      </c>
      <c r="D6127">
        <v>218.8792</v>
      </c>
      <c r="E6127">
        <v>219.7989</v>
      </c>
      <c r="F6127">
        <v>19156</v>
      </c>
    </row>
    <row r="6128" spans="1:6" x14ac:dyDescent="0.25">
      <c r="A6128" s="4">
        <v>43329</v>
      </c>
      <c r="B6128">
        <v>220.2587</v>
      </c>
      <c r="C6128">
        <v>221.63820000000001</v>
      </c>
      <c r="D6128">
        <v>219.7989</v>
      </c>
      <c r="E6128">
        <v>220.2587</v>
      </c>
      <c r="F6128">
        <v>19634</v>
      </c>
    </row>
    <row r="6129" spans="1:6" x14ac:dyDescent="0.25">
      <c r="A6129" s="4">
        <v>43332</v>
      </c>
      <c r="B6129">
        <v>220.2587</v>
      </c>
      <c r="C6129">
        <v>220.71850000000001</v>
      </c>
      <c r="D6129">
        <v>218.8792</v>
      </c>
      <c r="E6129">
        <v>220.2587</v>
      </c>
      <c r="F6129">
        <v>17014</v>
      </c>
    </row>
    <row r="6130" spans="1:6" x14ac:dyDescent="0.25">
      <c r="A6130" s="4">
        <v>43333</v>
      </c>
      <c r="B6130">
        <v>219.7989</v>
      </c>
      <c r="C6130">
        <v>221.63820000000001</v>
      </c>
      <c r="D6130">
        <v>219.339</v>
      </c>
      <c r="E6130">
        <v>221.63820000000001</v>
      </c>
      <c r="F6130">
        <v>13871</v>
      </c>
    </row>
    <row r="6131" spans="1:6" x14ac:dyDescent="0.25">
      <c r="A6131" s="4">
        <v>43334</v>
      </c>
      <c r="B6131">
        <v>222.09800000000001</v>
      </c>
      <c r="C6131">
        <v>223.01769999999999</v>
      </c>
      <c r="D6131">
        <v>221.17840000000001</v>
      </c>
      <c r="E6131">
        <v>222.55779999999999</v>
      </c>
      <c r="F6131">
        <v>12679</v>
      </c>
    </row>
    <row r="6132" spans="1:6" x14ac:dyDescent="0.25">
      <c r="A6132" s="4">
        <v>43335</v>
      </c>
      <c r="B6132">
        <v>223.47749999999999</v>
      </c>
      <c r="C6132">
        <v>224.857</v>
      </c>
      <c r="D6132">
        <v>223.47749999999999</v>
      </c>
      <c r="E6132">
        <v>224.857</v>
      </c>
      <c r="F6132">
        <v>17216</v>
      </c>
    </row>
    <row r="6133" spans="1:6" x14ac:dyDescent="0.25">
      <c r="A6133" s="4">
        <v>43336</v>
      </c>
      <c r="B6133">
        <v>225.77670000000001</v>
      </c>
      <c r="C6133">
        <v>226.23650000000001</v>
      </c>
      <c r="D6133">
        <v>223.47749999999999</v>
      </c>
      <c r="E6133">
        <v>223.93729999999999</v>
      </c>
      <c r="F6133">
        <v>15447</v>
      </c>
    </row>
    <row r="6134" spans="1:6" x14ac:dyDescent="0.25">
      <c r="A6134" s="4">
        <v>43339</v>
      </c>
      <c r="B6134">
        <v>226.23650000000001</v>
      </c>
      <c r="C6134">
        <v>226.69630000000001</v>
      </c>
      <c r="D6134">
        <v>224.857</v>
      </c>
      <c r="E6134">
        <v>225.3168</v>
      </c>
      <c r="F6134">
        <v>15579</v>
      </c>
    </row>
    <row r="6135" spans="1:6" x14ac:dyDescent="0.25">
      <c r="A6135" s="4">
        <v>43340</v>
      </c>
      <c r="B6135">
        <v>228.53559999999999</v>
      </c>
      <c r="C6135">
        <v>229.9151</v>
      </c>
      <c r="D6135">
        <v>228.07579999999999</v>
      </c>
      <c r="E6135">
        <v>229.45529999999999</v>
      </c>
      <c r="F6135">
        <v>40411</v>
      </c>
    </row>
    <row r="6136" spans="1:6" x14ac:dyDescent="0.25">
      <c r="A6136" s="4">
        <v>43341</v>
      </c>
      <c r="B6136">
        <v>233.13390000000001</v>
      </c>
      <c r="C6136">
        <v>238.19210000000001</v>
      </c>
      <c r="D6136">
        <v>233.13390000000001</v>
      </c>
      <c r="E6136">
        <v>238.19210000000001</v>
      </c>
      <c r="F6136">
        <v>57633</v>
      </c>
    </row>
    <row r="6137" spans="1:6" x14ac:dyDescent="0.25">
      <c r="A6137" s="4">
        <v>43342</v>
      </c>
      <c r="B6137">
        <v>243.25020000000001</v>
      </c>
      <c r="C6137">
        <v>246.46899999999999</v>
      </c>
      <c r="D6137">
        <v>241.4109</v>
      </c>
      <c r="E6137">
        <v>242.3305</v>
      </c>
      <c r="F6137">
        <v>52623</v>
      </c>
    </row>
    <row r="6138" spans="1:6" x14ac:dyDescent="0.25">
      <c r="A6138" s="4">
        <v>43343</v>
      </c>
      <c r="B6138">
        <v>236.8126</v>
      </c>
      <c r="C6138">
        <v>238.19210000000001</v>
      </c>
      <c r="D6138">
        <v>233.59379999999999</v>
      </c>
      <c r="E6138">
        <v>235.4331</v>
      </c>
      <c r="F6138">
        <v>70001</v>
      </c>
    </row>
    <row r="6139" spans="1:6" x14ac:dyDescent="0.25">
      <c r="A6139" s="4">
        <v>43346</v>
      </c>
      <c r="B6139">
        <v>238.19210000000001</v>
      </c>
      <c r="C6139">
        <v>239.11170000000001</v>
      </c>
      <c r="D6139">
        <v>235.8929</v>
      </c>
      <c r="E6139">
        <v>236.3527</v>
      </c>
      <c r="F6139">
        <v>34511</v>
      </c>
    </row>
    <row r="6140" spans="1:6" x14ac:dyDescent="0.25">
      <c r="A6140" s="4">
        <v>43347</v>
      </c>
      <c r="B6140">
        <v>237.73220000000001</v>
      </c>
      <c r="C6140">
        <v>238.65190000000001</v>
      </c>
      <c r="D6140">
        <v>234.97329999999999</v>
      </c>
      <c r="E6140">
        <v>236.8126</v>
      </c>
      <c r="F6140">
        <v>41456</v>
      </c>
    </row>
    <row r="6141" spans="1:6" x14ac:dyDescent="0.25">
      <c r="A6141" s="4">
        <v>43348</v>
      </c>
      <c r="B6141">
        <v>239.11170000000001</v>
      </c>
      <c r="C6141">
        <v>243.25020000000001</v>
      </c>
      <c r="D6141">
        <v>238.19210000000001</v>
      </c>
      <c r="E6141">
        <v>242.79040000000001</v>
      </c>
      <c r="F6141">
        <v>52706</v>
      </c>
    </row>
    <row r="6142" spans="1:6" x14ac:dyDescent="0.25">
      <c r="A6142" s="4">
        <v>43349</v>
      </c>
      <c r="B6142">
        <v>246.46899999999999</v>
      </c>
      <c r="C6142">
        <v>246.46899999999999</v>
      </c>
      <c r="D6142">
        <v>240.03139999999999</v>
      </c>
      <c r="E6142">
        <v>240.03139999999999</v>
      </c>
      <c r="F6142">
        <v>39779</v>
      </c>
    </row>
    <row r="6143" spans="1:6" x14ac:dyDescent="0.25">
      <c r="A6143" s="4">
        <v>43350</v>
      </c>
      <c r="B6143">
        <v>241.8707</v>
      </c>
      <c r="C6143">
        <v>242.79040000000001</v>
      </c>
      <c r="D6143">
        <v>239.57159999999999</v>
      </c>
      <c r="E6143">
        <v>242.79040000000001</v>
      </c>
      <c r="F6143">
        <v>44747</v>
      </c>
    </row>
    <row r="6144" spans="1:6" x14ac:dyDescent="0.25">
      <c r="A6144" s="4">
        <v>43353</v>
      </c>
      <c r="B6144">
        <v>245.08949999999999</v>
      </c>
      <c r="C6144">
        <v>245.08949999999999</v>
      </c>
      <c r="D6144">
        <v>241.4109</v>
      </c>
      <c r="E6144">
        <v>243.25020000000001</v>
      </c>
      <c r="F6144">
        <v>62852</v>
      </c>
    </row>
    <row r="6145" spans="1:6" x14ac:dyDescent="0.25">
      <c r="A6145" s="4">
        <v>43354</v>
      </c>
      <c r="B6145">
        <v>241.8707</v>
      </c>
      <c r="C6145">
        <v>242.3305</v>
      </c>
      <c r="D6145">
        <v>237.2724</v>
      </c>
      <c r="E6145">
        <v>239.11170000000001</v>
      </c>
      <c r="F6145">
        <v>44981</v>
      </c>
    </row>
    <row r="6146" spans="1:6" x14ac:dyDescent="0.25">
      <c r="A6146" s="4">
        <v>43355</v>
      </c>
      <c r="B6146">
        <v>240.03139999999999</v>
      </c>
      <c r="C6146">
        <v>240.9511</v>
      </c>
      <c r="D6146">
        <v>237.2724</v>
      </c>
      <c r="E6146">
        <v>239.57159999999999</v>
      </c>
      <c r="F6146">
        <v>38416</v>
      </c>
    </row>
    <row r="6147" spans="1:6" x14ac:dyDescent="0.25">
      <c r="A6147" s="4">
        <v>43356</v>
      </c>
      <c r="B6147">
        <v>239.11170000000001</v>
      </c>
      <c r="C6147">
        <v>239.11170000000001</v>
      </c>
      <c r="D6147">
        <v>233.13390000000001</v>
      </c>
      <c r="E6147">
        <v>234.51339999999999</v>
      </c>
      <c r="F6147">
        <v>37959</v>
      </c>
    </row>
    <row r="6148" spans="1:6" x14ac:dyDescent="0.25">
      <c r="A6148" s="4">
        <v>43357</v>
      </c>
      <c r="B6148">
        <v>236.3527</v>
      </c>
      <c r="C6148">
        <v>240.49119999999999</v>
      </c>
      <c r="D6148">
        <v>236.3527</v>
      </c>
      <c r="E6148">
        <v>240.03139999999999</v>
      </c>
      <c r="F6148">
        <v>40034</v>
      </c>
    </row>
    <row r="6149" spans="1:6" x14ac:dyDescent="0.25">
      <c r="A6149" s="4">
        <v>43360</v>
      </c>
      <c r="B6149">
        <v>241.4109</v>
      </c>
      <c r="C6149">
        <v>241.4109</v>
      </c>
      <c r="D6149">
        <v>236.3527</v>
      </c>
      <c r="E6149">
        <v>237.2724</v>
      </c>
      <c r="F6149">
        <v>25041</v>
      </c>
    </row>
    <row r="6150" spans="1:6" x14ac:dyDescent="0.25">
      <c r="A6150" s="4">
        <v>43361</v>
      </c>
      <c r="B6150">
        <v>235.8929</v>
      </c>
      <c r="C6150">
        <v>236.3527</v>
      </c>
      <c r="D6150">
        <v>233.59379999999999</v>
      </c>
      <c r="E6150">
        <v>234.05359999999999</v>
      </c>
      <c r="F6150">
        <v>34381</v>
      </c>
    </row>
    <row r="6151" spans="1:6" x14ac:dyDescent="0.25">
      <c r="A6151" s="4">
        <v>43362</v>
      </c>
      <c r="B6151">
        <v>237.2724</v>
      </c>
      <c r="C6151">
        <v>239.11170000000001</v>
      </c>
      <c r="D6151">
        <v>236.3527</v>
      </c>
      <c r="E6151">
        <v>237.2724</v>
      </c>
      <c r="F6151">
        <v>69979</v>
      </c>
    </row>
    <row r="6152" spans="1:6" x14ac:dyDescent="0.25">
      <c r="A6152" s="4">
        <v>43363</v>
      </c>
      <c r="B6152">
        <v>240.49119999999999</v>
      </c>
      <c r="C6152">
        <v>240.49119999999999</v>
      </c>
      <c r="D6152">
        <v>236.8126</v>
      </c>
      <c r="E6152">
        <v>239.11170000000001</v>
      </c>
      <c r="F6152">
        <v>35577</v>
      </c>
    </row>
    <row r="6153" spans="1:6" x14ac:dyDescent="0.25">
      <c r="A6153" s="4">
        <v>43364</v>
      </c>
      <c r="B6153">
        <v>240.49119999999999</v>
      </c>
      <c r="C6153">
        <v>240.49119999999999</v>
      </c>
      <c r="D6153">
        <v>237.2724</v>
      </c>
      <c r="E6153">
        <v>240.49119999999999</v>
      </c>
      <c r="F6153">
        <v>36501</v>
      </c>
    </row>
    <row r="6154" spans="1:6" x14ac:dyDescent="0.25">
      <c r="A6154" s="4">
        <v>43368</v>
      </c>
      <c r="B6154">
        <v>240.49119999999999</v>
      </c>
      <c r="C6154">
        <v>242.79040000000001</v>
      </c>
      <c r="D6154">
        <v>239.57159999999999</v>
      </c>
      <c r="E6154">
        <v>242.3305</v>
      </c>
      <c r="F6154">
        <v>24978</v>
      </c>
    </row>
    <row r="6155" spans="1:6" x14ac:dyDescent="0.25">
      <c r="A6155" s="4">
        <v>43369</v>
      </c>
      <c r="B6155">
        <v>241.8707</v>
      </c>
      <c r="C6155">
        <v>242.3305</v>
      </c>
      <c r="D6155">
        <v>240.03139999999999</v>
      </c>
      <c r="E6155">
        <v>242.3305</v>
      </c>
      <c r="F6155">
        <v>25061</v>
      </c>
    </row>
    <row r="6156" spans="1:6" x14ac:dyDescent="0.25">
      <c r="A6156" s="4">
        <v>43370</v>
      </c>
      <c r="B6156">
        <v>242.79040000000001</v>
      </c>
      <c r="C6156">
        <v>244.62970000000001</v>
      </c>
      <c r="D6156">
        <v>240.9511</v>
      </c>
      <c r="E6156">
        <v>243.71</v>
      </c>
      <c r="F6156">
        <v>38495</v>
      </c>
    </row>
    <row r="6157" spans="1:6" x14ac:dyDescent="0.25">
      <c r="A6157" s="4">
        <v>43371</v>
      </c>
      <c r="B6157">
        <v>244.62970000000001</v>
      </c>
      <c r="C6157">
        <v>244.62970000000001</v>
      </c>
      <c r="D6157">
        <v>239.11170000000001</v>
      </c>
      <c r="E6157">
        <v>241.4109</v>
      </c>
      <c r="F6157">
        <v>39645</v>
      </c>
    </row>
    <row r="6158" spans="1:6" x14ac:dyDescent="0.25">
      <c r="A6158" s="4">
        <v>43374</v>
      </c>
      <c r="B6158">
        <v>240.9511</v>
      </c>
      <c r="C6158">
        <v>242.79040000000001</v>
      </c>
      <c r="D6158">
        <v>240.03139999999999</v>
      </c>
      <c r="E6158">
        <v>241.8707</v>
      </c>
      <c r="F6158">
        <v>22409</v>
      </c>
    </row>
    <row r="6159" spans="1:6" x14ac:dyDescent="0.25">
      <c r="A6159" s="4">
        <v>43375</v>
      </c>
      <c r="B6159">
        <v>240.9511</v>
      </c>
      <c r="C6159">
        <v>241.8707</v>
      </c>
      <c r="D6159">
        <v>236.3527</v>
      </c>
      <c r="E6159">
        <v>236.8126</v>
      </c>
      <c r="F6159">
        <v>38391</v>
      </c>
    </row>
    <row r="6160" spans="1:6" x14ac:dyDescent="0.25">
      <c r="A6160" s="4">
        <v>43376</v>
      </c>
      <c r="B6160">
        <v>236.8126</v>
      </c>
      <c r="C6160">
        <v>239.11170000000001</v>
      </c>
      <c r="D6160">
        <v>236.3527</v>
      </c>
      <c r="E6160">
        <v>239.11170000000001</v>
      </c>
      <c r="F6160">
        <v>25229</v>
      </c>
    </row>
    <row r="6161" spans="1:6" x14ac:dyDescent="0.25">
      <c r="A6161" s="4">
        <v>43377</v>
      </c>
      <c r="B6161">
        <v>236.3527</v>
      </c>
      <c r="C6161">
        <v>236.8126</v>
      </c>
      <c r="D6161">
        <v>233.59379999999999</v>
      </c>
      <c r="E6161">
        <v>233.59379999999999</v>
      </c>
      <c r="F6161">
        <v>38010</v>
      </c>
    </row>
    <row r="6162" spans="1:6" x14ac:dyDescent="0.25">
      <c r="A6162" s="4">
        <v>43378</v>
      </c>
      <c r="B6162">
        <v>229.9151</v>
      </c>
      <c r="C6162">
        <v>232.67410000000001</v>
      </c>
      <c r="D6162">
        <v>228.53559999999999</v>
      </c>
      <c r="E6162">
        <v>229.9151</v>
      </c>
      <c r="F6162">
        <v>40397</v>
      </c>
    </row>
    <row r="6163" spans="1:6" x14ac:dyDescent="0.25">
      <c r="A6163" s="4">
        <v>43381</v>
      </c>
      <c r="B6163">
        <v>225.77670000000001</v>
      </c>
      <c r="C6163">
        <v>226.69630000000001</v>
      </c>
      <c r="D6163">
        <v>221.63820000000001</v>
      </c>
      <c r="E6163">
        <v>223.93729999999999</v>
      </c>
      <c r="F6163">
        <v>51084</v>
      </c>
    </row>
    <row r="6164" spans="1:6" x14ac:dyDescent="0.25">
      <c r="A6164" s="4">
        <v>43382</v>
      </c>
      <c r="B6164">
        <v>223.93729999999999</v>
      </c>
      <c r="C6164">
        <v>225.3168</v>
      </c>
      <c r="D6164">
        <v>222.55779999999999</v>
      </c>
      <c r="E6164">
        <v>224.3972</v>
      </c>
      <c r="F6164">
        <v>28933</v>
      </c>
    </row>
    <row r="6165" spans="1:6" x14ac:dyDescent="0.25">
      <c r="A6165" s="4">
        <v>43384</v>
      </c>
      <c r="B6165">
        <v>214.7407</v>
      </c>
      <c r="C6165">
        <v>214.7407</v>
      </c>
      <c r="D6165">
        <v>208.7629</v>
      </c>
      <c r="E6165">
        <v>209.22280000000001</v>
      </c>
      <c r="F6165">
        <v>96034</v>
      </c>
    </row>
    <row r="6166" spans="1:6" x14ac:dyDescent="0.25">
      <c r="A6166" s="4">
        <v>43385</v>
      </c>
      <c r="B6166">
        <v>212.44159999999999</v>
      </c>
      <c r="C6166">
        <v>217.95949999999999</v>
      </c>
      <c r="D6166">
        <v>210.60230000000001</v>
      </c>
      <c r="E6166">
        <v>217.95949999999999</v>
      </c>
      <c r="F6166">
        <v>54440</v>
      </c>
    </row>
    <row r="6167" spans="1:6" x14ac:dyDescent="0.25">
      <c r="A6167" s="4">
        <v>43388</v>
      </c>
      <c r="B6167">
        <v>215.20060000000001</v>
      </c>
      <c r="C6167">
        <v>215.20060000000001</v>
      </c>
      <c r="D6167">
        <v>211.98169999999999</v>
      </c>
      <c r="E6167">
        <v>211.98169999999999</v>
      </c>
      <c r="F6167">
        <v>46471</v>
      </c>
    </row>
    <row r="6168" spans="1:6" x14ac:dyDescent="0.25">
      <c r="A6168" s="4">
        <v>43389</v>
      </c>
      <c r="B6168">
        <v>211.06209999999999</v>
      </c>
      <c r="C6168">
        <v>217.95949999999999</v>
      </c>
      <c r="D6168">
        <v>210.60230000000001</v>
      </c>
      <c r="E6168">
        <v>217.95949999999999</v>
      </c>
      <c r="F6168">
        <v>39129</v>
      </c>
    </row>
    <row r="6169" spans="1:6" x14ac:dyDescent="0.25">
      <c r="A6169" s="4">
        <v>43390</v>
      </c>
      <c r="B6169">
        <v>222.09800000000001</v>
      </c>
      <c r="C6169">
        <v>223.47749999999999</v>
      </c>
      <c r="D6169">
        <v>218.8792</v>
      </c>
      <c r="E6169">
        <v>219.339</v>
      </c>
      <c r="F6169">
        <v>42888</v>
      </c>
    </row>
    <row r="6170" spans="1:6" x14ac:dyDescent="0.25">
      <c r="A6170" s="4">
        <v>43391</v>
      </c>
      <c r="B6170">
        <v>218.8792</v>
      </c>
      <c r="C6170">
        <v>219.7989</v>
      </c>
      <c r="D6170">
        <v>216.58</v>
      </c>
      <c r="E6170">
        <v>217.49969999999999</v>
      </c>
      <c r="F6170">
        <v>27793</v>
      </c>
    </row>
    <row r="6171" spans="1:6" x14ac:dyDescent="0.25">
      <c r="A6171" s="4">
        <v>43392</v>
      </c>
      <c r="B6171">
        <v>212.44159999999999</v>
      </c>
      <c r="C6171">
        <v>217.49969999999999</v>
      </c>
      <c r="D6171">
        <v>211.52189999999999</v>
      </c>
      <c r="E6171">
        <v>217.03989999999999</v>
      </c>
      <c r="F6171">
        <v>29648</v>
      </c>
    </row>
    <row r="6172" spans="1:6" x14ac:dyDescent="0.25">
      <c r="A6172" s="4">
        <v>43395</v>
      </c>
      <c r="B6172">
        <v>213.8211</v>
      </c>
      <c r="C6172">
        <v>218.8792</v>
      </c>
      <c r="D6172">
        <v>212.9014</v>
      </c>
      <c r="E6172">
        <v>217.95949999999999</v>
      </c>
      <c r="F6172">
        <v>29276</v>
      </c>
    </row>
    <row r="6173" spans="1:6" x14ac:dyDescent="0.25">
      <c r="A6173" s="4">
        <v>43396</v>
      </c>
      <c r="B6173">
        <v>213.3612</v>
      </c>
      <c r="C6173">
        <v>215.20060000000001</v>
      </c>
      <c r="D6173">
        <v>211.52189999999999</v>
      </c>
      <c r="E6173">
        <v>211.52189999999999</v>
      </c>
      <c r="F6173">
        <v>36758</v>
      </c>
    </row>
    <row r="6174" spans="1:6" x14ac:dyDescent="0.25">
      <c r="A6174" s="4">
        <v>43397</v>
      </c>
      <c r="B6174">
        <v>211.52189999999999</v>
      </c>
      <c r="C6174">
        <v>212.44159999999999</v>
      </c>
      <c r="D6174">
        <v>208.7629</v>
      </c>
      <c r="E6174">
        <v>211.06209999999999</v>
      </c>
      <c r="F6174">
        <v>45481</v>
      </c>
    </row>
    <row r="6175" spans="1:6" x14ac:dyDescent="0.25">
      <c r="A6175" s="4">
        <v>43398</v>
      </c>
      <c r="B6175">
        <v>202.7851</v>
      </c>
      <c r="C6175">
        <v>204.16460000000001</v>
      </c>
      <c r="D6175">
        <v>201.8655</v>
      </c>
      <c r="E6175">
        <v>201.8655</v>
      </c>
      <c r="F6175">
        <v>75524</v>
      </c>
    </row>
    <row r="6176" spans="1:6" x14ac:dyDescent="0.25">
      <c r="A6176" s="4">
        <v>43399</v>
      </c>
      <c r="B6176">
        <v>205.08430000000001</v>
      </c>
      <c r="C6176">
        <v>206.00399999999999</v>
      </c>
      <c r="D6176">
        <v>199.56630000000001</v>
      </c>
      <c r="E6176">
        <v>203.245</v>
      </c>
      <c r="F6176">
        <v>54074</v>
      </c>
    </row>
    <row r="6177" spans="1:6" x14ac:dyDescent="0.25">
      <c r="A6177" s="4">
        <v>43402</v>
      </c>
      <c r="B6177">
        <v>205.08430000000001</v>
      </c>
      <c r="C6177">
        <v>206.00399999999999</v>
      </c>
      <c r="D6177">
        <v>203.245</v>
      </c>
      <c r="E6177">
        <v>204.62450000000001</v>
      </c>
      <c r="F6177">
        <v>18464</v>
      </c>
    </row>
    <row r="6178" spans="1:6" x14ac:dyDescent="0.25">
      <c r="A6178" s="4">
        <v>43403</v>
      </c>
      <c r="B6178">
        <v>203.245</v>
      </c>
      <c r="C6178">
        <v>206.92359999999999</v>
      </c>
      <c r="D6178">
        <v>202.7851</v>
      </c>
      <c r="E6178">
        <v>205.08430000000001</v>
      </c>
      <c r="F6178">
        <v>29086</v>
      </c>
    </row>
    <row r="6179" spans="1:6" x14ac:dyDescent="0.25">
      <c r="A6179" s="4">
        <v>43404</v>
      </c>
      <c r="B6179">
        <v>209.68260000000001</v>
      </c>
      <c r="C6179">
        <v>215.20060000000001</v>
      </c>
      <c r="D6179">
        <v>209.68260000000001</v>
      </c>
      <c r="E6179">
        <v>215.20060000000001</v>
      </c>
      <c r="F6179">
        <v>59933</v>
      </c>
    </row>
    <row r="6180" spans="1:6" x14ac:dyDescent="0.25">
      <c r="A6180" s="4">
        <v>43405</v>
      </c>
      <c r="B6180">
        <v>217.03989999999999</v>
      </c>
      <c r="C6180">
        <v>217.95949999999999</v>
      </c>
      <c r="D6180">
        <v>214.2809</v>
      </c>
      <c r="E6180">
        <v>216.58</v>
      </c>
      <c r="F6180">
        <v>44515</v>
      </c>
    </row>
    <row r="6181" spans="1:6" x14ac:dyDescent="0.25">
      <c r="A6181" s="4">
        <v>43406</v>
      </c>
      <c r="B6181">
        <v>217.49969999999999</v>
      </c>
      <c r="C6181">
        <v>217.49969999999999</v>
      </c>
      <c r="D6181">
        <v>214.7407</v>
      </c>
      <c r="E6181">
        <v>217.49969999999999</v>
      </c>
      <c r="F6181">
        <v>30785</v>
      </c>
    </row>
    <row r="6182" spans="1:6" x14ac:dyDescent="0.25">
      <c r="A6182" s="4">
        <v>43409</v>
      </c>
      <c r="B6182">
        <v>214.2809</v>
      </c>
      <c r="C6182">
        <v>216.58</v>
      </c>
      <c r="D6182">
        <v>213.3612</v>
      </c>
      <c r="E6182">
        <v>216.12020000000001</v>
      </c>
      <c r="F6182">
        <v>28157</v>
      </c>
    </row>
    <row r="6183" spans="1:6" x14ac:dyDescent="0.25">
      <c r="A6183" s="4">
        <v>43410</v>
      </c>
      <c r="B6183">
        <v>215.20060000000001</v>
      </c>
      <c r="C6183">
        <v>216.58</v>
      </c>
      <c r="D6183">
        <v>213.8211</v>
      </c>
      <c r="E6183">
        <v>215.66040000000001</v>
      </c>
      <c r="F6183">
        <v>35501</v>
      </c>
    </row>
    <row r="6184" spans="1:6" x14ac:dyDescent="0.25">
      <c r="A6184" s="4">
        <v>43411</v>
      </c>
      <c r="B6184">
        <v>214.2809</v>
      </c>
      <c r="C6184">
        <v>217.03989999999999</v>
      </c>
      <c r="D6184">
        <v>213.8211</v>
      </c>
      <c r="E6184">
        <v>215.20060000000001</v>
      </c>
      <c r="F6184">
        <v>39843</v>
      </c>
    </row>
    <row r="6185" spans="1:6" x14ac:dyDescent="0.25">
      <c r="A6185" s="4">
        <v>43412</v>
      </c>
      <c r="B6185">
        <v>218.4194</v>
      </c>
      <c r="C6185">
        <v>218.4194</v>
      </c>
      <c r="D6185">
        <v>217.03989999999999</v>
      </c>
      <c r="E6185">
        <v>217.49969999999999</v>
      </c>
      <c r="F6185">
        <v>28086</v>
      </c>
    </row>
    <row r="6186" spans="1:6" x14ac:dyDescent="0.25">
      <c r="A6186" s="4">
        <v>43413</v>
      </c>
      <c r="B6186">
        <v>215.66040000000001</v>
      </c>
      <c r="C6186">
        <v>215.66040000000001</v>
      </c>
      <c r="D6186">
        <v>212.44159999999999</v>
      </c>
      <c r="E6186">
        <v>212.44159999999999</v>
      </c>
      <c r="F6186">
        <v>23792</v>
      </c>
    </row>
    <row r="6187" spans="1:6" x14ac:dyDescent="0.25">
      <c r="A6187" s="4">
        <v>43416</v>
      </c>
      <c r="B6187">
        <v>211.52189999999999</v>
      </c>
      <c r="C6187">
        <v>215.66040000000001</v>
      </c>
      <c r="D6187">
        <v>211.52189999999999</v>
      </c>
      <c r="E6187">
        <v>212.9014</v>
      </c>
      <c r="F6187">
        <v>26202</v>
      </c>
    </row>
    <row r="6188" spans="1:6" x14ac:dyDescent="0.25">
      <c r="A6188" s="4">
        <v>43417</v>
      </c>
      <c r="B6188">
        <v>206.46379999999999</v>
      </c>
      <c r="C6188">
        <v>209.68260000000001</v>
      </c>
      <c r="D6188">
        <v>206.46379999999999</v>
      </c>
      <c r="E6188">
        <v>209.22280000000001</v>
      </c>
      <c r="F6188">
        <v>37565</v>
      </c>
    </row>
    <row r="6189" spans="1:6" x14ac:dyDescent="0.25">
      <c r="A6189" s="4">
        <v>43418</v>
      </c>
      <c r="B6189">
        <v>211.52189999999999</v>
      </c>
      <c r="C6189">
        <v>212.44159999999999</v>
      </c>
      <c r="D6189">
        <v>210.14240000000001</v>
      </c>
      <c r="E6189">
        <v>210.14240000000001</v>
      </c>
      <c r="F6189">
        <v>24565</v>
      </c>
    </row>
    <row r="6190" spans="1:6" x14ac:dyDescent="0.25">
      <c r="A6190" s="4">
        <v>43419</v>
      </c>
      <c r="B6190">
        <v>211.06209999999999</v>
      </c>
      <c r="C6190">
        <v>213.3612</v>
      </c>
      <c r="D6190">
        <v>210.14240000000001</v>
      </c>
      <c r="E6190">
        <v>212.44159999999999</v>
      </c>
      <c r="F6190">
        <v>22230</v>
      </c>
    </row>
    <row r="6191" spans="1:6" x14ac:dyDescent="0.25">
      <c r="A6191" s="4">
        <v>43420</v>
      </c>
      <c r="B6191">
        <v>210.60230000000001</v>
      </c>
      <c r="C6191">
        <v>210.60230000000001</v>
      </c>
      <c r="D6191">
        <v>206.92359999999999</v>
      </c>
      <c r="E6191">
        <v>207.8433</v>
      </c>
      <c r="F6191">
        <v>47139</v>
      </c>
    </row>
    <row r="6192" spans="1:6" x14ac:dyDescent="0.25">
      <c r="A6192" s="4">
        <v>43423</v>
      </c>
      <c r="B6192">
        <v>206.92359999999999</v>
      </c>
      <c r="C6192">
        <v>206.92359999999999</v>
      </c>
      <c r="D6192">
        <v>203.245</v>
      </c>
      <c r="E6192">
        <v>204.16460000000001</v>
      </c>
      <c r="F6192">
        <v>51035</v>
      </c>
    </row>
    <row r="6193" spans="1:6" x14ac:dyDescent="0.25">
      <c r="A6193" s="4">
        <v>43424</v>
      </c>
      <c r="B6193">
        <v>201.40559999999999</v>
      </c>
      <c r="C6193">
        <v>202.7851</v>
      </c>
      <c r="D6193">
        <v>200.48599999999999</v>
      </c>
      <c r="E6193">
        <v>200.48599999999999</v>
      </c>
      <c r="F6193">
        <v>45687</v>
      </c>
    </row>
    <row r="6194" spans="1:6" x14ac:dyDescent="0.25">
      <c r="A6194" s="4">
        <v>43425</v>
      </c>
      <c r="B6194">
        <v>197.2672</v>
      </c>
      <c r="C6194">
        <v>202.3253</v>
      </c>
      <c r="D6194">
        <v>196.8073</v>
      </c>
      <c r="E6194">
        <v>201.40559999999999</v>
      </c>
      <c r="F6194">
        <v>38478</v>
      </c>
    </row>
    <row r="6195" spans="1:6" x14ac:dyDescent="0.25">
      <c r="A6195" s="4">
        <v>43426</v>
      </c>
      <c r="B6195">
        <v>203.70480000000001</v>
      </c>
      <c r="C6195">
        <v>204.16460000000001</v>
      </c>
      <c r="D6195">
        <v>201.40559999999999</v>
      </c>
      <c r="E6195">
        <v>201.40559999999999</v>
      </c>
      <c r="F6195">
        <v>22061</v>
      </c>
    </row>
    <row r="6196" spans="1:6" x14ac:dyDescent="0.25">
      <c r="A6196" s="4">
        <v>43427</v>
      </c>
      <c r="B6196">
        <v>202.7851</v>
      </c>
      <c r="C6196">
        <v>202.7851</v>
      </c>
      <c r="D6196">
        <v>199.56630000000001</v>
      </c>
      <c r="E6196">
        <v>200.94579999999999</v>
      </c>
      <c r="F6196">
        <v>15553</v>
      </c>
    </row>
    <row r="6197" spans="1:6" x14ac:dyDescent="0.25">
      <c r="A6197" s="4">
        <v>43430</v>
      </c>
      <c r="B6197">
        <v>201.40559999999999</v>
      </c>
      <c r="C6197">
        <v>206.00399999999999</v>
      </c>
      <c r="D6197">
        <v>200.94579999999999</v>
      </c>
      <c r="E6197">
        <v>205.08430000000001</v>
      </c>
      <c r="F6197">
        <v>35268</v>
      </c>
    </row>
    <row r="6198" spans="1:6" x14ac:dyDescent="0.25">
      <c r="A6198" s="4">
        <v>43431</v>
      </c>
      <c r="B6198">
        <v>202.3253</v>
      </c>
      <c r="C6198">
        <v>206.46379999999999</v>
      </c>
      <c r="D6198">
        <v>201.40559999999999</v>
      </c>
      <c r="E6198">
        <v>206.00399999999999</v>
      </c>
      <c r="F6198">
        <v>32676</v>
      </c>
    </row>
    <row r="6199" spans="1:6" x14ac:dyDescent="0.25">
      <c r="A6199" s="4">
        <v>43432</v>
      </c>
      <c r="B6199">
        <v>204.62450000000001</v>
      </c>
      <c r="C6199">
        <v>208.7629</v>
      </c>
      <c r="D6199">
        <v>204.16460000000001</v>
      </c>
      <c r="E6199">
        <v>208.3031</v>
      </c>
      <c r="F6199">
        <v>24759</v>
      </c>
    </row>
    <row r="6200" spans="1:6" x14ac:dyDescent="0.25">
      <c r="A6200" s="4">
        <v>43433</v>
      </c>
      <c r="B6200">
        <v>212.9014</v>
      </c>
      <c r="C6200">
        <v>212.9014</v>
      </c>
      <c r="D6200">
        <v>210.60230000000001</v>
      </c>
      <c r="E6200">
        <v>210.60230000000001</v>
      </c>
      <c r="F6200">
        <v>46206</v>
      </c>
    </row>
    <row r="6201" spans="1:6" x14ac:dyDescent="0.25">
      <c r="A6201" s="4">
        <v>43434</v>
      </c>
      <c r="B6201">
        <v>211.06209999999999</v>
      </c>
      <c r="C6201">
        <v>212.44159999999999</v>
      </c>
      <c r="D6201">
        <v>207.38339999999999</v>
      </c>
      <c r="E6201">
        <v>207.38339999999999</v>
      </c>
      <c r="F6201">
        <v>57353</v>
      </c>
    </row>
    <row r="6202" spans="1:6" x14ac:dyDescent="0.25">
      <c r="A6202" s="4">
        <v>43437</v>
      </c>
      <c r="B6202">
        <v>212.44159999999999</v>
      </c>
      <c r="C6202">
        <v>216.12020000000001</v>
      </c>
      <c r="D6202">
        <v>212.44159999999999</v>
      </c>
      <c r="E6202">
        <v>216.12020000000001</v>
      </c>
      <c r="F6202">
        <v>49612</v>
      </c>
    </row>
    <row r="6203" spans="1:6" x14ac:dyDescent="0.25">
      <c r="A6203" s="4">
        <v>43438</v>
      </c>
      <c r="B6203">
        <v>214.2809</v>
      </c>
      <c r="C6203">
        <v>215.66040000000001</v>
      </c>
      <c r="D6203">
        <v>212.44159999999999</v>
      </c>
      <c r="E6203">
        <v>215.20060000000001</v>
      </c>
      <c r="F6203">
        <v>41947</v>
      </c>
    </row>
    <row r="6204" spans="1:6" x14ac:dyDescent="0.25">
      <c r="A6204" s="4">
        <v>43439</v>
      </c>
      <c r="B6204">
        <v>208.3031</v>
      </c>
      <c r="C6204">
        <v>209.22280000000001</v>
      </c>
      <c r="D6204">
        <v>206.92359999999999</v>
      </c>
      <c r="E6204">
        <v>207.8433</v>
      </c>
      <c r="F6204">
        <v>45635</v>
      </c>
    </row>
    <row r="6205" spans="1:6" x14ac:dyDescent="0.25">
      <c r="A6205" s="4">
        <v>43440</v>
      </c>
      <c r="B6205">
        <v>202.3253</v>
      </c>
      <c r="C6205">
        <v>204.16460000000001</v>
      </c>
      <c r="D6205">
        <v>201.8655</v>
      </c>
      <c r="E6205">
        <v>202.3253</v>
      </c>
      <c r="F6205">
        <v>40181</v>
      </c>
    </row>
    <row r="6206" spans="1:6" x14ac:dyDescent="0.25">
      <c r="A6206" s="4">
        <v>43441</v>
      </c>
      <c r="B6206">
        <v>204.62450000000001</v>
      </c>
      <c r="C6206">
        <v>205.54409999999999</v>
      </c>
      <c r="D6206">
        <v>202.7851</v>
      </c>
      <c r="E6206">
        <v>203.245</v>
      </c>
      <c r="F6206">
        <v>31998</v>
      </c>
    </row>
    <row r="6207" spans="1:6" x14ac:dyDescent="0.25">
      <c r="A6207" s="4">
        <v>43444</v>
      </c>
      <c r="B6207">
        <v>201.8655</v>
      </c>
      <c r="C6207">
        <v>202.3253</v>
      </c>
      <c r="D6207">
        <v>200.94579999999999</v>
      </c>
      <c r="E6207">
        <v>201.40559999999999</v>
      </c>
      <c r="F6207">
        <v>26229</v>
      </c>
    </row>
    <row r="6208" spans="1:6" x14ac:dyDescent="0.25">
      <c r="A6208" s="4">
        <v>43445</v>
      </c>
      <c r="B6208">
        <v>202.3253</v>
      </c>
      <c r="C6208">
        <v>205.08430000000001</v>
      </c>
      <c r="D6208">
        <v>201.40559999999999</v>
      </c>
      <c r="E6208">
        <v>204.62450000000001</v>
      </c>
      <c r="F6208">
        <v>27395</v>
      </c>
    </row>
    <row r="6209" spans="1:6" x14ac:dyDescent="0.25">
      <c r="A6209" s="4">
        <v>43446</v>
      </c>
      <c r="B6209">
        <v>205.54409999999999</v>
      </c>
      <c r="C6209">
        <v>208.7629</v>
      </c>
      <c r="D6209">
        <v>204.62450000000001</v>
      </c>
      <c r="E6209">
        <v>208.3031</v>
      </c>
      <c r="F6209">
        <v>32926</v>
      </c>
    </row>
    <row r="6210" spans="1:6" x14ac:dyDescent="0.25">
      <c r="A6210" s="4">
        <v>43447</v>
      </c>
      <c r="B6210">
        <v>208.7629</v>
      </c>
      <c r="C6210">
        <v>209.22280000000001</v>
      </c>
      <c r="D6210">
        <v>206.92359999999999</v>
      </c>
      <c r="E6210">
        <v>207.8433</v>
      </c>
      <c r="F6210">
        <v>32433</v>
      </c>
    </row>
    <row r="6211" spans="1:6" x14ac:dyDescent="0.25">
      <c r="A6211" s="4">
        <v>43448</v>
      </c>
      <c r="B6211">
        <v>205.08430000000001</v>
      </c>
      <c r="C6211">
        <v>205.54409999999999</v>
      </c>
      <c r="D6211">
        <v>202.7851</v>
      </c>
      <c r="E6211">
        <v>204.62450000000001</v>
      </c>
      <c r="F6211">
        <v>43226</v>
      </c>
    </row>
    <row r="6212" spans="1:6" x14ac:dyDescent="0.25">
      <c r="A6212" s="4">
        <v>43451</v>
      </c>
      <c r="B6212">
        <v>203.245</v>
      </c>
      <c r="C6212">
        <v>206.92359999999999</v>
      </c>
      <c r="D6212">
        <v>202.3253</v>
      </c>
      <c r="E6212">
        <v>205.54409999999999</v>
      </c>
      <c r="F6212">
        <v>18965</v>
      </c>
    </row>
    <row r="6213" spans="1:6" x14ac:dyDescent="0.25">
      <c r="A6213" s="4">
        <v>43452</v>
      </c>
      <c r="B6213">
        <v>203.245</v>
      </c>
      <c r="C6213">
        <v>205.08430000000001</v>
      </c>
      <c r="D6213">
        <v>202.7851</v>
      </c>
      <c r="E6213">
        <v>204.62450000000001</v>
      </c>
      <c r="F6213">
        <v>30271</v>
      </c>
    </row>
    <row r="6214" spans="1:6" x14ac:dyDescent="0.25">
      <c r="A6214" s="4">
        <v>43453</v>
      </c>
      <c r="B6214">
        <v>204.16460000000001</v>
      </c>
      <c r="C6214">
        <v>207.38339999999999</v>
      </c>
      <c r="D6214">
        <v>204.16460000000001</v>
      </c>
      <c r="E6214">
        <v>207.38339999999999</v>
      </c>
      <c r="F6214">
        <v>23415</v>
      </c>
    </row>
    <row r="6215" spans="1:6" x14ac:dyDescent="0.25">
      <c r="A6215" s="4">
        <v>43454</v>
      </c>
      <c r="B6215">
        <v>203.245</v>
      </c>
      <c r="C6215">
        <v>204.62450000000001</v>
      </c>
      <c r="D6215">
        <v>203.245</v>
      </c>
      <c r="E6215">
        <v>203.245</v>
      </c>
      <c r="F6215">
        <v>38697</v>
      </c>
    </row>
    <row r="6216" spans="1:6" x14ac:dyDescent="0.25">
      <c r="A6216" s="4">
        <v>43455</v>
      </c>
      <c r="B6216">
        <v>201.40559999999999</v>
      </c>
      <c r="C6216">
        <v>206.00399999999999</v>
      </c>
      <c r="D6216">
        <v>201.40559999999999</v>
      </c>
      <c r="E6216">
        <v>205.54409999999999</v>
      </c>
      <c r="F6216">
        <v>46948</v>
      </c>
    </row>
    <row r="6217" spans="1:6" x14ac:dyDescent="0.25">
      <c r="A6217" s="4">
        <v>43456</v>
      </c>
      <c r="B6217">
        <v>202.3253</v>
      </c>
      <c r="C6217">
        <v>203.70480000000001</v>
      </c>
      <c r="D6217">
        <v>202.3253</v>
      </c>
      <c r="E6217">
        <v>203.70480000000001</v>
      </c>
      <c r="F6217">
        <v>5185</v>
      </c>
    </row>
    <row r="6218" spans="1:6" x14ac:dyDescent="0.25">
      <c r="A6218" s="4">
        <v>43458</v>
      </c>
      <c r="B6218">
        <v>203.70480000000001</v>
      </c>
      <c r="C6218">
        <v>203.70480000000001</v>
      </c>
      <c r="D6218">
        <v>201.8655</v>
      </c>
      <c r="E6218">
        <v>202.3253</v>
      </c>
      <c r="F6218">
        <v>23376</v>
      </c>
    </row>
    <row r="6219" spans="1:6" x14ac:dyDescent="0.25">
      <c r="A6219" s="4">
        <v>43459</v>
      </c>
      <c r="B6219">
        <v>198.18680000000001</v>
      </c>
      <c r="C6219">
        <v>200.48599999999999</v>
      </c>
      <c r="D6219">
        <v>197.727</v>
      </c>
      <c r="E6219">
        <v>200.02619999999999</v>
      </c>
      <c r="F6219">
        <v>19403</v>
      </c>
    </row>
    <row r="6220" spans="1:6" x14ac:dyDescent="0.25">
      <c r="A6220" s="4">
        <v>43460</v>
      </c>
      <c r="B6220">
        <v>200.94579999999999</v>
      </c>
      <c r="C6220">
        <v>201.8655</v>
      </c>
      <c r="D6220">
        <v>198.64670000000001</v>
      </c>
      <c r="E6220">
        <v>199.10650000000001</v>
      </c>
      <c r="F6220">
        <v>16893</v>
      </c>
    </row>
    <row r="6221" spans="1:6" x14ac:dyDescent="0.25">
      <c r="A6221" s="4">
        <v>43461</v>
      </c>
      <c r="B6221">
        <v>204.16460000000001</v>
      </c>
      <c r="C6221">
        <v>206.00399999999999</v>
      </c>
      <c r="D6221">
        <v>202.7851</v>
      </c>
      <c r="E6221">
        <v>205.08430000000001</v>
      </c>
      <c r="F6221">
        <v>21915</v>
      </c>
    </row>
    <row r="6222" spans="1:6" x14ac:dyDescent="0.25">
      <c r="A6222" s="4">
        <v>43462</v>
      </c>
      <c r="B6222">
        <v>205.54409999999999</v>
      </c>
      <c r="C6222">
        <v>207.38339999999999</v>
      </c>
      <c r="D6222">
        <v>204.62450000000001</v>
      </c>
      <c r="E6222">
        <v>207.38339999999999</v>
      </c>
      <c r="F6222">
        <v>30157</v>
      </c>
    </row>
    <row r="6223" spans="1:6" x14ac:dyDescent="0.25">
      <c r="A6223" s="4">
        <v>43467</v>
      </c>
      <c r="B6223">
        <v>208.3031</v>
      </c>
      <c r="C6223">
        <v>208.3031</v>
      </c>
      <c r="D6223">
        <v>201.40559999999999</v>
      </c>
      <c r="E6223">
        <v>201.8655</v>
      </c>
      <c r="F6223">
        <v>32900</v>
      </c>
    </row>
    <row r="6224" spans="1:6" x14ac:dyDescent="0.25">
      <c r="A6224" s="4">
        <v>43468</v>
      </c>
      <c r="B6224">
        <v>196.8073</v>
      </c>
      <c r="C6224">
        <v>200.48599999999999</v>
      </c>
      <c r="D6224">
        <v>196.8073</v>
      </c>
      <c r="E6224">
        <v>198.18680000000001</v>
      </c>
      <c r="F6224">
        <v>34616</v>
      </c>
    </row>
    <row r="6225" spans="1:6" x14ac:dyDescent="0.25">
      <c r="A6225" s="4">
        <v>43469</v>
      </c>
      <c r="B6225">
        <v>194.50819999999999</v>
      </c>
      <c r="C6225">
        <v>194.50819999999999</v>
      </c>
      <c r="D6225">
        <v>189.90989999999999</v>
      </c>
      <c r="E6225">
        <v>191.2894</v>
      </c>
      <c r="F6225">
        <v>67044</v>
      </c>
    </row>
    <row r="6226" spans="1:6" x14ac:dyDescent="0.25">
      <c r="A6226" s="4">
        <v>43472</v>
      </c>
      <c r="B6226">
        <v>194.96799999999999</v>
      </c>
      <c r="C6226">
        <v>196.8073</v>
      </c>
      <c r="D6226">
        <v>194.04839999999999</v>
      </c>
      <c r="E6226">
        <v>195.8877</v>
      </c>
      <c r="F6226">
        <v>35695</v>
      </c>
    </row>
    <row r="6227" spans="1:6" x14ac:dyDescent="0.25">
      <c r="A6227" s="4">
        <v>43473</v>
      </c>
      <c r="B6227">
        <v>194.96799999999999</v>
      </c>
      <c r="C6227">
        <v>195.42789999999999</v>
      </c>
      <c r="D6227">
        <v>193.12870000000001</v>
      </c>
      <c r="E6227">
        <v>194.04839999999999</v>
      </c>
      <c r="F6227">
        <v>23794</v>
      </c>
    </row>
    <row r="6228" spans="1:6" x14ac:dyDescent="0.25">
      <c r="A6228" s="4">
        <v>43474</v>
      </c>
      <c r="B6228">
        <v>194.96799999999999</v>
      </c>
      <c r="C6228">
        <v>199.10650000000001</v>
      </c>
      <c r="D6228">
        <v>194.04839999999999</v>
      </c>
      <c r="E6228">
        <v>198.18680000000001</v>
      </c>
      <c r="F6228">
        <v>51255</v>
      </c>
    </row>
    <row r="6229" spans="1:6" x14ac:dyDescent="0.25">
      <c r="A6229" s="4">
        <v>43475</v>
      </c>
      <c r="B6229">
        <v>198.64670000000001</v>
      </c>
      <c r="C6229">
        <v>199.10650000000001</v>
      </c>
      <c r="D6229">
        <v>197.2672</v>
      </c>
      <c r="E6229">
        <v>198.64670000000001</v>
      </c>
      <c r="F6229">
        <v>20833</v>
      </c>
    </row>
    <row r="6230" spans="1:6" x14ac:dyDescent="0.25">
      <c r="A6230" s="4">
        <v>43476</v>
      </c>
      <c r="B6230">
        <v>201.40559999999999</v>
      </c>
      <c r="C6230">
        <v>202.7851</v>
      </c>
      <c r="D6230">
        <v>200.48599999999999</v>
      </c>
      <c r="E6230">
        <v>202.7851</v>
      </c>
      <c r="F6230">
        <v>28658</v>
      </c>
    </row>
    <row r="6231" spans="1:6" x14ac:dyDescent="0.25">
      <c r="A6231" s="4">
        <v>43479</v>
      </c>
      <c r="B6231">
        <v>200.94579999999999</v>
      </c>
      <c r="C6231">
        <v>202.3253</v>
      </c>
      <c r="D6231">
        <v>199.56630000000001</v>
      </c>
      <c r="E6231">
        <v>200.94579999999999</v>
      </c>
      <c r="F6231">
        <v>17612</v>
      </c>
    </row>
    <row r="6232" spans="1:6" x14ac:dyDescent="0.25">
      <c r="A6232" s="4">
        <v>43480</v>
      </c>
      <c r="B6232">
        <v>199.10650000000001</v>
      </c>
      <c r="C6232">
        <v>203.245</v>
      </c>
      <c r="D6232">
        <v>198.18680000000001</v>
      </c>
      <c r="E6232">
        <v>203.245</v>
      </c>
      <c r="F6232">
        <v>42991</v>
      </c>
    </row>
    <row r="6233" spans="1:6" x14ac:dyDescent="0.25">
      <c r="A6233" s="4">
        <v>43481</v>
      </c>
      <c r="B6233">
        <v>200.94579999999999</v>
      </c>
      <c r="C6233">
        <v>202.3253</v>
      </c>
      <c r="D6233">
        <v>200.02619999999999</v>
      </c>
      <c r="E6233">
        <v>200.02619999999999</v>
      </c>
      <c r="F6233">
        <v>30038</v>
      </c>
    </row>
    <row r="6234" spans="1:6" x14ac:dyDescent="0.25">
      <c r="A6234" s="4">
        <v>43482</v>
      </c>
      <c r="B6234">
        <v>200.48599999999999</v>
      </c>
      <c r="C6234">
        <v>203.245</v>
      </c>
      <c r="D6234">
        <v>200.48599999999999</v>
      </c>
      <c r="E6234">
        <v>202.7851</v>
      </c>
      <c r="F6234">
        <v>21164</v>
      </c>
    </row>
    <row r="6235" spans="1:6" x14ac:dyDescent="0.25">
      <c r="A6235" s="4">
        <v>43483</v>
      </c>
      <c r="B6235">
        <v>201.40559999999999</v>
      </c>
      <c r="C6235">
        <v>202.3253</v>
      </c>
      <c r="D6235">
        <v>200.02619999999999</v>
      </c>
      <c r="E6235">
        <v>200.94579999999999</v>
      </c>
      <c r="F6235">
        <v>52678</v>
      </c>
    </row>
    <row r="6236" spans="1:6" x14ac:dyDescent="0.25">
      <c r="A6236" s="4">
        <v>43486</v>
      </c>
      <c r="B6236">
        <v>202.3253</v>
      </c>
      <c r="C6236">
        <v>205.08430000000001</v>
      </c>
      <c r="D6236">
        <v>202.3253</v>
      </c>
      <c r="E6236">
        <v>203.245</v>
      </c>
      <c r="F6236">
        <v>32516</v>
      </c>
    </row>
    <row r="6237" spans="1:6" x14ac:dyDescent="0.25">
      <c r="A6237" s="4">
        <v>43487</v>
      </c>
      <c r="B6237">
        <v>202.3253</v>
      </c>
      <c r="C6237">
        <v>205.08430000000001</v>
      </c>
      <c r="D6237">
        <v>201.40559999999999</v>
      </c>
      <c r="E6237">
        <v>205.08430000000001</v>
      </c>
      <c r="F6237">
        <v>30958</v>
      </c>
    </row>
    <row r="6238" spans="1:6" x14ac:dyDescent="0.25">
      <c r="A6238" s="4">
        <v>43488</v>
      </c>
      <c r="B6238">
        <v>203.70480000000001</v>
      </c>
      <c r="C6238">
        <v>204.16460000000001</v>
      </c>
      <c r="D6238">
        <v>202.3253</v>
      </c>
      <c r="E6238">
        <v>202.7851</v>
      </c>
      <c r="F6238">
        <v>18671</v>
      </c>
    </row>
    <row r="6239" spans="1:6" x14ac:dyDescent="0.25">
      <c r="A6239" s="4">
        <v>43489</v>
      </c>
      <c r="B6239">
        <v>204.62450000000001</v>
      </c>
      <c r="C6239">
        <v>204.62450000000001</v>
      </c>
      <c r="D6239">
        <v>202.7851</v>
      </c>
      <c r="E6239">
        <v>204.62450000000001</v>
      </c>
      <c r="F6239">
        <v>31349</v>
      </c>
    </row>
    <row r="6240" spans="1:6" x14ac:dyDescent="0.25">
      <c r="A6240" s="4">
        <v>43490</v>
      </c>
      <c r="B6240">
        <v>208.3031</v>
      </c>
      <c r="C6240">
        <v>208.7629</v>
      </c>
      <c r="D6240">
        <v>206.92359999999999</v>
      </c>
      <c r="E6240">
        <v>207.8433</v>
      </c>
      <c r="F6240">
        <v>48040</v>
      </c>
    </row>
    <row r="6241" spans="1:6" x14ac:dyDescent="0.25">
      <c r="A6241" s="4">
        <v>43493</v>
      </c>
      <c r="B6241">
        <v>211.06209999999999</v>
      </c>
      <c r="C6241">
        <v>211.06209999999999</v>
      </c>
      <c r="D6241">
        <v>209.68260000000001</v>
      </c>
      <c r="E6241">
        <v>210.60230000000001</v>
      </c>
      <c r="F6241">
        <v>29134</v>
      </c>
    </row>
    <row r="6242" spans="1:6" x14ac:dyDescent="0.25">
      <c r="A6242" s="4">
        <v>43494</v>
      </c>
      <c r="B6242">
        <v>204.62450000000001</v>
      </c>
      <c r="C6242">
        <v>206.92359999999999</v>
      </c>
      <c r="D6242">
        <v>204.16460000000001</v>
      </c>
      <c r="E6242">
        <v>204.62450000000001</v>
      </c>
      <c r="F6242">
        <v>42567</v>
      </c>
    </row>
    <row r="6243" spans="1:6" x14ac:dyDescent="0.25">
      <c r="A6243" s="4">
        <v>43495</v>
      </c>
      <c r="B6243">
        <v>202.7851</v>
      </c>
      <c r="C6243">
        <v>203.70480000000001</v>
      </c>
      <c r="D6243">
        <v>202.3253</v>
      </c>
      <c r="E6243">
        <v>203.245</v>
      </c>
      <c r="F6243">
        <v>51890</v>
      </c>
    </row>
    <row r="6244" spans="1:6" x14ac:dyDescent="0.25">
      <c r="A6244" s="4">
        <v>43507</v>
      </c>
      <c r="B6244">
        <v>209.68260000000001</v>
      </c>
      <c r="C6244">
        <v>210.60230000000001</v>
      </c>
      <c r="D6244">
        <v>208.3031</v>
      </c>
      <c r="E6244">
        <v>209.68260000000001</v>
      </c>
      <c r="F6244">
        <v>81360</v>
      </c>
    </row>
    <row r="6245" spans="1:6" x14ac:dyDescent="0.25">
      <c r="A6245" s="4">
        <v>43508</v>
      </c>
      <c r="B6245">
        <v>211.52189999999999</v>
      </c>
      <c r="C6245">
        <v>211.52189999999999</v>
      </c>
      <c r="D6245">
        <v>210.60230000000001</v>
      </c>
      <c r="E6245">
        <v>211.52189999999999</v>
      </c>
      <c r="F6245">
        <v>30126</v>
      </c>
    </row>
    <row r="6246" spans="1:6" x14ac:dyDescent="0.25">
      <c r="A6246" s="4">
        <v>43509</v>
      </c>
      <c r="B6246">
        <v>213.3612</v>
      </c>
      <c r="C6246">
        <v>213.3612</v>
      </c>
      <c r="D6246">
        <v>210.14240000000001</v>
      </c>
      <c r="E6246">
        <v>210.60230000000001</v>
      </c>
      <c r="F6246">
        <v>28635</v>
      </c>
    </row>
    <row r="6247" spans="1:6" x14ac:dyDescent="0.25">
      <c r="A6247" s="4">
        <v>43510</v>
      </c>
      <c r="B6247">
        <v>211.06209999999999</v>
      </c>
      <c r="C6247">
        <v>211.52189999999999</v>
      </c>
      <c r="D6247">
        <v>207.8433</v>
      </c>
      <c r="E6247">
        <v>208.7629</v>
      </c>
      <c r="F6247">
        <v>23648</v>
      </c>
    </row>
    <row r="6248" spans="1:6" x14ac:dyDescent="0.25">
      <c r="A6248" s="4">
        <v>43511</v>
      </c>
      <c r="B6248">
        <v>210.60230000000001</v>
      </c>
      <c r="C6248">
        <v>210.60230000000001</v>
      </c>
      <c r="D6248">
        <v>208.3031</v>
      </c>
      <c r="E6248">
        <v>208.7629</v>
      </c>
      <c r="F6248">
        <v>22370</v>
      </c>
    </row>
    <row r="6249" spans="1:6" x14ac:dyDescent="0.25">
      <c r="A6249" s="4">
        <v>43514</v>
      </c>
      <c r="B6249">
        <v>210.60230000000001</v>
      </c>
      <c r="C6249">
        <v>211.98169999999999</v>
      </c>
      <c r="D6249">
        <v>210.14240000000001</v>
      </c>
      <c r="E6249">
        <v>211.52189999999999</v>
      </c>
      <c r="F6249">
        <v>18164</v>
      </c>
    </row>
    <row r="6250" spans="1:6" x14ac:dyDescent="0.25">
      <c r="A6250" s="4">
        <v>43515</v>
      </c>
      <c r="B6250">
        <v>211.52189999999999</v>
      </c>
      <c r="C6250">
        <v>211.98169999999999</v>
      </c>
      <c r="D6250">
        <v>210.60230000000001</v>
      </c>
      <c r="E6250">
        <v>210.60230000000001</v>
      </c>
      <c r="F6250">
        <v>18423</v>
      </c>
    </row>
    <row r="6251" spans="1:6" x14ac:dyDescent="0.25">
      <c r="A6251" s="4">
        <v>43516</v>
      </c>
      <c r="B6251">
        <v>212.9014</v>
      </c>
      <c r="C6251">
        <v>215.66040000000001</v>
      </c>
      <c r="D6251">
        <v>212.44159999999999</v>
      </c>
      <c r="E6251">
        <v>215.66040000000001</v>
      </c>
      <c r="F6251">
        <v>31888</v>
      </c>
    </row>
    <row r="6252" spans="1:6" x14ac:dyDescent="0.25">
      <c r="A6252" s="4">
        <v>43517</v>
      </c>
      <c r="B6252">
        <v>216.58</v>
      </c>
      <c r="C6252">
        <v>217.49969999999999</v>
      </c>
      <c r="D6252">
        <v>215.66040000000001</v>
      </c>
      <c r="E6252">
        <v>217.49969999999999</v>
      </c>
      <c r="F6252">
        <v>34013</v>
      </c>
    </row>
    <row r="6253" spans="1:6" x14ac:dyDescent="0.25">
      <c r="A6253" s="4">
        <v>43518</v>
      </c>
      <c r="B6253">
        <v>216.58</v>
      </c>
      <c r="C6253">
        <v>217.49969999999999</v>
      </c>
      <c r="D6253">
        <v>215.20060000000001</v>
      </c>
      <c r="E6253">
        <v>217.49969999999999</v>
      </c>
      <c r="F6253">
        <v>22032</v>
      </c>
    </row>
    <row r="6254" spans="1:6" x14ac:dyDescent="0.25">
      <c r="A6254" s="4">
        <v>43521</v>
      </c>
      <c r="B6254">
        <v>218.4194</v>
      </c>
      <c r="C6254">
        <v>219.7989</v>
      </c>
      <c r="D6254">
        <v>217.03989999999999</v>
      </c>
      <c r="E6254">
        <v>218.8792</v>
      </c>
      <c r="F6254">
        <v>25227</v>
      </c>
    </row>
    <row r="6255" spans="1:6" x14ac:dyDescent="0.25">
      <c r="A6255" s="4">
        <v>43522</v>
      </c>
      <c r="B6255">
        <v>219.7989</v>
      </c>
      <c r="C6255">
        <v>220.71850000000001</v>
      </c>
      <c r="D6255">
        <v>217.49969999999999</v>
      </c>
      <c r="E6255">
        <v>220.2587</v>
      </c>
      <c r="F6255">
        <v>24587</v>
      </c>
    </row>
    <row r="6256" spans="1:6" x14ac:dyDescent="0.25">
      <c r="A6256" s="4">
        <v>43523</v>
      </c>
      <c r="B6256">
        <v>219.339</v>
      </c>
      <c r="C6256">
        <v>220.2587</v>
      </c>
      <c r="D6256">
        <v>217.95949999999999</v>
      </c>
      <c r="E6256">
        <v>219.7989</v>
      </c>
      <c r="F6256">
        <v>37948</v>
      </c>
    </row>
    <row r="6257" spans="1:6" x14ac:dyDescent="0.25">
      <c r="A6257" s="4">
        <v>43528</v>
      </c>
      <c r="B6257">
        <v>220.2587</v>
      </c>
      <c r="C6257">
        <v>220.2587</v>
      </c>
      <c r="D6257">
        <v>215.66040000000001</v>
      </c>
      <c r="E6257">
        <v>216.58</v>
      </c>
      <c r="F6257">
        <v>45165</v>
      </c>
    </row>
    <row r="6258" spans="1:6" x14ac:dyDescent="0.25">
      <c r="A6258" s="4">
        <v>43529</v>
      </c>
      <c r="B6258">
        <v>215.20060000000001</v>
      </c>
      <c r="C6258">
        <v>215.66040000000001</v>
      </c>
      <c r="D6258">
        <v>213.8211</v>
      </c>
      <c r="E6258">
        <v>214.2809</v>
      </c>
      <c r="F6258">
        <v>23708</v>
      </c>
    </row>
    <row r="6259" spans="1:6" x14ac:dyDescent="0.25">
      <c r="A6259" s="4">
        <v>43530</v>
      </c>
      <c r="B6259">
        <v>216.12020000000001</v>
      </c>
      <c r="C6259">
        <v>216.58</v>
      </c>
      <c r="D6259">
        <v>214.7407</v>
      </c>
      <c r="E6259">
        <v>215.20060000000001</v>
      </c>
      <c r="F6259">
        <v>20811</v>
      </c>
    </row>
    <row r="6260" spans="1:6" x14ac:dyDescent="0.25">
      <c r="A6260" s="4">
        <v>43531</v>
      </c>
      <c r="B6260">
        <v>216.12020000000001</v>
      </c>
      <c r="C6260">
        <v>216.12020000000001</v>
      </c>
      <c r="D6260">
        <v>214.2809</v>
      </c>
      <c r="E6260">
        <v>215.20060000000001</v>
      </c>
      <c r="F6260">
        <v>17226</v>
      </c>
    </row>
    <row r="6261" spans="1:6" x14ac:dyDescent="0.25">
      <c r="A6261" s="4">
        <v>43532</v>
      </c>
      <c r="B6261">
        <v>212.44159999999999</v>
      </c>
      <c r="C6261">
        <v>212.9014</v>
      </c>
      <c r="D6261">
        <v>210.60230000000001</v>
      </c>
      <c r="E6261">
        <v>211.52189999999999</v>
      </c>
      <c r="F6261">
        <v>22536</v>
      </c>
    </row>
    <row r="6262" spans="1:6" x14ac:dyDescent="0.25">
      <c r="A6262" s="4">
        <v>43535</v>
      </c>
      <c r="B6262">
        <v>209.68260000000001</v>
      </c>
      <c r="C6262">
        <v>211.98169999999999</v>
      </c>
      <c r="D6262">
        <v>209.22280000000001</v>
      </c>
      <c r="E6262">
        <v>211.98169999999999</v>
      </c>
      <c r="F6262">
        <v>34283</v>
      </c>
    </row>
    <row r="6263" spans="1:6" x14ac:dyDescent="0.25">
      <c r="A6263" s="4">
        <v>43536</v>
      </c>
      <c r="B6263">
        <v>214.2809</v>
      </c>
      <c r="C6263">
        <v>217.95949999999999</v>
      </c>
      <c r="D6263">
        <v>213.8211</v>
      </c>
      <c r="E6263">
        <v>216.58</v>
      </c>
      <c r="F6263">
        <v>23840</v>
      </c>
    </row>
    <row r="6264" spans="1:6" x14ac:dyDescent="0.25">
      <c r="A6264" s="4">
        <v>43537</v>
      </c>
      <c r="B6264">
        <v>215.20060000000001</v>
      </c>
      <c r="C6264">
        <v>217.95949999999999</v>
      </c>
      <c r="D6264">
        <v>215.20060000000001</v>
      </c>
      <c r="E6264">
        <v>217.95949999999999</v>
      </c>
      <c r="F6264">
        <v>22493</v>
      </c>
    </row>
    <row r="6265" spans="1:6" x14ac:dyDescent="0.25">
      <c r="A6265" s="4">
        <v>43538</v>
      </c>
      <c r="B6265">
        <v>219.7989</v>
      </c>
      <c r="C6265">
        <v>219.7989</v>
      </c>
      <c r="D6265">
        <v>215.20060000000001</v>
      </c>
      <c r="E6265">
        <v>215.66040000000001</v>
      </c>
      <c r="F6265">
        <v>17281</v>
      </c>
    </row>
    <row r="6266" spans="1:6" x14ac:dyDescent="0.25">
      <c r="A6266" s="4">
        <v>43539</v>
      </c>
      <c r="B6266">
        <v>217.95949999999999</v>
      </c>
      <c r="C6266">
        <v>220.2587</v>
      </c>
      <c r="D6266">
        <v>216.58</v>
      </c>
      <c r="E6266">
        <v>219.7989</v>
      </c>
      <c r="F6266">
        <v>34543</v>
      </c>
    </row>
    <row r="6267" spans="1:6" x14ac:dyDescent="0.25">
      <c r="A6267" s="4">
        <v>43542</v>
      </c>
      <c r="B6267">
        <v>220.2587</v>
      </c>
      <c r="C6267">
        <v>221.63820000000001</v>
      </c>
      <c r="D6267">
        <v>219.7989</v>
      </c>
      <c r="E6267">
        <v>221.63820000000001</v>
      </c>
      <c r="F6267">
        <v>27041</v>
      </c>
    </row>
    <row r="6268" spans="1:6" x14ac:dyDescent="0.25">
      <c r="A6268" s="4">
        <v>43543</v>
      </c>
      <c r="B6268">
        <v>219.7989</v>
      </c>
      <c r="C6268">
        <v>221.17840000000001</v>
      </c>
      <c r="D6268">
        <v>218.8792</v>
      </c>
      <c r="E6268">
        <v>221.17840000000001</v>
      </c>
      <c r="F6268">
        <v>14620</v>
      </c>
    </row>
    <row r="6269" spans="1:6" x14ac:dyDescent="0.25">
      <c r="A6269" s="4">
        <v>43544</v>
      </c>
      <c r="B6269">
        <v>222.55779999999999</v>
      </c>
      <c r="C6269">
        <v>222.55779999999999</v>
      </c>
      <c r="D6269">
        <v>220.2587</v>
      </c>
      <c r="E6269">
        <v>222.55779999999999</v>
      </c>
      <c r="F6269">
        <v>23056</v>
      </c>
    </row>
    <row r="6270" spans="1:6" x14ac:dyDescent="0.25">
      <c r="A6270" s="4">
        <v>43545</v>
      </c>
      <c r="B6270">
        <v>223.01769999999999</v>
      </c>
      <c r="C6270">
        <v>225.77670000000001</v>
      </c>
      <c r="D6270">
        <v>221.63820000000001</v>
      </c>
      <c r="E6270">
        <v>225.77670000000001</v>
      </c>
      <c r="F6270">
        <v>27515</v>
      </c>
    </row>
    <row r="6271" spans="1:6" x14ac:dyDescent="0.25">
      <c r="A6271" s="4">
        <v>43546</v>
      </c>
      <c r="B6271">
        <v>228.07579999999999</v>
      </c>
      <c r="C6271">
        <v>228.53559999999999</v>
      </c>
      <c r="D6271">
        <v>224.857</v>
      </c>
      <c r="E6271">
        <v>228.53559999999999</v>
      </c>
      <c r="F6271">
        <v>22996</v>
      </c>
    </row>
    <row r="6272" spans="1:6" x14ac:dyDescent="0.25">
      <c r="A6272" s="4">
        <v>43549</v>
      </c>
      <c r="B6272">
        <v>221.17840000000001</v>
      </c>
      <c r="C6272">
        <v>223.93729999999999</v>
      </c>
      <c r="D6272">
        <v>221.17840000000001</v>
      </c>
      <c r="E6272">
        <v>222.09800000000001</v>
      </c>
      <c r="F6272">
        <v>19273</v>
      </c>
    </row>
    <row r="6273" spans="1:6" x14ac:dyDescent="0.25">
      <c r="A6273" s="4">
        <v>43550</v>
      </c>
      <c r="B6273">
        <v>223.47749999999999</v>
      </c>
      <c r="C6273">
        <v>224.3972</v>
      </c>
      <c r="D6273">
        <v>221.63820000000001</v>
      </c>
      <c r="E6273">
        <v>224.3972</v>
      </c>
      <c r="F6273">
        <v>21053</v>
      </c>
    </row>
    <row r="6274" spans="1:6" x14ac:dyDescent="0.25">
      <c r="A6274" s="4">
        <v>43551</v>
      </c>
      <c r="B6274">
        <v>222.55779999999999</v>
      </c>
      <c r="C6274">
        <v>223.01769999999999</v>
      </c>
      <c r="D6274">
        <v>221.17840000000001</v>
      </c>
      <c r="E6274">
        <v>222.09800000000001</v>
      </c>
      <c r="F6274">
        <v>23622</v>
      </c>
    </row>
    <row r="6275" spans="1:6" x14ac:dyDescent="0.25">
      <c r="A6275" s="4">
        <v>43552</v>
      </c>
      <c r="B6275">
        <v>221.17840000000001</v>
      </c>
      <c r="C6275">
        <v>223.01769999999999</v>
      </c>
      <c r="D6275">
        <v>220.71850000000001</v>
      </c>
      <c r="E6275">
        <v>222.55779999999999</v>
      </c>
      <c r="F6275">
        <v>13998</v>
      </c>
    </row>
    <row r="6276" spans="1:6" x14ac:dyDescent="0.25">
      <c r="A6276" s="4">
        <v>43553</v>
      </c>
      <c r="B6276">
        <v>223.47749999999999</v>
      </c>
      <c r="C6276">
        <v>225.77670000000001</v>
      </c>
      <c r="D6276">
        <v>221.17840000000001</v>
      </c>
      <c r="E6276">
        <v>225.77670000000001</v>
      </c>
      <c r="F6276">
        <v>31025</v>
      </c>
    </row>
    <row r="6277" spans="1:6" x14ac:dyDescent="0.25">
      <c r="A6277" s="4">
        <v>43556</v>
      </c>
      <c r="B6277">
        <v>230.8348</v>
      </c>
      <c r="C6277">
        <v>230.8348</v>
      </c>
      <c r="D6277">
        <v>225.3168</v>
      </c>
      <c r="E6277">
        <v>225.77670000000001</v>
      </c>
      <c r="F6277">
        <v>35331</v>
      </c>
    </row>
    <row r="6278" spans="1:6" x14ac:dyDescent="0.25">
      <c r="A6278" s="4">
        <v>43557</v>
      </c>
      <c r="B6278">
        <v>229.45529999999999</v>
      </c>
      <c r="C6278">
        <v>229.45529999999999</v>
      </c>
      <c r="D6278">
        <v>226.23650000000001</v>
      </c>
      <c r="E6278">
        <v>226.23650000000001</v>
      </c>
      <c r="F6278">
        <v>25189</v>
      </c>
    </row>
    <row r="6279" spans="1:6" x14ac:dyDescent="0.25">
      <c r="A6279" s="4">
        <v>43558</v>
      </c>
      <c r="B6279">
        <v>228.99549999999999</v>
      </c>
      <c r="C6279">
        <v>228.99549999999999</v>
      </c>
      <c r="D6279">
        <v>226.69630000000001</v>
      </c>
      <c r="E6279">
        <v>226.69630000000001</v>
      </c>
      <c r="F6279">
        <v>28581</v>
      </c>
    </row>
    <row r="6280" spans="1:6" x14ac:dyDescent="0.25">
      <c r="A6280" s="4">
        <v>43563</v>
      </c>
      <c r="B6280">
        <v>230.8348</v>
      </c>
      <c r="C6280">
        <v>232.67410000000001</v>
      </c>
      <c r="D6280">
        <v>230.375</v>
      </c>
      <c r="E6280">
        <v>232.67410000000001</v>
      </c>
      <c r="F6280">
        <v>46427</v>
      </c>
    </row>
    <row r="6281" spans="1:6" x14ac:dyDescent="0.25">
      <c r="A6281" s="4">
        <v>43564</v>
      </c>
      <c r="B6281">
        <v>232.67410000000001</v>
      </c>
      <c r="C6281">
        <v>233.59379999999999</v>
      </c>
      <c r="D6281">
        <v>231.7544</v>
      </c>
      <c r="E6281">
        <v>233.59379999999999</v>
      </c>
      <c r="F6281">
        <v>22746</v>
      </c>
    </row>
    <row r="6282" spans="1:6" x14ac:dyDescent="0.25">
      <c r="A6282" s="4">
        <v>43565</v>
      </c>
      <c r="B6282">
        <v>232.67410000000001</v>
      </c>
      <c r="C6282">
        <v>234.05359999999999</v>
      </c>
      <c r="D6282">
        <v>231.7544</v>
      </c>
      <c r="E6282">
        <v>233.59379999999999</v>
      </c>
      <c r="F6282">
        <v>33175</v>
      </c>
    </row>
    <row r="6283" spans="1:6" x14ac:dyDescent="0.25">
      <c r="A6283" s="4">
        <v>43566</v>
      </c>
      <c r="B6283">
        <v>232.67410000000001</v>
      </c>
      <c r="C6283">
        <v>233.59379999999999</v>
      </c>
      <c r="D6283">
        <v>231.2946</v>
      </c>
      <c r="E6283">
        <v>231.7544</v>
      </c>
      <c r="F6283">
        <v>25147</v>
      </c>
    </row>
    <row r="6284" spans="1:6" x14ac:dyDescent="0.25">
      <c r="A6284" s="4">
        <v>43567</v>
      </c>
      <c r="B6284">
        <v>231.2946</v>
      </c>
      <c r="C6284">
        <v>232.67410000000001</v>
      </c>
      <c r="D6284">
        <v>230.8348</v>
      </c>
      <c r="E6284">
        <v>231.7544</v>
      </c>
      <c r="F6284">
        <v>13888</v>
      </c>
    </row>
    <row r="6285" spans="1:6" x14ac:dyDescent="0.25">
      <c r="A6285" s="4">
        <v>43570</v>
      </c>
      <c r="B6285">
        <v>234.51339999999999</v>
      </c>
      <c r="C6285">
        <v>235.4331</v>
      </c>
      <c r="D6285">
        <v>233.59379999999999</v>
      </c>
      <c r="E6285">
        <v>234.97329999999999</v>
      </c>
      <c r="F6285">
        <v>17257</v>
      </c>
    </row>
    <row r="6286" spans="1:6" x14ac:dyDescent="0.25">
      <c r="A6286" s="4">
        <v>43571</v>
      </c>
      <c r="B6286">
        <v>236.3527</v>
      </c>
      <c r="C6286">
        <v>236.3527</v>
      </c>
      <c r="D6286">
        <v>234.97329999999999</v>
      </c>
      <c r="E6286">
        <v>236.3527</v>
      </c>
      <c r="F6286">
        <v>20232</v>
      </c>
    </row>
    <row r="6287" spans="1:6" x14ac:dyDescent="0.25">
      <c r="A6287" s="4">
        <v>43572</v>
      </c>
      <c r="B6287">
        <v>239.11170000000001</v>
      </c>
      <c r="C6287">
        <v>241.8707</v>
      </c>
      <c r="D6287">
        <v>238.65190000000001</v>
      </c>
      <c r="E6287">
        <v>240.49119999999999</v>
      </c>
      <c r="F6287">
        <v>39037</v>
      </c>
    </row>
    <row r="6288" spans="1:6" x14ac:dyDescent="0.25">
      <c r="A6288" s="4">
        <v>43573</v>
      </c>
      <c r="B6288">
        <v>242.79040000000001</v>
      </c>
      <c r="C6288">
        <v>244.62970000000001</v>
      </c>
      <c r="D6288">
        <v>242.3305</v>
      </c>
      <c r="E6288">
        <v>243.25020000000001</v>
      </c>
      <c r="F6288">
        <v>48525</v>
      </c>
    </row>
    <row r="6289" spans="1:6" x14ac:dyDescent="0.25">
      <c r="A6289" s="4">
        <v>43574</v>
      </c>
      <c r="B6289">
        <v>247.3887</v>
      </c>
      <c r="C6289">
        <v>247.8485</v>
      </c>
      <c r="D6289">
        <v>242.3305</v>
      </c>
      <c r="E6289">
        <v>243.25020000000001</v>
      </c>
      <c r="F6289">
        <v>47699</v>
      </c>
    </row>
    <row r="6290" spans="1:6" x14ac:dyDescent="0.25">
      <c r="A6290" s="4">
        <v>43577</v>
      </c>
      <c r="B6290">
        <v>245.08949999999999</v>
      </c>
      <c r="C6290">
        <v>246.00919999999999</v>
      </c>
      <c r="D6290">
        <v>243.71</v>
      </c>
      <c r="E6290">
        <v>244.62970000000001</v>
      </c>
      <c r="F6290">
        <v>24967</v>
      </c>
    </row>
    <row r="6291" spans="1:6" x14ac:dyDescent="0.25">
      <c r="A6291" s="4">
        <v>43578</v>
      </c>
      <c r="B6291">
        <v>245.08949999999999</v>
      </c>
      <c r="C6291">
        <v>246.46899999999999</v>
      </c>
      <c r="D6291">
        <v>244.62970000000001</v>
      </c>
      <c r="E6291">
        <v>246.46899999999999</v>
      </c>
      <c r="F6291">
        <v>26252</v>
      </c>
    </row>
    <row r="6292" spans="1:6" x14ac:dyDescent="0.25">
      <c r="A6292" s="4">
        <v>43579</v>
      </c>
      <c r="B6292">
        <v>248.3083</v>
      </c>
      <c r="C6292">
        <v>248.3083</v>
      </c>
      <c r="D6292">
        <v>246.00919999999999</v>
      </c>
      <c r="E6292">
        <v>247.3887</v>
      </c>
      <c r="F6292">
        <v>37387</v>
      </c>
    </row>
    <row r="6293" spans="1:6" x14ac:dyDescent="0.25">
      <c r="A6293" s="4">
        <v>43580</v>
      </c>
      <c r="B6293">
        <v>246.9288</v>
      </c>
      <c r="C6293">
        <v>247.3887</v>
      </c>
      <c r="D6293">
        <v>245.54939999999999</v>
      </c>
      <c r="E6293">
        <v>246.00919999999999</v>
      </c>
      <c r="F6293">
        <v>36572</v>
      </c>
    </row>
    <row r="6294" spans="1:6" x14ac:dyDescent="0.25">
      <c r="A6294" s="4">
        <v>43581</v>
      </c>
      <c r="B6294">
        <v>240.9511</v>
      </c>
      <c r="C6294">
        <v>241.8707</v>
      </c>
      <c r="D6294">
        <v>236.8126</v>
      </c>
      <c r="E6294">
        <v>239.11170000000001</v>
      </c>
      <c r="F6294">
        <v>51744</v>
      </c>
    </row>
    <row r="6295" spans="1:6" x14ac:dyDescent="0.25">
      <c r="A6295" s="4">
        <v>43584</v>
      </c>
      <c r="B6295">
        <v>239.11170000000001</v>
      </c>
      <c r="C6295">
        <v>240.9511</v>
      </c>
      <c r="D6295">
        <v>237.73220000000001</v>
      </c>
      <c r="E6295">
        <v>238.65190000000001</v>
      </c>
      <c r="F6295">
        <v>32652</v>
      </c>
    </row>
    <row r="6296" spans="1:6" x14ac:dyDescent="0.25">
      <c r="A6296" s="4">
        <v>43585</v>
      </c>
      <c r="B6296">
        <v>239.11170000000001</v>
      </c>
      <c r="C6296">
        <v>239.57159999999999</v>
      </c>
      <c r="D6296">
        <v>237.2724</v>
      </c>
      <c r="E6296">
        <v>238.19210000000001</v>
      </c>
      <c r="F6296">
        <v>40446</v>
      </c>
    </row>
    <row r="6297" spans="1:6" x14ac:dyDescent="0.25">
      <c r="A6297" s="4">
        <v>43587</v>
      </c>
      <c r="B6297">
        <v>240.49119999999999</v>
      </c>
      <c r="C6297">
        <v>241.4109</v>
      </c>
      <c r="D6297">
        <v>237.73220000000001</v>
      </c>
      <c r="E6297">
        <v>238.19210000000001</v>
      </c>
      <c r="F6297">
        <v>27376</v>
      </c>
    </row>
    <row r="6298" spans="1:6" x14ac:dyDescent="0.25">
      <c r="A6298" s="4">
        <v>43588</v>
      </c>
      <c r="B6298">
        <v>240.9511</v>
      </c>
      <c r="C6298">
        <v>243.71</v>
      </c>
      <c r="D6298">
        <v>239.57159999999999</v>
      </c>
      <c r="E6298">
        <v>243.71</v>
      </c>
      <c r="F6298">
        <v>30200</v>
      </c>
    </row>
    <row r="6299" spans="1:6" x14ac:dyDescent="0.25">
      <c r="A6299" s="4">
        <v>43591</v>
      </c>
      <c r="B6299">
        <v>239.11170000000001</v>
      </c>
      <c r="C6299">
        <v>239.11170000000001</v>
      </c>
      <c r="D6299">
        <v>237.2724</v>
      </c>
      <c r="E6299">
        <v>238.19210000000001</v>
      </c>
      <c r="F6299">
        <v>33688</v>
      </c>
    </row>
    <row r="6300" spans="1:6" x14ac:dyDescent="0.25">
      <c r="A6300" s="4">
        <v>43592</v>
      </c>
      <c r="B6300">
        <v>238.65190000000001</v>
      </c>
      <c r="C6300">
        <v>241.8707</v>
      </c>
      <c r="D6300">
        <v>238.19210000000001</v>
      </c>
      <c r="E6300">
        <v>241.4109</v>
      </c>
      <c r="F6300">
        <v>25686</v>
      </c>
    </row>
    <row r="6301" spans="1:6" x14ac:dyDescent="0.25">
      <c r="A6301" s="4">
        <v>43593</v>
      </c>
      <c r="B6301">
        <v>239.11170000000001</v>
      </c>
      <c r="C6301">
        <v>240.49119999999999</v>
      </c>
      <c r="D6301">
        <v>238.65190000000001</v>
      </c>
      <c r="E6301">
        <v>239.11170000000001</v>
      </c>
      <c r="F6301">
        <v>25902</v>
      </c>
    </row>
    <row r="6302" spans="1:6" x14ac:dyDescent="0.25">
      <c r="A6302" s="4">
        <v>43594</v>
      </c>
      <c r="B6302">
        <v>238.65190000000001</v>
      </c>
      <c r="C6302">
        <v>238.65190000000001</v>
      </c>
      <c r="D6302">
        <v>235.4331</v>
      </c>
      <c r="E6302">
        <v>235.8929</v>
      </c>
      <c r="F6302">
        <v>34167</v>
      </c>
    </row>
    <row r="6303" spans="1:6" x14ac:dyDescent="0.25">
      <c r="A6303" s="4">
        <v>43595</v>
      </c>
      <c r="B6303">
        <v>236.3527</v>
      </c>
      <c r="C6303">
        <v>238.19210000000001</v>
      </c>
      <c r="D6303">
        <v>234.51339999999999</v>
      </c>
      <c r="E6303">
        <v>235.4331</v>
      </c>
      <c r="F6303">
        <v>18868</v>
      </c>
    </row>
    <row r="6304" spans="1:6" x14ac:dyDescent="0.25">
      <c r="A6304" s="4">
        <v>43598</v>
      </c>
      <c r="B6304">
        <v>232.67410000000001</v>
      </c>
      <c r="C6304">
        <v>233.59379999999999</v>
      </c>
      <c r="D6304">
        <v>229.45529999999999</v>
      </c>
      <c r="E6304">
        <v>230.375</v>
      </c>
      <c r="F6304">
        <v>29318</v>
      </c>
    </row>
    <row r="6305" spans="1:6" x14ac:dyDescent="0.25">
      <c r="A6305" s="4">
        <v>43599</v>
      </c>
      <c r="B6305">
        <v>227.61600000000001</v>
      </c>
      <c r="C6305">
        <v>230.8348</v>
      </c>
      <c r="D6305">
        <v>225.3168</v>
      </c>
      <c r="E6305">
        <v>228.53559999999999</v>
      </c>
      <c r="F6305">
        <v>45621</v>
      </c>
    </row>
    <row r="6306" spans="1:6" x14ac:dyDescent="0.25">
      <c r="A6306" s="4">
        <v>43600</v>
      </c>
      <c r="B6306">
        <v>230.8348</v>
      </c>
      <c r="C6306">
        <v>231.7544</v>
      </c>
      <c r="D6306">
        <v>228.99549999999999</v>
      </c>
      <c r="E6306">
        <v>228.99549999999999</v>
      </c>
      <c r="F6306">
        <v>37223</v>
      </c>
    </row>
    <row r="6307" spans="1:6" x14ac:dyDescent="0.25">
      <c r="A6307" s="4">
        <v>43601</v>
      </c>
      <c r="B6307">
        <v>228.53559999999999</v>
      </c>
      <c r="C6307">
        <v>229.45529999999999</v>
      </c>
      <c r="D6307">
        <v>226.23650000000001</v>
      </c>
      <c r="E6307">
        <v>227.15610000000001</v>
      </c>
      <c r="F6307">
        <v>30332</v>
      </c>
    </row>
    <row r="6308" spans="1:6" x14ac:dyDescent="0.25">
      <c r="A6308" s="4">
        <v>43602</v>
      </c>
      <c r="B6308">
        <v>228.99549999999999</v>
      </c>
      <c r="C6308">
        <v>228.99549999999999</v>
      </c>
      <c r="D6308">
        <v>222.09800000000001</v>
      </c>
      <c r="E6308">
        <v>222.09800000000001</v>
      </c>
      <c r="F6308">
        <v>40007</v>
      </c>
    </row>
    <row r="6309" spans="1:6" x14ac:dyDescent="0.25">
      <c r="A6309" s="4">
        <v>43605</v>
      </c>
      <c r="B6309">
        <v>223.01769999999999</v>
      </c>
      <c r="C6309">
        <v>223.47749999999999</v>
      </c>
      <c r="D6309">
        <v>218.8792</v>
      </c>
      <c r="E6309">
        <v>218.8792</v>
      </c>
      <c r="F6309">
        <v>47098</v>
      </c>
    </row>
    <row r="6310" spans="1:6" x14ac:dyDescent="0.25">
      <c r="A6310" s="4">
        <v>43606</v>
      </c>
      <c r="B6310">
        <v>214.7407</v>
      </c>
      <c r="C6310">
        <v>217.03989999999999</v>
      </c>
      <c r="D6310">
        <v>213.8211</v>
      </c>
      <c r="E6310">
        <v>215.20060000000001</v>
      </c>
      <c r="F6310">
        <v>82873</v>
      </c>
    </row>
    <row r="6311" spans="1:6" x14ac:dyDescent="0.25">
      <c r="A6311" s="4">
        <v>43607</v>
      </c>
      <c r="B6311">
        <v>217.49969999999999</v>
      </c>
      <c r="C6311">
        <v>221.17840000000001</v>
      </c>
      <c r="D6311">
        <v>216.58</v>
      </c>
      <c r="E6311">
        <v>218.8792</v>
      </c>
      <c r="F6311">
        <v>36289</v>
      </c>
    </row>
    <row r="6312" spans="1:6" x14ac:dyDescent="0.25">
      <c r="A6312" s="4">
        <v>43608</v>
      </c>
      <c r="B6312">
        <v>214.7407</v>
      </c>
      <c r="C6312">
        <v>214.7407</v>
      </c>
      <c r="D6312">
        <v>211.52189999999999</v>
      </c>
      <c r="E6312">
        <v>211.52189999999999</v>
      </c>
      <c r="F6312">
        <v>62259</v>
      </c>
    </row>
    <row r="6313" spans="1:6" x14ac:dyDescent="0.25">
      <c r="A6313" s="4">
        <v>43609</v>
      </c>
      <c r="B6313">
        <v>211.52189999999999</v>
      </c>
      <c r="C6313">
        <v>215.20060000000001</v>
      </c>
      <c r="D6313">
        <v>211.52189999999999</v>
      </c>
      <c r="E6313">
        <v>214.2809</v>
      </c>
      <c r="F6313">
        <v>38227</v>
      </c>
    </row>
    <row r="6314" spans="1:6" x14ac:dyDescent="0.25">
      <c r="A6314" s="4">
        <v>43612</v>
      </c>
      <c r="B6314">
        <v>215.20060000000001</v>
      </c>
      <c r="C6314">
        <v>216.12020000000001</v>
      </c>
      <c r="D6314">
        <v>212.44159999999999</v>
      </c>
      <c r="E6314">
        <v>212.44159999999999</v>
      </c>
      <c r="F6314">
        <v>37447</v>
      </c>
    </row>
    <row r="6315" spans="1:6" x14ac:dyDescent="0.25">
      <c r="A6315" s="4">
        <v>43613</v>
      </c>
      <c r="B6315">
        <v>213.3612</v>
      </c>
      <c r="C6315">
        <v>213.3612</v>
      </c>
      <c r="D6315">
        <v>211.98169999999999</v>
      </c>
      <c r="E6315">
        <v>211.98169999999999</v>
      </c>
      <c r="F6315">
        <v>99322</v>
      </c>
    </row>
    <row r="6316" spans="1:6" x14ac:dyDescent="0.25">
      <c r="A6316" s="4">
        <v>43614</v>
      </c>
      <c r="B6316">
        <v>209.68260000000001</v>
      </c>
      <c r="C6316">
        <v>211.98169999999999</v>
      </c>
      <c r="D6316">
        <v>208.7629</v>
      </c>
      <c r="E6316">
        <v>211.06209999999999</v>
      </c>
      <c r="F6316">
        <v>32260</v>
      </c>
    </row>
    <row r="6317" spans="1:6" x14ac:dyDescent="0.25">
      <c r="A6317" s="4">
        <v>43615</v>
      </c>
      <c r="B6317">
        <v>211.52189999999999</v>
      </c>
      <c r="C6317">
        <v>212.9014</v>
      </c>
      <c r="D6317">
        <v>210.60230000000001</v>
      </c>
      <c r="E6317">
        <v>212.44159999999999</v>
      </c>
      <c r="F6317">
        <v>40375</v>
      </c>
    </row>
    <row r="6318" spans="1:6" x14ac:dyDescent="0.25">
      <c r="A6318" s="4">
        <v>43616</v>
      </c>
      <c r="B6318">
        <v>213.3612</v>
      </c>
      <c r="C6318">
        <v>218.4194</v>
      </c>
      <c r="D6318">
        <v>212.44159999999999</v>
      </c>
      <c r="E6318">
        <v>216.58</v>
      </c>
      <c r="F6318">
        <v>49163</v>
      </c>
    </row>
    <row r="6319" spans="1:6" x14ac:dyDescent="0.25">
      <c r="A6319" s="4">
        <v>43619</v>
      </c>
      <c r="B6319">
        <v>216.58</v>
      </c>
      <c r="C6319">
        <v>219.339</v>
      </c>
      <c r="D6319">
        <v>213.3612</v>
      </c>
      <c r="E6319">
        <v>218.8792</v>
      </c>
      <c r="F6319">
        <v>36687</v>
      </c>
    </row>
    <row r="6320" spans="1:6" x14ac:dyDescent="0.25">
      <c r="A6320" s="4">
        <v>43620</v>
      </c>
      <c r="B6320">
        <v>218.4194</v>
      </c>
      <c r="C6320">
        <v>218.8792</v>
      </c>
      <c r="D6320">
        <v>214.2809</v>
      </c>
      <c r="E6320">
        <v>214.2809</v>
      </c>
      <c r="F6320">
        <v>24443</v>
      </c>
    </row>
    <row r="6321" spans="1:6" x14ac:dyDescent="0.25">
      <c r="A6321" s="4">
        <v>43621</v>
      </c>
      <c r="B6321">
        <v>218.8792</v>
      </c>
      <c r="C6321">
        <v>218.8792</v>
      </c>
      <c r="D6321">
        <v>215.20060000000001</v>
      </c>
      <c r="E6321">
        <v>216.12020000000001</v>
      </c>
      <c r="F6321">
        <v>35902</v>
      </c>
    </row>
    <row r="6322" spans="1:6" x14ac:dyDescent="0.25">
      <c r="A6322" s="4">
        <v>43622</v>
      </c>
      <c r="B6322">
        <v>212.9014</v>
      </c>
      <c r="C6322">
        <v>213.3612</v>
      </c>
      <c r="D6322">
        <v>211.06209999999999</v>
      </c>
      <c r="E6322">
        <v>213.3612</v>
      </c>
      <c r="F6322">
        <v>34652</v>
      </c>
    </row>
    <row r="6323" spans="1:6" x14ac:dyDescent="0.25">
      <c r="A6323" s="4">
        <v>43626</v>
      </c>
      <c r="B6323">
        <v>218.4194</v>
      </c>
      <c r="C6323">
        <v>220.71850000000001</v>
      </c>
      <c r="D6323">
        <v>215.66040000000001</v>
      </c>
      <c r="E6323">
        <v>220.71850000000001</v>
      </c>
      <c r="F6323">
        <v>35522</v>
      </c>
    </row>
    <row r="6324" spans="1:6" x14ac:dyDescent="0.25">
      <c r="A6324" s="4">
        <v>43627</v>
      </c>
      <c r="B6324">
        <v>220.71850000000001</v>
      </c>
      <c r="C6324">
        <v>226.23650000000001</v>
      </c>
      <c r="D6324">
        <v>219.7989</v>
      </c>
      <c r="E6324">
        <v>224.857</v>
      </c>
      <c r="F6324">
        <v>34692</v>
      </c>
    </row>
    <row r="6325" spans="1:6" x14ac:dyDescent="0.25">
      <c r="A6325" s="4">
        <v>43628</v>
      </c>
      <c r="B6325">
        <v>224.857</v>
      </c>
      <c r="C6325">
        <v>227.61600000000001</v>
      </c>
      <c r="D6325">
        <v>223.47749999999999</v>
      </c>
      <c r="E6325">
        <v>226.23650000000001</v>
      </c>
      <c r="F6325">
        <v>30410</v>
      </c>
    </row>
    <row r="6326" spans="1:6" x14ac:dyDescent="0.25">
      <c r="A6326" s="4">
        <v>43629</v>
      </c>
      <c r="B6326">
        <v>223.01769999999999</v>
      </c>
      <c r="C6326">
        <v>224.3972</v>
      </c>
      <c r="D6326">
        <v>220.71850000000001</v>
      </c>
      <c r="E6326">
        <v>220.71850000000001</v>
      </c>
      <c r="F6326">
        <v>33732</v>
      </c>
    </row>
    <row r="6327" spans="1:6" x14ac:dyDescent="0.25">
      <c r="A6327" s="4">
        <v>43630</v>
      </c>
      <c r="B6327">
        <v>219.339</v>
      </c>
      <c r="C6327">
        <v>220.2587</v>
      </c>
      <c r="D6327">
        <v>217.03989999999999</v>
      </c>
      <c r="E6327">
        <v>217.03989999999999</v>
      </c>
      <c r="F6327">
        <v>35404</v>
      </c>
    </row>
    <row r="6328" spans="1:6" x14ac:dyDescent="0.25">
      <c r="A6328" s="4">
        <v>43633</v>
      </c>
      <c r="B6328">
        <v>212.9014</v>
      </c>
      <c r="C6328">
        <v>216.12020000000001</v>
      </c>
      <c r="D6328">
        <v>211.98169999999999</v>
      </c>
      <c r="E6328">
        <v>214.2809</v>
      </c>
      <c r="F6328">
        <v>51692</v>
      </c>
    </row>
    <row r="6329" spans="1:6" x14ac:dyDescent="0.25">
      <c r="A6329" s="4">
        <v>43634</v>
      </c>
      <c r="B6329">
        <v>215.20060000000001</v>
      </c>
      <c r="C6329">
        <v>216.58</v>
      </c>
      <c r="D6329">
        <v>214.2809</v>
      </c>
      <c r="E6329">
        <v>216.58</v>
      </c>
      <c r="F6329">
        <v>28798</v>
      </c>
    </row>
    <row r="6330" spans="1:6" x14ac:dyDescent="0.25">
      <c r="A6330" s="4">
        <v>43635</v>
      </c>
      <c r="B6330">
        <v>223.01769999999999</v>
      </c>
      <c r="C6330">
        <v>224.3972</v>
      </c>
      <c r="D6330">
        <v>221.17840000000001</v>
      </c>
      <c r="E6330">
        <v>224.3972</v>
      </c>
      <c r="F6330">
        <v>50234</v>
      </c>
    </row>
    <row r="6331" spans="1:6" x14ac:dyDescent="0.25">
      <c r="A6331" s="4">
        <v>43636</v>
      </c>
      <c r="B6331">
        <v>222.55779999999999</v>
      </c>
      <c r="C6331">
        <v>225.77670000000001</v>
      </c>
      <c r="D6331">
        <v>221.63820000000001</v>
      </c>
      <c r="E6331">
        <v>225.3168</v>
      </c>
      <c r="F6331">
        <v>39717</v>
      </c>
    </row>
    <row r="6332" spans="1:6" x14ac:dyDescent="0.25">
      <c r="A6332" s="4">
        <v>43637</v>
      </c>
      <c r="B6332">
        <v>228.07579999999999</v>
      </c>
      <c r="C6332">
        <v>228.53559999999999</v>
      </c>
      <c r="D6332">
        <v>226.23650000000001</v>
      </c>
      <c r="E6332">
        <v>228.53559999999999</v>
      </c>
      <c r="F6332">
        <v>62136</v>
      </c>
    </row>
    <row r="6333" spans="1:6" x14ac:dyDescent="0.25">
      <c r="A6333" s="4">
        <v>43640</v>
      </c>
      <c r="B6333">
        <v>229.01079999999999</v>
      </c>
      <c r="C6333">
        <v>229.96100000000001</v>
      </c>
      <c r="D6333">
        <v>228.06049999999999</v>
      </c>
      <c r="E6333">
        <v>229.01079999999999</v>
      </c>
      <c r="F6333">
        <v>43461</v>
      </c>
    </row>
    <row r="6334" spans="1:6" x14ac:dyDescent="0.25">
      <c r="A6334" s="4">
        <v>43641</v>
      </c>
      <c r="B6334">
        <v>229.01079999999999</v>
      </c>
      <c r="C6334">
        <v>229.48589999999999</v>
      </c>
      <c r="D6334">
        <v>225.2098</v>
      </c>
      <c r="E6334">
        <v>226.63509999999999</v>
      </c>
      <c r="F6334">
        <v>29735</v>
      </c>
    </row>
    <row r="6335" spans="1:6" x14ac:dyDescent="0.25">
      <c r="A6335" s="4">
        <v>43642</v>
      </c>
      <c r="B6335">
        <v>223.3092</v>
      </c>
      <c r="C6335">
        <v>224.7346</v>
      </c>
      <c r="D6335">
        <v>222.35900000000001</v>
      </c>
      <c r="E6335">
        <v>222.83410000000001</v>
      </c>
      <c r="F6335">
        <v>28770</v>
      </c>
    </row>
    <row r="6336" spans="1:6" x14ac:dyDescent="0.25">
      <c r="A6336" s="4">
        <v>43643</v>
      </c>
      <c r="B6336">
        <v>224.2595</v>
      </c>
      <c r="C6336">
        <v>229.48589999999999</v>
      </c>
      <c r="D6336">
        <v>224.2595</v>
      </c>
      <c r="E6336">
        <v>228.53559999999999</v>
      </c>
      <c r="F6336">
        <v>42008</v>
      </c>
    </row>
    <row r="6337" spans="1:6" x14ac:dyDescent="0.25">
      <c r="A6337" s="4">
        <v>43644</v>
      </c>
      <c r="B6337">
        <v>229.48589999999999</v>
      </c>
      <c r="C6337">
        <v>229.48589999999999</v>
      </c>
      <c r="D6337">
        <v>226.16</v>
      </c>
      <c r="E6337">
        <v>227.1103</v>
      </c>
      <c r="F6337">
        <v>28085</v>
      </c>
    </row>
    <row r="6338" spans="1:6" x14ac:dyDescent="0.25">
      <c r="A6338" s="4">
        <v>43647</v>
      </c>
      <c r="B6338">
        <v>233.2869</v>
      </c>
      <c r="C6338">
        <v>237.56299999999999</v>
      </c>
      <c r="D6338">
        <v>232.81180000000001</v>
      </c>
      <c r="E6338">
        <v>236.1377</v>
      </c>
      <c r="F6338">
        <v>66371</v>
      </c>
    </row>
    <row r="6339" spans="1:6" x14ac:dyDescent="0.25">
      <c r="A6339" s="4">
        <v>43648</v>
      </c>
      <c r="B6339">
        <v>237.08789999999999</v>
      </c>
      <c r="C6339">
        <v>237.56299999999999</v>
      </c>
      <c r="D6339">
        <v>235.1874</v>
      </c>
      <c r="E6339">
        <v>236.61279999999999</v>
      </c>
      <c r="F6339">
        <v>26832</v>
      </c>
    </row>
    <row r="6340" spans="1:6" x14ac:dyDescent="0.25">
      <c r="A6340" s="4">
        <v>43649</v>
      </c>
      <c r="B6340">
        <v>231.86150000000001</v>
      </c>
      <c r="C6340">
        <v>232.81180000000001</v>
      </c>
      <c r="D6340">
        <v>229.96100000000001</v>
      </c>
      <c r="E6340">
        <v>230.43610000000001</v>
      </c>
      <c r="F6340">
        <v>29550</v>
      </c>
    </row>
    <row r="6341" spans="1:6" x14ac:dyDescent="0.25">
      <c r="A6341" s="4">
        <v>43650</v>
      </c>
      <c r="B6341">
        <v>232.3366</v>
      </c>
      <c r="C6341">
        <v>232.81180000000001</v>
      </c>
      <c r="D6341">
        <v>230.43610000000001</v>
      </c>
      <c r="E6341">
        <v>231.86150000000001</v>
      </c>
      <c r="F6341">
        <v>18691</v>
      </c>
    </row>
    <row r="6342" spans="1:6" x14ac:dyDescent="0.25">
      <c r="A6342" s="4">
        <v>43651</v>
      </c>
      <c r="B6342">
        <v>232.3366</v>
      </c>
      <c r="C6342">
        <v>232.81180000000001</v>
      </c>
      <c r="D6342">
        <v>229.48589999999999</v>
      </c>
      <c r="E6342">
        <v>230.91130000000001</v>
      </c>
      <c r="F6342">
        <v>27317</v>
      </c>
    </row>
    <row r="6343" spans="1:6" x14ac:dyDescent="0.25">
      <c r="A6343" s="4">
        <v>43654</v>
      </c>
      <c r="B6343">
        <v>228.06049999999999</v>
      </c>
      <c r="C6343">
        <v>232.3366</v>
      </c>
      <c r="D6343">
        <v>228.06049999999999</v>
      </c>
      <c r="E6343">
        <v>230.43610000000001</v>
      </c>
      <c r="F6343">
        <v>29191</v>
      </c>
    </row>
    <row r="6344" spans="1:6" x14ac:dyDescent="0.25">
      <c r="A6344" s="4">
        <v>43655</v>
      </c>
      <c r="B6344">
        <v>229.48589999999999</v>
      </c>
      <c r="C6344">
        <v>230.91130000000001</v>
      </c>
      <c r="D6344">
        <v>228.53559999999999</v>
      </c>
      <c r="E6344">
        <v>229.96100000000001</v>
      </c>
      <c r="F6344">
        <v>16539</v>
      </c>
    </row>
    <row r="6345" spans="1:6" x14ac:dyDescent="0.25">
      <c r="A6345" s="4">
        <v>43656</v>
      </c>
      <c r="B6345">
        <v>230.91130000000001</v>
      </c>
      <c r="C6345">
        <v>234.7123</v>
      </c>
      <c r="D6345">
        <v>230.91130000000001</v>
      </c>
      <c r="E6345">
        <v>234.7123</v>
      </c>
      <c r="F6345">
        <v>23812</v>
      </c>
    </row>
    <row r="6346" spans="1:6" x14ac:dyDescent="0.25">
      <c r="A6346" s="4">
        <v>43657</v>
      </c>
      <c r="B6346">
        <v>237.56299999999999</v>
      </c>
      <c r="C6346">
        <v>237.56299999999999</v>
      </c>
      <c r="D6346">
        <v>235.1874</v>
      </c>
      <c r="E6346">
        <v>237.56299999999999</v>
      </c>
      <c r="F6346">
        <v>31296</v>
      </c>
    </row>
    <row r="6347" spans="1:6" x14ac:dyDescent="0.25">
      <c r="A6347" s="4">
        <v>43658</v>
      </c>
      <c r="B6347">
        <v>239.46350000000001</v>
      </c>
      <c r="C6347">
        <v>239.46350000000001</v>
      </c>
      <c r="D6347">
        <v>237.08789999999999</v>
      </c>
      <c r="E6347">
        <v>238.03819999999999</v>
      </c>
      <c r="F6347">
        <v>23868</v>
      </c>
    </row>
    <row r="6348" spans="1:6" x14ac:dyDescent="0.25">
      <c r="A6348" s="4">
        <v>43661</v>
      </c>
      <c r="B6348">
        <v>238.51329999999999</v>
      </c>
      <c r="C6348">
        <v>241.83920000000001</v>
      </c>
      <c r="D6348">
        <v>237.08789999999999</v>
      </c>
      <c r="E6348">
        <v>241.83920000000001</v>
      </c>
      <c r="F6348">
        <v>34264</v>
      </c>
    </row>
    <row r="6349" spans="1:6" x14ac:dyDescent="0.25">
      <c r="A6349" s="4">
        <v>43662</v>
      </c>
      <c r="B6349">
        <v>241.364</v>
      </c>
      <c r="C6349">
        <v>243.7397</v>
      </c>
      <c r="D6349">
        <v>240.88890000000001</v>
      </c>
      <c r="E6349">
        <v>243.2645</v>
      </c>
      <c r="F6349">
        <v>26141</v>
      </c>
    </row>
    <row r="6350" spans="1:6" x14ac:dyDescent="0.25">
      <c r="A6350" s="4">
        <v>43663</v>
      </c>
      <c r="B6350">
        <v>241.364</v>
      </c>
      <c r="C6350">
        <v>241.364</v>
      </c>
      <c r="D6350">
        <v>238.51329999999999</v>
      </c>
      <c r="E6350">
        <v>239.46350000000001</v>
      </c>
      <c r="F6350">
        <v>34347</v>
      </c>
    </row>
    <row r="6351" spans="1:6" x14ac:dyDescent="0.25">
      <c r="A6351" s="4">
        <v>43664</v>
      </c>
      <c r="B6351">
        <v>239.46350000000001</v>
      </c>
      <c r="C6351">
        <v>241.83920000000001</v>
      </c>
      <c r="D6351">
        <v>238.98840000000001</v>
      </c>
      <c r="E6351">
        <v>241.364</v>
      </c>
      <c r="F6351">
        <v>20909</v>
      </c>
    </row>
    <row r="6352" spans="1:6" x14ac:dyDescent="0.25">
      <c r="A6352" s="4">
        <v>43665</v>
      </c>
      <c r="B6352">
        <v>246.59039999999999</v>
      </c>
      <c r="C6352">
        <v>248.01580000000001</v>
      </c>
      <c r="D6352">
        <v>246.11529999999999</v>
      </c>
      <c r="E6352">
        <v>246.11529999999999</v>
      </c>
      <c r="F6352">
        <v>59880</v>
      </c>
    </row>
    <row r="6353" spans="1:6" x14ac:dyDescent="0.25">
      <c r="A6353" s="4">
        <v>43668</v>
      </c>
      <c r="B6353">
        <v>249.91630000000001</v>
      </c>
      <c r="C6353">
        <v>250.86660000000001</v>
      </c>
      <c r="D6353">
        <v>248.96610000000001</v>
      </c>
      <c r="E6353">
        <v>250.86660000000001</v>
      </c>
      <c r="F6353">
        <v>31864</v>
      </c>
    </row>
    <row r="6354" spans="1:6" x14ac:dyDescent="0.25">
      <c r="A6354" s="4">
        <v>43669</v>
      </c>
      <c r="B6354">
        <v>252.2919</v>
      </c>
      <c r="C6354">
        <v>253.2422</v>
      </c>
      <c r="D6354">
        <v>249.44120000000001</v>
      </c>
      <c r="E6354">
        <v>250.86660000000001</v>
      </c>
      <c r="F6354">
        <v>29273</v>
      </c>
    </row>
    <row r="6355" spans="1:6" x14ac:dyDescent="0.25">
      <c r="A6355" s="4">
        <v>43670</v>
      </c>
      <c r="B6355">
        <v>253.2422</v>
      </c>
      <c r="C6355">
        <v>253.2422</v>
      </c>
      <c r="D6355">
        <v>249.91630000000001</v>
      </c>
      <c r="E6355">
        <v>251.8168</v>
      </c>
      <c r="F6355">
        <v>24511</v>
      </c>
    </row>
    <row r="6356" spans="1:6" x14ac:dyDescent="0.25">
      <c r="A6356" s="4">
        <v>43671</v>
      </c>
      <c r="B6356">
        <v>250.86660000000001</v>
      </c>
      <c r="C6356">
        <v>251.8168</v>
      </c>
      <c r="D6356">
        <v>248.49090000000001</v>
      </c>
      <c r="E6356">
        <v>251.8168</v>
      </c>
      <c r="F6356">
        <v>30699</v>
      </c>
    </row>
    <row r="6357" spans="1:6" x14ac:dyDescent="0.25">
      <c r="A6357" s="4">
        <v>43672</v>
      </c>
      <c r="B6357">
        <v>248.01580000000001</v>
      </c>
      <c r="C6357">
        <v>249.44120000000001</v>
      </c>
      <c r="D6357">
        <v>248.01580000000001</v>
      </c>
      <c r="E6357">
        <v>248.01580000000001</v>
      </c>
      <c r="F6357">
        <v>20768</v>
      </c>
    </row>
    <row r="6358" spans="1:6" x14ac:dyDescent="0.25">
      <c r="A6358" s="4">
        <v>43675</v>
      </c>
      <c r="B6358">
        <v>247.06559999999999</v>
      </c>
      <c r="C6358">
        <v>248.96610000000001</v>
      </c>
      <c r="D6358">
        <v>246.59039999999999</v>
      </c>
      <c r="E6358">
        <v>248.01580000000001</v>
      </c>
      <c r="F6358">
        <v>18473</v>
      </c>
    </row>
    <row r="6359" spans="1:6" x14ac:dyDescent="0.25">
      <c r="A6359" s="4">
        <v>43676</v>
      </c>
      <c r="B6359">
        <v>249.44120000000001</v>
      </c>
      <c r="C6359">
        <v>249.91630000000001</v>
      </c>
      <c r="D6359">
        <v>247.06559999999999</v>
      </c>
      <c r="E6359">
        <v>247.06559999999999</v>
      </c>
      <c r="F6359">
        <v>22896</v>
      </c>
    </row>
    <row r="6360" spans="1:6" x14ac:dyDescent="0.25">
      <c r="A6360" s="4">
        <v>43677</v>
      </c>
      <c r="B6360">
        <v>247.06559999999999</v>
      </c>
      <c r="C6360">
        <v>247.06559999999999</v>
      </c>
      <c r="D6360">
        <v>244.2148</v>
      </c>
      <c r="E6360">
        <v>246.59039999999999</v>
      </c>
      <c r="F6360">
        <v>36366</v>
      </c>
    </row>
    <row r="6361" spans="1:6" x14ac:dyDescent="0.25">
      <c r="A6361" s="4">
        <v>43678</v>
      </c>
      <c r="B6361">
        <v>244.68989999999999</v>
      </c>
      <c r="C6361">
        <v>244.68989999999999</v>
      </c>
      <c r="D6361">
        <v>242.7894</v>
      </c>
      <c r="E6361">
        <v>243.7397</v>
      </c>
      <c r="F6361">
        <v>30108</v>
      </c>
    </row>
    <row r="6362" spans="1:6" x14ac:dyDescent="0.25">
      <c r="A6362" s="4">
        <v>43679</v>
      </c>
      <c r="B6362">
        <v>239.46350000000001</v>
      </c>
      <c r="C6362">
        <v>240.88890000000001</v>
      </c>
      <c r="D6362">
        <v>238.03819999999999</v>
      </c>
      <c r="E6362">
        <v>238.98840000000001</v>
      </c>
      <c r="F6362">
        <v>54166</v>
      </c>
    </row>
    <row r="6363" spans="1:6" x14ac:dyDescent="0.25">
      <c r="A6363" s="4">
        <v>43682</v>
      </c>
      <c r="B6363">
        <v>238.51329999999999</v>
      </c>
      <c r="C6363">
        <v>239.46350000000001</v>
      </c>
      <c r="D6363">
        <v>233.2869</v>
      </c>
      <c r="E6363">
        <v>234.2371</v>
      </c>
      <c r="F6363">
        <v>52836</v>
      </c>
    </row>
    <row r="6364" spans="1:6" x14ac:dyDescent="0.25">
      <c r="A6364" s="4">
        <v>43683</v>
      </c>
      <c r="B6364">
        <v>228.06049999999999</v>
      </c>
      <c r="C6364">
        <v>237.56299999999999</v>
      </c>
      <c r="D6364">
        <v>228.06049999999999</v>
      </c>
      <c r="E6364">
        <v>236.1377</v>
      </c>
      <c r="F6364">
        <v>58917</v>
      </c>
    </row>
    <row r="6365" spans="1:6" x14ac:dyDescent="0.25">
      <c r="A6365" s="4">
        <v>43684</v>
      </c>
      <c r="B6365">
        <v>237.56299999999999</v>
      </c>
      <c r="C6365">
        <v>238.03819999999999</v>
      </c>
      <c r="D6365">
        <v>234.2371</v>
      </c>
      <c r="E6365">
        <v>235.66249999999999</v>
      </c>
      <c r="F6365">
        <v>29435</v>
      </c>
    </row>
    <row r="6366" spans="1:6" x14ac:dyDescent="0.25">
      <c r="A6366" s="4">
        <v>43685</v>
      </c>
      <c r="B6366">
        <v>235.66249999999999</v>
      </c>
      <c r="C6366">
        <v>241.364</v>
      </c>
      <c r="D6366">
        <v>235.66249999999999</v>
      </c>
      <c r="E6366">
        <v>240.88890000000001</v>
      </c>
      <c r="F6366">
        <v>30140</v>
      </c>
    </row>
    <row r="6367" spans="1:6" x14ac:dyDescent="0.25">
      <c r="A6367" s="4">
        <v>43689</v>
      </c>
      <c r="B6367">
        <v>241.83920000000001</v>
      </c>
      <c r="C6367">
        <v>241.83920000000001</v>
      </c>
      <c r="D6367">
        <v>238.51329999999999</v>
      </c>
      <c r="E6367">
        <v>238.51329999999999</v>
      </c>
      <c r="F6367">
        <v>24733</v>
      </c>
    </row>
    <row r="6368" spans="1:6" x14ac:dyDescent="0.25">
      <c r="A6368" s="4">
        <v>43690</v>
      </c>
      <c r="B6368">
        <v>236.61279999999999</v>
      </c>
      <c r="C6368">
        <v>237.08789999999999</v>
      </c>
      <c r="D6368">
        <v>234.2371</v>
      </c>
      <c r="E6368">
        <v>234.2371</v>
      </c>
      <c r="F6368">
        <v>25045</v>
      </c>
    </row>
    <row r="6369" spans="1:6" x14ac:dyDescent="0.25">
      <c r="A6369" s="4">
        <v>43691</v>
      </c>
      <c r="B6369">
        <v>239.93870000000001</v>
      </c>
      <c r="C6369">
        <v>241.364</v>
      </c>
      <c r="D6369">
        <v>237.08789999999999</v>
      </c>
      <c r="E6369">
        <v>237.08789999999999</v>
      </c>
      <c r="F6369">
        <v>36337</v>
      </c>
    </row>
    <row r="6370" spans="1:6" x14ac:dyDescent="0.25">
      <c r="A6370" s="4">
        <v>43692</v>
      </c>
      <c r="B6370">
        <v>234.7123</v>
      </c>
      <c r="C6370">
        <v>236.1377</v>
      </c>
      <c r="D6370">
        <v>233.762</v>
      </c>
      <c r="E6370">
        <v>235.66249999999999</v>
      </c>
      <c r="F6370">
        <v>28277</v>
      </c>
    </row>
    <row r="6371" spans="1:6" x14ac:dyDescent="0.25">
      <c r="A6371" s="4">
        <v>43693</v>
      </c>
      <c r="B6371">
        <v>237.08789999999999</v>
      </c>
      <c r="C6371">
        <v>239.46350000000001</v>
      </c>
      <c r="D6371">
        <v>235.66249999999999</v>
      </c>
      <c r="E6371">
        <v>237.56299999999999</v>
      </c>
      <c r="F6371">
        <v>25697</v>
      </c>
    </row>
    <row r="6372" spans="1:6" x14ac:dyDescent="0.25">
      <c r="A6372" s="4">
        <v>43696</v>
      </c>
      <c r="B6372">
        <v>238.98840000000001</v>
      </c>
      <c r="C6372">
        <v>240.41380000000001</v>
      </c>
      <c r="D6372">
        <v>238.03819999999999</v>
      </c>
      <c r="E6372">
        <v>239.46350000000001</v>
      </c>
      <c r="F6372">
        <v>25099</v>
      </c>
    </row>
    <row r="6373" spans="1:6" x14ac:dyDescent="0.25">
      <c r="A6373" s="4">
        <v>43697</v>
      </c>
      <c r="B6373">
        <v>241.364</v>
      </c>
      <c r="C6373">
        <v>241.83920000000001</v>
      </c>
      <c r="D6373">
        <v>239.93870000000001</v>
      </c>
      <c r="E6373">
        <v>241.83920000000001</v>
      </c>
      <c r="F6373">
        <v>20620</v>
      </c>
    </row>
    <row r="6374" spans="1:6" x14ac:dyDescent="0.25">
      <c r="A6374" s="4">
        <v>43698</v>
      </c>
      <c r="B6374">
        <v>241.83920000000001</v>
      </c>
      <c r="C6374">
        <v>242.3143</v>
      </c>
      <c r="D6374">
        <v>240.41380000000001</v>
      </c>
      <c r="E6374">
        <v>241.83920000000001</v>
      </c>
      <c r="F6374">
        <v>20269</v>
      </c>
    </row>
    <row r="6375" spans="1:6" x14ac:dyDescent="0.25">
      <c r="A6375" s="4">
        <v>43699</v>
      </c>
      <c r="B6375">
        <v>244.2148</v>
      </c>
      <c r="C6375">
        <v>244.68989999999999</v>
      </c>
      <c r="D6375">
        <v>241.364</v>
      </c>
      <c r="E6375">
        <v>241.364</v>
      </c>
      <c r="F6375">
        <v>22137</v>
      </c>
    </row>
    <row r="6376" spans="1:6" x14ac:dyDescent="0.25">
      <c r="A6376" s="4">
        <v>43700</v>
      </c>
      <c r="B6376">
        <v>240.88890000000001</v>
      </c>
      <c r="C6376">
        <v>241.83920000000001</v>
      </c>
      <c r="D6376">
        <v>240.41380000000001</v>
      </c>
      <c r="E6376">
        <v>241.364</v>
      </c>
      <c r="F6376">
        <v>14773</v>
      </c>
    </row>
    <row r="6377" spans="1:6" x14ac:dyDescent="0.25">
      <c r="A6377" s="4">
        <v>43703</v>
      </c>
      <c r="B6377">
        <v>236.61279999999999</v>
      </c>
      <c r="C6377">
        <v>238.03819999999999</v>
      </c>
      <c r="D6377">
        <v>236.1377</v>
      </c>
      <c r="E6377">
        <v>236.1377</v>
      </c>
      <c r="F6377">
        <v>31741</v>
      </c>
    </row>
    <row r="6378" spans="1:6" x14ac:dyDescent="0.25">
      <c r="A6378" s="4">
        <v>43704</v>
      </c>
      <c r="B6378">
        <v>238.03819999999999</v>
      </c>
      <c r="C6378">
        <v>238.51329999999999</v>
      </c>
      <c r="D6378">
        <v>236.1377</v>
      </c>
      <c r="E6378">
        <v>237.56299999999999</v>
      </c>
      <c r="F6378">
        <v>53665</v>
      </c>
    </row>
    <row r="6379" spans="1:6" x14ac:dyDescent="0.25">
      <c r="A6379" s="4">
        <v>43705</v>
      </c>
      <c r="B6379">
        <v>238.03819999999999</v>
      </c>
      <c r="C6379">
        <v>240.41380000000001</v>
      </c>
      <c r="D6379">
        <v>238.03819999999999</v>
      </c>
      <c r="E6379">
        <v>239.46350000000001</v>
      </c>
      <c r="F6379">
        <v>15281</v>
      </c>
    </row>
    <row r="6380" spans="1:6" x14ac:dyDescent="0.25">
      <c r="A6380" s="4">
        <v>43706</v>
      </c>
      <c r="B6380">
        <v>240.41380000000001</v>
      </c>
      <c r="C6380">
        <v>241.364</v>
      </c>
      <c r="D6380">
        <v>238.51329999999999</v>
      </c>
      <c r="E6380">
        <v>241.364</v>
      </c>
      <c r="F6380">
        <v>20086</v>
      </c>
    </row>
    <row r="6381" spans="1:6" x14ac:dyDescent="0.25">
      <c r="A6381" s="4">
        <v>43707</v>
      </c>
      <c r="B6381">
        <v>243.7397</v>
      </c>
      <c r="C6381">
        <v>246.11529999999999</v>
      </c>
      <c r="D6381">
        <v>243.2645</v>
      </c>
      <c r="E6381">
        <v>246.11529999999999</v>
      </c>
      <c r="F6381">
        <v>35299</v>
      </c>
    </row>
    <row r="6382" spans="1:6" x14ac:dyDescent="0.25">
      <c r="A6382" s="4">
        <v>43710</v>
      </c>
      <c r="B6382">
        <v>245.16499999999999</v>
      </c>
      <c r="C6382">
        <v>245.16499999999999</v>
      </c>
      <c r="D6382">
        <v>243.2645</v>
      </c>
      <c r="E6382">
        <v>244.68989999999999</v>
      </c>
      <c r="F6382">
        <v>14777</v>
      </c>
    </row>
    <row r="6383" spans="1:6" x14ac:dyDescent="0.25">
      <c r="A6383" s="4">
        <v>43711</v>
      </c>
      <c r="B6383">
        <v>243.7397</v>
      </c>
      <c r="C6383">
        <v>245.16499999999999</v>
      </c>
      <c r="D6383">
        <v>240.41380000000001</v>
      </c>
      <c r="E6383">
        <v>241.364</v>
      </c>
      <c r="F6383">
        <v>26086</v>
      </c>
    </row>
    <row r="6384" spans="1:6" x14ac:dyDescent="0.25">
      <c r="A6384" s="4">
        <v>43712</v>
      </c>
      <c r="B6384">
        <v>241.364</v>
      </c>
      <c r="C6384">
        <v>245.16499999999999</v>
      </c>
      <c r="D6384">
        <v>241.364</v>
      </c>
      <c r="E6384">
        <v>244.68989999999999</v>
      </c>
      <c r="F6384">
        <v>23698</v>
      </c>
    </row>
    <row r="6385" spans="1:6" x14ac:dyDescent="0.25">
      <c r="A6385" s="4">
        <v>43713</v>
      </c>
      <c r="B6385">
        <v>249.91630000000001</v>
      </c>
      <c r="C6385">
        <v>249.91630000000001</v>
      </c>
      <c r="D6385">
        <v>247.54069999999999</v>
      </c>
      <c r="E6385">
        <v>249.91630000000001</v>
      </c>
      <c r="F6385">
        <v>49042</v>
      </c>
    </row>
    <row r="6386" spans="1:6" x14ac:dyDescent="0.25">
      <c r="A6386" s="4">
        <v>43714</v>
      </c>
      <c r="B6386">
        <v>251.8168</v>
      </c>
      <c r="C6386">
        <v>251.8168</v>
      </c>
      <c r="D6386">
        <v>249.91630000000001</v>
      </c>
      <c r="E6386">
        <v>250.3914</v>
      </c>
      <c r="F6386">
        <v>26610</v>
      </c>
    </row>
    <row r="6387" spans="1:6" x14ac:dyDescent="0.25">
      <c r="A6387" s="4">
        <v>43717</v>
      </c>
      <c r="B6387">
        <v>252.2919</v>
      </c>
      <c r="C6387">
        <v>252.7671</v>
      </c>
      <c r="D6387">
        <v>250.3914</v>
      </c>
      <c r="E6387">
        <v>251.8168</v>
      </c>
      <c r="F6387">
        <v>17318</v>
      </c>
    </row>
    <row r="6388" spans="1:6" x14ac:dyDescent="0.25">
      <c r="A6388" s="4">
        <v>43718</v>
      </c>
      <c r="B6388">
        <v>250.3914</v>
      </c>
      <c r="C6388">
        <v>250.86660000000001</v>
      </c>
      <c r="D6388">
        <v>247.54069999999999</v>
      </c>
      <c r="E6388">
        <v>248.49090000000001</v>
      </c>
      <c r="F6388">
        <v>30020</v>
      </c>
    </row>
    <row r="6389" spans="1:6" x14ac:dyDescent="0.25">
      <c r="A6389" s="4">
        <v>43719</v>
      </c>
      <c r="B6389">
        <v>250.86660000000001</v>
      </c>
      <c r="C6389">
        <v>251.3417</v>
      </c>
      <c r="D6389">
        <v>247.54069999999999</v>
      </c>
      <c r="E6389">
        <v>249.91630000000001</v>
      </c>
      <c r="F6389">
        <v>36266</v>
      </c>
    </row>
    <row r="6390" spans="1:6" x14ac:dyDescent="0.25">
      <c r="A6390" s="4">
        <v>43720</v>
      </c>
      <c r="B6390">
        <v>251.8168</v>
      </c>
      <c r="C6390">
        <v>251.8168</v>
      </c>
      <c r="D6390">
        <v>248.49090000000001</v>
      </c>
      <c r="E6390">
        <v>249.44120000000001</v>
      </c>
      <c r="F6390">
        <v>38792</v>
      </c>
    </row>
    <row r="6391" spans="1:6" x14ac:dyDescent="0.25">
      <c r="A6391" s="4">
        <v>43724</v>
      </c>
      <c r="B6391">
        <v>248.96610000000001</v>
      </c>
      <c r="C6391">
        <v>252.2919</v>
      </c>
      <c r="D6391">
        <v>248.49090000000001</v>
      </c>
      <c r="E6391">
        <v>252.2919</v>
      </c>
      <c r="F6391">
        <v>38914</v>
      </c>
    </row>
    <row r="6392" spans="1:6" x14ac:dyDescent="0.25">
      <c r="A6392" s="4">
        <v>43725</v>
      </c>
      <c r="B6392">
        <v>253.2422</v>
      </c>
      <c r="C6392">
        <v>253.2422</v>
      </c>
      <c r="D6392">
        <v>251.3417</v>
      </c>
      <c r="E6392">
        <v>251.8168</v>
      </c>
      <c r="F6392">
        <v>30070</v>
      </c>
    </row>
    <row r="6393" spans="1:6" x14ac:dyDescent="0.25">
      <c r="A6393" s="4">
        <v>43726</v>
      </c>
      <c r="B6393">
        <v>253.71729999999999</v>
      </c>
      <c r="C6393">
        <v>256.09289999999999</v>
      </c>
      <c r="D6393">
        <v>253.2422</v>
      </c>
      <c r="E6393">
        <v>253.71729999999999</v>
      </c>
      <c r="F6393">
        <v>51361</v>
      </c>
    </row>
    <row r="6394" spans="1:6" x14ac:dyDescent="0.25">
      <c r="A6394" s="4">
        <v>43727</v>
      </c>
      <c r="B6394">
        <v>256.58960000000002</v>
      </c>
      <c r="C6394">
        <v>256.58960000000002</v>
      </c>
      <c r="D6394">
        <v>252.75989999999999</v>
      </c>
      <c r="E6394">
        <v>253.71729999999999</v>
      </c>
      <c r="F6394">
        <v>27166</v>
      </c>
    </row>
    <row r="6395" spans="1:6" x14ac:dyDescent="0.25">
      <c r="A6395" s="4">
        <v>43728</v>
      </c>
      <c r="B6395">
        <v>254.6747</v>
      </c>
      <c r="C6395">
        <v>255.15350000000001</v>
      </c>
      <c r="D6395">
        <v>252.75989999999999</v>
      </c>
      <c r="E6395">
        <v>252.75989999999999</v>
      </c>
      <c r="F6395">
        <v>44556</v>
      </c>
    </row>
    <row r="6396" spans="1:6" x14ac:dyDescent="0.25">
      <c r="A6396" s="4">
        <v>43731</v>
      </c>
      <c r="B6396">
        <v>252.75989999999999</v>
      </c>
      <c r="C6396">
        <v>252.75989999999999</v>
      </c>
      <c r="D6396">
        <v>251.80250000000001</v>
      </c>
      <c r="E6396">
        <v>252.75989999999999</v>
      </c>
      <c r="F6396">
        <v>14220</v>
      </c>
    </row>
    <row r="6397" spans="1:6" x14ac:dyDescent="0.25">
      <c r="A6397" s="4">
        <v>43732</v>
      </c>
      <c r="B6397">
        <v>252.28120000000001</v>
      </c>
      <c r="C6397">
        <v>254.196</v>
      </c>
      <c r="D6397">
        <v>250.845</v>
      </c>
      <c r="E6397">
        <v>253.71729999999999</v>
      </c>
      <c r="F6397">
        <v>24305</v>
      </c>
    </row>
    <row r="6398" spans="1:6" x14ac:dyDescent="0.25">
      <c r="A6398" s="4">
        <v>43733</v>
      </c>
      <c r="B6398">
        <v>251.32380000000001</v>
      </c>
      <c r="C6398">
        <v>254.6747</v>
      </c>
      <c r="D6398">
        <v>250.845</v>
      </c>
      <c r="E6398">
        <v>254.6747</v>
      </c>
      <c r="F6398">
        <v>23244</v>
      </c>
    </row>
    <row r="6399" spans="1:6" x14ac:dyDescent="0.25">
      <c r="A6399" s="4">
        <v>43734</v>
      </c>
      <c r="B6399">
        <v>257.54700000000003</v>
      </c>
      <c r="C6399">
        <v>258.02569999999997</v>
      </c>
      <c r="D6399">
        <v>255.15350000000001</v>
      </c>
      <c r="E6399">
        <v>256.58960000000002</v>
      </c>
      <c r="F6399">
        <v>34128</v>
      </c>
    </row>
    <row r="6400" spans="1:6" x14ac:dyDescent="0.25">
      <c r="A6400" s="4">
        <v>43735</v>
      </c>
      <c r="B6400">
        <v>259.94060000000002</v>
      </c>
      <c r="C6400">
        <v>260.89800000000002</v>
      </c>
      <c r="D6400">
        <v>259.46190000000001</v>
      </c>
      <c r="E6400">
        <v>260.41930000000002</v>
      </c>
      <c r="F6400">
        <v>44243</v>
      </c>
    </row>
    <row r="6401" spans="1:6" x14ac:dyDescent="0.25">
      <c r="A6401" s="4">
        <v>43739</v>
      </c>
      <c r="B6401">
        <v>261.37670000000003</v>
      </c>
      <c r="C6401">
        <v>268.55739999999997</v>
      </c>
      <c r="D6401">
        <v>261.37670000000003</v>
      </c>
      <c r="E6401">
        <v>268.07870000000003</v>
      </c>
      <c r="F6401">
        <v>75249</v>
      </c>
    </row>
    <row r="6402" spans="1:6" x14ac:dyDescent="0.25">
      <c r="A6402" s="4">
        <v>43740</v>
      </c>
      <c r="B6402">
        <v>268.07870000000003</v>
      </c>
      <c r="C6402">
        <v>269.03609999999998</v>
      </c>
      <c r="D6402">
        <v>267.12119999999999</v>
      </c>
      <c r="E6402">
        <v>267.60000000000002</v>
      </c>
      <c r="F6402">
        <v>30573</v>
      </c>
    </row>
    <row r="6403" spans="1:6" x14ac:dyDescent="0.25">
      <c r="A6403" s="4">
        <v>43741</v>
      </c>
      <c r="B6403">
        <v>262.33409999999998</v>
      </c>
      <c r="C6403">
        <v>265.68509999999998</v>
      </c>
      <c r="D6403">
        <v>262.33409999999998</v>
      </c>
      <c r="E6403">
        <v>264.72770000000003</v>
      </c>
      <c r="F6403">
        <v>35875</v>
      </c>
    </row>
    <row r="6404" spans="1:6" x14ac:dyDescent="0.25">
      <c r="A6404" s="4">
        <v>43742</v>
      </c>
      <c r="B6404">
        <v>267.60000000000002</v>
      </c>
      <c r="C6404">
        <v>268.07870000000003</v>
      </c>
      <c r="D6404">
        <v>263.29160000000002</v>
      </c>
      <c r="E6404">
        <v>264.72770000000003</v>
      </c>
      <c r="F6404">
        <v>35815</v>
      </c>
    </row>
    <row r="6405" spans="1:6" x14ac:dyDescent="0.25">
      <c r="A6405" s="4">
        <v>43745</v>
      </c>
      <c r="B6405">
        <v>267.12119999999999</v>
      </c>
      <c r="C6405">
        <v>267.60000000000002</v>
      </c>
      <c r="D6405">
        <v>265.68509999999998</v>
      </c>
      <c r="E6405">
        <v>266.16379999999998</v>
      </c>
      <c r="F6405">
        <v>17750</v>
      </c>
    </row>
    <row r="6406" spans="1:6" x14ac:dyDescent="0.25">
      <c r="A6406" s="4">
        <v>43746</v>
      </c>
      <c r="B6406">
        <v>271.42970000000003</v>
      </c>
      <c r="C6406">
        <v>274.30189999999999</v>
      </c>
      <c r="D6406">
        <v>270.47219999999999</v>
      </c>
      <c r="E6406">
        <v>274.30189999999999</v>
      </c>
      <c r="F6406">
        <v>39869</v>
      </c>
    </row>
    <row r="6407" spans="1:6" x14ac:dyDescent="0.25">
      <c r="A6407" s="4">
        <v>43747</v>
      </c>
      <c r="B6407">
        <v>271.42970000000003</v>
      </c>
      <c r="C6407">
        <v>273.82319999999999</v>
      </c>
      <c r="D6407">
        <v>269.99349999999998</v>
      </c>
      <c r="E6407">
        <v>269.99349999999998</v>
      </c>
      <c r="F6407">
        <v>34895</v>
      </c>
    </row>
    <row r="6408" spans="1:6" x14ac:dyDescent="0.25">
      <c r="A6408" s="4">
        <v>43752</v>
      </c>
      <c r="B6408">
        <v>279.089</v>
      </c>
      <c r="C6408">
        <v>279.089</v>
      </c>
      <c r="D6408">
        <v>276.21679999999998</v>
      </c>
      <c r="E6408">
        <v>277.65289999999999</v>
      </c>
      <c r="F6408">
        <v>53404</v>
      </c>
    </row>
    <row r="6409" spans="1:6" x14ac:dyDescent="0.25">
      <c r="A6409" s="4">
        <v>43753</v>
      </c>
      <c r="B6409">
        <v>281.00389999999999</v>
      </c>
      <c r="C6409">
        <v>283.39749999999998</v>
      </c>
      <c r="D6409">
        <v>279.56779999999998</v>
      </c>
      <c r="E6409">
        <v>281.00389999999999</v>
      </c>
      <c r="F6409">
        <v>54755</v>
      </c>
    </row>
    <row r="6410" spans="1:6" x14ac:dyDescent="0.25">
      <c r="A6410" s="4">
        <v>43754</v>
      </c>
      <c r="B6410">
        <v>285.31229999999999</v>
      </c>
      <c r="C6410">
        <v>285.31229999999999</v>
      </c>
      <c r="D6410">
        <v>281.00389999999999</v>
      </c>
      <c r="E6410">
        <v>283.87619999999998</v>
      </c>
      <c r="F6410">
        <v>42917</v>
      </c>
    </row>
    <row r="6411" spans="1:6" x14ac:dyDescent="0.25">
      <c r="A6411" s="4">
        <v>43755</v>
      </c>
      <c r="B6411">
        <v>282.44</v>
      </c>
      <c r="C6411">
        <v>282.9187</v>
      </c>
      <c r="D6411">
        <v>279.56779999999998</v>
      </c>
      <c r="E6411">
        <v>281.00389999999999</v>
      </c>
      <c r="F6411">
        <v>41921</v>
      </c>
    </row>
    <row r="6412" spans="1:6" x14ac:dyDescent="0.25">
      <c r="A6412" s="4">
        <v>43756</v>
      </c>
      <c r="B6412">
        <v>280.52519999999998</v>
      </c>
      <c r="C6412">
        <v>282.9187</v>
      </c>
      <c r="D6412">
        <v>278.6103</v>
      </c>
      <c r="E6412">
        <v>280.52519999999998</v>
      </c>
      <c r="F6412">
        <v>45461</v>
      </c>
    </row>
    <row r="6413" spans="1:6" x14ac:dyDescent="0.25">
      <c r="A6413" s="4">
        <v>43759</v>
      </c>
      <c r="B6413">
        <v>278.6103</v>
      </c>
      <c r="C6413">
        <v>278.6103</v>
      </c>
      <c r="D6413">
        <v>276.21679999999998</v>
      </c>
      <c r="E6413">
        <v>277.65289999999999</v>
      </c>
      <c r="F6413">
        <v>35860</v>
      </c>
    </row>
    <row r="6414" spans="1:6" x14ac:dyDescent="0.25">
      <c r="A6414" s="4">
        <v>43760</v>
      </c>
      <c r="B6414">
        <v>280.04649999999998</v>
      </c>
      <c r="C6414">
        <v>281.48259999999999</v>
      </c>
      <c r="D6414">
        <v>279.089</v>
      </c>
      <c r="E6414">
        <v>281.48259999999999</v>
      </c>
      <c r="F6414">
        <v>26525</v>
      </c>
    </row>
    <row r="6415" spans="1:6" x14ac:dyDescent="0.25">
      <c r="A6415" s="4">
        <v>43761</v>
      </c>
      <c r="B6415">
        <v>281.00389999999999</v>
      </c>
      <c r="C6415">
        <v>281.00389999999999</v>
      </c>
      <c r="D6415">
        <v>278.13159999999999</v>
      </c>
      <c r="E6415">
        <v>280.52519999999998</v>
      </c>
      <c r="F6415">
        <v>30382</v>
      </c>
    </row>
    <row r="6416" spans="1:6" x14ac:dyDescent="0.25">
      <c r="A6416" s="4">
        <v>43762</v>
      </c>
      <c r="B6416">
        <v>281.96129999999999</v>
      </c>
      <c r="C6416">
        <v>281.96129999999999</v>
      </c>
      <c r="D6416">
        <v>278.6103</v>
      </c>
      <c r="E6416">
        <v>280.52519999999998</v>
      </c>
      <c r="F6416">
        <v>29041</v>
      </c>
    </row>
    <row r="6417" spans="1:6" x14ac:dyDescent="0.25">
      <c r="A6417" s="4">
        <v>43763</v>
      </c>
      <c r="B6417">
        <v>281.96129999999999</v>
      </c>
      <c r="C6417">
        <v>281.96129999999999</v>
      </c>
      <c r="D6417">
        <v>280.04649999999998</v>
      </c>
      <c r="E6417">
        <v>281.00389999999999</v>
      </c>
      <c r="F6417">
        <v>25083</v>
      </c>
    </row>
    <row r="6418" spans="1:6" x14ac:dyDescent="0.25">
      <c r="A6418" s="4">
        <v>43766</v>
      </c>
      <c r="B6418">
        <v>282.44</v>
      </c>
      <c r="C6418">
        <v>282.9187</v>
      </c>
      <c r="D6418">
        <v>281.48259999999999</v>
      </c>
      <c r="E6418">
        <v>281.96129999999999</v>
      </c>
      <c r="F6418">
        <v>20217</v>
      </c>
    </row>
    <row r="6419" spans="1:6" x14ac:dyDescent="0.25">
      <c r="A6419" s="4">
        <v>43767</v>
      </c>
      <c r="B6419">
        <v>284.35489999999999</v>
      </c>
      <c r="C6419">
        <v>285.791</v>
      </c>
      <c r="D6419">
        <v>283.87619999999998</v>
      </c>
      <c r="E6419">
        <v>285.791</v>
      </c>
      <c r="F6419">
        <v>37130</v>
      </c>
    </row>
    <row r="6420" spans="1:6" x14ac:dyDescent="0.25">
      <c r="A6420" s="4">
        <v>43768</v>
      </c>
      <c r="B6420">
        <v>285.791</v>
      </c>
      <c r="C6420">
        <v>286.7484</v>
      </c>
      <c r="D6420">
        <v>283.87619999999998</v>
      </c>
      <c r="E6420">
        <v>286.7484</v>
      </c>
      <c r="F6420">
        <v>32370</v>
      </c>
    </row>
    <row r="6421" spans="1:6" x14ac:dyDescent="0.25">
      <c r="A6421" s="4">
        <v>43769</v>
      </c>
      <c r="B6421">
        <v>287.22710000000001</v>
      </c>
      <c r="C6421">
        <v>288.66329999999999</v>
      </c>
      <c r="D6421">
        <v>285.791</v>
      </c>
      <c r="E6421">
        <v>285.791</v>
      </c>
      <c r="F6421">
        <v>43124</v>
      </c>
    </row>
    <row r="6422" spans="1:6" x14ac:dyDescent="0.25">
      <c r="A6422" s="4">
        <v>43770</v>
      </c>
      <c r="B6422">
        <v>286.7484</v>
      </c>
      <c r="C6422">
        <v>286.7484</v>
      </c>
      <c r="D6422">
        <v>283.87619999999998</v>
      </c>
      <c r="E6422">
        <v>286.2697</v>
      </c>
      <c r="F6422">
        <v>30217</v>
      </c>
    </row>
    <row r="6423" spans="1:6" x14ac:dyDescent="0.25">
      <c r="A6423" s="4">
        <v>43773</v>
      </c>
      <c r="B6423">
        <v>289.6207</v>
      </c>
      <c r="C6423">
        <v>294.88650000000001</v>
      </c>
      <c r="D6423">
        <v>288.18459999999999</v>
      </c>
      <c r="E6423">
        <v>293.92910000000001</v>
      </c>
      <c r="F6423">
        <v>45156</v>
      </c>
    </row>
    <row r="6424" spans="1:6" x14ac:dyDescent="0.25">
      <c r="A6424" s="4">
        <v>43774</v>
      </c>
      <c r="B6424">
        <v>294.40780000000001</v>
      </c>
      <c r="C6424">
        <v>297.2801</v>
      </c>
      <c r="D6424">
        <v>293.92910000000001</v>
      </c>
      <c r="E6424">
        <v>297.2801</v>
      </c>
      <c r="F6424">
        <v>32253</v>
      </c>
    </row>
    <row r="6425" spans="1:6" x14ac:dyDescent="0.25">
      <c r="A6425" s="4">
        <v>43775</v>
      </c>
      <c r="B6425">
        <v>295.84399999999999</v>
      </c>
      <c r="C6425">
        <v>298.23750000000001</v>
      </c>
      <c r="D6425">
        <v>294.88650000000001</v>
      </c>
      <c r="E6425">
        <v>297.75880000000001</v>
      </c>
      <c r="F6425">
        <v>22150</v>
      </c>
    </row>
    <row r="6426" spans="1:6" x14ac:dyDescent="0.25">
      <c r="A6426" s="4">
        <v>43776</v>
      </c>
      <c r="B6426">
        <v>296.8014</v>
      </c>
      <c r="C6426">
        <v>296.8014</v>
      </c>
      <c r="D6426">
        <v>293.4504</v>
      </c>
      <c r="E6426">
        <v>295.84399999999999</v>
      </c>
      <c r="F6426">
        <v>28454</v>
      </c>
    </row>
    <row r="6427" spans="1:6" x14ac:dyDescent="0.25">
      <c r="A6427" s="4">
        <v>43777</v>
      </c>
      <c r="B6427">
        <v>295.36529999999999</v>
      </c>
      <c r="C6427">
        <v>295.84399999999999</v>
      </c>
      <c r="D6427">
        <v>292.49299999999999</v>
      </c>
      <c r="E6427">
        <v>292.49299999999999</v>
      </c>
      <c r="F6427">
        <v>26231</v>
      </c>
    </row>
    <row r="6428" spans="1:6" x14ac:dyDescent="0.25">
      <c r="A6428" s="4">
        <v>43780</v>
      </c>
      <c r="B6428">
        <v>292.01429999999999</v>
      </c>
      <c r="C6428">
        <v>292.01429999999999</v>
      </c>
      <c r="D6428">
        <v>287.22710000000001</v>
      </c>
      <c r="E6428">
        <v>288.18459999999999</v>
      </c>
      <c r="F6428">
        <v>35286</v>
      </c>
    </row>
    <row r="6429" spans="1:6" x14ac:dyDescent="0.25">
      <c r="A6429" s="4">
        <v>43781</v>
      </c>
      <c r="B6429">
        <v>289.6207</v>
      </c>
      <c r="C6429">
        <v>292.01429999999999</v>
      </c>
      <c r="D6429">
        <v>289.142</v>
      </c>
      <c r="E6429">
        <v>292.01429999999999</v>
      </c>
      <c r="F6429">
        <v>19017</v>
      </c>
    </row>
    <row r="6430" spans="1:6" x14ac:dyDescent="0.25">
      <c r="A6430" s="4">
        <v>43782</v>
      </c>
      <c r="B6430">
        <v>290.0994</v>
      </c>
      <c r="C6430">
        <v>291.05680000000001</v>
      </c>
      <c r="D6430">
        <v>288.66329999999999</v>
      </c>
      <c r="E6430">
        <v>291.05680000000001</v>
      </c>
      <c r="F6430">
        <v>18422</v>
      </c>
    </row>
    <row r="6431" spans="1:6" x14ac:dyDescent="0.25">
      <c r="A6431" s="4">
        <v>43783</v>
      </c>
      <c r="B6431">
        <v>291.53559999999999</v>
      </c>
      <c r="C6431">
        <v>292.01429999999999</v>
      </c>
      <c r="D6431">
        <v>289.142</v>
      </c>
      <c r="E6431">
        <v>290.57810000000001</v>
      </c>
      <c r="F6431">
        <v>15735</v>
      </c>
    </row>
    <row r="6432" spans="1:6" x14ac:dyDescent="0.25">
      <c r="A6432" s="4">
        <v>43784</v>
      </c>
      <c r="B6432">
        <v>292.49299999999999</v>
      </c>
      <c r="C6432">
        <v>294.40780000000001</v>
      </c>
      <c r="D6432">
        <v>291.53559999999999</v>
      </c>
      <c r="E6432">
        <v>293.92910000000001</v>
      </c>
      <c r="F6432">
        <v>29038</v>
      </c>
    </row>
    <row r="6433" spans="1:6" x14ac:dyDescent="0.25">
      <c r="A6433" s="4">
        <v>43787</v>
      </c>
      <c r="B6433">
        <v>295.36529999999999</v>
      </c>
      <c r="C6433">
        <v>297.75880000000001</v>
      </c>
      <c r="D6433">
        <v>293.92910000000001</v>
      </c>
      <c r="E6433">
        <v>297.75880000000001</v>
      </c>
      <c r="F6433">
        <v>18741</v>
      </c>
    </row>
    <row r="6434" spans="1:6" x14ac:dyDescent="0.25">
      <c r="A6434" s="4">
        <v>43788</v>
      </c>
      <c r="B6434">
        <v>299.19490000000002</v>
      </c>
      <c r="C6434">
        <v>301.58850000000001</v>
      </c>
      <c r="D6434">
        <v>297.75880000000001</v>
      </c>
      <c r="E6434">
        <v>301.58850000000001</v>
      </c>
      <c r="F6434">
        <v>33096</v>
      </c>
    </row>
    <row r="6435" spans="1:6" x14ac:dyDescent="0.25">
      <c r="A6435" s="4">
        <v>43789</v>
      </c>
      <c r="B6435">
        <v>300.6311</v>
      </c>
      <c r="C6435">
        <v>300.6311</v>
      </c>
      <c r="D6435">
        <v>298.71620000000001</v>
      </c>
      <c r="E6435">
        <v>300.1524</v>
      </c>
      <c r="F6435">
        <v>24539</v>
      </c>
    </row>
    <row r="6436" spans="1:6" x14ac:dyDescent="0.25">
      <c r="A6436" s="4">
        <v>43790</v>
      </c>
      <c r="B6436">
        <v>296.3227</v>
      </c>
      <c r="C6436">
        <v>297.75880000000001</v>
      </c>
      <c r="D6436">
        <v>293.92910000000001</v>
      </c>
      <c r="E6436">
        <v>297.75880000000001</v>
      </c>
      <c r="F6436">
        <v>30164</v>
      </c>
    </row>
    <row r="6437" spans="1:6" x14ac:dyDescent="0.25">
      <c r="A6437" s="4">
        <v>43791</v>
      </c>
      <c r="B6437">
        <v>296.8014</v>
      </c>
      <c r="C6437">
        <v>297.2801</v>
      </c>
      <c r="D6437">
        <v>294.88650000000001</v>
      </c>
      <c r="E6437">
        <v>295.84399999999999</v>
      </c>
      <c r="F6437">
        <v>26493</v>
      </c>
    </row>
    <row r="6438" spans="1:6" x14ac:dyDescent="0.25">
      <c r="A6438" s="4">
        <v>43794</v>
      </c>
      <c r="B6438">
        <v>297.2801</v>
      </c>
      <c r="C6438">
        <v>297.2801</v>
      </c>
      <c r="D6438">
        <v>293.92910000000001</v>
      </c>
      <c r="E6438">
        <v>293.92910000000001</v>
      </c>
      <c r="F6438">
        <v>19855</v>
      </c>
    </row>
    <row r="6439" spans="1:6" x14ac:dyDescent="0.25">
      <c r="A6439" s="4">
        <v>43795</v>
      </c>
      <c r="B6439">
        <v>296.8014</v>
      </c>
      <c r="C6439">
        <v>297.2801</v>
      </c>
      <c r="D6439">
        <v>293.92910000000001</v>
      </c>
      <c r="E6439">
        <v>293.92910000000001</v>
      </c>
      <c r="F6439">
        <v>101917</v>
      </c>
    </row>
    <row r="6440" spans="1:6" x14ac:dyDescent="0.25">
      <c r="A6440" s="4">
        <v>43796</v>
      </c>
      <c r="B6440">
        <v>294.40780000000001</v>
      </c>
      <c r="C6440">
        <v>298.23750000000001</v>
      </c>
      <c r="D6440">
        <v>294.40780000000001</v>
      </c>
      <c r="E6440">
        <v>297.75880000000001</v>
      </c>
      <c r="F6440">
        <v>18528</v>
      </c>
    </row>
    <row r="6441" spans="1:6" x14ac:dyDescent="0.25">
      <c r="A6441" s="4">
        <v>43797</v>
      </c>
      <c r="B6441">
        <v>296.8014</v>
      </c>
      <c r="C6441">
        <v>298.71620000000001</v>
      </c>
      <c r="D6441">
        <v>295.36529999999999</v>
      </c>
      <c r="E6441">
        <v>296.3227</v>
      </c>
      <c r="F6441">
        <v>19719</v>
      </c>
    </row>
    <row r="6442" spans="1:6" x14ac:dyDescent="0.25">
      <c r="A6442" s="4">
        <v>43798</v>
      </c>
      <c r="B6442">
        <v>295.84399999999999</v>
      </c>
      <c r="C6442">
        <v>296.3227</v>
      </c>
      <c r="D6442">
        <v>292.01429999999999</v>
      </c>
      <c r="E6442">
        <v>292.01429999999999</v>
      </c>
      <c r="F6442">
        <v>32424</v>
      </c>
    </row>
    <row r="6443" spans="1:6" x14ac:dyDescent="0.25">
      <c r="A6443" s="4">
        <v>43801</v>
      </c>
      <c r="B6443">
        <v>293.92910000000001</v>
      </c>
      <c r="C6443">
        <v>294.88650000000001</v>
      </c>
      <c r="D6443">
        <v>293.4504</v>
      </c>
      <c r="E6443">
        <v>294.40780000000001</v>
      </c>
      <c r="F6443">
        <v>25517</v>
      </c>
    </row>
    <row r="6444" spans="1:6" x14ac:dyDescent="0.25">
      <c r="A6444" s="4">
        <v>43802</v>
      </c>
      <c r="B6444">
        <v>292.01429999999999</v>
      </c>
      <c r="C6444">
        <v>293.92910000000001</v>
      </c>
      <c r="D6444">
        <v>292.01429999999999</v>
      </c>
      <c r="E6444">
        <v>293.92910000000001</v>
      </c>
      <c r="F6444">
        <v>27686</v>
      </c>
    </row>
    <row r="6445" spans="1:6" x14ac:dyDescent="0.25">
      <c r="A6445" s="4">
        <v>43803</v>
      </c>
      <c r="B6445">
        <v>292.01429999999999</v>
      </c>
      <c r="C6445">
        <v>292.9717</v>
      </c>
      <c r="D6445">
        <v>291.05680000000001</v>
      </c>
      <c r="E6445">
        <v>292.9717</v>
      </c>
      <c r="F6445">
        <v>34912</v>
      </c>
    </row>
    <row r="6446" spans="1:6" x14ac:dyDescent="0.25">
      <c r="A6446" s="4">
        <v>43804</v>
      </c>
      <c r="B6446">
        <v>295.84399999999999</v>
      </c>
      <c r="C6446">
        <v>298.71620000000001</v>
      </c>
      <c r="D6446">
        <v>295.84399999999999</v>
      </c>
      <c r="E6446">
        <v>298.71620000000001</v>
      </c>
      <c r="F6446">
        <v>39350</v>
      </c>
    </row>
    <row r="6447" spans="1:6" x14ac:dyDescent="0.25">
      <c r="A6447" s="4">
        <v>43805</v>
      </c>
      <c r="B6447">
        <v>301.58850000000001</v>
      </c>
      <c r="C6447">
        <v>302.54590000000002</v>
      </c>
      <c r="D6447">
        <v>297.75880000000001</v>
      </c>
      <c r="E6447">
        <v>299.6737</v>
      </c>
      <c r="F6447">
        <v>18403</v>
      </c>
    </row>
    <row r="6448" spans="1:6" x14ac:dyDescent="0.25">
      <c r="A6448" s="4">
        <v>43808</v>
      </c>
      <c r="B6448">
        <v>300.6311</v>
      </c>
      <c r="C6448">
        <v>303.02460000000002</v>
      </c>
      <c r="D6448">
        <v>300.6311</v>
      </c>
      <c r="E6448">
        <v>302.54590000000002</v>
      </c>
      <c r="F6448">
        <v>23556</v>
      </c>
    </row>
    <row r="6449" spans="1:6" x14ac:dyDescent="0.25">
      <c r="A6449" s="4">
        <v>43809</v>
      </c>
      <c r="B6449">
        <v>301.58850000000001</v>
      </c>
      <c r="C6449">
        <v>302.06720000000001</v>
      </c>
      <c r="D6449">
        <v>299.19490000000002</v>
      </c>
      <c r="E6449">
        <v>300.1524</v>
      </c>
      <c r="F6449">
        <v>20848</v>
      </c>
    </row>
    <row r="6450" spans="1:6" x14ac:dyDescent="0.25">
      <c r="A6450" s="4">
        <v>43810</v>
      </c>
      <c r="B6450">
        <v>300.6311</v>
      </c>
      <c r="C6450">
        <v>305.41820000000001</v>
      </c>
      <c r="D6450">
        <v>299.6737</v>
      </c>
      <c r="E6450">
        <v>305.41820000000001</v>
      </c>
      <c r="F6450">
        <v>34329</v>
      </c>
    </row>
    <row r="6451" spans="1:6" x14ac:dyDescent="0.25">
      <c r="A6451" s="4">
        <v>43811</v>
      </c>
      <c r="B6451">
        <v>311.16269999999997</v>
      </c>
      <c r="C6451">
        <v>320.25830000000002</v>
      </c>
      <c r="D6451">
        <v>310.20530000000002</v>
      </c>
      <c r="E6451">
        <v>317.38600000000002</v>
      </c>
      <c r="F6451">
        <v>52802</v>
      </c>
    </row>
    <row r="6452" spans="1:6" x14ac:dyDescent="0.25">
      <c r="A6452" s="4">
        <v>43812</v>
      </c>
      <c r="B6452">
        <v>325.52409999999998</v>
      </c>
      <c r="C6452">
        <v>328.39640000000003</v>
      </c>
      <c r="D6452">
        <v>323.60930000000002</v>
      </c>
      <c r="E6452">
        <v>324.56670000000003</v>
      </c>
      <c r="F6452">
        <v>60844</v>
      </c>
    </row>
    <row r="6453" spans="1:6" x14ac:dyDescent="0.25">
      <c r="A6453" s="4">
        <v>43815</v>
      </c>
      <c r="B6453">
        <v>322.17309999999998</v>
      </c>
      <c r="C6453">
        <v>324.08800000000002</v>
      </c>
      <c r="D6453">
        <v>321.69439999999997</v>
      </c>
      <c r="E6453">
        <v>321.69439999999997</v>
      </c>
      <c r="F6453">
        <v>48340</v>
      </c>
    </row>
    <row r="6454" spans="1:6" x14ac:dyDescent="0.25">
      <c r="A6454" s="4">
        <v>43816</v>
      </c>
      <c r="B6454">
        <v>320.73700000000002</v>
      </c>
      <c r="C6454">
        <v>330.31119999999999</v>
      </c>
      <c r="D6454">
        <v>320.73700000000002</v>
      </c>
      <c r="E6454">
        <v>330.31119999999999</v>
      </c>
      <c r="F6454">
        <v>41428</v>
      </c>
    </row>
    <row r="6455" spans="1:6" x14ac:dyDescent="0.25">
      <c r="A6455" s="4">
        <v>43817</v>
      </c>
      <c r="B6455">
        <v>326.96019999999999</v>
      </c>
      <c r="C6455">
        <v>330.31119999999999</v>
      </c>
      <c r="D6455">
        <v>326.96019999999999</v>
      </c>
      <c r="E6455">
        <v>329.83249999999998</v>
      </c>
      <c r="F6455">
        <v>42487</v>
      </c>
    </row>
    <row r="6456" spans="1:6" x14ac:dyDescent="0.25">
      <c r="A6456" s="4">
        <v>43818</v>
      </c>
      <c r="B6456">
        <v>327.90370000000001</v>
      </c>
      <c r="C6456">
        <v>329.83249999999998</v>
      </c>
      <c r="D6456">
        <v>323.08159999999998</v>
      </c>
      <c r="E6456">
        <v>323.08159999999998</v>
      </c>
      <c r="F6456">
        <v>55667</v>
      </c>
    </row>
    <row r="6457" spans="1:6" x14ac:dyDescent="0.25">
      <c r="A6457" s="4">
        <v>43819</v>
      </c>
      <c r="B6457">
        <v>320.18830000000003</v>
      </c>
      <c r="C6457">
        <v>321.15269999999998</v>
      </c>
      <c r="D6457">
        <v>316.81279999999998</v>
      </c>
      <c r="E6457">
        <v>317.29500000000002</v>
      </c>
      <c r="F6457">
        <v>86280</v>
      </c>
    </row>
    <row r="6458" spans="1:6" x14ac:dyDescent="0.25">
      <c r="A6458" s="4">
        <v>43822</v>
      </c>
      <c r="B6458">
        <v>317.77719999999999</v>
      </c>
      <c r="C6458">
        <v>322.11709999999999</v>
      </c>
      <c r="D6458">
        <v>317.77719999999999</v>
      </c>
      <c r="E6458">
        <v>322.11709999999999</v>
      </c>
      <c r="F6458">
        <v>26911</v>
      </c>
    </row>
    <row r="6459" spans="1:6" x14ac:dyDescent="0.25">
      <c r="A6459" s="4">
        <v>43823</v>
      </c>
      <c r="B6459">
        <v>322.11709999999999</v>
      </c>
      <c r="C6459">
        <v>322.59930000000003</v>
      </c>
      <c r="D6459">
        <v>320.18830000000003</v>
      </c>
      <c r="E6459">
        <v>320.18830000000003</v>
      </c>
      <c r="F6459">
        <v>13784</v>
      </c>
    </row>
    <row r="6460" spans="1:6" x14ac:dyDescent="0.25">
      <c r="A6460" s="4">
        <v>43824</v>
      </c>
      <c r="B6460">
        <v>320.18830000000003</v>
      </c>
      <c r="C6460">
        <v>322.59930000000003</v>
      </c>
      <c r="D6460">
        <v>319.22390000000001</v>
      </c>
      <c r="E6460">
        <v>321.15269999999998</v>
      </c>
      <c r="F6460">
        <v>12263</v>
      </c>
    </row>
    <row r="6461" spans="1:6" x14ac:dyDescent="0.25">
      <c r="A6461" s="4">
        <v>43825</v>
      </c>
      <c r="B6461">
        <v>321.15269999999998</v>
      </c>
      <c r="C6461">
        <v>322.11709999999999</v>
      </c>
      <c r="D6461">
        <v>319.70609999999999</v>
      </c>
      <c r="E6461">
        <v>321.15269999999998</v>
      </c>
      <c r="F6461">
        <v>11428</v>
      </c>
    </row>
    <row r="6462" spans="1:6" x14ac:dyDescent="0.25">
      <c r="A6462" s="4">
        <v>43826</v>
      </c>
      <c r="B6462">
        <v>323.08159999999998</v>
      </c>
      <c r="C6462">
        <v>325.97480000000002</v>
      </c>
      <c r="D6462">
        <v>323.08159999999998</v>
      </c>
      <c r="E6462">
        <v>325.97480000000002</v>
      </c>
      <c r="F6462">
        <v>16678</v>
      </c>
    </row>
    <row r="6463" spans="1:6" x14ac:dyDescent="0.25">
      <c r="A6463" s="4">
        <v>43829</v>
      </c>
      <c r="B6463">
        <v>325.97480000000002</v>
      </c>
      <c r="C6463">
        <v>326.93920000000003</v>
      </c>
      <c r="D6463">
        <v>322.11709999999999</v>
      </c>
      <c r="E6463">
        <v>322.59930000000003</v>
      </c>
      <c r="F6463">
        <v>21591</v>
      </c>
    </row>
    <row r="6464" spans="1:6" x14ac:dyDescent="0.25">
      <c r="A6464" s="4">
        <v>43830</v>
      </c>
      <c r="B6464">
        <v>319.22390000000001</v>
      </c>
      <c r="C6464">
        <v>321.63490000000002</v>
      </c>
      <c r="D6464">
        <v>319.22390000000001</v>
      </c>
      <c r="E6464">
        <v>319.22390000000001</v>
      </c>
      <c r="F6464">
        <v>22951</v>
      </c>
    </row>
    <row r="6465" spans="1:6" x14ac:dyDescent="0.25">
      <c r="A6465" s="4">
        <v>43832</v>
      </c>
      <c r="B6465">
        <v>320.6705</v>
      </c>
      <c r="C6465">
        <v>326.93920000000003</v>
      </c>
      <c r="D6465">
        <v>320.6705</v>
      </c>
      <c r="E6465">
        <v>326.93920000000003</v>
      </c>
      <c r="F6465">
        <v>33282</v>
      </c>
    </row>
    <row r="6466" spans="1:6" x14ac:dyDescent="0.25">
      <c r="A6466" s="4">
        <v>43833</v>
      </c>
      <c r="B6466">
        <v>331.76139999999998</v>
      </c>
      <c r="C6466">
        <v>332.72579999999999</v>
      </c>
      <c r="D6466">
        <v>323.56380000000001</v>
      </c>
      <c r="E6466">
        <v>327.42149999999998</v>
      </c>
      <c r="F6466">
        <v>42023</v>
      </c>
    </row>
    <row r="6467" spans="1:6" x14ac:dyDescent="0.25">
      <c r="A6467" s="4">
        <v>43836</v>
      </c>
      <c r="B6467">
        <v>321.15269999999998</v>
      </c>
      <c r="C6467">
        <v>322.59930000000003</v>
      </c>
      <c r="D6467">
        <v>320.18830000000003</v>
      </c>
      <c r="E6467">
        <v>320.18830000000003</v>
      </c>
      <c r="F6467">
        <v>45677</v>
      </c>
    </row>
    <row r="6468" spans="1:6" x14ac:dyDescent="0.25">
      <c r="A6468" s="4">
        <v>43837</v>
      </c>
      <c r="B6468">
        <v>320.6705</v>
      </c>
      <c r="C6468">
        <v>321.15269999999998</v>
      </c>
      <c r="D6468">
        <v>314.88400000000001</v>
      </c>
      <c r="E6468">
        <v>317.77719999999999</v>
      </c>
      <c r="F6468">
        <v>51746</v>
      </c>
    </row>
    <row r="6469" spans="1:6" x14ac:dyDescent="0.25">
      <c r="A6469" s="4">
        <v>43838</v>
      </c>
      <c r="B6469">
        <v>313.43729999999999</v>
      </c>
      <c r="C6469">
        <v>321.15269999999998</v>
      </c>
      <c r="D6469">
        <v>313.43729999999999</v>
      </c>
      <c r="E6469">
        <v>317.77719999999999</v>
      </c>
      <c r="F6469">
        <v>37914</v>
      </c>
    </row>
    <row r="6470" spans="1:6" x14ac:dyDescent="0.25">
      <c r="A6470" s="4">
        <v>43839</v>
      </c>
      <c r="B6470">
        <v>323.08159999999998</v>
      </c>
      <c r="C6470">
        <v>325.49259999999998</v>
      </c>
      <c r="D6470">
        <v>321.63490000000002</v>
      </c>
      <c r="E6470">
        <v>325.49259999999998</v>
      </c>
      <c r="F6470">
        <v>32398</v>
      </c>
    </row>
    <row r="6471" spans="1:6" x14ac:dyDescent="0.25">
      <c r="A6471" s="4">
        <v>43840</v>
      </c>
      <c r="B6471">
        <v>328.38589999999999</v>
      </c>
      <c r="C6471">
        <v>328.86810000000003</v>
      </c>
      <c r="D6471">
        <v>324.04599999999999</v>
      </c>
      <c r="E6471">
        <v>327.42149999999998</v>
      </c>
      <c r="F6471">
        <v>27880</v>
      </c>
    </row>
    <row r="6472" spans="1:6" x14ac:dyDescent="0.25">
      <c r="A6472" s="4">
        <v>43843</v>
      </c>
      <c r="B6472">
        <v>329.83249999999998</v>
      </c>
      <c r="C6472">
        <v>329.83249999999998</v>
      </c>
      <c r="D6472">
        <v>326.93920000000003</v>
      </c>
      <c r="E6472">
        <v>329.3503</v>
      </c>
      <c r="F6472">
        <v>30663</v>
      </c>
    </row>
    <row r="6473" spans="1:6" x14ac:dyDescent="0.25">
      <c r="A6473" s="4">
        <v>43844</v>
      </c>
      <c r="B6473">
        <v>333.20800000000003</v>
      </c>
      <c r="C6473">
        <v>333.6902</v>
      </c>
      <c r="D6473">
        <v>332.24360000000001</v>
      </c>
      <c r="E6473">
        <v>333.6902</v>
      </c>
      <c r="F6473">
        <v>30369</v>
      </c>
    </row>
    <row r="6474" spans="1:6" x14ac:dyDescent="0.25">
      <c r="A6474" s="4">
        <v>43845</v>
      </c>
      <c r="B6474">
        <v>332.72579999999999</v>
      </c>
      <c r="C6474">
        <v>332.72579999999999</v>
      </c>
      <c r="D6474">
        <v>325.49259999999998</v>
      </c>
      <c r="E6474">
        <v>327.90370000000001</v>
      </c>
      <c r="F6474">
        <v>54575</v>
      </c>
    </row>
    <row r="6475" spans="1:6" x14ac:dyDescent="0.25">
      <c r="A6475" s="4">
        <v>43846</v>
      </c>
      <c r="B6475">
        <v>318.25940000000003</v>
      </c>
      <c r="C6475">
        <v>324.52820000000003</v>
      </c>
      <c r="D6475">
        <v>318.25940000000003</v>
      </c>
      <c r="E6475">
        <v>322.59930000000003</v>
      </c>
      <c r="F6475">
        <v>58217</v>
      </c>
    </row>
    <row r="6476" spans="1:6" x14ac:dyDescent="0.25">
      <c r="A6476" s="4">
        <v>43847</v>
      </c>
      <c r="B6476">
        <v>322.11709999999999</v>
      </c>
      <c r="C6476">
        <v>323.56380000000001</v>
      </c>
      <c r="D6476">
        <v>320.18830000000003</v>
      </c>
      <c r="E6476">
        <v>321.15269999999998</v>
      </c>
      <c r="F6476">
        <v>53908</v>
      </c>
    </row>
    <row r="6477" spans="1:6" x14ac:dyDescent="0.25">
      <c r="A6477" s="4">
        <v>43850</v>
      </c>
      <c r="B6477">
        <v>322.11709999999999</v>
      </c>
      <c r="C6477">
        <v>323.56380000000001</v>
      </c>
      <c r="D6477">
        <v>321.15269999999998</v>
      </c>
      <c r="E6477">
        <v>321.15269999999998</v>
      </c>
      <c r="F6477">
        <v>35551</v>
      </c>
    </row>
    <row r="6478" spans="1:6" x14ac:dyDescent="0.25">
      <c r="A6478" s="4">
        <v>43860</v>
      </c>
      <c r="B6478">
        <v>314.40170000000001</v>
      </c>
      <c r="C6478">
        <v>314.40170000000001</v>
      </c>
      <c r="D6478">
        <v>305.23970000000003</v>
      </c>
      <c r="E6478">
        <v>305.23970000000003</v>
      </c>
      <c r="F6478">
        <v>126820</v>
      </c>
    </row>
    <row r="6479" spans="1:6" x14ac:dyDescent="0.25">
      <c r="A6479" s="4">
        <v>43861</v>
      </c>
      <c r="B6479">
        <v>311.50850000000003</v>
      </c>
      <c r="C6479">
        <v>311.9907</v>
      </c>
      <c r="D6479">
        <v>307.6508</v>
      </c>
      <c r="E6479">
        <v>308.61520000000002</v>
      </c>
      <c r="F6479">
        <v>62912</v>
      </c>
    </row>
    <row r="6480" spans="1:6" x14ac:dyDescent="0.25">
      <c r="A6480" s="4">
        <v>43864</v>
      </c>
      <c r="B6480">
        <v>303.79309999999998</v>
      </c>
      <c r="C6480">
        <v>305.23970000000003</v>
      </c>
      <c r="D6480">
        <v>300.89980000000003</v>
      </c>
      <c r="E6480">
        <v>303.79309999999998</v>
      </c>
      <c r="F6480">
        <v>59712</v>
      </c>
    </row>
    <row r="6481" spans="1:6" x14ac:dyDescent="0.25">
      <c r="A6481" s="4">
        <v>43865</v>
      </c>
      <c r="B6481">
        <v>307.6508</v>
      </c>
      <c r="C6481">
        <v>314.40170000000001</v>
      </c>
      <c r="D6481">
        <v>306.68639999999999</v>
      </c>
      <c r="E6481">
        <v>313.43729999999999</v>
      </c>
      <c r="F6481">
        <v>52208</v>
      </c>
    </row>
    <row r="6482" spans="1:6" x14ac:dyDescent="0.25">
      <c r="A6482" s="4">
        <v>43866</v>
      </c>
      <c r="B6482">
        <v>317.29500000000002</v>
      </c>
      <c r="C6482">
        <v>317.77719999999999</v>
      </c>
      <c r="D6482">
        <v>312.95510000000002</v>
      </c>
      <c r="E6482">
        <v>315.84840000000003</v>
      </c>
      <c r="F6482">
        <v>36601</v>
      </c>
    </row>
    <row r="6483" spans="1:6" x14ac:dyDescent="0.25">
      <c r="A6483" s="4">
        <v>43867</v>
      </c>
      <c r="B6483">
        <v>317.77719999999999</v>
      </c>
      <c r="C6483">
        <v>320.6705</v>
      </c>
      <c r="D6483">
        <v>317.29500000000002</v>
      </c>
      <c r="E6483">
        <v>320.6705</v>
      </c>
      <c r="F6483">
        <v>29659</v>
      </c>
    </row>
    <row r="6484" spans="1:6" x14ac:dyDescent="0.25">
      <c r="A6484" s="4">
        <v>43868</v>
      </c>
      <c r="B6484">
        <v>318.25940000000003</v>
      </c>
      <c r="C6484">
        <v>318.74169999999998</v>
      </c>
      <c r="D6484">
        <v>314.40170000000001</v>
      </c>
      <c r="E6484">
        <v>316.3306</v>
      </c>
      <c r="F6484">
        <v>30055</v>
      </c>
    </row>
    <row r="6485" spans="1:6" x14ac:dyDescent="0.25">
      <c r="A6485" s="4">
        <v>43871</v>
      </c>
      <c r="B6485">
        <v>310.06180000000001</v>
      </c>
      <c r="C6485">
        <v>316.3306</v>
      </c>
      <c r="D6485">
        <v>309.57960000000003</v>
      </c>
      <c r="E6485">
        <v>315.84840000000003</v>
      </c>
      <c r="F6485">
        <v>30814</v>
      </c>
    </row>
    <row r="6486" spans="1:6" x14ac:dyDescent="0.25">
      <c r="A6486" s="4">
        <v>43872</v>
      </c>
      <c r="B6486">
        <v>318.74169999999998</v>
      </c>
      <c r="C6486">
        <v>320.6705</v>
      </c>
      <c r="D6486">
        <v>318.25940000000003</v>
      </c>
      <c r="E6486">
        <v>319.70609999999999</v>
      </c>
      <c r="F6486">
        <v>29063</v>
      </c>
    </row>
    <row r="6487" spans="1:6" x14ac:dyDescent="0.25">
      <c r="A6487" s="4">
        <v>43873</v>
      </c>
      <c r="B6487">
        <v>321.63490000000002</v>
      </c>
      <c r="C6487">
        <v>324.04599999999999</v>
      </c>
      <c r="D6487">
        <v>321.15269999999998</v>
      </c>
      <c r="E6487">
        <v>323.08159999999998</v>
      </c>
      <c r="F6487">
        <v>37613</v>
      </c>
    </row>
    <row r="6488" spans="1:6" x14ac:dyDescent="0.25">
      <c r="A6488" s="4">
        <v>43874</v>
      </c>
      <c r="B6488">
        <v>325.97480000000002</v>
      </c>
      <c r="C6488">
        <v>325.97480000000002</v>
      </c>
      <c r="D6488">
        <v>323.08159999999998</v>
      </c>
      <c r="E6488">
        <v>323.08159999999998</v>
      </c>
      <c r="F6488">
        <v>23217</v>
      </c>
    </row>
    <row r="6489" spans="1:6" x14ac:dyDescent="0.25">
      <c r="A6489" s="4">
        <v>43875</v>
      </c>
      <c r="B6489">
        <v>325.0104</v>
      </c>
      <c r="C6489">
        <v>325.0104</v>
      </c>
      <c r="D6489">
        <v>322.59930000000003</v>
      </c>
      <c r="E6489">
        <v>323.08159999999998</v>
      </c>
      <c r="F6489">
        <v>18327</v>
      </c>
    </row>
    <row r="6490" spans="1:6" x14ac:dyDescent="0.25">
      <c r="A6490" s="4">
        <v>43878</v>
      </c>
      <c r="B6490">
        <v>319.70609999999999</v>
      </c>
      <c r="C6490">
        <v>321.15269999999998</v>
      </c>
      <c r="D6490">
        <v>318.74169999999998</v>
      </c>
      <c r="E6490">
        <v>319.70609999999999</v>
      </c>
      <c r="F6490">
        <v>16145</v>
      </c>
    </row>
    <row r="6491" spans="1:6" x14ac:dyDescent="0.25">
      <c r="A6491" s="4">
        <v>43879</v>
      </c>
      <c r="B6491">
        <v>312.95510000000002</v>
      </c>
      <c r="C6491">
        <v>314.88400000000001</v>
      </c>
      <c r="D6491">
        <v>310.54410000000001</v>
      </c>
      <c r="E6491">
        <v>310.54410000000001</v>
      </c>
      <c r="F6491">
        <v>64663</v>
      </c>
    </row>
    <row r="6492" spans="1:6" x14ac:dyDescent="0.25">
      <c r="A6492" s="4">
        <v>43880</v>
      </c>
      <c r="B6492">
        <v>311.02629999999999</v>
      </c>
      <c r="C6492">
        <v>315.36619999999999</v>
      </c>
      <c r="D6492">
        <v>310.54410000000001</v>
      </c>
      <c r="E6492">
        <v>314.88400000000001</v>
      </c>
      <c r="F6492">
        <v>48856</v>
      </c>
    </row>
    <row r="6493" spans="1:6" x14ac:dyDescent="0.25">
      <c r="A6493" s="4">
        <v>43881</v>
      </c>
      <c r="B6493">
        <v>316.3306</v>
      </c>
      <c r="C6493">
        <v>317.29500000000002</v>
      </c>
      <c r="D6493">
        <v>313.43729999999999</v>
      </c>
      <c r="E6493">
        <v>313.91950000000003</v>
      </c>
      <c r="F6493">
        <v>27062</v>
      </c>
    </row>
    <row r="6494" spans="1:6" x14ac:dyDescent="0.25">
      <c r="A6494" s="4">
        <v>43882</v>
      </c>
      <c r="B6494">
        <v>313.91950000000003</v>
      </c>
      <c r="C6494">
        <v>314.88400000000001</v>
      </c>
      <c r="D6494">
        <v>311.50850000000003</v>
      </c>
      <c r="E6494">
        <v>313.43729999999999</v>
      </c>
      <c r="F6494">
        <v>22975</v>
      </c>
    </row>
    <row r="6495" spans="1:6" x14ac:dyDescent="0.25">
      <c r="A6495" s="4">
        <v>43885</v>
      </c>
      <c r="B6495">
        <v>308.13299999999998</v>
      </c>
      <c r="C6495">
        <v>310.06180000000001</v>
      </c>
      <c r="D6495">
        <v>308.13299999999998</v>
      </c>
      <c r="E6495">
        <v>308.61520000000002</v>
      </c>
      <c r="F6495">
        <v>42947</v>
      </c>
    </row>
    <row r="6496" spans="1:6" x14ac:dyDescent="0.25">
      <c r="A6496" s="4">
        <v>43886</v>
      </c>
      <c r="B6496">
        <v>308.61520000000002</v>
      </c>
      <c r="C6496">
        <v>311.9907</v>
      </c>
      <c r="D6496">
        <v>306.20420000000001</v>
      </c>
      <c r="E6496">
        <v>310.54410000000001</v>
      </c>
      <c r="F6496">
        <v>38674</v>
      </c>
    </row>
    <row r="6497" spans="1:6" x14ac:dyDescent="0.25">
      <c r="A6497" s="4">
        <v>43887</v>
      </c>
      <c r="B6497">
        <v>305.72190000000001</v>
      </c>
      <c r="C6497">
        <v>309.09739999999999</v>
      </c>
      <c r="D6497">
        <v>305.23970000000003</v>
      </c>
      <c r="E6497">
        <v>307.16860000000003</v>
      </c>
      <c r="F6497">
        <v>60768</v>
      </c>
    </row>
    <row r="6498" spans="1:6" x14ac:dyDescent="0.25">
      <c r="A6498" s="4">
        <v>43888</v>
      </c>
      <c r="B6498">
        <v>307.6508</v>
      </c>
      <c r="C6498">
        <v>308.61520000000002</v>
      </c>
      <c r="D6498">
        <v>303.79309999999998</v>
      </c>
      <c r="E6498">
        <v>304.75749999999999</v>
      </c>
      <c r="F6498">
        <v>62402</v>
      </c>
    </row>
    <row r="6499" spans="1:6" x14ac:dyDescent="0.25">
      <c r="A6499" s="4">
        <v>43892</v>
      </c>
      <c r="B6499">
        <v>297.0421</v>
      </c>
      <c r="C6499">
        <v>305.72190000000001</v>
      </c>
      <c r="D6499">
        <v>297.0421</v>
      </c>
      <c r="E6499">
        <v>299.93540000000002</v>
      </c>
      <c r="F6499">
        <v>86373</v>
      </c>
    </row>
    <row r="6500" spans="1:6" x14ac:dyDescent="0.25">
      <c r="A6500" s="4">
        <v>43893</v>
      </c>
      <c r="B6500">
        <v>307.16860000000003</v>
      </c>
      <c r="C6500">
        <v>308.61520000000002</v>
      </c>
      <c r="D6500">
        <v>304.75749999999999</v>
      </c>
      <c r="E6500">
        <v>306.20420000000001</v>
      </c>
      <c r="F6500">
        <v>55169</v>
      </c>
    </row>
    <row r="6501" spans="1:6" x14ac:dyDescent="0.25">
      <c r="A6501" s="4">
        <v>43894</v>
      </c>
      <c r="B6501">
        <v>310.54410000000001</v>
      </c>
      <c r="C6501">
        <v>310.54410000000001</v>
      </c>
      <c r="D6501">
        <v>305.72190000000001</v>
      </c>
      <c r="E6501">
        <v>309.09739999999999</v>
      </c>
      <c r="F6501">
        <v>44745</v>
      </c>
    </row>
    <row r="6502" spans="1:6" x14ac:dyDescent="0.25">
      <c r="A6502" s="4">
        <v>43895</v>
      </c>
      <c r="B6502">
        <v>313.43729999999999</v>
      </c>
      <c r="C6502">
        <v>314.40170000000001</v>
      </c>
      <c r="D6502">
        <v>311.50850000000003</v>
      </c>
      <c r="E6502">
        <v>311.50850000000003</v>
      </c>
      <c r="F6502">
        <v>38224</v>
      </c>
    </row>
    <row r="6503" spans="1:6" x14ac:dyDescent="0.25">
      <c r="A6503" s="4">
        <v>43896</v>
      </c>
      <c r="B6503">
        <v>308.61520000000002</v>
      </c>
      <c r="C6503">
        <v>309.09739999999999</v>
      </c>
      <c r="D6503">
        <v>303.79309999999998</v>
      </c>
      <c r="E6503">
        <v>303.79309999999998</v>
      </c>
      <c r="F6503">
        <v>52808</v>
      </c>
    </row>
    <row r="6504" spans="1:6" x14ac:dyDescent="0.25">
      <c r="A6504" s="4">
        <v>43899</v>
      </c>
      <c r="B6504">
        <v>296.55990000000003</v>
      </c>
      <c r="C6504">
        <v>298.971</v>
      </c>
      <c r="D6504">
        <v>294.6311</v>
      </c>
      <c r="E6504">
        <v>294.6311</v>
      </c>
      <c r="F6504">
        <v>88633</v>
      </c>
    </row>
    <row r="6505" spans="1:6" x14ac:dyDescent="0.25">
      <c r="A6505" s="4">
        <v>43900</v>
      </c>
      <c r="B6505">
        <v>290.77339999999998</v>
      </c>
      <c r="C6505">
        <v>298.00659999999999</v>
      </c>
      <c r="D6505">
        <v>290.2912</v>
      </c>
      <c r="E6505">
        <v>296.07769999999999</v>
      </c>
      <c r="F6505">
        <v>74869</v>
      </c>
    </row>
    <row r="6506" spans="1:6" x14ac:dyDescent="0.25">
      <c r="A6506" s="4">
        <v>43901</v>
      </c>
      <c r="B6506">
        <v>298.00659999999999</v>
      </c>
      <c r="C6506">
        <v>299.45319999999998</v>
      </c>
      <c r="D6506">
        <v>291.25560000000002</v>
      </c>
      <c r="E6506">
        <v>291.25560000000002</v>
      </c>
      <c r="F6506">
        <v>64924</v>
      </c>
    </row>
    <row r="6507" spans="1:6" x14ac:dyDescent="0.25">
      <c r="A6507" s="4">
        <v>43902</v>
      </c>
      <c r="B6507">
        <v>288.3623</v>
      </c>
      <c r="C6507">
        <v>288.3623</v>
      </c>
      <c r="D6507">
        <v>276.78930000000003</v>
      </c>
      <c r="E6507">
        <v>283.54020000000003</v>
      </c>
      <c r="F6507">
        <v>114173</v>
      </c>
    </row>
    <row r="6508" spans="1:6" x14ac:dyDescent="0.25">
      <c r="A6508" s="4">
        <v>43903</v>
      </c>
      <c r="B6508">
        <v>265.21620000000001</v>
      </c>
      <c r="C6508">
        <v>283.54020000000003</v>
      </c>
      <c r="D6508">
        <v>262.80509999999998</v>
      </c>
      <c r="E6508">
        <v>279.6825</v>
      </c>
      <c r="F6508">
        <v>151268</v>
      </c>
    </row>
    <row r="6509" spans="1:6" x14ac:dyDescent="0.25">
      <c r="A6509" s="4">
        <v>43906</v>
      </c>
      <c r="B6509">
        <v>274.86040000000003</v>
      </c>
      <c r="C6509">
        <v>280.64699999999999</v>
      </c>
      <c r="D6509">
        <v>265.69839999999999</v>
      </c>
      <c r="E6509">
        <v>266.6628</v>
      </c>
      <c r="F6509">
        <v>103933</v>
      </c>
    </row>
    <row r="6510" spans="1:6" x14ac:dyDescent="0.25">
      <c r="A6510" s="4">
        <v>43907</v>
      </c>
      <c r="B6510">
        <v>255.572</v>
      </c>
      <c r="C6510">
        <v>266.6628</v>
      </c>
      <c r="D6510">
        <v>255.572</v>
      </c>
      <c r="E6510">
        <v>258.46519999999998</v>
      </c>
      <c r="F6510">
        <v>122410</v>
      </c>
    </row>
    <row r="6511" spans="1:6" x14ac:dyDescent="0.25">
      <c r="A6511" s="4">
        <v>43908</v>
      </c>
      <c r="B6511">
        <v>259.9119</v>
      </c>
      <c r="C6511">
        <v>262.80509999999998</v>
      </c>
      <c r="D6511">
        <v>250.7499</v>
      </c>
      <c r="E6511">
        <v>250.7499</v>
      </c>
      <c r="F6511">
        <v>118621</v>
      </c>
    </row>
    <row r="6512" spans="1:6" x14ac:dyDescent="0.25">
      <c r="A6512" s="4">
        <v>43909</v>
      </c>
      <c r="B6512">
        <v>245.39400000000001</v>
      </c>
      <c r="C6512">
        <v>246.36779999999999</v>
      </c>
      <c r="D6512">
        <v>229.32660000000001</v>
      </c>
      <c r="E6512">
        <v>241.49889999999999</v>
      </c>
      <c r="F6512">
        <v>160812</v>
      </c>
    </row>
    <row r="6513" spans="1:6" x14ac:dyDescent="0.25">
      <c r="A6513" s="4">
        <v>43910</v>
      </c>
      <c r="B6513">
        <v>251.7236</v>
      </c>
      <c r="C6513">
        <v>262.92219999999998</v>
      </c>
      <c r="D6513">
        <v>249.28919999999999</v>
      </c>
      <c r="E6513">
        <v>262.92219999999998</v>
      </c>
      <c r="F6513">
        <v>159180</v>
      </c>
    </row>
    <row r="6514" spans="1:6" x14ac:dyDescent="0.25">
      <c r="A6514" s="4">
        <v>43913</v>
      </c>
      <c r="B6514">
        <v>250.26300000000001</v>
      </c>
      <c r="C6514">
        <v>255.61879999999999</v>
      </c>
      <c r="D6514">
        <v>245.39400000000001</v>
      </c>
      <c r="E6514">
        <v>248.31540000000001</v>
      </c>
      <c r="F6514">
        <v>76964</v>
      </c>
    </row>
    <row r="6515" spans="1:6" x14ac:dyDescent="0.25">
      <c r="A6515" s="4">
        <v>43914</v>
      </c>
      <c r="B6515">
        <v>260.97460000000001</v>
      </c>
      <c r="C6515">
        <v>266.81729999999999</v>
      </c>
      <c r="D6515">
        <v>259.02699999999999</v>
      </c>
      <c r="E6515">
        <v>260.48770000000002</v>
      </c>
      <c r="F6515">
        <v>82378</v>
      </c>
    </row>
    <row r="6516" spans="1:6" x14ac:dyDescent="0.25">
      <c r="A6516" s="4">
        <v>43915</v>
      </c>
      <c r="B6516">
        <v>269.2518</v>
      </c>
      <c r="C6516">
        <v>272.66000000000003</v>
      </c>
      <c r="D6516">
        <v>266.81729999999999</v>
      </c>
      <c r="E6516">
        <v>269.73869999999999</v>
      </c>
      <c r="F6516">
        <v>80514</v>
      </c>
    </row>
    <row r="6517" spans="1:6" x14ac:dyDescent="0.25">
      <c r="A6517" s="4">
        <v>43916</v>
      </c>
      <c r="B6517">
        <v>272.17320000000001</v>
      </c>
      <c r="C6517">
        <v>272.66000000000003</v>
      </c>
      <c r="D6517">
        <v>268.27800000000002</v>
      </c>
      <c r="E6517">
        <v>272.66000000000003</v>
      </c>
      <c r="F6517">
        <v>54190</v>
      </c>
    </row>
    <row r="6518" spans="1:6" x14ac:dyDescent="0.25">
      <c r="A6518" s="4">
        <v>43917</v>
      </c>
      <c r="B6518">
        <v>276.55520000000001</v>
      </c>
      <c r="C6518">
        <v>278.50279999999998</v>
      </c>
      <c r="D6518">
        <v>265.84350000000001</v>
      </c>
      <c r="E6518">
        <v>265.84350000000001</v>
      </c>
      <c r="F6518">
        <v>69320</v>
      </c>
    </row>
    <row r="6519" spans="1:6" x14ac:dyDescent="0.25">
      <c r="A6519" s="4">
        <v>43920</v>
      </c>
      <c r="B6519">
        <v>256.5926</v>
      </c>
      <c r="C6519">
        <v>261.94839999999999</v>
      </c>
      <c r="D6519">
        <v>255.61879999999999</v>
      </c>
      <c r="E6519">
        <v>260.48770000000002</v>
      </c>
      <c r="F6519">
        <v>53404</v>
      </c>
    </row>
    <row r="6520" spans="1:6" x14ac:dyDescent="0.25">
      <c r="A6520" s="4">
        <v>43921</v>
      </c>
      <c r="B6520">
        <v>265.84350000000001</v>
      </c>
      <c r="C6520">
        <v>266.81729999999999</v>
      </c>
      <c r="D6520">
        <v>262.43529999999998</v>
      </c>
      <c r="E6520">
        <v>266.81729999999999</v>
      </c>
      <c r="F6520">
        <v>53902</v>
      </c>
    </row>
    <row r="6521" spans="1:6" x14ac:dyDescent="0.25">
      <c r="A6521" s="4">
        <v>43922</v>
      </c>
      <c r="B6521">
        <v>269.2518</v>
      </c>
      <c r="C6521">
        <v>269.2518</v>
      </c>
      <c r="D6521">
        <v>264.38290000000001</v>
      </c>
      <c r="E6521">
        <v>264.38290000000001</v>
      </c>
      <c r="F6521">
        <v>47572</v>
      </c>
    </row>
    <row r="6522" spans="1:6" x14ac:dyDescent="0.25">
      <c r="A6522" s="4">
        <v>43927</v>
      </c>
      <c r="B6522">
        <v>265.84350000000001</v>
      </c>
      <c r="C6522">
        <v>268.27800000000002</v>
      </c>
      <c r="D6522">
        <v>262.92219999999998</v>
      </c>
      <c r="E6522">
        <v>268.27800000000002</v>
      </c>
      <c r="F6522">
        <v>59713</v>
      </c>
    </row>
    <row r="6523" spans="1:6" x14ac:dyDescent="0.25">
      <c r="A6523" s="4">
        <v>43928</v>
      </c>
      <c r="B6523">
        <v>276.06830000000002</v>
      </c>
      <c r="C6523">
        <v>276.55520000000001</v>
      </c>
      <c r="D6523">
        <v>273.14690000000002</v>
      </c>
      <c r="E6523">
        <v>275.58139999999997</v>
      </c>
      <c r="F6523">
        <v>48887</v>
      </c>
    </row>
    <row r="6524" spans="1:6" x14ac:dyDescent="0.25">
      <c r="A6524" s="4">
        <v>43929</v>
      </c>
      <c r="B6524">
        <v>277.529</v>
      </c>
      <c r="C6524">
        <v>278.01589999999999</v>
      </c>
      <c r="D6524">
        <v>275.58139999999997</v>
      </c>
      <c r="E6524">
        <v>277.529</v>
      </c>
      <c r="F6524">
        <v>38699</v>
      </c>
    </row>
    <row r="6525" spans="1:6" x14ac:dyDescent="0.25">
      <c r="A6525" s="4">
        <v>43930</v>
      </c>
      <c r="B6525">
        <v>279.96339999999998</v>
      </c>
      <c r="C6525">
        <v>280.45030000000003</v>
      </c>
      <c r="D6525">
        <v>275.09449999999998</v>
      </c>
      <c r="E6525">
        <v>275.58139999999997</v>
      </c>
      <c r="F6525">
        <v>29276</v>
      </c>
    </row>
    <row r="6526" spans="1:6" x14ac:dyDescent="0.25">
      <c r="A6526" s="4">
        <v>43931</v>
      </c>
      <c r="B6526">
        <v>272.66000000000003</v>
      </c>
      <c r="C6526">
        <v>274.60759999999999</v>
      </c>
      <c r="D6526">
        <v>271.68630000000002</v>
      </c>
      <c r="E6526">
        <v>272.17320000000001</v>
      </c>
      <c r="F6526">
        <v>28207</v>
      </c>
    </row>
    <row r="6527" spans="1:6" x14ac:dyDescent="0.25">
      <c r="A6527" s="4">
        <v>43934</v>
      </c>
      <c r="B6527">
        <v>271.19940000000003</v>
      </c>
      <c r="C6527">
        <v>274.1207</v>
      </c>
      <c r="D6527">
        <v>271.19940000000003</v>
      </c>
      <c r="E6527">
        <v>271.19940000000003</v>
      </c>
      <c r="F6527">
        <v>22197</v>
      </c>
    </row>
    <row r="6528" spans="1:6" x14ac:dyDescent="0.25">
      <c r="A6528" s="4">
        <v>43935</v>
      </c>
      <c r="B6528">
        <v>273.63380000000001</v>
      </c>
      <c r="C6528">
        <v>278.01589999999999</v>
      </c>
      <c r="D6528">
        <v>272.66000000000003</v>
      </c>
      <c r="E6528">
        <v>277.529</v>
      </c>
      <c r="F6528">
        <v>50197</v>
      </c>
    </row>
    <row r="6529" spans="1:6" x14ac:dyDescent="0.25">
      <c r="A6529" s="4">
        <v>43936</v>
      </c>
      <c r="B6529">
        <v>279.47649999999999</v>
      </c>
      <c r="C6529">
        <v>280.93720000000002</v>
      </c>
      <c r="D6529">
        <v>278.50279999999998</v>
      </c>
      <c r="E6529">
        <v>279.96339999999998</v>
      </c>
      <c r="F6529">
        <v>58561</v>
      </c>
    </row>
    <row r="6530" spans="1:6" x14ac:dyDescent="0.25">
      <c r="A6530" s="4">
        <v>43937</v>
      </c>
      <c r="B6530">
        <v>275.58139999999997</v>
      </c>
      <c r="C6530">
        <v>280.93720000000002</v>
      </c>
      <c r="D6530">
        <v>275.58139999999997</v>
      </c>
      <c r="E6530">
        <v>278.98970000000003</v>
      </c>
      <c r="F6530">
        <v>48257</v>
      </c>
    </row>
    <row r="6531" spans="1:6" x14ac:dyDescent="0.25">
      <c r="A6531" s="4">
        <v>43938</v>
      </c>
      <c r="B6531">
        <v>295.54399999999998</v>
      </c>
      <c r="C6531">
        <v>300.41289999999998</v>
      </c>
      <c r="D6531">
        <v>292.62270000000001</v>
      </c>
      <c r="E6531">
        <v>298.46539999999999</v>
      </c>
      <c r="F6531">
        <v>117447</v>
      </c>
    </row>
    <row r="6532" spans="1:6" x14ac:dyDescent="0.25">
      <c r="A6532" s="4">
        <v>43941</v>
      </c>
      <c r="B6532">
        <v>299.92599999999999</v>
      </c>
      <c r="C6532">
        <v>300.89980000000003</v>
      </c>
      <c r="D6532">
        <v>294.5702</v>
      </c>
      <c r="E6532">
        <v>296.03089999999997</v>
      </c>
      <c r="F6532">
        <v>44587</v>
      </c>
    </row>
    <row r="6533" spans="1:6" x14ac:dyDescent="0.25">
      <c r="A6533" s="4">
        <v>43942</v>
      </c>
      <c r="B6533">
        <v>292.62270000000001</v>
      </c>
      <c r="C6533">
        <v>293.59640000000002</v>
      </c>
      <c r="D6533">
        <v>285.80619999999999</v>
      </c>
      <c r="E6533">
        <v>287.26679999999999</v>
      </c>
      <c r="F6533">
        <v>61949</v>
      </c>
    </row>
    <row r="6534" spans="1:6" x14ac:dyDescent="0.25">
      <c r="A6534" s="4">
        <v>43943</v>
      </c>
      <c r="B6534">
        <v>286.7799</v>
      </c>
      <c r="C6534">
        <v>287.26679999999999</v>
      </c>
      <c r="D6534">
        <v>282.88479999999998</v>
      </c>
      <c r="E6534">
        <v>286.29300000000001</v>
      </c>
      <c r="F6534">
        <v>43569</v>
      </c>
    </row>
    <row r="6535" spans="1:6" x14ac:dyDescent="0.25">
      <c r="A6535" s="4">
        <v>43944</v>
      </c>
      <c r="B6535">
        <v>292.13580000000002</v>
      </c>
      <c r="C6535">
        <v>292.13580000000002</v>
      </c>
      <c r="D6535">
        <v>286.29300000000001</v>
      </c>
      <c r="E6535">
        <v>287.75369999999998</v>
      </c>
      <c r="F6535">
        <v>39977</v>
      </c>
    </row>
    <row r="6536" spans="1:6" x14ac:dyDescent="0.25">
      <c r="A6536" s="4">
        <v>43945</v>
      </c>
      <c r="B6536">
        <v>287.75369999999998</v>
      </c>
      <c r="C6536">
        <v>289.21440000000001</v>
      </c>
      <c r="D6536">
        <v>286.29300000000001</v>
      </c>
      <c r="E6536">
        <v>286.29300000000001</v>
      </c>
      <c r="F6536">
        <v>26465</v>
      </c>
    </row>
    <row r="6537" spans="1:6" x14ac:dyDescent="0.25">
      <c r="A6537" s="4">
        <v>43948</v>
      </c>
      <c r="B6537">
        <v>290.18819999999999</v>
      </c>
      <c r="C6537">
        <v>290.67509999999999</v>
      </c>
      <c r="D6537">
        <v>288.24059999999997</v>
      </c>
      <c r="E6537">
        <v>290.18819999999999</v>
      </c>
      <c r="F6537">
        <v>38493</v>
      </c>
    </row>
    <row r="6538" spans="1:6" x14ac:dyDescent="0.25">
      <c r="A6538" s="4">
        <v>43949</v>
      </c>
      <c r="B6538">
        <v>290.67509999999999</v>
      </c>
      <c r="C6538">
        <v>290.67509999999999</v>
      </c>
      <c r="D6538">
        <v>286.7799</v>
      </c>
      <c r="E6538">
        <v>288.72750000000002</v>
      </c>
      <c r="F6538">
        <v>37621</v>
      </c>
    </row>
    <row r="6539" spans="1:6" x14ac:dyDescent="0.25">
      <c r="A6539" s="4">
        <v>43950</v>
      </c>
      <c r="B6539">
        <v>291.16199999999998</v>
      </c>
      <c r="C6539">
        <v>293.59640000000002</v>
      </c>
      <c r="D6539">
        <v>290.18819999999999</v>
      </c>
      <c r="E6539">
        <v>291.16199999999998</v>
      </c>
      <c r="F6539">
        <v>46253</v>
      </c>
    </row>
    <row r="6540" spans="1:6" x14ac:dyDescent="0.25">
      <c r="A6540" s="4">
        <v>43951</v>
      </c>
      <c r="B6540">
        <v>294.08330000000001</v>
      </c>
      <c r="C6540">
        <v>297.00470000000001</v>
      </c>
      <c r="D6540">
        <v>293.59640000000002</v>
      </c>
      <c r="E6540">
        <v>296.51780000000002</v>
      </c>
      <c r="F6540">
        <v>58439</v>
      </c>
    </row>
    <row r="6541" spans="1:6" x14ac:dyDescent="0.25">
      <c r="A6541" s="4">
        <v>43955</v>
      </c>
      <c r="B6541">
        <v>286.7799</v>
      </c>
      <c r="C6541">
        <v>288.72750000000002</v>
      </c>
      <c r="D6541">
        <v>286.29300000000001</v>
      </c>
      <c r="E6541">
        <v>287.26679999999999</v>
      </c>
      <c r="F6541">
        <v>72253</v>
      </c>
    </row>
    <row r="6542" spans="1:6" x14ac:dyDescent="0.25">
      <c r="A6542" s="4">
        <v>43956</v>
      </c>
      <c r="B6542">
        <v>288.72750000000002</v>
      </c>
      <c r="C6542">
        <v>290.18819999999999</v>
      </c>
      <c r="D6542">
        <v>287.26679999999999</v>
      </c>
      <c r="E6542">
        <v>287.75369999999998</v>
      </c>
      <c r="F6542">
        <v>23988</v>
      </c>
    </row>
    <row r="6543" spans="1:6" x14ac:dyDescent="0.25">
      <c r="A6543" s="4">
        <v>43957</v>
      </c>
      <c r="B6543">
        <v>286.7799</v>
      </c>
      <c r="C6543">
        <v>288.24059999999997</v>
      </c>
      <c r="D6543">
        <v>284.83240000000001</v>
      </c>
      <c r="E6543">
        <v>288.24059999999997</v>
      </c>
      <c r="F6543">
        <v>35704</v>
      </c>
    </row>
    <row r="6544" spans="1:6" x14ac:dyDescent="0.25">
      <c r="A6544" s="4">
        <v>43958</v>
      </c>
      <c r="B6544">
        <v>286.7799</v>
      </c>
      <c r="C6544">
        <v>291.16199999999998</v>
      </c>
      <c r="D6544">
        <v>286.7799</v>
      </c>
      <c r="E6544">
        <v>289.7013</v>
      </c>
      <c r="F6544">
        <v>28017</v>
      </c>
    </row>
    <row r="6545" spans="1:6" x14ac:dyDescent="0.25">
      <c r="A6545" s="4">
        <v>43959</v>
      </c>
      <c r="B6545">
        <v>292.13580000000002</v>
      </c>
      <c r="C6545">
        <v>292.13580000000002</v>
      </c>
      <c r="D6545">
        <v>288.24059999999997</v>
      </c>
      <c r="E6545">
        <v>289.7013</v>
      </c>
      <c r="F6545">
        <v>35614</v>
      </c>
    </row>
    <row r="6546" spans="1:6" x14ac:dyDescent="0.25">
      <c r="A6546" s="4">
        <v>43962</v>
      </c>
      <c r="B6546">
        <v>292.13580000000002</v>
      </c>
      <c r="C6546">
        <v>293.59640000000002</v>
      </c>
      <c r="D6546">
        <v>290.67509999999999</v>
      </c>
      <c r="E6546">
        <v>293.10950000000003</v>
      </c>
      <c r="F6546">
        <v>32379</v>
      </c>
    </row>
    <row r="6547" spans="1:6" x14ac:dyDescent="0.25">
      <c r="A6547" s="4">
        <v>43963</v>
      </c>
      <c r="B6547">
        <v>289.7013</v>
      </c>
      <c r="C6547">
        <v>290.67509999999999</v>
      </c>
      <c r="D6547">
        <v>287.26679999999999</v>
      </c>
      <c r="E6547">
        <v>287.26679999999999</v>
      </c>
      <c r="F6547">
        <v>52495</v>
      </c>
    </row>
    <row r="6548" spans="1:6" x14ac:dyDescent="0.25">
      <c r="A6548" s="4">
        <v>43964</v>
      </c>
      <c r="B6548">
        <v>285.3193</v>
      </c>
      <c r="C6548">
        <v>289.21440000000001</v>
      </c>
      <c r="D6548">
        <v>284.83240000000001</v>
      </c>
      <c r="E6548">
        <v>289.21440000000001</v>
      </c>
      <c r="F6548">
        <v>46158</v>
      </c>
    </row>
    <row r="6549" spans="1:6" x14ac:dyDescent="0.25">
      <c r="A6549" s="4">
        <v>43965</v>
      </c>
      <c r="B6549">
        <v>285.3193</v>
      </c>
      <c r="C6549">
        <v>287.26679999999999</v>
      </c>
      <c r="D6549">
        <v>284.83240000000001</v>
      </c>
      <c r="E6549">
        <v>285.3193</v>
      </c>
      <c r="F6549">
        <v>34481</v>
      </c>
    </row>
    <row r="6550" spans="1:6" x14ac:dyDescent="0.25">
      <c r="A6550" s="4">
        <v>43966</v>
      </c>
      <c r="B6550">
        <v>289.7013</v>
      </c>
      <c r="C6550">
        <v>290.67509999999999</v>
      </c>
      <c r="D6550">
        <v>286.7799</v>
      </c>
      <c r="E6550">
        <v>290.18819999999999</v>
      </c>
      <c r="F6550">
        <v>44305</v>
      </c>
    </row>
    <row r="6551" spans="1:6" x14ac:dyDescent="0.25">
      <c r="A6551" s="4">
        <v>43969</v>
      </c>
      <c r="B6551">
        <v>283.37169999999998</v>
      </c>
      <c r="C6551">
        <v>285.80619999999999</v>
      </c>
      <c r="D6551">
        <v>282.39789999999999</v>
      </c>
      <c r="E6551">
        <v>282.39789999999999</v>
      </c>
      <c r="F6551">
        <v>96872</v>
      </c>
    </row>
    <row r="6552" spans="1:6" x14ac:dyDescent="0.25">
      <c r="A6552" s="4">
        <v>43970</v>
      </c>
      <c r="B6552">
        <v>286.29300000000001</v>
      </c>
      <c r="C6552">
        <v>286.29300000000001</v>
      </c>
      <c r="D6552">
        <v>283.85860000000002</v>
      </c>
      <c r="E6552">
        <v>283.85860000000002</v>
      </c>
      <c r="F6552">
        <v>53083</v>
      </c>
    </row>
    <row r="6553" spans="1:6" x14ac:dyDescent="0.25">
      <c r="A6553" s="4">
        <v>43971</v>
      </c>
      <c r="B6553">
        <v>285.3193</v>
      </c>
      <c r="C6553">
        <v>286.29300000000001</v>
      </c>
      <c r="D6553">
        <v>283.37169999999998</v>
      </c>
      <c r="E6553">
        <v>286.29300000000001</v>
      </c>
      <c r="F6553">
        <v>36790</v>
      </c>
    </row>
    <row r="6554" spans="1:6" x14ac:dyDescent="0.25">
      <c r="A6554" s="4">
        <v>43972</v>
      </c>
      <c r="B6554">
        <v>288.24059999999997</v>
      </c>
      <c r="C6554">
        <v>290.18819999999999</v>
      </c>
      <c r="D6554">
        <v>287.26679999999999</v>
      </c>
      <c r="E6554">
        <v>289.7013</v>
      </c>
      <c r="F6554">
        <v>36299</v>
      </c>
    </row>
    <row r="6555" spans="1:6" x14ac:dyDescent="0.25">
      <c r="A6555" s="4">
        <v>43973</v>
      </c>
      <c r="B6555">
        <v>286.7799</v>
      </c>
      <c r="C6555">
        <v>287.26679999999999</v>
      </c>
      <c r="D6555">
        <v>283.37169999999998</v>
      </c>
      <c r="E6555">
        <v>284.34550000000002</v>
      </c>
      <c r="F6555">
        <v>41139</v>
      </c>
    </row>
    <row r="6556" spans="1:6" x14ac:dyDescent="0.25">
      <c r="A6556" s="4">
        <v>43976</v>
      </c>
      <c r="B6556">
        <v>282.88479999999998</v>
      </c>
      <c r="C6556">
        <v>285.3193</v>
      </c>
      <c r="D6556">
        <v>280.93720000000002</v>
      </c>
      <c r="E6556">
        <v>284.34550000000002</v>
      </c>
      <c r="F6556">
        <v>32942</v>
      </c>
    </row>
    <row r="6557" spans="1:6" x14ac:dyDescent="0.25">
      <c r="A6557" s="4">
        <v>43977</v>
      </c>
      <c r="B6557">
        <v>287.26679999999999</v>
      </c>
      <c r="C6557">
        <v>289.7013</v>
      </c>
      <c r="D6557">
        <v>285.80619999999999</v>
      </c>
      <c r="E6557">
        <v>287.75369999999998</v>
      </c>
      <c r="F6557">
        <v>35817</v>
      </c>
    </row>
    <row r="6558" spans="1:6" x14ac:dyDescent="0.25">
      <c r="A6558" s="4">
        <v>43978</v>
      </c>
      <c r="B6558">
        <v>289.21440000000001</v>
      </c>
      <c r="C6558">
        <v>290.18819999999999</v>
      </c>
      <c r="D6558">
        <v>287.75369999999998</v>
      </c>
      <c r="E6558">
        <v>288.72750000000002</v>
      </c>
      <c r="F6558">
        <v>23376</v>
      </c>
    </row>
    <row r="6559" spans="1:6" x14ac:dyDescent="0.25">
      <c r="A6559" s="4">
        <v>43979</v>
      </c>
      <c r="B6559">
        <v>290.67509999999999</v>
      </c>
      <c r="C6559">
        <v>290.67509999999999</v>
      </c>
      <c r="D6559">
        <v>285.3193</v>
      </c>
      <c r="E6559">
        <v>286.29300000000001</v>
      </c>
      <c r="F6559">
        <v>32396</v>
      </c>
    </row>
    <row r="6560" spans="1:6" x14ac:dyDescent="0.25">
      <c r="A6560" s="4">
        <v>43980</v>
      </c>
      <c r="B6560">
        <v>284.34550000000002</v>
      </c>
      <c r="C6560">
        <v>284.83240000000001</v>
      </c>
      <c r="D6560">
        <v>282.39789999999999</v>
      </c>
      <c r="E6560">
        <v>284.34550000000002</v>
      </c>
      <c r="F6560">
        <v>96611</v>
      </c>
    </row>
    <row r="6561" spans="1:6" x14ac:dyDescent="0.25">
      <c r="A6561" s="4">
        <v>43983</v>
      </c>
      <c r="B6561">
        <v>286.29300000000001</v>
      </c>
      <c r="C6561">
        <v>288.72750000000002</v>
      </c>
      <c r="D6561">
        <v>285.80619999999999</v>
      </c>
      <c r="E6561">
        <v>287.75369999999998</v>
      </c>
      <c r="F6561">
        <v>37936</v>
      </c>
    </row>
    <row r="6562" spans="1:6" x14ac:dyDescent="0.25">
      <c r="A6562" s="4">
        <v>43984</v>
      </c>
      <c r="B6562">
        <v>288.24059999999997</v>
      </c>
      <c r="C6562">
        <v>289.7013</v>
      </c>
      <c r="D6562">
        <v>288.24059999999997</v>
      </c>
      <c r="E6562">
        <v>288.72750000000002</v>
      </c>
      <c r="F6562">
        <v>26664</v>
      </c>
    </row>
    <row r="6563" spans="1:6" x14ac:dyDescent="0.25">
      <c r="A6563" s="4">
        <v>43985</v>
      </c>
      <c r="B6563">
        <v>292.13580000000002</v>
      </c>
      <c r="C6563">
        <v>293.10950000000003</v>
      </c>
      <c r="D6563">
        <v>290.18819999999999</v>
      </c>
      <c r="E6563">
        <v>293.10950000000003</v>
      </c>
      <c r="F6563">
        <v>67894</v>
      </c>
    </row>
    <row r="6564" spans="1:6" x14ac:dyDescent="0.25">
      <c r="A6564" s="4">
        <v>43986</v>
      </c>
      <c r="B6564">
        <v>297.00470000000001</v>
      </c>
      <c r="C6564">
        <v>297.9785</v>
      </c>
      <c r="D6564">
        <v>296.03089999999997</v>
      </c>
      <c r="E6564">
        <v>297.9785</v>
      </c>
      <c r="F6564">
        <v>47225</v>
      </c>
    </row>
    <row r="6565" spans="1:6" x14ac:dyDescent="0.25">
      <c r="A6565" s="4">
        <v>43987</v>
      </c>
      <c r="B6565">
        <v>300.41289999999998</v>
      </c>
      <c r="C6565">
        <v>303.82119999999998</v>
      </c>
      <c r="D6565">
        <v>299.92599999999999</v>
      </c>
      <c r="E6565">
        <v>303.33429999999998</v>
      </c>
      <c r="F6565">
        <v>44077</v>
      </c>
    </row>
    <row r="6566" spans="1:6" x14ac:dyDescent="0.25">
      <c r="A6566" s="4">
        <v>43990</v>
      </c>
      <c r="B6566">
        <v>307.71629999999999</v>
      </c>
      <c r="C6566">
        <v>310.6377</v>
      </c>
      <c r="D6566">
        <v>306.74250000000001</v>
      </c>
      <c r="E6566">
        <v>309.66390000000001</v>
      </c>
      <c r="F6566">
        <v>52043</v>
      </c>
    </row>
    <row r="6567" spans="1:6" x14ac:dyDescent="0.25">
      <c r="A6567" s="4">
        <v>43991</v>
      </c>
      <c r="B6567">
        <v>308.20319999999998</v>
      </c>
      <c r="C6567">
        <v>310.6377</v>
      </c>
      <c r="D6567">
        <v>305.7688</v>
      </c>
      <c r="E6567">
        <v>310.6377</v>
      </c>
      <c r="F6567">
        <v>37068</v>
      </c>
    </row>
    <row r="6568" spans="1:6" x14ac:dyDescent="0.25">
      <c r="A6568" s="4">
        <v>43992</v>
      </c>
      <c r="B6568">
        <v>310.6377</v>
      </c>
      <c r="C6568">
        <v>315.50659999999999</v>
      </c>
      <c r="D6568">
        <v>309.66390000000001</v>
      </c>
      <c r="E6568">
        <v>314.04590000000002</v>
      </c>
      <c r="F6568">
        <v>42207</v>
      </c>
    </row>
    <row r="6569" spans="1:6" x14ac:dyDescent="0.25">
      <c r="A6569" s="4">
        <v>43993</v>
      </c>
      <c r="B6569">
        <v>316.96730000000002</v>
      </c>
      <c r="C6569">
        <v>318.428</v>
      </c>
      <c r="D6569">
        <v>310.1508</v>
      </c>
      <c r="E6569">
        <v>312.09840000000003</v>
      </c>
      <c r="F6569">
        <v>50612</v>
      </c>
    </row>
    <row r="6570" spans="1:6" x14ac:dyDescent="0.25">
      <c r="A6570" s="4">
        <v>43994</v>
      </c>
      <c r="B6570">
        <v>304.79500000000002</v>
      </c>
      <c r="C6570">
        <v>309.17700000000002</v>
      </c>
      <c r="D6570">
        <v>304.30810000000002</v>
      </c>
      <c r="E6570">
        <v>307.71629999999999</v>
      </c>
      <c r="F6570">
        <v>46971</v>
      </c>
    </row>
    <row r="6571" spans="1:6" x14ac:dyDescent="0.25">
      <c r="A6571" s="4">
        <v>43997</v>
      </c>
      <c r="B6571">
        <v>307.71629999999999</v>
      </c>
      <c r="C6571">
        <v>309.17700000000002</v>
      </c>
      <c r="D6571">
        <v>300.41289999999998</v>
      </c>
      <c r="E6571">
        <v>301.38670000000002</v>
      </c>
      <c r="F6571">
        <v>51032</v>
      </c>
    </row>
    <row r="6572" spans="1:6" x14ac:dyDescent="0.25">
      <c r="A6572" s="4">
        <v>43998</v>
      </c>
      <c r="B6572">
        <v>308.69009999999997</v>
      </c>
      <c r="C6572">
        <v>308.69009999999997</v>
      </c>
      <c r="D6572">
        <v>305.7688</v>
      </c>
      <c r="E6572">
        <v>306.74250000000001</v>
      </c>
      <c r="F6572">
        <v>40725</v>
      </c>
    </row>
    <row r="6573" spans="1:6" x14ac:dyDescent="0.25">
      <c r="A6573" s="4">
        <v>43999</v>
      </c>
      <c r="B6573">
        <v>308.20319999999998</v>
      </c>
      <c r="C6573">
        <v>308.69009999999997</v>
      </c>
      <c r="D6573">
        <v>305.28190000000001</v>
      </c>
      <c r="E6573">
        <v>306.74250000000001</v>
      </c>
      <c r="F6573">
        <v>34693</v>
      </c>
    </row>
    <row r="6574" spans="1:6" x14ac:dyDescent="0.25">
      <c r="A6574" s="4">
        <v>44000</v>
      </c>
      <c r="B6574">
        <v>308.70569999999998</v>
      </c>
      <c r="C6574">
        <v>309.19650000000001</v>
      </c>
      <c r="D6574">
        <v>307.23329999999999</v>
      </c>
      <c r="E6574">
        <v>308.70569999999998</v>
      </c>
      <c r="F6574">
        <v>35443</v>
      </c>
    </row>
    <row r="6575" spans="1:6" x14ac:dyDescent="0.25">
      <c r="A6575" s="4">
        <v>44001</v>
      </c>
      <c r="B6575">
        <v>308.2149</v>
      </c>
      <c r="C6575">
        <v>308.70569999999998</v>
      </c>
      <c r="D6575">
        <v>306.2518</v>
      </c>
      <c r="E6575">
        <v>308.70569999999998</v>
      </c>
      <c r="F6575">
        <v>48130</v>
      </c>
    </row>
    <row r="6576" spans="1:6" x14ac:dyDescent="0.25">
      <c r="A6576" s="4">
        <v>44004</v>
      </c>
      <c r="B6576">
        <v>308.70569999999998</v>
      </c>
      <c r="C6576">
        <v>310.66890000000001</v>
      </c>
      <c r="D6576">
        <v>306.2518</v>
      </c>
      <c r="E6576">
        <v>306.2518</v>
      </c>
      <c r="F6576">
        <v>37375</v>
      </c>
    </row>
    <row r="6577" spans="1:6" x14ac:dyDescent="0.25">
      <c r="A6577" s="4">
        <v>44005</v>
      </c>
      <c r="B6577">
        <v>310.17809999999997</v>
      </c>
      <c r="C6577">
        <v>310.66890000000001</v>
      </c>
      <c r="D6577">
        <v>306.74250000000001</v>
      </c>
      <c r="E6577">
        <v>309.19650000000001</v>
      </c>
      <c r="F6577">
        <v>41300</v>
      </c>
    </row>
    <row r="6578" spans="1:6" x14ac:dyDescent="0.25">
      <c r="A6578" s="4">
        <v>44006</v>
      </c>
      <c r="B6578">
        <v>313.12279999999998</v>
      </c>
      <c r="C6578">
        <v>314.1044</v>
      </c>
      <c r="D6578">
        <v>310.17809999999997</v>
      </c>
      <c r="E6578">
        <v>311.65039999999999</v>
      </c>
      <c r="F6578">
        <v>55464</v>
      </c>
    </row>
    <row r="6579" spans="1:6" x14ac:dyDescent="0.25">
      <c r="A6579" s="4">
        <v>44011</v>
      </c>
      <c r="B6579">
        <v>308.2149</v>
      </c>
      <c r="C6579">
        <v>309.19650000000001</v>
      </c>
      <c r="D6579">
        <v>304.28859999999997</v>
      </c>
      <c r="E6579">
        <v>306.2518</v>
      </c>
      <c r="F6579">
        <v>56673</v>
      </c>
    </row>
    <row r="6580" spans="1:6" x14ac:dyDescent="0.25">
      <c r="A6580" s="4">
        <v>44012</v>
      </c>
      <c r="B6580">
        <v>307.72410000000002</v>
      </c>
      <c r="C6580">
        <v>308.2149</v>
      </c>
      <c r="D6580">
        <v>305.27019999999999</v>
      </c>
      <c r="E6580">
        <v>307.23329999999999</v>
      </c>
      <c r="F6580">
        <v>49242</v>
      </c>
    </row>
    <row r="6581" spans="1:6" x14ac:dyDescent="0.25">
      <c r="A6581" s="4">
        <v>44013</v>
      </c>
      <c r="B6581">
        <v>309.19650000000001</v>
      </c>
      <c r="C6581">
        <v>312.14120000000003</v>
      </c>
      <c r="D6581">
        <v>308.2149</v>
      </c>
      <c r="E6581">
        <v>311.65039999999999</v>
      </c>
      <c r="F6581">
        <v>29685</v>
      </c>
    </row>
    <row r="6582" spans="1:6" x14ac:dyDescent="0.25">
      <c r="A6582" s="4">
        <v>44014</v>
      </c>
      <c r="B6582">
        <v>313.12279999999998</v>
      </c>
      <c r="C6582">
        <v>316.0675</v>
      </c>
      <c r="D6582">
        <v>312.14120000000003</v>
      </c>
      <c r="E6582">
        <v>316.0675</v>
      </c>
      <c r="F6582">
        <v>37789</v>
      </c>
    </row>
    <row r="6583" spans="1:6" x14ac:dyDescent="0.25">
      <c r="A6583" s="4">
        <v>44015</v>
      </c>
      <c r="B6583">
        <v>320.97539999999998</v>
      </c>
      <c r="C6583">
        <v>324.41090000000003</v>
      </c>
      <c r="D6583">
        <v>320.4846</v>
      </c>
      <c r="E6583">
        <v>323.42930000000001</v>
      </c>
      <c r="F6583">
        <v>55657</v>
      </c>
    </row>
    <row r="6584" spans="1:6" x14ac:dyDescent="0.25">
      <c r="A6584" s="4">
        <v>44018</v>
      </c>
      <c r="B6584">
        <v>326.3741</v>
      </c>
      <c r="C6584">
        <v>331.77269999999999</v>
      </c>
      <c r="D6584">
        <v>325.88330000000002</v>
      </c>
      <c r="E6584">
        <v>331.77269999999999</v>
      </c>
      <c r="F6584">
        <v>57256</v>
      </c>
    </row>
    <row r="6585" spans="1:6" x14ac:dyDescent="0.25">
      <c r="A6585" s="4">
        <v>44019</v>
      </c>
      <c r="B6585">
        <v>337.17140000000001</v>
      </c>
      <c r="C6585">
        <v>339.62540000000001</v>
      </c>
      <c r="D6585">
        <v>331.77269999999999</v>
      </c>
      <c r="E6585">
        <v>332.26350000000002</v>
      </c>
      <c r="F6585">
        <v>59046</v>
      </c>
    </row>
    <row r="6586" spans="1:6" x14ac:dyDescent="0.25">
      <c r="A6586" s="4">
        <v>44020</v>
      </c>
      <c r="B6586">
        <v>331.28199999999998</v>
      </c>
      <c r="C6586">
        <v>336.18979999999999</v>
      </c>
      <c r="D6586">
        <v>331.28199999999998</v>
      </c>
      <c r="E6586">
        <v>334.71749999999997</v>
      </c>
      <c r="F6586">
        <v>33813</v>
      </c>
    </row>
    <row r="6587" spans="1:6" x14ac:dyDescent="0.25">
      <c r="A6587" s="4">
        <v>44021</v>
      </c>
      <c r="B6587">
        <v>339.62540000000001</v>
      </c>
      <c r="C6587">
        <v>340.6069</v>
      </c>
      <c r="D6587">
        <v>336.68060000000003</v>
      </c>
      <c r="E6587">
        <v>338.6438</v>
      </c>
      <c r="F6587">
        <v>37410</v>
      </c>
    </row>
    <row r="6588" spans="1:6" x14ac:dyDescent="0.25">
      <c r="A6588" s="4">
        <v>44022</v>
      </c>
      <c r="B6588">
        <v>346.00560000000002</v>
      </c>
      <c r="C6588">
        <v>346.49639999999999</v>
      </c>
      <c r="D6588">
        <v>339.13459999999998</v>
      </c>
      <c r="E6588">
        <v>342.07929999999999</v>
      </c>
      <c r="F6588">
        <v>60902</v>
      </c>
    </row>
    <row r="6589" spans="1:6" x14ac:dyDescent="0.25">
      <c r="A6589" s="4">
        <v>44025</v>
      </c>
      <c r="B6589">
        <v>344.53320000000002</v>
      </c>
      <c r="C6589">
        <v>347.96870000000001</v>
      </c>
      <c r="D6589">
        <v>344.04239999999999</v>
      </c>
      <c r="E6589">
        <v>347.96870000000001</v>
      </c>
      <c r="F6589">
        <v>49460</v>
      </c>
    </row>
    <row r="6590" spans="1:6" x14ac:dyDescent="0.25">
      <c r="A6590" s="4">
        <v>44026</v>
      </c>
      <c r="B6590">
        <v>348.45949999999999</v>
      </c>
      <c r="C6590">
        <v>357.2937</v>
      </c>
      <c r="D6590">
        <v>347.96870000000001</v>
      </c>
      <c r="E6590">
        <v>356.80290000000002</v>
      </c>
      <c r="F6590">
        <v>63030</v>
      </c>
    </row>
    <row r="6591" spans="1:6" x14ac:dyDescent="0.25">
      <c r="A6591" s="4">
        <v>44027</v>
      </c>
      <c r="B6591">
        <v>359.25689999999997</v>
      </c>
      <c r="C6591">
        <v>363.1832</v>
      </c>
      <c r="D6591">
        <v>354.34899999999999</v>
      </c>
      <c r="E6591">
        <v>356.31209999999999</v>
      </c>
      <c r="F6591">
        <v>75105</v>
      </c>
    </row>
    <row r="6592" spans="1:6" x14ac:dyDescent="0.25">
      <c r="A6592" s="4">
        <v>44028</v>
      </c>
      <c r="B6592">
        <v>352.38580000000002</v>
      </c>
      <c r="C6592">
        <v>354.34899999999999</v>
      </c>
      <c r="D6592">
        <v>346.98719999999997</v>
      </c>
      <c r="E6592">
        <v>350.9135</v>
      </c>
      <c r="F6592">
        <v>68583</v>
      </c>
    </row>
    <row r="6593" spans="1:6" x14ac:dyDescent="0.25">
      <c r="A6593" s="4">
        <v>44029</v>
      </c>
      <c r="B6593">
        <v>354.34899999999999</v>
      </c>
      <c r="C6593">
        <v>362.20159999999998</v>
      </c>
      <c r="D6593">
        <v>353.36739999999998</v>
      </c>
      <c r="E6593">
        <v>360.23840000000001</v>
      </c>
      <c r="F6593">
        <v>66403</v>
      </c>
    </row>
    <row r="6594" spans="1:6" x14ac:dyDescent="0.25">
      <c r="A6594" s="4">
        <v>44032</v>
      </c>
      <c r="B6594">
        <v>363.1832</v>
      </c>
      <c r="C6594">
        <v>363.1832</v>
      </c>
      <c r="D6594">
        <v>355.82139999999998</v>
      </c>
      <c r="E6594">
        <v>359.25689999999997</v>
      </c>
      <c r="F6594">
        <v>44940</v>
      </c>
    </row>
    <row r="6595" spans="1:6" x14ac:dyDescent="0.25">
      <c r="A6595" s="4">
        <v>44033</v>
      </c>
      <c r="B6595">
        <v>365.63709999999998</v>
      </c>
      <c r="C6595">
        <v>379.87</v>
      </c>
      <c r="D6595">
        <v>364.65550000000002</v>
      </c>
      <c r="E6595">
        <v>375.94369999999998</v>
      </c>
      <c r="F6595">
        <v>64440</v>
      </c>
    </row>
    <row r="6596" spans="1:6" x14ac:dyDescent="0.25">
      <c r="A6596" s="4">
        <v>44034</v>
      </c>
      <c r="B6596">
        <v>373.98050000000001</v>
      </c>
      <c r="C6596">
        <v>378.88839999999999</v>
      </c>
      <c r="D6596">
        <v>372.01740000000001</v>
      </c>
      <c r="E6596">
        <v>376.92520000000002</v>
      </c>
      <c r="F6596">
        <v>43960</v>
      </c>
    </row>
    <row r="6597" spans="1:6" x14ac:dyDescent="0.25">
      <c r="A6597" s="4">
        <v>44035</v>
      </c>
      <c r="B6597">
        <v>374.96210000000002</v>
      </c>
      <c r="C6597">
        <v>375.94369999999998</v>
      </c>
      <c r="D6597">
        <v>372.01740000000001</v>
      </c>
      <c r="E6597">
        <v>374.47129999999999</v>
      </c>
      <c r="F6597">
        <v>45397</v>
      </c>
    </row>
    <row r="6598" spans="1:6" x14ac:dyDescent="0.25">
      <c r="A6598" s="4">
        <v>44036</v>
      </c>
      <c r="B6598">
        <v>382.81470000000002</v>
      </c>
      <c r="C6598">
        <v>387.7226</v>
      </c>
      <c r="D6598">
        <v>374.96210000000002</v>
      </c>
      <c r="E6598">
        <v>378.88839999999999</v>
      </c>
      <c r="F6598">
        <v>90989</v>
      </c>
    </row>
    <row r="6599" spans="1:6" x14ac:dyDescent="0.25">
      <c r="A6599" s="4">
        <v>44039</v>
      </c>
      <c r="B6599">
        <v>412.75279999999998</v>
      </c>
      <c r="C6599">
        <v>416.67910000000001</v>
      </c>
      <c r="D6599">
        <v>408.82650000000001</v>
      </c>
      <c r="E6599">
        <v>416.67910000000001</v>
      </c>
      <c r="F6599">
        <v>103316</v>
      </c>
    </row>
    <row r="6600" spans="1:6" x14ac:dyDescent="0.25">
      <c r="A6600" s="4">
        <v>44040</v>
      </c>
      <c r="B6600">
        <v>455.4513</v>
      </c>
      <c r="C6600">
        <v>457.90530000000001</v>
      </c>
      <c r="D6600">
        <v>420.60539999999997</v>
      </c>
      <c r="E6600">
        <v>426.98559999999998</v>
      </c>
      <c r="F6600">
        <v>172158</v>
      </c>
    </row>
    <row r="6601" spans="1:6" x14ac:dyDescent="0.25">
      <c r="A6601" s="4">
        <v>44041</v>
      </c>
      <c r="B6601">
        <v>420.1146</v>
      </c>
      <c r="C6601">
        <v>423.55009999999999</v>
      </c>
      <c r="D6601">
        <v>411.77120000000002</v>
      </c>
      <c r="E6601">
        <v>414.2251</v>
      </c>
      <c r="F6601">
        <v>88641</v>
      </c>
    </row>
    <row r="6602" spans="1:6" x14ac:dyDescent="0.25">
      <c r="A6602" s="4">
        <v>44042</v>
      </c>
      <c r="B6602">
        <v>428.45800000000003</v>
      </c>
      <c r="C6602">
        <v>432.87509999999997</v>
      </c>
      <c r="D6602">
        <v>420.60539999999997</v>
      </c>
      <c r="E6602">
        <v>426.00409999999999</v>
      </c>
      <c r="F6602">
        <v>69937</v>
      </c>
    </row>
    <row r="6603" spans="1:6" x14ac:dyDescent="0.25">
      <c r="A6603" s="4">
        <v>44043</v>
      </c>
      <c r="B6603">
        <v>418.15140000000002</v>
      </c>
      <c r="C6603">
        <v>424.04090000000002</v>
      </c>
      <c r="D6603">
        <v>417.66070000000002</v>
      </c>
      <c r="E6603">
        <v>417.66070000000002</v>
      </c>
      <c r="F6603">
        <v>50485</v>
      </c>
    </row>
    <row r="6604" spans="1:6" x14ac:dyDescent="0.25">
      <c r="A6604" s="4">
        <v>44046</v>
      </c>
      <c r="B6604">
        <v>412.75279999999998</v>
      </c>
      <c r="C6604">
        <v>416.18830000000003</v>
      </c>
      <c r="D6604">
        <v>407.35410000000002</v>
      </c>
      <c r="E6604">
        <v>408.33569999999997</v>
      </c>
      <c r="F6604">
        <v>77289</v>
      </c>
    </row>
    <row r="6605" spans="1:6" x14ac:dyDescent="0.25">
      <c r="A6605" s="4">
        <v>44047</v>
      </c>
      <c r="B6605">
        <v>413.73439999999999</v>
      </c>
      <c r="C6605">
        <v>417.66070000000002</v>
      </c>
      <c r="D6605">
        <v>410.78960000000001</v>
      </c>
      <c r="E6605">
        <v>417.66070000000002</v>
      </c>
      <c r="F6605">
        <v>41697</v>
      </c>
    </row>
    <row r="6606" spans="1:6" x14ac:dyDescent="0.25">
      <c r="A6606" s="4">
        <v>44048</v>
      </c>
      <c r="B6606">
        <v>422.56849999999997</v>
      </c>
      <c r="C6606">
        <v>425.51330000000002</v>
      </c>
      <c r="D6606">
        <v>418.15140000000002</v>
      </c>
      <c r="E6606">
        <v>421.09620000000001</v>
      </c>
      <c r="F6606">
        <v>47461</v>
      </c>
    </row>
    <row r="6607" spans="1:6" x14ac:dyDescent="0.25">
      <c r="A6607" s="4">
        <v>44049</v>
      </c>
      <c r="B6607">
        <v>429.43959999999998</v>
      </c>
      <c r="C6607">
        <v>429.93040000000002</v>
      </c>
      <c r="D6607">
        <v>423.05930000000001</v>
      </c>
      <c r="E6607">
        <v>426.98559999999998</v>
      </c>
      <c r="F6607">
        <v>43444</v>
      </c>
    </row>
    <row r="6608" spans="1:6" x14ac:dyDescent="0.25">
      <c r="A6608" s="4">
        <v>44050</v>
      </c>
      <c r="B6608">
        <v>425.51330000000002</v>
      </c>
      <c r="C6608">
        <v>426.00409999999999</v>
      </c>
      <c r="D6608">
        <v>420.1146</v>
      </c>
      <c r="E6608">
        <v>425.02249999999998</v>
      </c>
      <c r="F6608">
        <v>37611</v>
      </c>
    </row>
    <row r="6609" spans="1:6" x14ac:dyDescent="0.25">
      <c r="A6609" s="4">
        <v>44053</v>
      </c>
      <c r="B6609">
        <v>419.62380000000002</v>
      </c>
      <c r="C6609">
        <v>429.43959999999998</v>
      </c>
      <c r="D6609">
        <v>419.62380000000002</v>
      </c>
      <c r="E6609">
        <v>427.47640000000001</v>
      </c>
      <c r="F6609">
        <v>36068</v>
      </c>
    </row>
    <row r="6610" spans="1:6" x14ac:dyDescent="0.25">
      <c r="A6610" s="4">
        <v>44054</v>
      </c>
      <c r="B6610">
        <v>424.04090000000002</v>
      </c>
      <c r="C6610">
        <v>426.98559999999998</v>
      </c>
      <c r="D6610">
        <v>421.09620000000001</v>
      </c>
      <c r="E6610">
        <v>421.09620000000001</v>
      </c>
      <c r="F6610">
        <v>34545</v>
      </c>
    </row>
    <row r="6611" spans="1:6" x14ac:dyDescent="0.25">
      <c r="A6611" s="4">
        <v>44055</v>
      </c>
      <c r="B6611">
        <v>414.2251</v>
      </c>
      <c r="C6611">
        <v>415.69749999999999</v>
      </c>
      <c r="D6611">
        <v>411.28039999999999</v>
      </c>
      <c r="E6611">
        <v>411.28039999999999</v>
      </c>
      <c r="F6611">
        <v>53980</v>
      </c>
    </row>
    <row r="6612" spans="1:6" x14ac:dyDescent="0.25">
      <c r="A6612" s="4">
        <v>44056</v>
      </c>
      <c r="B6612">
        <v>420.1146</v>
      </c>
      <c r="C6612">
        <v>421.09620000000001</v>
      </c>
      <c r="D6612">
        <v>416.67910000000001</v>
      </c>
      <c r="E6612">
        <v>421.09620000000001</v>
      </c>
      <c r="F6612">
        <v>45669</v>
      </c>
    </row>
    <row r="6613" spans="1:6" x14ac:dyDescent="0.25">
      <c r="A6613" s="4">
        <v>44057</v>
      </c>
      <c r="B6613">
        <v>416.18830000000003</v>
      </c>
      <c r="C6613">
        <v>420.1146</v>
      </c>
      <c r="D6613">
        <v>415.20670000000001</v>
      </c>
      <c r="E6613">
        <v>419.13299999999998</v>
      </c>
      <c r="F6613">
        <v>24260</v>
      </c>
    </row>
    <row r="6614" spans="1:6" x14ac:dyDescent="0.25">
      <c r="A6614" s="4">
        <v>44060</v>
      </c>
      <c r="B6614">
        <v>419.13299999999998</v>
      </c>
      <c r="C6614">
        <v>426.98559999999998</v>
      </c>
      <c r="D6614">
        <v>417.66070000000002</v>
      </c>
      <c r="E6614">
        <v>426.98559999999998</v>
      </c>
      <c r="F6614">
        <v>34608</v>
      </c>
    </row>
    <row r="6615" spans="1:6" x14ac:dyDescent="0.25">
      <c r="A6615" s="4">
        <v>44061</v>
      </c>
      <c r="B6615">
        <v>431.89350000000002</v>
      </c>
      <c r="C6615">
        <v>432.3843</v>
      </c>
      <c r="D6615">
        <v>424.04090000000002</v>
      </c>
      <c r="E6615">
        <v>425.02249999999998</v>
      </c>
      <c r="F6615">
        <v>45504</v>
      </c>
    </row>
    <row r="6616" spans="1:6" x14ac:dyDescent="0.25">
      <c r="A6616" s="4">
        <v>44062</v>
      </c>
      <c r="B6616">
        <v>427.96719999999999</v>
      </c>
      <c r="C6616">
        <v>428.45800000000003</v>
      </c>
      <c r="D6616">
        <v>419.62380000000002</v>
      </c>
      <c r="E6616">
        <v>419.62380000000002</v>
      </c>
      <c r="F6616">
        <v>31487</v>
      </c>
    </row>
    <row r="6617" spans="1:6" x14ac:dyDescent="0.25">
      <c r="A6617" s="4">
        <v>44063</v>
      </c>
      <c r="B6617">
        <v>419.13299999999998</v>
      </c>
      <c r="C6617">
        <v>419.62380000000002</v>
      </c>
      <c r="D6617">
        <v>393.61200000000002</v>
      </c>
      <c r="E6617">
        <v>407.35410000000002</v>
      </c>
      <c r="F6617">
        <v>75155</v>
      </c>
    </row>
    <row r="6618" spans="1:6" x14ac:dyDescent="0.25">
      <c r="A6618" s="4">
        <v>44064</v>
      </c>
      <c r="B6618">
        <v>413.73439999999999</v>
      </c>
      <c r="C6618">
        <v>419.13299999999998</v>
      </c>
      <c r="D6618">
        <v>412.262</v>
      </c>
      <c r="E6618">
        <v>416.67910000000001</v>
      </c>
      <c r="F6618">
        <v>41956</v>
      </c>
    </row>
    <row r="6619" spans="1:6" x14ac:dyDescent="0.25">
      <c r="A6619" s="4">
        <v>44067</v>
      </c>
      <c r="B6619">
        <v>419.62380000000002</v>
      </c>
      <c r="C6619">
        <v>426.4948</v>
      </c>
      <c r="D6619">
        <v>417.16989999999998</v>
      </c>
      <c r="E6619">
        <v>420.1146</v>
      </c>
      <c r="F6619">
        <v>49199</v>
      </c>
    </row>
    <row r="6620" spans="1:6" x14ac:dyDescent="0.25">
      <c r="A6620" s="4">
        <v>44068</v>
      </c>
      <c r="B6620">
        <v>425.51330000000002</v>
      </c>
      <c r="C6620">
        <v>427.96719999999999</v>
      </c>
      <c r="D6620">
        <v>422.56849999999997</v>
      </c>
      <c r="E6620">
        <v>426.4948</v>
      </c>
      <c r="F6620">
        <v>37025</v>
      </c>
    </row>
    <row r="6621" spans="1:6" x14ac:dyDescent="0.25">
      <c r="A6621" s="4">
        <v>44069</v>
      </c>
      <c r="B6621">
        <v>427.47640000000001</v>
      </c>
      <c r="C6621">
        <v>433.85669999999999</v>
      </c>
      <c r="D6621">
        <v>426.98559999999998</v>
      </c>
      <c r="E6621">
        <v>433.85669999999999</v>
      </c>
      <c r="F6621">
        <v>41406</v>
      </c>
    </row>
    <row r="6622" spans="1:6" x14ac:dyDescent="0.25">
      <c r="A6622" s="4">
        <v>44070</v>
      </c>
      <c r="B6622">
        <v>439.74610000000001</v>
      </c>
      <c r="C6622">
        <v>445.14479999999998</v>
      </c>
      <c r="D6622">
        <v>435.81979999999999</v>
      </c>
      <c r="E6622">
        <v>435.81979999999999</v>
      </c>
      <c r="F6622">
        <v>57207</v>
      </c>
    </row>
    <row r="6623" spans="1:6" x14ac:dyDescent="0.25">
      <c r="A6623" s="4">
        <v>44071</v>
      </c>
      <c r="B6623">
        <v>431.89350000000002</v>
      </c>
      <c r="C6623">
        <v>432.3843</v>
      </c>
      <c r="D6623">
        <v>423.05930000000001</v>
      </c>
      <c r="E6623">
        <v>426.98559999999998</v>
      </c>
      <c r="F6623">
        <v>57039</v>
      </c>
    </row>
    <row r="6624" spans="1:6" x14ac:dyDescent="0.25">
      <c r="A6624" s="4">
        <v>44074</v>
      </c>
      <c r="B6624">
        <v>428.94880000000001</v>
      </c>
      <c r="C6624">
        <v>431.40269999999998</v>
      </c>
      <c r="D6624">
        <v>418.6422</v>
      </c>
      <c r="E6624">
        <v>418.6422</v>
      </c>
      <c r="F6624">
        <v>88570</v>
      </c>
    </row>
    <row r="6625" spans="1:6" x14ac:dyDescent="0.25">
      <c r="A6625" s="4">
        <v>44075</v>
      </c>
      <c r="B6625">
        <v>422.07769999999999</v>
      </c>
      <c r="C6625">
        <v>426.98559999999998</v>
      </c>
      <c r="D6625">
        <v>420.1146</v>
      </c>
      <c r="E6625">
        <v>426.98559999999998</v>
      </c>
      <c r="F6625">
        <v>50130</v>
      </c>
    </row>
    <row r="6626" spans="1:6" x14ac:dyDescent="0.25">
      <c r="A6626" s="4">
        <v>44076</v>
      </c>
      <c r="B6626">
        <v>432.87509999999997</v>
      </c>
      <c r="C6626">
        <v>432.87509999999997</v>
      </c>
      <c r="D6626">
        <v>422.56849999999997</v>
      </c>
      <c r="E6626">
        <v>425.02249999999998</v>
      </c>
      <c r="F6626">
        <v>42013</v>
      </c>
    </row>
    <row r="6627" spans="1:6" x14ac:dyDescent="0.25">
      <c r="A6627" s="4">
        <v>44077</v>
      </c>
      <c r="B6627">
        <v>431.40269999999998</v>
      </c>
      <c r="C6627">
        <v>431.40269999999998</v>
      </c>
      <c r="D6627">
        <v>425.51330000000002</v>
      </c>
      <c r="E6627">
        <v>427.96719999999999</v>
      </c>
      <c r="F6627">
        <v>40684</v>
      </c>
    </row>
    <row r="6628" spans="1:6" x14ac:dyDescent="0.25">
      <c r="A6628" s="4">
        <v>44078</v>
      </c>
      <c r="B6628">
        <v>419.13299999999998</v>
      </c>
      <c r="C6628">
        <v>424.5317</v>
      </c>
      <c r="D6628">
        <v>419.13299999999998</v>
      </c>
      <c r="E6628">
        <v>421.09620000000001</v>
      </c>
      <c r="F6628">
        <v>51350</v>
      </c>
    </row>
    <row r="6629" spans="1:6" x14ac:dyDescent="0.25">
      <c r="A6629" s="4">
        <v>44081</v>
      </c>
      <c r="B6629">
        <v>420.1146</v>
      </c>
      <c r="C6629">
        <v>424.5317</v>
      </c>
      <c r="D6629">
        <v>417.16989999999998</v>
      </c>
      <c r="E6629">
        <v>418.15140000000002</v>
      </c>
      <c r="F6629">
        <v>39855</v>
      </c>
    </row>
    <row r="6630" spans="1:6" x14ac:dyDescent="0.25">
      <c r="A6630" s="4">
        <v>44082</v>
      </c>
      <c r="B6630">
        <v>420.1146</v>
      </c>
      <c r="C6630">
        <v>425.02249999999998</v>
      </c>
      <c r="D6630">
        <v>419.62380000000002</v>
      </c>
      <c r="E6630">
        <v>423.05930000000001</v>
      </c>
      <c r="F6630">
        <v>23715</v>
      </c>
    </row>
    <row r="6631" spans="1:6" x14ac:dyDescent="0.25">
      <c r="A6631" s="4">
        <v>44083</v>
      </c>
      <c r="B6631">
        <v>417.16989999999998</v>
      </c>
      <c r="C6631">
        <v>420.1146</v>
      </c>
      <c r="D6631">
        <v>415.20670000000001</v>
      </c>
      <c r="E6631">
        <v>419.13299999999998</v>
      </c>
      <c r="F6631">
        <v>40727</v>
      </c>
    </row>
    <row r="6632" spans="1:6" x14ac:dyDescent="0.25">
      <c r="A6632" s="4">
        <v>44084</v>
      </c>
      <c r="B6632">
        <v>424.5317</v>
      </c>
      <c r="C6632">
        <v>426.98559999999998</v>
      </c>
      <c r="D6632">
        <v>422.56849999999997</v>
      </c>
      <c r="E6632">
        <v>426.98559999999998</v>
      </c>
      <c r="F6632">
        <v>35282</v>
      </c>
    </row>
    <row r="6633" spans="1:6" x14ac:dyDescent="0.25">
      <c r="A6633" s="4">
        <v>44085</v>
      </c>
      <c r="B6633">
        <v>427.47640000000001</v>
      </c>
      <c r="C6633">
        <v>428.45800000000003</v>
      </c>
      <c r="D6633">
        <v>424.5317</v>
      </c>
      <c r="E6633">
        <v>428.45800000000003</v>
      </c>
      <c r="F6633">
        <v>34893</v>
      </c>
    </row>
    <row r="6634" spans="1:6" x14ac:dyDescent="0.25">
      <c r="A6634" s="4">
        <v>44088</v>
      </c>
      <c r="B6634">
        <v>427.96719999999999</v>
      </c>
      <c r="C6634">
        <v>433.85669999999999</v>
      </c>
      <c r="D6634">
        <v>427.47640000000001</v>
      </c>
      <c r="E6634">
        <v>432.87509999999997</v>
      </c>
      <c r="F6634">
        <v>39326</v>
      </c>
    </row>
    <row r="6635" spans="1:6" x14ac:dyDescent="0.25">
      <c r="A6635" s="4">
        <v>44089</v>
      </c>
      <c r="B6635">
        <v>432.3843</v>
      </c>
      <c r="C6635">
        <v>438.7645</v>
      </c>
      <c r="D6635">
        <v>431.40269999999998</v>
      </c>
      <c r="E6635">
        <v>436.8014</v>
      </c>
      <c r="F6635">
        <v>39661</v>
      </c>
    </row>
    <row r="6636" spans="1:6" x14ac:dyDescent="0.25">
      <c r="A6636" s="4">
        <v>44090</v>
      </c>
      <c r="B6636">
        <v>451.52499999999998</v>
      </c>
      <c r="C6636">
        <v>453.48820000000001</v>
      </c>
      <c r="D6636">
        <v>447.10789999999997</v>
      </c>
      <c r="E6636">
        <v>449.56189999999998</v>
      </c>
      <c r="F6636">
        <v>70608</v>
      </c>
    </row>
    <row r="6637" spans="1:6" x14ac:dyDescent="0.25">
      <c r="A6637" s="4">
        <v>44091</v>
      </c>
      <c r="B6637">
        <v>447.09449999999998</v>
      </c>
      <c r="C6637">
        <v>449.0684</v>
      </c>
      <c r="D6637">
        <v>440.67919999999998</v>
      </c>
      <c r="E6637">
        <v>442.65309999999999</v>
      </c>
      <c r="F6637">
        <v>44421</v>
      </c>
    </row>
    <row r="6638" spans="1:6" x14ac:dyDescent="0.25">
      <c r="A6638" s="4">
        <v>44092</v>
      </c>
      <c r="B6638">
        <v>441.17270000000002</v>
      </c>
      <c r="C6638">
        <v>443.64010000000002</v>
      </c>
      <c r="D6638">
        <v>437.22480000000002</v>
      </c>
      <c r="E6638">
        <v>438.21179999999998</v>
      </c>
      <c r="F6638">
        <v>53000</v>
      </c>
    </row>
    <row r="6639" spans="1:6" x14ac:dyDescent="0.25">
      <c r="A6639" s="4">
        <v>44095</v>
      </c>
      <c r="B6639">
        <v>437.7183</v>
      </c>
      <c r="C6639">
        <v>444.1336</v>
      </c>
      <c r="D6639">
        <v>434.26389999999998</v>
      </c>
      <c r="E6639">
        <v>434.26389999999998</v>
      </c>
      <c r="F6639">
        <v>40194</v>
      </c>
    </row>
    <row r="6640" spans="1:6" x14ac:dyDescent="0.25">
      <c r="A6640" s="4">
        <v>44096</v>
      </c>
      <c r="B6640">
        <v>434.26389999999998</v>
      </c>
      <c r="C6640">
        <v>435.2509</v>
      </c>
      <c r="D6640">
        <v>430.31610000000001</v>
      </c>
      <c r="E6640">
        <v>431.30309999999997</v>
      </c>
      <c r="F6640">
        <v>36843</v>
      </c>
    </row>
    <row r="6641" spans="1:6" x14ac:dyDescent="0.25">
      <c r="A6641" s="4">
        <v>44097</v>
      </c>
      <c r="B6641">
        <v>430.31610000000001</v>
      </c>
      <c r="C6641">
        <v>432.7835</v>
      </c>
      <c r="D6641">
        <v>426.3682</v>
      </c>
      <c r="E6641">
        <v>427.84870000000001</v>
      </c>
      <c r="F6641">
        <v>47427</v>
      </c>
    </row>
    <row r="6642" spans="1:6" x14ac:dyDescent="0.25">
      <c r="A6642" s="4">
        <v>44098</v>
      </c>
      <c r="B6642">
        <v>419.95299999999997</v>
      </c>
      <c r="C6642">
        <v>423.40730000000002</v>
      </c>
      <c r="D6642">
        <v>417.48559999999998</v>
      </c>
      <c r="E6642">
        <v>417.48559999999998</v>
      </c>
      <c r="F6642">
        <v>82510</v>
      </c>
    </row>
    <row r="6643" spans="1:6" x14ac:dyDescent="0.25">
      <c r="A6643" s="4">
        <v>44099</v>
      </c>
      <c r="B6643">
        <v>421.43340000000001</v>
      </c>
      <c r="C6643">
        <v>422.42039999999997</v>
      </c>
      <c r="D6643">
        <v>415.51159999999999</v>
      </c>
      <c r="E6643">
        <v>418.47250000000003</v>
      </c>
      <c r="F6643">
        <v>41263</v>
      </c>
    </row>
    <row r="6644" spans="1:6" x14ac:dyDescent="0.25">
      <c r="A6644" s="4">
        <v>44102</v>
      </c>
      <c r="B6644">
        <v>421.43340000000001</v>
      </c>
      <c r="C6644">
        <v>425.87479999999999</v>
      </c>
      <c r="D6644">
        <v>418.96600000000001</v>
      </c>
      <c r="E6644">
        <v>425.87479999999999</v>
      </c>
      <c r="F6644">
        <v>34427</v>
      </c>
    </row>
    <row r="6645" spans="1:6" x14ac:dyDescent="0.25">
      <c r="A6645" s="4">
        <v>44103</v>
      </c>
      <c r="B6645">
        <v>426.86169999999998</v>
      </c>
      <c r="C6645">
        <v>429.32909999999998</v>
      </c>
      <c r="D6645">
        <v>422.42039999999997</v>
      </c>
      <c r="E6645">
        <v>425.38130000000001</v>
      </c>
      <c r="F6645">
        <v>42731</v>
      </c>
    </row>
    <row r="6646" spans="1:6" x14ac:dyDescent="0.25">
      <c r="A6646" s="4">
        <v>44104</v>
      </c>
      <c r="B6646">
        <v>424.88780000000003</v>
      </c>
      <c r="C6646">
        <v>429.32909999999998</v>
      </c>
      <c r="D6646">
        <v>424.88780000000003</v>
      </c>
      <c r="E6646">
        <v>427.35520000000002</v>
      </c>
      <c r="F6646">
        <v>28859</v>
      </c>
    </row>
    <row r="6647" spans="1:6" x14ac:dyDescent="0.25">
      <c r="A6647" s="4">
        <v>44109</v>
      </c>
      <c r="B6647">
        <v>432.29</v>
      </c>
      <c r="C6647">
        <v>432.29</v>
      </c>
      <c r="D6647">
        <v>425.87479999999999</v>
      </c>
      <c r="E6647">
        <v>426.86169999999998</v>
      </c>
      <c r="F6647">
        <v>33239</v>
      </c>
    </row>
    <row r="6648" spans="1:6" x14ac:dyDescent="0.25">
      <c r="A6648" s="4">
        <v>44110</v>
      </c>
      <c r="B6648">
        <v>435.74439999999998</v>
      </c>
      <c r="C6648">
        <v>436.23790000000002</v>
      </c>
      <c r="D6648">
        <v>431.79649999999998</v>
      </c>
      <c r="E6648">
        <v>433.77050000000003</v>
      </c>
      <c r="F6648">
        <v>36276</v>
      </c>
    </row>
    <row r="6649" spans="1:6" x14ac:dyDescent="0.25">
      <c r="A6649" s="4">
        <v>44111</v>
      </c>
      <c r="B6649">
        <v>429.32909999999998</v>
      </c>
      <c r="C6649">
        <v>439.19880000000001</v>
      </c>
      <c r="D6649">
        <v>429.32909999999998</v>
      </c>
      <c r="E6649">
        <v>437.22480000000002</v>
      </c>
      <c r="F6649">
        <v>44691</v>
      </c>
    </row>
    <row r="6650" spans="1:6" x14ac:dyDescent="0.25">
      <c r="A6650" s="4">
        <v>44112</v>
      </c>
      <c r="B6650">
        <v>444.1336</v>
      </c>
      <c r="C6650">
        <v>448.08139999999997</v>
      </c>
      <c r="D6650">
        <v>442.65309999999999</v>
      </c>
      <c r="E6650">
        <v>447.09449999999998</v>
      </c>
      <c r="F6650">
        <v>60854</v>
      </c>
    </row>
    <row r="6651" spans="1:6" x14ac:dyDescent="0.25">
      <c r="A6651" s="4">
        <v>44116</v>
      </c>
      <c r="B6651">
        <v>452.02929999999998</v>
      </c>
      <c r="C6651">
        <v>455.97710000000001</v>
      </c>
      <c r="D6651">
        <v>451.53579999999999</v>
      </c>
      <c r="E6651">
        <v>454.00319999999999</v>
      </c>
      <c r="F6651">
        <v>67645</v>
      </c>
    </row>
    <row r="6652" spans="1:6" x14ac:dyDescent="0.25">
      <c r="A6652" s="4">
        <v>44117</v>
      </c>
      <c r="B6652">
        <v>458.93799999999999</v>
      </c>
      <c r="C6652">
        <v>458.93799999999999</v>
      </c>
      <c r="D6652">
        <v>450.54880000000003</v>
      </c>
      <c r="E6652">
        <v>455.97710000000001</v>
      </c>
      <c r="F6652">
        <v>46304</v>
      </c>
    </row>
    <row r="6653" spans="1:6" x14ac:dyDescent="0.25">
      <c r="A6653" s="4">
        <v>44118</v>
      </c>
      <c r="B6653">
        <v>454.49669999999998</v>
      </c>
      <c r="C6653">
        <v>454.99020000000002</v>
      </c>
      <c r="D6653">
        <v>451.04230000000001</v>
      </c>
      <c r="E6653">
        <v>453.0163</v>
      </c>
      <c r="F6653">
        <v>52677</v>
      </c>
    </row>
    <row r="6654" spans="1:6" x14ac:dyDescent="0.25">
      <c r="A6654" s="4">
        <v>44119</v>
      </c>
      <c r="B6654">
        <v>450.05540000000002</v>
      </c>
      <c r="C6654">
        <v>450.54880000000003</v>
      </c>
      <c r="D6654">
        <v>444.1336</v>
      </c>
      <c r="E6654">
        <v>447.09449999999998</v>
      </c>
      <c r="F6654">
        <v>49987</v>
      </c>
    </row>
    <row r="6655" spans="1:6" x14ac:dyDescent="0.25">
      <c r="A6655" s="4">
        <v>44120</v>
      </c>
      <c r="B6655">
        <v>445.12049999999999</v>
      </c>
      <c r="C6655">
        <v>450.05540000000002</v>
      </c>
      <c r="D6655">
        <v>442.65309999999999</v>
      </c>
      <c r="E6655">
        <v>443.14659999999998</v>
      </c>
      <c r="F6655">
        <v>48275</v>
      </c>
    </row>
    <row r="6656" spans="1:6" x14ac:dyDescent="0.25">
      <c r="A6656" s="4">
        <v>44123</v>
      </c>
      <c r="B6656">
        <v>447.09449999999998</v>
      </c>
      <c r="C6656">
        <v>451.53579999999999</v>
      </c>
      <c r="D6656">
        <v>445.12049999999999</v>
      </c>
      <c r="E6656">
        <v>451.53579999999999</v>
      </c>
      <c r="F6656">
        <v>34847</v>
      </c>
    </row>
    <row r="6657" spans="1:6" x14ac:dyDescent="0.25">
      <c r="A6657" s="4">
        <v>44124</v>
      </c>
      <c r="B6657">
        <v>449.56189999999998</v>
      </c>
      <c r="C6657">
        <v>451.04230000000001</v>
      </c>
      <c r="D6657">
        <v>445.12049999999999</v>
      </c>
      <c r="E6657">
        <v>445.12049999999999</v>
      </c>
      <c r="F6657">
        <v>26568</v>
      </c>
    </row>
    <row r="6658" spans="1:6" x14ac:dyDescent="0.25">
      <c r="A6658" s="4">
        <v>44125</v>
      </c>
      <c r="B6658">
        <v>447.58800000000002</v>
      </c>
      <c r="C6658">
        <v>450.05540000000002</v>
      </c>
      <c r="D6658">
        <v>445.12049999999999</v>
      </c>
      <c r="E6658">
        <v>447.09449999999998</v>
      </c>
      <c r="F6658">
        <v>29907</v>
      </c>
    </row>
    <row r="6659" spans="1:6" x14ac:dyDescent="0.25">
      <c r="A6659" s="4">
        <v>44126</v>
      </c>
      <c r="B6659">
        <v>444.1336</v>
      </c>
      <c r="C6659">
        <v>449.0684</v>
      </c>
      <c r="D6659">
        <v>443.64010000000002</v>
      </c>
      <c r="E6659">
        <v>449.0684</v>
      </c>
      <c r="F6659">
        <v>25286</v>
      </c>
    </row>
    <row r="6660" spans="1:6" x14ac:dyDescent="0.25">
      <c r="A6660" s="4">
        <v>44127</v>
      </c>
      <c r="B6660">
        <v>452.02929999999998</v>
      </c>
      <c r="C6660">
        <v>452.02929999999998</v>
      </c>
      <c r="D6660">
        <v>445.61399999999998</v>
      </c>
      <c r="E6660">
        <v>446.10750000000002</v>
      </c>
      <c r="F6660">
        <v>18777</v>
      </c>
    </row>
    <row r="6661" spans="1:6" x14ac:dyDescent="0.25">
      <c r="A6661" s="4">
        <v>44130</v>
      </c>
      <c r="B6661">
        <v>449.0684</v>
      </c>
      <c r="C6661">
        <v>449.0684</v>
      </c>
      <c r="D6661">
        <v>444.1336</v>
      </c>
      <c r="E6661">
        <v>444.1336</v>
      </c>
      <c r="F6661">
        <v>15801</v>
      </c>
    </row>
    <row r="6662" spans="1:6" x14ac:dyDescent="0.25">
      <c r="A6662" s="4">
        <v>44131</v>
      </c>
      <c r="B6662">
        <v>441.6662</v>
      </c>
      <c r="C6662">
        <v>442.65309999999999</v>
      </c>
      <c r="D6662">
        <v>439.69220000000001</v>
      </c>
      <c r="E6662">
        <v>441.17270000000002</v>
      </c>
      <c r="F6662">
        <v>31795</v>
      </c>
    </row>
    <row r="6663" spans="1:6" x14ac:dyDescent="0.25">
      <c r="A6663" s="4">
        <v>44132</v>
      </c>
      <c r="B6663">
        <v>439.19880000000001</v>
      </c>
      <c r="C6663">
        <v>441.17270000000002</v>
      </c>
      <c r="D6663">
        <v>437.22480000000002</v>
      </c>
      <c r="E6663">
        <v>438.21179999999998</v>
      </c>
      <c r="F6663">
        <v>26222</v>
      </c>
    </row>
    <row r="6664" spans="1:6" x14ac:dyDescent="0.25">
      <c r="A6664" s="4">
        <v>44133</v>
      </c>
      <c r="B6664">
        <v>430.80959999999999</v>
      </c>
      <c r="C6664">
        <v>433.77050000000003</v>
      </c>
      <c r="D6664">
        <v>429.82260000000002</v>
      </c>
      <c r="E6664">
        <v>431.30309999999997</v>
      </c>
      <c r="F6664">
        <v>43075</v>
      </c>
    </row>
    <row r="6665" spans="1:6" x14ac:dyDescent="0.25">
      <c r="A6665" s="4">
        <v>44134</v>
      </c>
      <c r="B6665">
        <v>431.30309999999997</v>
      </c>
      <c r="C6665">
        <v>431.30309999999997</v>
      </c>
      <c r="D6665">
        <v>426.3682</v>
      </c>
      <c r="E6665">
        <v>426.3682</v>
      </c>
      <c r="F6665">
        <v>49771</v>
      </c>
    </row>
    <row r="6666" spans="1:6" x14ac:dyDescent="0.25">
      <c r="A6666" s="4">
        <v>44137</v>
      </c>
      <c r="B6666">
        <v>427.35520000000002</v>
      </c>
      <c r="C6666">
        <v>429.82260000000002</v>
      </c>
      <c r="D6666">
        <v>422.42039999999997</v>
      </c>
      <c r="E6666">
        <v>429.82260000000002</v>
      </c>
      <c r="F6666">
        <v>34540</v>
      </c>
    </row>
    <row r="6667" spans="1:6" x14ac:dyDescent="0.25">
      <c r="A6667" s="4">
        <v>44138</v>
      </c>
      <c r="B6667">
        <v>433.77050000000003</v>
      </c>
      <c r="C6667">
        <v>437.22480000000002</v>
      </c>
      <c r="D6667">
        <v>432.29</v>
      </c>
      <c r="E6667">
        <v>435.2509</v>
      </c>
      <c r="F6667">
        <v>31462</v>
      </c>
    </row>
    <row r="6668" spans="1:6" x14ac:dyDescent="0.25">
      <c r="A6668" s="4">
        <v>44139</v>
      </c>
      <c r="B6668">
        <v>438.70530000000002</v>
      </c>
      <c r="C6668">
        <v>445.61399999999998</v>
      </c>
      <c r="D6668">
        <v>437.22480000000002</v>
      </c>
      <c r="E6668">
        <v>444.1336</v>
      </c>
      <c r="F6668">
        <v>37930</v>
      </c>
    </row>
    <row r="6669" spans="1:6" x14ac:dyDescent="0.25">
      <c r="A6669" s="4">
        <v>44140</v>
      </c>
      <c r="B6669">
        <v>445.61399999999998</v>
      </c>
      <c r="C6669">
        <v>445.61399999999998</v>
      </c>
      <c r="D6669">
        <v>439.69220000000001</v>
      </c>
      <c r="E6669">
        <v>445.12049999999999</v>
      </c>
      <c r="F6669">
        <v>36539</v>
      </c>
    </row>
    <row r="6670" spans="1:6" x14ac:dyDescent="0.25">
      <c r="A6670" s="4">
        <v>44141</v>
      </c>
      <c r="B6670">
        <v>449.0684</v>
      </c>
      <c r="C6670">
        <v>449.56189999999998</v>
      </c>
      <c r="D6670">
        <v>444.1336</v>
      </c>
      <c r="E6670">
        <v>446.601</v>
      </c>
      <c r="F6670">
        <v>32644</v>
      </c>
    </row>
    <row r="6671" spans="1:6" x14ac:dyDescent="0.25">
      <c r="A6671" s="4">
        <v>44144</v>
      </c>
      <c r="B6671">
        <v>452.02929999999998</v>
      </c>
      <c r="C6671">
        <v>454.00319999999999</v>
      </c>
      <c r="D6671">
        <v>448.08139999999997</v>
      </c>
      <c r="E6671">
        <v>452.52280000000002</v>
      </c>
      <c r="F6671">
        <v>43416</v>
      </c>
    </row>
    <row r="6672" spans="1:6" x14ac:dyDescent="0.25">
      <c r="A6672" s="4">
        <v>44145</v>
      </c>
      <c r="B6672">
        <v>446.10750000000002</v>
      </c>
      <c r="C6672">
        <v>448.57490000000001</v>
      </c>
      <c r="D6672">
        <v>442.65309999999999</v>
      </c>
      <c r="E6672">
        <v>445.12049999999999</v>
      </c>
      <c r="F6672">
        <v>36787</v>
      </c>
    </row>
    <row r="6673" spans="1:6" x14ac:dyDescent="0.25">
      <c r="A6673" s="4">
        <v>44146</v>
      </c>
      <c r="B6673">
        <v>442.65309999999999</v>
      </c>
      <c r="C6673">
        <v>451.04230000000001</v>
      </c>
      <c r="D6673">
        <v>442.65309999999999</v>
      </c>
      <c r="E6673">
        <v>451.04230000000001</v>
      </c>
      <c r="F6673">
        <v>40356</v>
      </c>
    </row>
    <row r="6674" spans="1:6" x14ac:dyDescent="0.25">
      <c r="A6674" s="4">
        <v>44147</v>
      </c>
      <c r="B6674">
        <v>456.96409999999997</v>
      </c>
      <c r="C6674">
        <v>457.45760000000001</v>
      </c>
      <c r="D6674">
        <v>451.53579999999999</v>
      </c>
      <c r="E6674">
        <v>452.02929999999998</v>
      </c>
      <c r="F6674">
        <v>57994</v>
      </c>
    </row>
    <row r="6675" spans="1:6" x14ac:dyDescent="0.25">
      <c r="A6675" s="4">
        <v>44148</v>
      </c>
      <c r="B6675">
        <v>453.0163</v>
      </c>
      <c r="C6675">
        <v>455.97710000000001</v>
      </c>
      <c r="D6675">
        <v>450.54880000000003</v>
      </c>
      <c r="E6675">
        <v>455.97710000000001</v>
      </c>
      <c r="F6675">
        <v>31484</v>
      </c>
    </row>
    <row r="6676" spans="1:6" x14ac:dyDescent="0.25">
      <c r="A6676" s="4">
        <v>44151</v>
      </c>
      <c r="B6676">
        <v>463.87290000000002</v>
      </c>
      <c r="C6676">
        <v>478.18380000000002</v>
      </c>
      <c r="D6676">
        <v>462.88589999999999</v>
      </c>
      <c r="E6676">
        <v>477.69029999999998</v>
      </c>
      <c r="F6676">
        <v>83381</v>
      </c>
    </row>
    <row r="6677" spans="1:6" x14ac:dyDescent="0.25">
      <c r="A6677" s="4">
        <v>44152</v>
      </c>
      <c r="B6677">
        <v>495.45569999999998</v>
      </c>
      <c r="C6677">
        <v>499.40350000000001</v>
      </c>
      <c r="D6677">
        <v>479.17079999999999</v>
      </c>
      <c r="E6677">
        <v>479.17079999999999</v>
      </c>
      <c r="F6677">
        <v>75764</v>
      </c>
    </row>
    <row r="6678" spans="1:6" x14ac:dyDescent="0.25">
      <c r="A6678" s="4">
        <v>44153</v>
      </c>
      <c r="B6678">
        <v>483.6121</v>
      </c>
      <c r="C6678">
        <v>490.52089999999998</v>
      </c>
      <c r="D6678">
        <v>480.15769999999998</v>
      </c>
      <c r="E6678">
        <v>490.52089999999998</v>
      </c>
      <c r="F6678">
        <v>56608</v>
      </c>
    </row>
    <row r="6679" spans="1:6" x14ac:dyDescent="0.25">
      <c r="A6679" s="4">
        <v>44154</v>
      </c>
      <c r="B6679">
        <v>492.4948</v>
      </c>
      <c r="C6679">
        <v>492.4948</v>
      </c>
      <c r="D6679">
        <v>483.6121</v>
      </c>
      <c r="E6679">
        <v>483.6121</v>
      </c>
      <c r="F6679">
        <v>47345</v>
      </c>
    </row>
    <row r="6680" spans="1:6" x14ac:dyDescent="0.25">
      <c r="A6680" s="4">
        <v>44155</v>
      </c>
      <c r="B6680">
        <v>479.66430000000003</v>
      </c>
      <c r="C6680">
        <v>483.6121</v>
      </c>
      <c r="D6680">
        <v>479.66430000000003</v>
      </c>
      <c r="E6680">
        <v>481.63819999999998</v>
      </c>
      <c r="F6680">
        <v>35243</v>
      </c>
    </row>
    <row r="6681" spans="1:6" x14ac:dyDescent="0.25">
      <c r="A6681" s="4">
        <v>44158</v>
      </c>
      <c r="B6681">
        <v>488.05349999999999</v>
      </c>
      <c r="C6681">
        <v>492.00130000000001</v>
      </c>
      <c r="D6681">
        <v>485.58600000000001</v>
      </c>
      <c r="E6681">
        <v>490.0274</v>
      </c>
      <c r="F6681">
        <v>43708</v>
      </c>
    </row>
    <row r="6682" spans="1:6" x14ac:dyDescent="0.25">
      <c r="A6682" s="4">
        <v>44159</v>
      </c>
      <c r="B6682">
        <v>492.98829999999998</v>
      </c>
      <c r="C6682">
        <v>493.48180000000002</v>
      </c>
      <c r="D6682">
        <v>485.0926</v>
      </c>
      <c r="E6682">
        <v>485.58600000000001</v>
      </c>
      <c r="F6682">
        <v>38630</v>
      </c>
    </row>
    <row r="6683" spans="1:6" x14ac:dyDescent="0.25">
      <c r="A6683" s="4">
        <v>44160</v>
      </c>
      <c r="B6683">
        <v>488.54689999999999</v>
      </c>
      <c r="C6683">
        <v>489.04039999999998</v>
      </c>
      <c r="D6683">
        <v>480.65120000000002</v>
      </c>
      <c r="E6683">
        <v>480.65120000000002</v>
      </c>
      <c r="F6683">
        <v>47180</v>
      </c>
    </row>
    <row r="6684" spans="1:6" x14ac:dyDescent="0.25">
      <c r="A6684" s="4">
        <v>44161</v>
      </c>
      <c r="B6684">
        <v>482.62520000000001</v>
      </c>
      <c r="C6684">
        <v>487.06650000000002</v>
      </c>
      <c r="D6684">
        <v>481.63819999999998</v>
      </c>
      <c r="E6684">
        <v>482.62520000000001</v>
      </c>
      <c r="F6684">
        <v>31844</v>
      </c>
    </row>
    <row r="6685" spans="1:6" x14ac:dyDescent="0.25">
      <c r="A6685" s="4">
        <v>44162</v>
      </c>
      <c r="B6685">
        <v>481.1447</v>
      </c>
      <c r="C6685">
        <v>485.58600000000001</v>
      </c>
      <c r="D6685">
        <v>480.15769999999998</v>
      </c>
      <c r="E6685">
        <v>482.62520000000001</v>
      </c>
      <c r="F6685">
        <v>35197</v>
      </c>
    </row>
    <row r="6686" spans="1:6" x14ac:dyDescent="0.25">
      <c r="A6686" s="4">
        <v>44165</v>
      </c>
      <c r="B6686">
        <v>486.57299999999998</v>
      </c>
      <c r="C6686">
        <v>487.06650000000002</v>
      </c>
      <c r="D6686">
        <v>474.23599999999999</v>
      </c>
      <c r="E6686">
        <v>474.23599999999999</v>
      </c>
      <c r="F6686">
        <v>149312</v>
      </c>
    </row>
    <row r="6687" spans="1:6" x14ac:dyDescent="0.25">
      <c r="A6687" s="4">
        <v>44166</v>
      </c>
      <c r="B6687">
        <v>483.11860000000001</v>
      </c>
      <c r="C6687">
        <v>483.6121</v>
      </c>
      <c r="D6687">
        <v>477.19690000000003</v>
      </c>
      <c r="E6687">
        <v>483.6121</v>
      </c>
      <c r="F6687">
        <v>38341</v>
      </c>
    </row>
    <row r="6688" spans="1:6" x14ac:dyDescent="0.25">
      <c r="A6688" s="4">
        <v>44167</v>
      </c>
      <c r="B6688">
        <v>492.98829999999998</v>
      </c>
      <c r="C6688">
        <v>493.48180000000002</v>
      </c>
      <c r="D6688">
        <v>487.06650000000002</v>
      </c>
      <c r="E6688">
        <v>492.4948</v>
      </c>
      <c r="F6688">
        <v>60208</v>
      </c>
    </row>
    <row r="6689" spans="1:6" x14ac:dyDescent="0.25">
      <c r="A6689" s="4">
        <v>44168</v>
      </c>
      <c r="B6689">
        <v>492.98829999999998</v>
      </c>
      <c r="C6689">
        <v>492.98829999999998</v>
      </c>
      <c r="D6689">
        <v>488.54689999999999</v>
      </c>
      <c r="E6689">
        <v>490.52089999999998</v>
      </c>
      <c r="F6689">
        <v>36920</v>
      </c>
    </row>
    <row r="6690" spans="1:6" x14ac:dyDescent="0.25">
      <c r="A6690" s="4">
        <v>44169</v>
      </c>
      <c r="B6690">
        <v>492.00130000000001</v>
      </c>
      <c r="C6690">
        <v>498.41660000000002</v>
      </c>
      <c r="D6690">
        <v>491.01429999999999</v>
      </c>
      <c r="E6690">
        <v>496.44260000000003</v>
      </c>
      <c r="F6690">
        <v>54471</v>
      </c>
    </row>
    <row r="6691" spans="1:6" x14ac:dyDescent="0.25">
      <c r="A6691" s="4">
        <v>44172</v>
      </c>
      <c r="B6691">
        <v>505.32530000000003</v>
      </c>
      <c r="C6691">
        <v>508.28620000000001</v>
      </c>
      <c r="D6691">
        <v>499.40350000000001</v>
      </c>
      <c r="E6691">
        <v>507.29919999999998</v>
      </c>
      <c r="F6691">
        <v>45494</v>
      </c>
    </row>
    <row r="6692" spans="1:6" x14ac:dyDescent="0.25">
      <c r="A6692" s="4">
        <v>44173</v>
      </c>
      <c r="B6692">
        <v>507.29919999999998</v>
      </c>
      <c r="C6692">
        <v>518.1558</v>
      </c>
      <c r="D6692">
        <v>502.36439999999999</v>
      </c>
      <c r="E6692">
        <v>517.16890000000001</v>
      </c>
      <c r="F6692">
        <v>41830</v>
      </c>
    </row>
    <row r="6693" spans="1:6" x14ac:dyDescent="0.25">
      <c r="A6693" s="4">
        <v>44174</v>
      </c>
      <c r="B6693">
        <v>514.20799999999997</v>
      </c>
      <c r="C6693">
        <v>517.16890000000001</v>
      </c>
      <c r="D6693">
        <v>513.221</v>
      </c>
      <c r="E6693">
        <v>513.221</v>
      </c>
      <c r="F6693">
        <v>46832</v>
      </c>
    </row>
    <row r="6694" spans="1:6" x14ac:dyDescent="0.25">
      <c r="A6694" s="4">
        <v>44175</v>
      </c>
      <c r="B6694">
        <v>504.33839999999998</v>
      </c>
      <c r="C6694">
        <v>508.28620000000001</v>
      </c>
      <c r="D6694">
        <v>503.35140000000001</v>
      </c>
      <c r="E6694">
        <v>505.32530000000003</v>
      </c>
      <c r="F6694">
        <v>43991</v>
      </c>
    </row>
    <row r="6695" spans="1:6" x14ac:dyDescent="0.25">
      <c r="A6695" s="4">
        <v>44176</v>
      </c>
      <c r="B6695">
        <v>510.26010000000002</v>
      </c>
      <c r="C6695">
        <v>510.26010000000002</v>
      </c>
      <c r="D6695">
        <v>498.41660000000002</v>
      </c>
      <c r="E6695">
        <v>509.27319999999997</v>
      </c>
      <c r="F6695">
        <v>51297</v>
      </c>
    </row>
    <row r="6696" spans="1:6" x14ac:dyDescent="0.25">
      <c r="A6696" s="4">
        <v>44179</v>
      </c>
      <c r="B6696">
        <v>505.32530000000003</v>
      </c>
      <c r="C6696">
        <v>506.31229999999999</v>
      </c>
      <c r="D6696">
        <v>501.3775</v>
      </c>
      <c r="E6696">
        <v>501.3775</v>
      </c>
      <c r="F6696">
        <v>30810</v>
      </c>
    </row>
    <row r="6697" spans="1:6" x14ac:dyDescent="0.25">
      <c r="A6697" s="4">
        <v>44180</v>
      </c>
      <c r="B6697">
        <v>500.39049999999997</v>
      </c>
      <c r="C6697">
        <v>503.35140000000001</v>
      </c>
      <c r="D6697">
        <v>497.42959999999999</v>
      </c>
      <c r="E6697">
        <v>497.42959999999999</v>
      </c>
      <c r="F6697">
        <v>43060</v>
      </c>
    </row>
    <row r="6698" spans="1:6" x14ac:dyDescent="0.25">
      <c r="A6698" s="4">
        <v>44181</v>
      </c>
      <c r="B6698">
        <v>502.36439999999999</v>
      </c>
      <c r="C6698">
        <v>508.28620000000001</v>
      </c>
      <c r="D6698">
        <v>500.39049999999997</v>
      </c>
      <c r="E6698">
        <v>505.32530000000003</v>
      </c>
      <c r="F6698">
        <v>53661</v>
      </c>
    </row>
    <row r="6699" spans="1:6" x14ac:dyDescent="0.25">
      <c r="A6699" s="4">
        <v>44182</v>
      </c>
      <c r="B6699">
        <v>510.78030000000001</v>
      </c>
      <c r="C6699">
        <v>510.78030000000001</v>
      </c>
      <c r="D6699">
        <v>503.83760000000001</v>
      </c>
      <c r="E6699">
        <v>503.83760000000001</v>
      </c>
      <c r="F6699">
        <v>39286</v>
      </c>
    </row>
    <row r="6700" spans="1:6" x14ac:dyDescent="0.25">
      <c r="A6700" s="4">
        <v>44183</v>
      </c>
      <c r="B6700">
        <v>503.83760000000001</v>
      </c>
      <c r="C6700">
        <v>507.8048</v>
      </c>
      <c r="D6700">
        <v>502.8458</v>
      </c>
      <c r="E6700">
        <v>505.82119999999998</v>
      </c>
      <c r="F6700">
        <v>40626</v>
      </c>
    </row>
    <row r="6701" spans="1:6" x14ac:dyDescent="0.25">
      <c r="A6701" s="4">
        <v>44186</v>
      </c>
      <c r="B6701">
        <v>507.8048</v>
      </c>
      <c r="C6701">
        <v>512.76390000000004</v>
      </c>
      <c r="D6701">
        <v>503.83760000000001</v>
      </c>
      <c r="E6701">
        <v>511.77210000000002</v>
      </c>
      <c r="F6701">
        <v>35153</v>
      </c>
    </row>
    <row r="6702" spans="1:6" x14ac:dyDescent="0.25">
      <c r="A6702" s="4">
        <v>44187</v>
      </c>
      <c r="B6702">
        <v>507.8048</v>
      </c>
      <c r="C6702">
        <v>511.77210000000002</v>
      </c>
      <c r="D6702">
        <v>504.82940000000002</v>
      </c>
      <c r="E6702">
        <v>504.82940000000002</v>
      </c>
      <c r="F6702">
        <v>25632</v>
      </c>
    </row>
    <row r="6703" spans="1:6" x14ac:dyDescent="0.25">
      <c r="A6703" s="4">
        <v>44188</v>
      </c>
      <c r="B6703">
        <v>503.83760000000001</v>
      </c>
      <c r="C6703">
        <v>506.81299999999999</v>
      </c>
      <c r="D6703">
        <v>501.85399999999998</v>
      </c>
      <c r="E6703">
        <v>504.82940000000002</v>
      </c>
      <c r="F6703">
        <v>18321</v>
      </c>
    </row>
    <row r="6704" spans="1:6" x14ac:dyDescent="0.25">
      <c r="A6704" s="4">
        <v>44189</v>
      </c>
      <c r="B6704">
        <v>506.81299999999999</v>
      </c>
      <c r="C6704">
        <v>507.8048</v>
      </c>
      <c r="D6704">
        <v>503.83760000000001</v>
      </c>
      <c r="E6704">
        <v>505.82119999999998</v>
      </c>
      <c r="F6704">
        <v>15218</v>
      </c>
    </row>
    <row r="6705" spans="1:6" x14ac:dyDescent="0.25">
      <c r="A6705" s="4">
        <v>44190</v>
      </c>
      <c r="B6705">
        <v>509.78840000000002</v>
      </c>
      <c r="C6705">
        <v>510.78030000000001</v>
      </c>
      <c r="D6705">
        <v>505.82119999999998</v>
      </c>
      <c r="E6705">
        <v>506.81299999999999</v>
      </c>
      <c r="F6705">
        <v>12581</v>
      </c>
    </row>
    <row r="6706" spans="1:6" x14ac:dyDescent="0.25">
      <c r="A6706" s="4">
        <v>44193</v>
      </c>
      <c r="B6706">
        <v>507.8048</v>
      </c>
      <c r="C6706">
        <v>510.78030000000001</v>
      </c>
      <c r="D6706">
        <v>504.82940000000002</v>
      </c>
      <c r="E6706">
        <v>510.78030000000001</v>
      </c>
      <c r="F6706">
        <v>19521</v>
      </c>
    </row>
    <row r="6707" spans="1:6" x14ac:dyDescent="0.25">
      <c r="A6707" s="4">
        <v>44194</v>
      </c>
      <c r="B6707">
        <v>510.78030000000001</v>
      </c>
      <c r="C6707">
        <v>512.76390000000004</v>
      </c>
      <c r="D6707">
        <v>508.79660000000001</v>
      </c>
      <c r="E6707">
        <v>510.78030000000001</v>
      </c>
      <c r="F6707">
        <v>20227</v>
      </c>
    </row>
    <row r="6708" spans="1:6" x14ac:dyDescent="0.25">
      <c r="A6708" s="4">
        <v>44195</v>
      </c>
      <c r="B6708">
        <v>511.77210000000002</v>
      </c>
      <c r="C6708">
        <v>520.69830000000002</v>
      </c>
      <c r="D6708">
        <v>509.78840000000002</v>
      </c>
      <c r="E6708">
        <v>520.69830000000002</v>
      </c>
      <c r="F6708">
        <v>46705</v>
      </c>
    </row>
    <row r="6709" spans="1:6" x14ac:dyDescent="0.25">
      <c r="A6709" s="4">
        <v>44196</v>
      </c>
      <c r="B6709">
        <v>521.69010000000003</v>
      </c>
      <c r="C6709">
        <v>525.65729999999996</v>
      </c>
      <c r="D6709">
        <v>519.70650000000001</v>
      </c>
      <c r="E6709">
        <v>525.65729999999996</v>
      </c>
      <c r="F6709">
        <v>31173</v>
      </c>
    </row>
    <row r="6710" spans="1:6" x14ac:dyDescent="0.25">
      <c r="A6710" s="4">
        <v>44200</v>
      </c>
      <c r="B6710">
        <v>525.65729999999996</v>
      </c>
      <c r="C6710">
        <v>535.57539999999995</v>
      </c>
      <c r="D6710">
        <v>523.67370000000005</v>
      </c>
      <c r="E6710">
        <v>531.60820000000001</v>
      </c>
      <c r="F6710">
        <v>39490</v>
      </c>
    </row>
    <row r="6711" spans="1:6" x14ac:dyDescent="0.25">
      <c r="A6711" s="4">
        <v>44201</v>
      </c>
      <c r="B6711">
        <v>531.60820000000001</v>
      </c>
      <c r="C6711">
        <v>537.55899999999997</v>
      </c>
      <c r="D6711">
        <v>530.6164</v>
      </c>
      <c r="E6711">
        <v>537.55899999999997</v>
      </c>
      <c r="F6711">
        <v>34839</v>
      </c>
    </row>
    <row r="6712" spans="1:6" x14ac:dyDescent="0.25">
      <c r="A6712" s="4">
        <v>44202</v>
      </c>
      <c r="B6712">
        <v>550.45249999999999</v>
      </c>
      <c r="C6712">
        <v>550.45249999999999</v>
      </c>
      <c r="D6712">
        <v>536.56719999999996</v>
      </c>
      <c r="E6712">
        <v>544.50170000000003</v>
      </c>
      <c r="F6712">
        <v>55614</v>
      </c>
    </row>
    <row r="6713" spans="1:6" x14ac:dyDescent="0.25">
      <c r="A6713" s="4">
        <v>44203</v>
      </c>
      <c r="B6713">
        <v>549.46069999999997</v>
      </c>
      <c r="C6713">
        <v>565.32960000000003</v>
      </c>
      <c r="D6713">
        <v>548.46889999999996</v>
      </c>
      <c r="E6713">
        <v>560.37059999999997</v>
      </c>
      <c r="F6713">
        <v>53393</v>
      </c>
    </row>
    <row r="6714" spans="1:6" x14ac:dyDescent="0.25">
      <c r="A6714" s="4">
        <v>44204</v>
      </c>
      <c r="B6714">
        <v>575.24770000000001</v>
      </c>
      <c r="C6714">
        <v>575.24770000000001</v>
      </c>
      <c r="D6714">
        <v>566.32140000000004</v>
      </c>
      <c r="E6714">
        <v>575.24770000000001</v>
      </c>
      <c r="F6714">
        <v>62957</v>
      </c>
    </row>
    <row r="6715" spans="1:6" x14ac:dyDescent="0.25">
      <c r="A6715" s="4">
        <v>44207</v>
      </c>
      <c r="B6715">
        <v>572.2722</v>
      </c>
      <c r="C6715">
        <v>579.21489999999994</v>
      </c>
      <c r="D6715">
        <v>569.29679999999996</v>
      </c>
      <c r="E6715">
        <v>579.21489999999994</v>
      </c>
      <c r="F6715">
        <v>52772</v>
      </c>
    </row>
    <row r="6716" spans="1:6" x14ac:dyDescent="0.25">
      <c r="A6716" s="4">
        <v>44208</v>
      </c>
      <c r="B6716">
        <v>578.22310000000004</v>
      </c>
      <c r="C6716">
        <v>592.10839999999996</v>
      </c>
      <c r="D6716">
        <v>577.23130000000003</v>
      </c>
      <c r="E6716">
        <v>586.15750000000003</v>
      </c>
      <c r="F6716">
        <v>52605</v>
      </c>
    </row>
    <row r="6717" spans="1:6" x14ac:dyDescent="0.25">
      <c r="A6717" s="4">
        <v>44209</v>
      </c>
      <c r="B6717">
        <v>590.12480000000005</v>
      </c>
      <c r="C6717">
        <v>600.04280000000006</v>
      </c>
      <c r="D6717">
        <v>588.14110000000005</v>
      </c>
      <c r="E6717">
        <v>600.04280000000006</v>
      </c>
      <c r="F6717">
        <v>75708</v>
      </c>
    </row>
    <row r="6718" spans="1:6" x14ac:dyDescent="0.25">
      <c r="A6718" s="4">
        <v>44210</v>
      </c>
      <c r="B6718">
        <v>582.19029999999998</v>
      </c>
      <c r="C6718">
        <v>592.10839999999996</v>
      </c>
      <c r="D6718">
        <v>582.19029999999998</v>
      </c>
      <c r="E6718">
        <v>587.14930000000004</v>
      </c>
      <c r="F6718">
        <v>90310</v>
      </c>
    </row>
    <row r="6719" spans="1:6" x14ac:dyDescent="0.25">
      <c r="A6719" s="4">
        <v>44211</v>
      </c>
      <c r="B6719">
        <v>615.9117</v>
      </c>
      <c r="C6719">
        <v>619.87890000000004</v>
      </c>
      <c r="D6719">
        <v>596.07560000000001</v>
      </c>
      <c r="E6719">
        <v>596.07560000000001</v>
      </c>
      <c r="F6719">
        <v>100998</v>
      </c>
    </row>
    <row r="6720" spans="1:6" x14ac:dyDescent="0.25">
      <c r="A6720" s="4">
        <v>44214</v>
      </c>
      <c r="B6720">
        <v>603.01819999999998</v>
      </c>
      <c r="C6720">
        <v>603.01819999999998</v>
      </c>
      <c r="D6720">
        <v>589.13300000000004</v>
      </c>
      <c r="E6720">
        <v>602.02639999999997</v>
      </c>
      <c r="F6720">
        <v>50389</v>
      </c>
    </row>
    <row r="6721" spans="1:6" x14ac:dyDescent="0.25">
      <c r="A6721" s="4">
        <v>44215</v>
      </c>
      <c r="B6721">
        <v>612.93629999999996</v>
      </c>
      <c r="C6721">
        <v>626.82159999999999</v>
      </c>
      <c r="D6721">
        <v>607.97730000000001</v>
      </c>
      <c r="E6721">
        <v>621.86260000000004</v>
      </c>
      <c r="F6721">
        <v>52947</v>
      </c>
    </row>
    <row r="6722" spans="1:6" x14ac:dyDescent="0.25">
      <c r="A6722" s="4">
        <v>44216</v>
      </c>
      <c r="B6722">
        <v>627.8134</v>
      </c>
      <c r="C6722">
        <v>644.67409999999995</v>
      </c>
      <c r="D6722">
        <v>625.82979999999998</v>
      </c>
      <c r="E6722">
        <v>641.69870000000003</v>
      </c>
      <c r="F6722">
        <v>95484</v>
      </c>
    </row>
    <row r="6723" spans="1:6" x14ac:dyDescent="0.25">
      <c r="A6723" s="4">
        <v>44217</v>
      </c>
      <c r="B6723">
        <v>634.75599999999997</v>
      </c>
      <c r="C6723">
        <v>673.43650000000002</v>
      </c>
      <c r="D6723">
        <v>634.75599999999997</v>
      </c>
      <c r="E6723">
        <v>667.48569999999995</v>
      </c>
      <c r="F6723">
        <v>97590</v>
      </c>
    </row>
    <row r="6724" spans="1:6" x14ac:dyDescent="0.25">
      <c r="A6724" s="4">
        <v>44218</v>
      </c>
      <c r="B6724">
        <v>643.68230000000005</v>
      </c>
      <c r="C6724">
        <v>659.55119999999999</v>
      </c>
      <c r="D6724">
        <v>643.68230000000005</v>
      </c>
      <c r="E6724">
        <v>643.68230000000005</v>
      </c>
      <c r="F6724">
        <v>134238</v>
      </c>
    </row>
    <row r="6725" spans="1:6" x14ac:dyDescent="0.25">
      <c r="A6725" s="4">
        <v>44221</v>
      </c>
      <c r="B6725">
        <v>636.73969999999997</v>
      </c>
      <c r="C6725">
        <v>640.70690000000002</v>
      </c>
      <c r="D6725">
        <v>620.87080000000003</v>
      </c>
      <c r="E6725">
        <v>627.8134</v>
      </c>
      <c r="F6725">
        <v>98608</v>
      </c>
    </row>
    <row r="6726" spans="1:6" x14ac:dyDescent="0.25">
      <c r="A6726" s="4">
        <v>44222</v>
      </c>
      <c r="B6726">
        <v>626.82159999999999</v>
      </c>
      <c r="C6726">
        <v>634.75599999999997</v>
      </c>
      <c r="D6726">
        <v>605.00189999999998</v>
      </c>
      <c r="E6726">
        <v>611.94449999999995</v>
      </c>
      <c r="F6726">
        <v>114798</v>
      </c>
    </row>
    <row r="6727" spans="1:6" x14ac:dyDescent="0.25">
      <c r="A6727" s="4">
        <v>44223</v>
      </c>
      <c r="B6727">
        <v>612.93629999999996</v>
      </c>
      <c r="C6727">
        <v>619.87890000000004</v>
      </c>
      <c r="D6727">
        <v>605.99369999999999</v>
      </c>
      <c r="E6727">
        <v>609.96090000000004</v>
      </c>
      <c r="F6727">
        <v>72824</v>
      </c>
    </row>
    <row r="6728" spans="1:6" x14ac:dyDescent="0.25">
      <c r="A6728" s="4">
        <v>44224</v>
      </c>
      <c r="B6728">
        <v>595.0838</v>
      </c>
      <c r="C6728">
        <v>603.01819999999998</v>
      </c>
      <c r="D6728">
        <v>593.10019999999997</v>
      </c>
      <c r="E6728">
        <v>596.07560000000001</v>
      </c>
      <c r="F6728">
        <v>104182</v>
      </c>
    </row>
    <row r="6729" spans="1:6" x14ac:dyDescent="0.25">
      <c r="A6729" s="4">
        <v>44225</v>
      </c>
      <c r="B6729">
        <v>613.92809999999997</v>
      </c>
      <c r="C6729">
        <v>613.92809999999997</v>
      </c>
      <c r="D6729">
        <v>586.15750000000003</v>
      </c>
      <c r="E6729">
        <v>586.15750000000003</v>
      </c>
      <c r="F6729">
        <v>96876</v>
      </c>
    </row>
    <row r="6730" spans="1:6" x14ac:dyDescent="0.25">
      <c r="A6730" s="4">
        <v>44228</v>
      </c>
      <c r="B6730">
        <v>590.12480000000005</v>
      </c>
      <c r="C6730">
        <v>606.9855</v>
      </c>
      <c r="D6730">
        <v>582.19029999999998</v>
      </c>
      <c r="E6730">
        <v>605.99369999999999</v>
      </c>
      <c r="F6730">
        <v>70162</v>
      </c>
    </row>
    <row r="6731" spans="1:6" x14ac:dyDescent="0.25">
      <c r="A6731" s="4">
        <v>44229</v>
      </c>
      <c r="B6731">
        <v>623.84619999999995</v>
      </c>
      <c r="C6731">
        <v>632.77239999999995</v>
      </c>
      <c r="D6731">
        <v>616.90350000000001</v>
      </c>
      <c r="E6731">
        <v>626.82159999999999</v>
      </c>
      <c r="F6731">
        <v>80724</v>
      </c>
    </row>
    <row r="6732" spans="1:6" x14ac:dyDescent="0.25">
      <c r="A6732" s="4">
        <v>44230</v>
      </c>
      <c r="B6732">
        <v>632.77239999999995</v>
      </c>
      <c r="C6732">
        <v>636.73969999999997</v>
      </c>
      <c r="D6732">
        <v>624.83799999999997</v>
      </c>
      <c r="E6732">
        <v>624.83799999999997</v>
      </c>
      <c r="F6732">
        <v>59763</v>
      </c>
    </row>
    <row r="6733" spans="1:6" x14ac:dyDescent="0.25">
      <c r="A6733" s="4">
        <v>44231</v>
      </c>
      <c r="B6733">
        <v>620.87080000000003</v>
      </c>
      <c r="C6733">
        <v>626.82159999999999</v>
      </c>
      <c r="D6733">
        <v>614.91989999999998</v>
      </c>
      <c r="E6733">
        <v>621.86260000000004</v>
      </c>
      <c r="F6733">
        <v>47548</v>
      </c>
    </row>
    <row r="6734" spans="1:6" x14ac:dyDescent="0.25">
      <c r="A6734" s="4">
        <v>44232</v>
      </c>
      <c r="B6734">
        <v>632.77239999999995</v>
      </c>
      <c r="C6734">
        <v>635.74779999999998</v>
      </c>
      <c r="D6734">
        <v>625.82979999999998</v>
      </c>
      <c r="E6734">
        <v>626.82159999999999</v>
      </c>
      <c r="F6734">
        <v>57351</v>
      </c>
    </row>
    <row r="6735" spans="1:6" x14ac:dyDescent="0.25">
      <c r="A6735" s="4">
        <v>44244</v>
      </c>
      <c r="B6735">
        <v>657.56759999999997</v>
      </c>
      <c r="C6735">
        <v>662.52660000000003</v>
      </c>
      <c r="D6735">
        <v>654.59220000000005</v>
      </c>
      <c r="E6735">
        <v>657.56759999999997</v>
      </c>
      <c r="F6735">
        <v>115578</v>
      </c>
    </row>
    <row r="6736" spans="1:6" x14ac:dyDescent="0.25">
      <c r="A6736" s="4">
        <v>44245</v>
      </c>
      <c r="B6736">
        <v>658.55939999999998</v>
      </c>
      <c r="C6736">
        <v>659.55119999999999</v>
      </c>
      <c r="D6736">
        <v>650.62490000000003</v>
      </c>
      <c r="E6736">
        <v>654.59220000000005</v>
      </c>
      <c r="F6736">
        <v>54520</v>
      </c>
    </row>
    <row r="6737" spans="1:6" x14ac:dyDescent="0.25">
      <c r="A6737" s="4">
        <v>44246</v>
      </c>
      <c r="B6737">
        <v>650.62490000000003</v>
      </c>
      <c r="C6737">
        <v>651.61680000000001</v>
      </c>
      <c r="D6737">
        <v>641.69870000000003</v>
      </c>
      <c r="E6737">
        <v>646.65769999999998</v>
      </c>
      <c r="F6737">
        <v>51652</v>
      </c>
    </row>
    <row r="6738" spans="1:6" x14ac:dyDescent="0.25">
      <c r="A6738" s="4">
        <v>44249</v>
      </c>
      <c r="B6738">
        <v>654.59220000000005</v>
      </c>
      <c r="C6738">
        <v>656.57579999999996</v>
      </c>
      <c r="D6738">
        <v>644.67409999999995</v>
      </c>
      <c r="E6738">
        <v>644.67409999999995</v>
      </c>
      <c r="F6738">
        <v>39512</v>
      </c>
    </row>
    <row r="6739" spans="1:6" x14ac:dyDescent="0.25">
      <c r="A6739" s="4">
        <v>44250</v>
      </c>
      <c r="B6739">
        <v>635.74779999999998</v>
      </c>
      <c r="C6739">
        <v>637.73149999999998</v>
      </c>
      <c r="D6739">
        <v>627.8134</v>
      </c>
      <c r="E6739">
        <v>635.74779999999998</v>
      </c>
      <c r="F6739">
        <v>52868</v>
      </c>
    </row>
    <row r="6740" spans="1:6" x14ac:dyDescent="0.25">
      <c r="A6740" s="4">
        <v>44251</v>
      </c>
      <c r="B6740">
        <v>621.86260000000004</v>
      </c>
      <c r="C6740">
        <v>630.78880000000004</v>
      </c>
      <c r="D6740">
        <v>619.87890000000004</v>
      </c>
      <c r="E6740">
        <v>619.87890000000004</v>
      </c>
      <c r="F6740">
        <v>80011</v>
      </c>
    </row>
    <row r="6741" spans="1:6" x14ac:dyDescent="0.25">
      <c r="A6741" s="4">
        <v>44252</v>
      </c>
      <c r="B6741">
        <v>630.78880000000004</v>
      </c>
      <c r="C6741">
        <v>630.78880000000004</v>
      </c>
      <c r="D6741">
        <v>622.85440000000006</v>
      </c>
      <c r="E6741">
        <v>629.79700000000003</v>
      </c>
      <c r="F6741">
        <v>45279</v>
      </c>
    </row>
    <row r="6742" spans="1:6" x14ac:dyDescent="0.25">
      <c r="A6742" s="4">
        <v>44253</v>
      </c>
      <c r="B6742">
        <v>605.99369999999999</v>
      </c>
      <c r="C6742">
        <v>612.93629999999996</v>
      </c>
      <c r="D6742">
        <v>601.03459999999995</v>
      </c>
      <c r="E6742">
        <v>601.03459999999995</v>
      </c>
      <c r="F6742">
        <v>137933</v>
      </c>
    </row>
    <row r="6743" spans="1:6" x14ac:dyDescent="0.25">
      <c r="A6743" s="4">
        <v>44257</v>
      </c>
      <c r="B6743">
        <v>615.9117</v>
      </c>
      <c r="C6743">
        <v>616.90350000000001</v>
      </c>
      <c r="D6743">
        <v>604.01</v>
      </c>
      <c r="E6743">
        <v>604.01</v>
      </c>
      <c r="F6743">
        <v>57793</v>
      </c>
    </row>
    <row r="6744" spans="1:6" x14ac:dyDescent="0.25">
      <c r="A6744" s="4">
        <v>44258</v>
      </c>
      <c r="B6744">
        <v>604.01</v>
      </c>
      <c r="C6744">
        <v>616.90350000000001</v>
      </c>
      <c r="D6744">
        <v>596.07560000000001</v>
      </c>
      <c r="E6744">
        <v>616.90350000000001</v>
      </c>
      <c r="F6744">
        <v>61171</v>
      </c>
    </row>
    <row r="6745" spans="1:6" x14ac:dyDescent="0.25">
      <c r="A6745" s="4">
        <v>44259</v>
      </c>
      <c r="B6745">
        <v>604.01</v>
      </c>
      <c r="C6745">
        <v>605.99369999999999</v>
      </c>
      <c r="D6745">
        <v>596.07560000000001</v>
      </c>
      <c r="E6745">
        <v>596.07560000000001</v>
      </c>
      <c r="F6745">
        <v>75508</v>
      </c>
    </row>
    <row r="6746" spans="1:6" x14ac:dyDescent="0.25">
      <c r="A6746" s="4">
        <v>44260</v>
      </c>
      <c r="B6746">
        <v>583.18209999999999</v>
      </c>
      <c r="C6746">
        <v>600.04280000000006</v>
      </c>
      <c r="D6746">
        <v>579.21489999999994</v>
      </c>
      <c r="E6746">
        <v>596.07560000000001</v>
      </c>
      <c r="F6746">
        <v>85580</v>
      </c>
    </row>
    <row r="6747" spans="1:6" x14ac:dyDescent="0.25">
      <c r="A6747" s="4">
        <v>44263</v>
      </c>
      <c r="B6747">
        <v>603.01819999999998</v>
      </c>
      <c r="C6747">
        <v>605.00189999999998</v>
      </c>
      <c r="D6747">
        <v>593.10019999999997</v>
      </c>
      <c r="E6747">
        <v>593.10019999999997</v>
      </c>
      <c r="F6747">
        <v>47677</v>
      </c>
    </row>
    <row r="6748" spans="1:6" x14ac:dyDescent="0.25">
      <c r="A6748" s="4">
        <v>44264</v>
      </c>
      <c r="B6748">
        <v>580.20669999999996</v>
      </c>
      <c r="C6748">
        <v>590.12480000000005</v>
      </c>
      <c r="D6748">
        <v>580.20669999999996</v>
      </c>
      <c r="E6748">
        <v>590.12480000000005</v>
      </c>
      <c r="F6748">
        <v>74471</v>
      </c>
    </row>
    <row r="6749" spans="1:6" x14ac:dyDescent="0.25">
      <c r="A6749" s="4">
        <v>44265</v>
      </c>
      <c r="B6749">
        <v>596.07560000000001</v>
      </c>
      <c r="C6749">
        <v>596.07560000000001</v>
      </c>
      <c r="D6749">
        <v>588.14110000000005</v>
      </c>
      <c r="E6749">
        <v>592.10839999999996</v>
      </c>
      <c r="F6749">
        <v>41735</v>
      </c>
    </row>
    <row r="6750" spans="1:6" x14ac:dyDescent="0.25">
      <c r="A6750" s="4">
        <v>44266</v>
      </c>
      <c r="B6750">
        <v>591.11659999999995</v>
      </c>
      <c r="C6750">
        <v>606.9855</v>
      </c>
      <c r="D6750">
        <v>590.12480000000005</v>
      </c>
      <c r="E6750">
        <v>604.01</v>
      </c>
      <c r="F6750">
        <v>55463</v>
      </c>
    </row>
    <row r="6751" spans="1:6" x14ac:dyDescent="0.25">
      <c r="A6751" s="4">
        <v>44267</v>
      </c>
      <c r="B6751">
        <v>609.96090000000004</v>
      </c>
      <c r="C6751">
        <v>612.93629999999996</v>
      </c>
      <c r="D6751">
        <v>604.01</v>
      </c>
      <c r="E6751">
        <v>608.96910000000003</v>
      </c>
      <c r="F6751">
        <v>33877</v>
      </c>
    </row>
    <row r="6752" spans="1:6" x14ac:dyDescent="0.25">
      <c r="A6752" s="4">
        <v>44270</v>
      </c>
      <c r="B6752">
        <v>608.96910000000003</v>
      </c>
      <c r="C6752">
        <v>608.96910000000003</v>
      </c>
      <c r="D6752">
        <v>604.01</v>
      </c>
      <c r="E6752">
        <v>605.99369999999999</v>
      </c>
      <c r="F6752">
        <v>29768</v>
      </c>
    </row>
    <row r="6753" spans="1:6" x14ac:dyDescent="0.25">
      <c r="A6753" s="4">
        <v>44271</v>
      </c>
      <c r="B6753">
        <v>605.00189999999998</v>
      </c>
      <c r="C6753">
        <v>607.97730000000001</v>
      </c>
      <c r="D6753">
        <v>602.02639999999997</v>
      </c>
      <c r="E6753">
        <v>607.97730000000001</v>
      </c>
      <c r="F6753">
        <v>37781</v>
      </c>
    </row>
    <row r="6754" spans="1:6" x14ac:dyDescent="0.25">
      <c r="A6754" s="4">
        <v>44272</v>
      </c>
      <c r="B6754">
        <v>609.47109999999998</v>
      </c>
      <c r="C6754">
        <v>609.47109999999998</v>
      </c>
      <c r="D6754">
        <v>599.51239999999996</v>
      </c>
      <c r="E6754">
        <v>601.50409999999999</v>
      </c>
      <c r="F6754">
        <v>43942</v>
      </c>
    </row>
    <row r="6755" spans="1:6" x14ac:dyDescent="0.25">
      <c r="A6755" s="4">
        <v>44273</v>
      </c>
      <c r="B6755">
        <v>603.49590000000001</v>
      </c>
      <c r="C6755">
        <v>606.48350000000005</v>
      </c>
      <c r="D6755">
        <v>599.51239999999996</v>
      </c>
      <c r="E6755">
        <v>599.51239999999996</v>
      </c>
      <c r="F6755">
        <v>30224</v>
      </c>
    </row>
    <row r="6756" spans="1:6" x14ac:dyDescent="0.25">
      <c r="A6756" s="4">
        <v>44274</v>
      </c>
      <c r="B6756">
        <v>591.54549999999995</v>
      </c>
      <c r="C6756">
        <v>595.52890000000002</v>
      </c>
      <c r="D6756">
        <v>588.55790000000002</v>
      </c>
      <c r="E6756">
        <v>588.55790000000002</v>
      </c>
      <c r="F6756">
        <v>74961</v>
      </c>
    </row>
    <row r="6757" spans="1:6" x14ac:dyDescent="0.25">
      <c r="A6757" s="4">
        <v>44277</v>
      </c>
      <c r="B6757">
        <v>585.5702</v>
      </c>
      <c r="C6757">
        <v>595.52890000000002</v>
      </c>
      <c r="D6757">
        <v>583.57849999999996</v>
      </c>
      <c r="E6757">
        <v>590.54960000000005</v>
      </c>
      <c r="F6757">
        <v>35931</v>
      </c>
    </row>
    <row r="6758" spans="1:6" x14ac:dyDescent="0.25">
      <c r="A6758" s="4">
        <v>44278</v>
      </c>
      <c r="B6758">
        <v>594.53309999999999</v>
      </c>
      <c r="C6758">
        <v>600.50829999999996</v>
      </c>
      <c r="D6758">
        <v>590.54960000000005</v>
      </c>
      <c r="E6758">
        <v>591.54549999999995</v>
      </c>
      <c r="F6758">
        <v>31933</v>
      </c>
    </row>
    <row r="6759" spans="1:6" x14ac:dyDescent="0.25">
      <c r="A6759" s="4">
        <v>44279</v>
      </c>
      <c r="B6759">
        <v>568.64049999999997</v>
      </c>
      <c r="C6759">
        <v>579.59500000000003</v>
      </c>
      <c r="D6759">
        <v>568.64049999999997</v>
      </c>
      <c r="E6759">
        <v>573.61980000000005</v>
      </c>
      <c r="F6759">
        <v>115318</v>
      </c>
    </row>
    <row r="6760" spans="1:6" x14ac:dyDescent="0.25">
      <c r="A6760" s="4">
        <v>44280</v>
      </c>
      <c r="B6760">
        <v>569.63639999999998</v>
      </c>
      <c r="C6760">
        <v>578.5992</v>
      </c>
      <c r="D6760">
        <v>567.64459999999997</v>
      </c>
      <c r="E6760">
        <v>572.62400000000002</v>
      </c>
      <c r="F6760">
        <v>74226</v>
      </c>
    </row>
    <row r="6761" spans="1:6" x14ac:dyDescent="0.25">
      <c r="A6761" s="4">
        <v>44281</v>
      </c>
      <c r="B6761">
        <v>579.59500000000003</v>
      </c>
      <c r="C6761">
        <v>589.55370000000005</v>
      </c>
      <c r="D6761">
        <v>577.60329999999999</v>
      </c>
      <c r="E6761">
        <v>587.56200000000001</v>
      </c>
      <c r="F6761">
        <v>37937</v>
      </c>
    </row>
    <row r="6762" spans="1:6" x14ac:dyDescent="0.25">
      <c r="A6762" s="4">
        <v>44284</v>
      </c>
      <c r="B6762">
        <v>596.52480000000003</v>
      </c>
      <c r="C6762">
        <v>599.51239999999996</v>
      </c>
      <c r="D6762">
        <v>593.53719999999998</v>
      </c>
      <c r="E6762">
        <v>596.52480000000003</v>
      </c>
      <c r="F6762">
        <v>40574</v>
      </c>
    </row>
    <row r="6763" spans="1:6" x14ac:dyDescent="0.25">
      <c r="A6763" s="4">
        <v>44285</v>
      </c>
      <c r="B6763">
        <v>597.52070000000003</v>
      </c>
      <c r="C6763">
        <v>597.52070000000003</v>
      </c>
      <c r="D6763">
        <v>589.55370000000005</v>
      </c>
      <c r="E6763">
        <v>594.53309999999999</v>
      </c>
      <c r="F6763">
        <v>34686</v>
      </c>
    </row>
    <row r="6764" spans="1:6" x14ac:dyDescent="0.25">
      <c r="A6764" s="4">
        <v>44286</v>
      </c>
      <c r="B6764">
        <v>593.53719999999998</v>
      </c>
      <c r="C6764">
        <v>594.53309999999999</v>
      </c>
      <c r="D6764">
        <v>584.57439999999997</v>
      </c>
      <c r="E6764">
        <v>584.57439999999997</v>
      </c>
      <c r="F6764">
        <v>44455</v>
      </c>
    </row>
    <row r="6765" spans="1:6" x14ac:dyDescent="0.25">
      <c r="A6765" s="4">
        <v>44287</v>
      </c>
      <c r="B6765">
        <v>595.52890000000002</v>
      </c>
      <c r="C6765">
        <v>599.51239999999996</v>
      </c>
      <c r="D6765">
        <v>591.54549999999995</v>
      </c>
      <c r="E6765">
        <v>599.51239999999996</v>
      </c>
      <c r="F6765">
        <v>45973</v>
      </c>
    </row>
    <row r="6766" spans="1:6" x14ac:dyDescent="0.25">
      <c r="A6766" s="4">
        <v>44292</v>
      </c>
      <c r="B6766">
        <v>612.45870000000002</v>
      </c>
      <c r="C6766">
        <v>613.45450000000005</v>
      </c>
      <c r="D6766">
        <v>605.48760000000004</v>
      </c>
      <c r="E6766">
        <v>607.47929999999997</v>
      </c>
      <c r="F6766">
        <v>37664</v>
      </c>
    </row>
    <row r="6767" spans="1:6" x14ac:dyDescent="0.25">
      <c r="A6767" s="4">
        <v>44293</v>
      </c>
      <c r="B6767">
        <v>611.46280000000002</v>
      </c>
      <c r="C6767">
        <v>611.46280000000002</v>
      </c>
      <c r="D6767">
        <v>605.48760000000004</v>
      </c>
      <c r="E6767">
        <v>607.47929999999997</v>
      </c>
      <c r="F6767">
        <v>28141</v>
      </c>
    </row>
    <row r="6768" spans="1:6" x14ac:dyDescent="0.25">
      <c r="A6768" s="4">
        <v>44294</v>
      </c>
      <c r="B6768">
        <v>603.49590000000001</v>
      </c>
      <c r="C6768">
        <v>610.46690000000001</v>
      </c>
      <c r="D6768">
        <v>600.50829999999996</v>
      </c>
      <c r="E6768">
        <v>610.46690000000001</v>
      </c>
      <c r="F6768">
        <v>26658</v>
      </c>
    </row>
    <row r="6769" spans="1:6" x14ac:dyDescent="0.25">
      <c r="A6769" s="4">
        <v>44295</v>
      </c>
      <c r="B6769">
        <v>615.44629999999995</v>
      </c>
      <c r="C6769">
        <v>615.44629999999995</v>
      </c>
      <c r="D6769">
        <v>606.48350000000005</v>
      </c>
      <c r="E6769">
        <v>607.47929999999997</v>
      </c>
      <c r="F6769">
        <v>31602</v>
      </c>
    </row>
    <row r="6770" spans="1:6" x14ac:dyDescent="0.25">
      <c r="A6770" s="4">
        <v>44298</v>
      </c>
      <c r="B6770">
        <v>609.47109999999998</v>
      </c>
      <c r="C6770">
        <v>610.46690000000001</v>
      </c>
      <c r="D6770">
        <v>600.50829999999996</v>
      </c>
      <c r="E6770">
        <v>602.5</v>
      </c>
      <c r="F6770">
        <v>23320</v>
      </c>
    </row>
    <row r="6771" spans="1:6" x14ac:dyDescent="0.25">
      <c r="A6771" s="4">
        <v>44299</v>
      </c>
      <c r="B6771">
        <v>601.50409999999999</v>
      </c>
      <c r="C6771">
        <v>610.46690000000001</v>
      </c>
      <c r="D6771">
        <v>601.50409999999999</v>
      </c>
      <c r="E6771">
        <v>602.5</v>
      </c>
      <c r="F6771">
        <v>27387</v>
      </c>
    </row>
    <row r="6772" spans="1:6" x14ac:dyDescent="0.25">
      <c r="A6772" s="4">
        <v>44300</v>
      </c>
      <c r="B6772">
        <v>605.48760000000004</v>
      </c>
      <c r="C6772">
        <v>609.47109999999998</v>
      </c>
      <c r="D6772">
        <v>597.52070000000003</v>
      </c>
      <c r="E6772">
        <v>609.47109999999998</v>
      </c>
      <c r="F6772">
        <v>31145</v>
      </c>
    </row>
    <row r="6773" spans="1:6" x14ac:dyDescent="0.25">
      <c r="A6773" s="4">
        <v>44301</v>
      </c>
      <c r="B6773">
        <v>609.47109999999998</v>
      </c>
      <c r="C6773">
        <v>616.44209999999998</v>
      </c>
      <c r="D6773">
        <v>604.49170000000004</v>
      </c>
      <c r="E6773">
        <v>616.44209999999998</v>
      </c>
      <c r="F6773">
        <v>36394</v>
      </c>
    </row>
    <row r="6774" spans="1:6" x14ac:dyDescent="0.25">
      <c r="A6774" s="4">
        <v>44302</v>
      </c>
      <c r="B6774">
        <v>607.47929999999997</v>
      </c>
      <c r="C6774">
        <v>608.47519999999997</v>
      </c>
      <c r="D6774">
        <v>600.50829999999996</v>
      </c>
      <c r="E6774">
        <v>607.47929999999997</v>
      </c>
      <c r="F6774">
        <v>49952</v>
      </c>
    </row>
    <row r="6775" spans="1:6" x14ac:dyDescent="0.25">
      <c r="A6775" s="4">
        <v>44305</v>
      </c>
      <c r="B6775">
        <v>602.5</v>
      </c>
      <c r="C6775">
        <v>604.49170000000004</v>
      </c>
      <c r="D6775">
        <v>598.51649999999995</v>
      </c>
      <c r="E6775">
        <v>600.50829999999996</v>
      </c>
      <c r="F6775">
        <v>25235</v>
      </c>
    </row>
    <row r="6776" spans="1:6" x14ac:dyDescent="0.25">
      <c r="A6776" s="4">
        <v>44306</v>
      </c>
      <c r="B6776">
        <v>595.52890000000002</v>
      </c>
      <c r="C6776">
        <v>599.51239999999996</v>
      </c>
      <c r="D6776">
        <v>592.54129999999998</v>
      </c>
      <c r="E6776">
        <v>599.51239999999996</v>
      </c>
      <c r="F6776">
        <v>36655</v>
      </c>
    </row>
    <row r="6777" spans="1:6" x14ac:dyDescent="0.25">
      <c r="A6777" s="4">
        <v>44307</v>
      </c>
      <c r="B6777">
        <v>596.52480000000003</v>
      </c>
      <c r="C6777">
        <v>596.52480000000003</v>
      </c>
      <c r="D6777">
        <v>589.55370000000005</v>
      </c>
      <c r="E6777">
        <v>589.55370000000005</v>
      </c>
      <c r="F6777">
        <v>41894</v>
      </c>
    </row>
    <row r="6778" spans="1:6" x14ac:dyDescent="0.25">
      <c r="A6778" s="4">
        <v>44308</v>
      </c>
      <c r="B6778">
        <v>593.53719999999998</v>
      </c>
      <c r="C6778">
        <v>595.52890000000002</v>
      </c>
      <c r="D6778">
        <v>588.55790000000002</v>
      </c>
      <c r="E6778">
        <v>588.55790000000002</v>
      </c>
      <c r="F6778">
        <v>38095</v>
      </c>
    </row>
    <row r="6779" spans="1:6" x14ac:dyDescent="0.25">
      <c r="A6779" s="4">
        <v>44309</v>
      </c>
      <c r="B6779">
        <v>589.55370000000005</v>
      </c>
      <c r="C6779">
        <v>599.51239999999996</v>
      </c>
      <c r="D6779">
        <v>587.56200000000001</v>
      </c>
      <c r="E6779">
        <v>599.51239999999996</v>
      </c>
      <c r="F6779">
        <v>29005</v>
      </c>
    </row>
    <row r="6780" spans="1:6" x14ac:dyDescent="0.25">
      <c r="A6780" s="4">
        <v>44312</v>
      </c>
      <c r="B6780">
        <v>602.5</v>
      </c>
      <c r="C6780">
        <v>607.47929999999997</v>
      </c>
      <c r="D6780">
        <v>600.50829999999996</v>
      </c>
      <c r="E6780">
        <v>607.47929999999997</v>
      </c>
      <c r="F6780">
        <v>32427</v>
      </c>
    </row>
    <row r="6781" spans="1:6" x14ac:dyDescent="0.25">
      <c r="A6781" s="4">
        <v>44313</v>
      </c>
      <c r="B6781">
        <v>605.48760000000004</v>
      </c>
      <c r="C6781">
        <v>608.47519999999997</v>
      </c>
      <c r="D6781">
        <v>602.5</v>
      </c>
      <c r="E6781">
        <v>607.47929999999997</v>
      </c>
      <c r="F6781">
        <v>26761</v>
      </c>
    </row>
    <row r="6782" spans="1:6" x14ac:dyDescent="0.25">
      <c r="A6782" s="4">
        <v>44314</v>
      </c>
      <c r="B6782">
        <v>603.49590000000001</v>
      </c>
      <c r="C6782">
        <v>605.48760000000004</v>
      </c>
      <c r="D6782">
        <v>598.51649999999995</v>
      </c>
      <c r="E6782">
        <v>599.51239999999996</v>
      </c>
      <c r="F6782">
        <v>24601</v>
      </c>
    </row>
    <row r="6783" spans="1:6" x14ac:dyDescent="0.25">
      <c r="A6783" s="4">
        <v>44315</v>
      </c>
      <c r="B6783">
        <v>606.48350000000005</v>
      </c>
      <c r="C6783">
        <v>606.48350000000005</v>
      </c>
      <c r="D6783">
        <v>597.52070000000003</v>
      </c>
      <c r="E6783">
        <v>597.52070000000003</v>
      </c>
      <c r="F6783">
        <v>35756</v>
      </c>
    </row>
    <row r="6784" spans="1:6" x14ac:dyDescent="0.25">
      <c r="A6784" s="4">
        <v>44319</v>
      </c>
      <c r="B6784">
        <v>592.54129999999998</v>
      </c>
      <c r="C6784">
        <v>594.53309999999999</v>
      </c>
      <c r="D6784">
        <v>585.5702</v>
      </c>
      <c r="E6784">
        <v>585.5702</v>
      </c>
      <c r="F6784">
        <v>46801</v>
      </c>
    </row>
    <row r="6785" spans="1:6" x14ac:dyDescent="0.25">
      <c r="A6785" s="4">
        <v>44320</v>
      </c>
      <c r="B6785">
        <v>585.5702</v>
      </c>
      <c r="C6785">
        <v>591.54549999999995</v>
      </c>
      <c r="D6785">
        <v>579.59500000000003</v>
      </c>
      <c r="E6785">
        <v>588.55790000000002</v>
      </c>
      <c r="F6785">
        <v>45507</v>
      </c>
    </row>
    <row r="6786" spans="1:6" x14ac:dyDescent="0.25">
      <c r="A6786" s="4">
        <v>44321</v>
      </c>
      <c r="B6786">
        <v>591.54549999999995</v>
      </c>
      <c r="C6786">
        <v>591.54549999999995</v>
      </c>
      <c r="D6786">
        <v>582.58259999999996</v>
      </c>
      <c r="E6786">
        <v>582.58259999999996</v>
      </c>
      <c r="F6786">
        <v>31787</v>
      </c>
    </row>
    <row r="6787" spans="1:6" x14ac:dyDescent="0.25">
      <c r="A6787" s="4">
        <v>44322</v>
      </c>
      <c r="B6787">
        <v>587.56200000000001</v>
      </c>
      <c r="C6787">
        <v>587.56200000000001</v>
      </c>
      <c r="D6787">
        <v>577.60329999999999</v>
      </c>
      <c r="E6787">
        <v>584.57439999999997</v>
      </c>
      <c r="F6787">
        <v>33165</v>
      </c>
    </row>
    <row r="6788" spans="1:6" x14ac:dyDescent="0.25">
      <c r="A6788" s="4">
        <v>44323</v>
      </c>
      <c r="B6788">
        <v>591.54549999999995</v>
      </c>
      <c r="C6788">
        <v>597.52070000000003</v>
      </c>
      <c r="D6788">
        <v>586.56610000000001</v>
      </c>
      <c r="E6788">
        <v>596.52480000000003</v>
      </c>
      <c r="F6788">
        <v>28720</v>
      </c>
    </row>
    <row r="6789" spans="1:6" x14ac:dyDescent="0.25">
      <c r="A6789" s="4">
        <v>44326</v>
      </c>
      <c r="B6789">
        <v>593.53719999999998</v>
      </c>
      <c r="C6789">
        <v>594.53309999999999</v>
      </c>
      <c r="D6789">
        <v>585.5702</v>
      </c>
      <c r="E6789">
        <v>586.56610000000001</v>
      </c>
      <c r="F6789">
        <v>21366</v>
      </c>
    </row>
    <row r="6790" spans="1:6" x14ac:dyDescent="0.25">
      <c r="A6790" s="4">
        <v>44327</v>
      </c>
      <c r="B6790">
        <v>576.60739999999998</v>
      </c>
      <c r="C6790">
        <v>577.60329999999999</v>
      </c>
      <c r="D6790">
        <v>567.64459999999997</v>
      </c>
      <c r="E6790">
        <v>568.64049999999997</v>
      </c>
      <c r="F6790">
        <v>66036</v>
      </c>
    </row>
    <row r="6791" spans="1:6" x14ac:dyDescent="0.25">
      <c r="A6791" s="4">
        <v>44328</v>
      </c>
      <c r="B6791">
        <v>564.65700000000004</v>
      </c>
      <c r="C6791">
        <v>568.64049999999997</v>
      </c>
      <c r="D6791">
        <v>515.85950000000003</v>
      </c>
      <c r="E6791">
        <v>557.68600000000004</v>
      </c>
      <c r="F6791">
        <v>138329</v>
      </c>
    </row>
    <row r="6792" spans="1:6" x14ac:dyDescent="0.25">
      <c r="A6792" s="4">
        <v>44329</v>
      </c>
      <c r="B6792">
        <v>544.73969999999997</v>
      </c>
      <c r="C6792">
        <v>560.67359999999996</v>
      </c>
      <c r="D6792">
        <v>538.7645</v>
      </c>
      <c r="E6792">
        <v>544.73969999999997</v>
      </c>
      <c r="F6792">
        <v>71519</v>
      </c>
    </row>
    <row r="6793" spans="1:6" x14ac:dyDescent="0.25">
      <c r="A6793" s="4">
        <v>44330</v>
      </c>
      <c r="B6793">
        <v>553.70249999999999</v>
      </c>
      <c r="C6793">
        <v>559.67769999999996</v>
      </c>
      <c r="D6793">
        <v>549.71900000000005</v>
      </c>
      <c r="E6793">
        <v>554.69830000000002</v>
      </c>
      <c r="F6793">
        <v>38625</v>
      </c>
    </row>
    <row r="6794" spans="1:6" x14ac:dyDescent="0.25">
      <c r="A6794" s="4">
        <v>44333</v>
      </c>
      <c r="B6794">
        <v>541.75210000000004</v>
      </c>
      <c r="C6794">
        <v>555.69420000000002</v>
      </c>
      <c r="D6794">
        <v>538.7645</v>
      </c>
      <c r="E6794">
        <v>546.73140000000001</v>
      </c>
      <c r="F6794">
        <v>58447</v>
      </c>
    </row>
    <row r="6795" spans="1:6" x14ac:dyDescent="0.25">
      <c r="A6795" s="4">
        <v>44334</v>
      </c>
      <c r="B6795">
        <v>560.67359999999996</v>
      </c>
      <c r="C6795">
        <v>570.63220000000001</v>
      </c>
      <c r="D6795">
        <v>552.70659999999998</v>
      </c>
      <c r="E6795">
        <v>569.63639999999998</v>
      </c>
      <c r="F6795">
        <v>44584</v>
      </c>
    </row>
    <row r="6796" spans="1:6" x14ac:dyDescent="0.25">
      <c r="A6796" s="4">
        <v>44335</v>
      </c>
      <c r="B6796">
        <v>568.64049999999997</v>
      </c>
      <c r="C6796">
        <v>569.63639999999998</v>
      </c>
      <c r="D6796">
        <v>562.6653</v>
      </c>
      <c r="E6796">
        <v>564.65700000000004</v>
      </c>
      <c r="F6796">
        <v>29610</v>
      </c>
    </row>
    <row r="6797" spans="1:6" x14ac:dyDescent="0.25">
      <c r="A6797" s="4">
        <v>44336</v>
      </c>
      <c r="B6797">
        <v>564.65700000000004</v>
      </c>
      <c r="C6797">
        <v>568.64049999999997</v>
      </c>
      <c r="D6797">
        <v>557.68600000000004</v>
      </c>
      <c r="E6797">
        <v>564.65700000000004</v>
      </c>
      <c r="F6797">
        <v>36606</v>
      </c>
    </row>
    <row r="6798" spans="1:6" x14ac:dyDescent="0.25">
      <c r="A6798" s="4">
        <v>44337</v>
      </c>
      <c r="B6798">
        <v>569.63639999999998</v>
      </c>
      <c r="C6798">
        <v>574.61569999999995</v>
      </c>
      <c r="D6798">
        <v>565.65290000000005</v>
      </c>
      <c r="E6798">
        <v>570.63220000000001</v>
      </c>
      <c r="F6798">
        <v>28010</v>
      </c>
    </row>
    <row r="6799" spans="1:6" x14ac:dyDescent="0.25">
      <c r="A6799" s="4">
        <v>44340</v>
      </c>
      <c r="B6799">
        <v>567.64459999999997</v>
      </c>
      <c r="C6799">
        <v>569.63639999999998</v>
      </c>
      <c r="D6799">
        <v>563.66120000000001</v>
      </c>
      <c r="E6799">
        <v>565.65290000000005</v>
      </c>
      <c r="F6799">
        <v>15981</v>
      </c>
    </row>
    <row r="6800" spans="1:6" x14ac:dyDescent="0.25">
      <c r="A6800" s="4">
        <v>44341</v>
      </c>
      <c r="B6800">
        <v>573.61980000000005</v>
      </c>
      <c r="C6800">
        <v>581.58680000000004</v>
      </c>
      <c r="D6800">
        <v>570.63220000000001</v>
      </c>
      <c r="E6800">
        <v>580.59090000000003</v>
      </c>
      <c r="F6800">
        <v>35445</v>
      </c>
    </row>
    <row r="6801" spans="1:6" x14ac:dyDescent="0.25">
      <c r="A6801" s="4">
        <v>44342</v>
      </c>
      <c r="B6801">
        <v>584.57439999999997</v>
      </c>
      <c r="C6801">
        <v>585.5702</v>
      </c>
      <c r="D6801">
        <v>578.5992</v>
      </c>
      <c r="E6801">
        <v>582.58259999999996</v>
      </c>
      <c r="F6801">
        <v>19555</v>
      </c>
    </row>
    <row r="6802" spans="1:6" x14ac:dyDescent="0.25">
      <c r="A6802" s="4">
        <v>44343</v>
      </c>
      <c r="B6802">
        <v>577.60329999999999</v>
      </c>
      <c r="C6802">
        <v>579.59500000000003</v>
      </c>
      <c r="D6802">
        <v>570.63220000000001</v>
      </c>
      <c r="E6802">
        <v>579.59500000000003</v>
      </c>
      <c r="F6802">
        <v>70061</v>
      </c>
    </row>
    <row r="6803" spans="1:6" x14ac:dyDescent="0.25">
      <c r="A6803" s="4">
        <v>44344</v>
      </c>
      <c r="B6803">
        <v>584.57439999999997</v>
      </c>
      <c r="C6803">
        <v>589.55370000000005</v>
      </c>
      <c r="D6803">
        <v>579.59500000000003</v>
      </c>
      <c r="E6803">
        <v>587.56200000000001</v>
      </c>
      <c r="F6803">
        <v>30721</v>
      </c>
    </row>
    <row r="6804" spans="1:6" x14ac:dyDescent="0.25">
      <c r="A6804" s="4">
        <v>44347</v>
      </c>
      <c r="B6804">
        <v>592.54129999999998</v>
      </c>
      <c r="C6804">
        <v>594.53309999999999</v>
      </c>
      <c r="D6804">
        <v>587.56200000000001</v>
      </c>
      <c r="E6804">
        <v>594.53309999999999</v>
      </c>
      <c r="F6804">
        <v>31557</v>
      </c>
    </row>
    <row r="6805" spans="1:6" x14ac:dyDescent="0.25">
      <c r="A6805" s="4">
        <v>44348</v>
      </c>
      <c r="B6805">
        <v>595.52890000000002</v>
      </c>
      <c r="C6805">
        <v>596.52480000000003</v>
      </c>
      <c r="D6805">
        <v>592.54129999999998</v>
      </c>
      <c r="E6805">
        <v>595.52890000000002</v>
      </c>
      <c r="F6805">
        <v>18405</v>
      </c>
    </row>
    <row r="6806" spans="1:6" x14ac:dyDescent="0.25">
      <c r="A6806" s="4">
        <v>44349</v>
      </c>
      <c r="B6806">
        <v>597.52070000000003</v>
      </c>
      <c r="C6806">
        <v>597.52070000000003</v>
      </c>
      <c r="D6806">
        <v>590.54960000000005</v>
      </c>
      <c r="E6806">
        <v>592.54129999999998</v>
      </c>
      <c r="F6806">
        <v>22417</v>
      </c>
    </row>
    <row r="6807" spans="1:6" x14ac:dyDescent="0.25">
      <c r="A6807" s="4">
        <v>44350</v>
      </c>
      <c r="B6807">
        <v>597.52070000000003</v>
      </c>
      <c r="C6807">
        <v>597.52070000000003</v>
      </c>
      <c r="D6807">
        <v>593.53719999999998</v>
      </c>
      <c r="E6807">
        <v>593.53719999999998</v>
      </c>
      <c r="F6807">
        <v>31704</v>
      </c>
    </row>
    <row r="6808" spans="1:6" x14ac:dyDescent="0.25">
      <c r="A6808" s="4">
        <v>44351</v>
      </c>
      <c r="B6808">
        <v>588.55790000000002</v>
      </c>
      <c r="C6808">
        <v>592.54129999999998</v>
      </c>
      <c r="D6808">
        <v>587.56200000000001</v>
      </c>
      <c r="E6808">
        <v>592.54129999999998</v>
      </c>
      <c r="F6808">
        <v>16073</v>
      </c>
    </row>
    <row r="6809" spans="1:6" x14ac:dyDescent="0.25">
      <c r="A6809" s="4">
        <v>44354</v>
      </c>
      <c r="B6809">
        <v>591.54549999999995</v>
      </c>
      <c r="C6809">
        <v>592.54129999999998</v>
      </c>
      <c r="D6809">
        <v>580.59090000000003</v>
      </c>
      <c r="E6809">
        <v>589.55370000000005</v>
      </c>
      <c r="F6809">
        <v>17729</v>
      </c>
    </row>
    <row r="6810" spans="1:6" x14ac:dyDescent="0.25">
      <c r="A6810" s="4">
        <v>44355</v>
      </c>
      <c r="B6810">
        <v>587.56200000000001</v>
      </c>
      <c r="C6810">
        <v>592.54129999999998</v>
      </c>
      <c r="D6810">
        <v>585.5702</v>
      </c>
      <c r="E6810">
        <v>586.56610000000001</v>
      </c>
      <c r="F6810">
        <v>14084</v>
      </c>
    </row>
    <row r="6811" spans="1:6" x14ac:dyDescent="0.25">
      <c r="A6811" s="4">
        <v>44356</v>
      </c>
      <c r="B6811">
        <v>583.57849999999996</v>
      </c>
      <c r="C6811">
        <v>585.5702</v>
      </c>
      <c r="D6811">
        <v>580.59090000000003</v>
      </c>
      <c r="E6811">
        <v>583.57849999999996</v>
      </c>
      <c r="F6811">
        <v>21575</v>
      </c>
    </row>
    <row r="6812" spans="1:6" x14ac:dyDescent="0.25">
      <c r="A6812" s="4">
        <v>44357</v>
      </c>
      <c r="B6812">
        <v>588.55790000000002</v>
      </c>
      <c r="C6812">
        <v>596.52480000000003</v>
      </c>
      <c r="D6812">
        <v>584.57439999999997</v>
      </c>
      <c r="E6812">
        <v>596.52480000000003</v>
      </c>
      <c r="F6812">
        <v>29742</v>
      </c>
    </row>
    <row r="6813" spans="1:6" x14ac:dyDescent="0.25">
      <c r="A6813" s="4">
        <v>44358</v>
      </c>
      <c r="B6813">
        <v>599.51239999999996</v>
      </c>
      <c r="C6813">
        <v>600.50829999999996</v>
      </c>
      <c r="D6813">
        <v>597.52070000000003</v>
      </c>
      <c r="E6813">
        <v>599.51239999999996</v>
      </c>
      <c r="F6813">
        <v>24941</v>
      </c>
    </row>
    <row r="6814" spans="1:6" x14ac:dyDescent="0.25">
      <c r="A6814" s="4">
        <v>44362</v>
      </c>
      <c r="B6814">
        <v>604.49170000000004</v>
      </c>
      <c r="C6814">
        <v>606.48350000000005</v>
      </c>
      <c r="D6814">
        <v>603.49590000000001</v>
      </c>
      <c r="E6814">
        <v>606.48350000000005</v>
      </c>
      <c r="F6814">
        <v>30246</v>
      </c>
    </row>
    <row r="6815" spans="1:6" x14ac:dyDescent="0.25">
      <c r="A6815" s="4">
        <v>44363</v>
      </c>
      <c r="B6815">
        <v>605.48760000000004</v>
      </c>
      <c r="C6815">
        <v>605.48760000000004</v>
      </c>
      <c r="D6815">
        <v>602.5</v>
      </c>
      <c r="E6815">
        <v>602.5</v>
      </c>
      <c r="F6815">
        <v>28625</v>
      </c>
    </row>
    <row r="6816" spans="1:6" x14ac:dyDescent="0.25">
      <c r="A6816" s="4">
        <v>44364</v>
      </c>
      <c r="B6816">
        <v>601</v>
      </c>
      <c r="C6816">
        <v>606</v>
      </c>
      <c r="D6816">
        <v>598</v>
      </c>
      <c r="E6816">
        <v>606</v>
      </c>
      <c r="F6816">
        <v>26477</v>
      </c>
    </row>
    <row r="6817" spans="1:6" x14ac:dyDescent="0.25">
      <c r="A6817" s="4">
        <v>44365</v>
      </c>
      <c r="B6817">
        <v>608</v>
      </c>
      <c r="C6817">
        <v>608</v>
      </c>
      <c r="D6817">
        <v>601</v>
      </c>
      <c r="E6817">
        <v>603</v>
      </c>
      <c r="F6817">
        <v>42036</v>
      </c>
    </row>
    <row r="6818" spans="1:6" x14ac:dyDescent="0.25">
      <c r="A6818" s="4">
        <v>44368</v>
      </c>
      <c r="B6818">
        <v>590</v>
      </c>
      <c r="C6818">
        <v>594</v>
      </c>
      <c r="D6818">
        <v>583</v>
      </c>
      <c r="E6818">
        <v>583</v>
      </c>
      <c r="F6818">
        <v>47340</v>
      </c>
    </row>
    <row r="6819" spans="1:6" x14ac:dyDescent="0.25">
      <c r="A6819" s="4">
        <v>44369</v>
      </c>
      <c r="B6819">
        <v>585</v>
      </c>
      <c r="C6819">
        <v>588</v>
      </c>
      <c r="D6819">
        <v>578</v>
      </c>
      <c r="E6819">
        <v>578</v>
      </c>
      <c r="F6819">
        <v>30578</v>
      </c>
    </row>
    <row r="6820" spans="1:6" x14ac:dyDescent="0.25">
      <c r="A6820" s="4">
        <v>44370</v>
      </c>
      <c r="B6820">
        <v>583</v>
      </c>
      <c r="C6820">
        <v>598</v>
      </c>
      <c r="D6820">
        <v>581</v>
      </c>
      <c r="E6820">
        <v>595</v>
      </c>
      <c r="F6820">
        <v>36386</v>
      </c>
    </row>
    <row r="6821" spans="1:6" x14ac:dyDescent="0.25">
      <c r="A6821" s="4">
        <v>44371</v>
      </c>
      <c r="B6821">
        <v>598</v>
      </c>
      <c r="C6821">
        <v>598</v>
      </c>
      <c r="D6821">
        <v>588</v>
      </c>
      <c r="E6821">
        <v>590</v>
      </c>
      <c r="F6821">
        <v>19323</v>
      </c>
    </row>
    <row r="6822" spans="1:6" x14ac:dyDescent="0.25">
      <c r="A6822" s="4">
        <v>44372</v>
      </c>
      <c r="B6822">
        <v>598</v>
      </c>
      <c r="C6822">
        <v>598</v>
      </c>
      <c r="D6822">
        <v>589</v>
      </c>
      <c r="E6822">
        <v>591</v>
      </c>
      <c r="F6822">
        <v>19140</v>
      </c>
    </row>
    <row r="6823" spans="1:6" x14ac:dyDescent="0.25">
      <c r="A6823" s="4">
        <v>44375</v>
      </c>
      <c r="B6823">
        <v>590</v>
      </c>
      <c r="C6823">
        <v>590</v>
      </c>
      <c r="D6823">
        <v>586</v>
      </c>
      <c r="E6823">
        <v>590</v>
      </c>
      <c r="F6823">
        <v>15402</v>
      </c>
    </row>
    <row r="6824" spans="1:6" x14ac:dyDescent="0.25">
      <c r="A6824" s="4">
        <v>44376</v>
      </c>
      <c r="B6824">
        <v>598</v>
      </c>
      <c r="C6824">
        <v>598</v>
      </c>
      <c r="D6824">
        <v>591</v>
      </c>
      <c r="E6824">
        <v>595</v>
      </c>
      <c r="F6824">
        <v>30838</v>
      </c>
    </row>
    <row r="6825" spans="1:6" x14ac:dyDescent="0.25">
      <c r="A6825" s="4">
        <v>44377</v>
      </c>
      <c r="B6825">
        <v>599</v>
      </c>
      <c r="C6825">
        <v>599</v>
      </c>
      <c r="D6825">
        <v>595</v>
      </c>
      <c r="E6825">
        <v>595</v>
      </c>
      <c r="F6825">
        <v>34021</v>
      </c>
    </row>
    <row r="6826" spans="1:6" x14ac:dyDescent="0.25">
      <c r="A6826" s="4">
        <v>44378</v>
      </c>
      <c r="B6826">
        <v>596</v>
      </c>
      <c r="C6826">
        <v>597</v>
      </c>
      <c r="D6826">
        <v>591</v>
      </c>
      <c r="E6826">
        <v>593</v>
      </c>
      <c r="F6826">
        <v>18720</v>
      </c>
    </row>
    <row r="6827" spans="1:6" x14ac:dyDescent="0.25">
      <c r="A6827" s="4">
        <v>44379</v>
      </c>
      <c r="B6827">
        <v>590</v>
      </c>
      <c r="C6827">
        <v>593</v>
      </c>
      <c r="D6827">
        <v>587</v>
      </c>
      <c r="E6827">
        <v>588</v>
      </c>
      <c r="F6827">
        <v>19634</v>
      </c>
    </row>
    <row r="6828" spans="1:6" x14ac:dyDescent="0.25">
      <c r="A6828" s="4">
        <v>44382</v>
      </c>
      <c r="B6828">
        <v>588</v>
      </c>
      <c r="C6828">
        <v>597</v>
      </c>
      <c r="D6828">
        <v>588</v>
      </c>
      <c r="E6828">
        <v>591</v>
      </c>
      <c r="F6828">
        <v>30274</v>
      </c>
    </row>
    <row r="6829" spans="1:6" x14ac:dyDescent="0.25">
      <c r="A6829" s="4">
        <v>44383</v>
      </c>
      <c r="B6829">
        <v>595</v>
      </c>
      <c r="C6829">
        <v>596</v>
      </c>
      <c r="D6829">
        <v>589</v>
      </c>
      <c r="E6829">
        <v>592</v>
      </c>
      <c r="F6829">
        <v>13831</v>
      </c>
    </row>
    <row r="6830" spans="1:6" x14ac:dyDescent="0.25">
      <c r="A6830" s="4">
        <v>44384</v>
      </c>
      <c r="B6830">
        <v>590</v>
      </c>
      <c r="C6830">
        <v>594</v>
      </c>
      <c r="D6830">
        <v>588</v>
      </c>
      <c r="E6830">
        <v>594</v>
      </c>
      <c r="F6830">
        <v>17329</v>
      </c>
    </row>
    <row r="6831" spans="1:6" x14ac:dyDescent="0.25">
      <c r="A6831" s="4">
        <v>44385</v>
      </c>
      <c r="B6831">
        <v>595</v>
      </c>
      <c r="C6831">
        <v>595</v>
      </c>
      <c r="D6831">
        <v>588</v>
      </c>
      <c r="E6831">
        <v>588</v>
      </c>
      <c r="F6831">
        <v>21596</v>
      </c>
    </row>
    <row r="6832" spans="1:6" x14ac:dyDescent="0.25">
      <c r="A6832" s="4">
        <v>44386</v>
      </c>
      <c r="B6832">
        <v>582</v>
      </c>
      <c r="C6832">
        <v>585</v>
      </c>
      <c r="D6832">
        <v>580</v>
      </c>
      <c r="E6832">
        <v>584</v>
      </c>
      <c r="F6832">
        <v>30602</v>
      </c>
    </row>
    <row r="6833" spans="1:6" x14ac:dyDescent="0.25">
      <c r="A6833" s="4">
        <v>44389</v>
      </c>
      <c r="B6833">
        <v>595</v>
      </c>
      <c r="C6833">
        <v>597</v>
      </c>
      <c r="D6833">
        <v>590</v>
      </c>
      <c r="E6833">
        <v>593</v>
      </c>
      <c r="F6833">
        <v>33012</v>
      </c>
    </row>
    <row r="6834" spans="1:6" x14ac:dyDescent="0.25">
      <c r="A6834" s="4">
        <v>44390</v>
      </c>
      <c r="B6834">
        <v>600</v>
      </c>
      <c r="C6834">
        <v>608</v>
      </c>
      <c r="D6834">
        <v>599</v>
      </c>
      <c r="E6834">
        <v>607</v>
      </c>
      <c r="F6834">
        <v>54894</v>
      </c>
    </row>
    <row r="6835" spans="1:6" x14ac:dyDescent="0.25">
      <c r="A6835" s="4">
        <v>44391</v>
      </c>
      <c r="B6835">
        <v>613</v>
      </c>
      <c r="C6835">
        <v>615</v>
      </c>
      <c r="D6835">
        <v>608</v>
      </c>
      <c r="E6835">
        <v>613</v>
      </c>
      <c r="F6835">
        <v>39670</v>
      </c>
    </row>
    <row r="6836" spans="1:6" x14ac:dyDescent="0.25">
      <c r="A6836" s="4">
        <v>44392</v>
      </c>
      <c r="B6836">
        <v>613</v>
      </c>
      <c r="C6836">
        <v>614</v>
      </c>
      <c r="D6836">
        <v>608</v>
      </c>
      <c r="E6836">
        <v>614</v>
      </c>
      <c r="F6836">
        <v>23058</v>
      </c>
    </row>
    <row r="6837" spans="1:6" x14ac:dyDescent="0.25">
      <c r="A6837" s="4">
        <v>44393</v>
      </c>
      <c r="B6837">
        <v>591</v>
      </c>
      <c r="C6837">
        <v>595</v>
      </c>
      <c r="D6837">
        <v>588</v>
      </c>
      <c r="E6837">
        <v>589</v>
      </c>
      <c r="F6837">
        <v>61882</v>
      </c>
    </row>
    <row r="6838" spans="1:6" x14ac:dyDescent="0.25">
      <c r="A6838" s="4">
        <v>44396</v>
      </c>
      <c r="B6838">
        <v>583</v>
      </c>
      <c r="C6838">
        <v>584</v>
      </c>
      <c r="D6838">
        <v>578</v>
      </c>
      <c r="E6838">
        <v>582</v>
      </c>
      <c r="F6838">
        <v>43249</v>
      </c>
    </row>
    <row r="6839" spans="1:6" x14ac:dyDescent="0.25">
      <c r="A6839" s="4">
        <v>44397</v>
      </c>
      <c r="B6839">
        <v>579</v>
      </c>
      <c r="C6839">
        <v>584</v>
      </c>
      <c r="D6839">
        <v>579</v>
      </c>
      <c r="E6839">
        <v>581</v>
      </c>
      <c r="F6839">
        <v>16353</v>
      </c>
    </row>
    <row r="6840" spans="1:6" x14ac:dyDescent="0.25">
      <c r="A6840" s="4">
        <v>44398</v>
      </c>
      <c r="B6840">
        <v>586</v>
      </c>
      <c r="C6840">
        <v>586</v>
      </c>
      <c r="D6840">
        <v>580</v>
      </c>
      <c r="E6840">
        <v>585</v>
      </c>
      <c r="F6840">
        <v>26476</v>
      </c>
    </row>
    <row r="6841" spans="1:6" x14ac:dyDescent="0.25">
      <c r="A6841" s="4">
        <v>44399</v>
      </c>
      <c r="B6841">
        <v>589</v>
      </c>
      <c r="C6841">
        <v>594</v>
      </c>
      <c r="D6841">
        <v>587</v>
      </c>
      <c r="E6841">
        <v>591</v>
      </c>
      <c r="F6841">
        <v>27076</v>
      </c>
    </row>
    <row r="6842" spans="1:6" x14ac:dyDescent="0.25">
      <c r="A6842" s="4">
        <v>44400</v>
      </c>
      <c r="B6842">
        <v>592</v>
      </c>
      <c r="C6842">
        <v>592</v>
      </c>
      <c r="D6842">
        <v>583</v>
      </c>
      <c r="E6842">
        <v>585</v>
      </c>
      <c r="F6842">
        <v>15705</v>
      </c>
    </row>
    <row r="6843" spans="1:6" x14ac:dyDescent="0.25">
      <c r="A6843" s="4">
        <v>44403</v>
      </c>
      <c r="B6843">
        <v>591</v>
      </c>
      <c r="C6843">
        <v>591</v>
      </c>
      <c r="D6843">
        <v>580</v>
      </c>
      <c r="E6843">
        <v>580</v>
      </c>
      <c r="F6843">
        <v>22443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007CA-E81B-4E84-A39C-AA6BC5797190}">
  <sheetPr codeName="工作表7"/>
  <dimension ref="A2:F425"/>
  <sheetViews>
    <sheetView workbookViewId="0">
      <selection activeCell="A420" sqref="A420"/>
    </sheetView>
  </sheetViews>
  <sheetFormatPr defaultRowHeight="16.5" x14ac:dyDescent="0.25"/>
  <cols>
    <col min="1" max="1" width="10.5" bestFit="1" customWidth="1"/>
    <col min="2" max="2" width="25.25" bestFit="1" customWidth="1"/>
    <col min="3" max="3" width="50.375" bestFit="1" customWidth="1"/>
    <col min="4" max="4" width="75" bestFit="1" customWidth="1"/>
  </cols>
  <sheetData>
    <row r="2" spans="1:6" x14ac:dyDescent="0.25">
      <c r="A2" t="s">
        <v>0</v>
      </c>
      <c r="B2" t="s">
        <v>8</v>
      </c>
      <c r="C2" t="s">
        <v>9</v>
      </c>
      <c r="D2" t="s">
        <v>10</v>
      </c>
      <c r="E2" t="s">
        <v>3885</v>
      </c>
    </row>
    <row r="3" spans="1:6" x14ac:dyDescent="0.25">
      <c r="A3">
        <f>總表!A2</f>
        <v>2330</v>
      </c>
      <c r="B3" t="str">
        <f>券商名單!B2</f>
        <v>http://newjust.masterlink.com.tw/</v>
      </c>
      <c r="C3" t="str">
        <f>"z/BCD/czkc1.djbcd?a="&amp;總表!A2&amp;"&amp;b=W&amp;c=2880&amp;E=1&amp;ver=5"</f>
        <v>z/BCD/czkc1.djbcd?a=2330&amp;b=W&amp;c=2880&amp;E=1&amp;ver=5</v>
      </c>
      <c r="D3" t="str">
        <f>B3&amp;C3</f>
        <v>http://newjust.masterlink.com.tw/z/BCD/czkc1.djbcd?a=2330&amp;b=W&amp;c=2880&amp;E=1&amp;ver=5</v>
      </c>
      <c r="E3">
        <f>COUNTA(A:A)-2</f>
        <v>420</v>
      </c>
    </row>
    <row r="6" spans="1:6" x14ac:dyDescent="0.25">
      <c r="A6" s="4">
        <v>41442</v>
      </c>
      <c r="B6">
        <v>105.5</v>
      </c>
      <c r="C6">
        <v>106.5</v>
      </c>
      <c r="D6">
        <v>101.5</v>
      </c>
      <c r="E6">
        <v>103.5</v>
      </c>
      <c r="F6">
        <v>146618</v>
      </c>
    </row>
    <row r="7" spans="1:6" x14ac:dyDescent="0.25">
      <c r="A7" s="4">
        <v>41449</v>
      </c>
      <c r="B7">
        <v>102.5</v>
      </c>
      <c r="C7">
        <v>111</v>
      </c>
      <c r="D7">
        <v>100</v>
      </c>
      <c r="E7">
        <v>111</v>
      </c>
      <c r="F7">
        <v>265352</v>
      </c>
    </row>
    <row r="8" spans="1:6" x14ac:dyDescent="0.25">
      <c r="A8" s="4">
        <v>41456</v>
      </c>
      <c r="B8">
        <v>109</v>
      </c>
      <c r="C8">
        <v>110</v>
      </c>
      <c r="D8">
        <v>105.5</v>
      </c>
      <c r="E8">
        <v>109</v>
      </c>
      <c r="F8">
        <v>194435</v>
      </c>
    </row>
    <row r="9" spans="1:6" x14ac:dyDescent="0.25">
      <c r="A9" s="4">
        <v>41463</v>
      </c>
      <c r="B9">
        <v>107</v>
      </c>
      <c r="C9">
        <v>110</v>
      </c>
      <c r="D9">
        <v>103.5</v>
      </c>
      <c r="E9">
        <v>110</v>
      </c>
      <c r="F9">
        <v>178329</v>
      </c>
    </row>
    <row r="10" spans="1:6" x14ac:dyDescent="0.25">
      <c r="A10" s="4">
        <v>41470</v>
      </c>
      <c r="B10">
        <v>108.5</v>
      </c>
      <c r="C10">
        <v>109.5</v>
      </c>
      <c r="D10">
        <v>98.2</v>
      </c>
      <c r="E10">
        <v>98.2</v>
      </c>
      <c r="F10">
        <v>286010</v>
      </c>
    </row>
    <row r="11" spans="1:6" x14ac:dyDescent="0.25">
      <c r="A11" s="4">
        <v>41477</v>
      </c>
      <c r="B11">
        <v>98</v>
      </c>
      <c r="C11">
        <v>103.5</v>
      </c>
      <c r="D11">
        <v>96.9</v>
      </c>
      <c r="E11">
        <v>102.5</v>
      </c>
      <c r="F11">
        <v>301376</v>
      </c>
    </row>
    <row r="12" spans="1:6" x14ac:dyDescent="0.25">
      <c r="A12" s="4">
        <v>41484</v>
      </c>
      <c r="B12">
        <v>100</v>
      </c>
      <c r="C12">
        <v>103</v>
      </c>
      <c r="D12">
        <v>100</v>
      </c>
      <c r="E12">
        <v>100.5</v>
      </c>
      <c r="F12">
        <v>169753</v>
      </c>
    </row>
    <row r="13" spans="1:6" x14ac:dyDescent="0.25">
      <c r="A13" s="4">
        <v>41491</v>
      </c>
      <c r="B13">
        <v>100</v>
      </c>
      <c r="C13">
        <v>101.5</v>
      </c>
      <c r="D13">
        <v>95.3</v>
      </c>
      <c r="E13">
        <v>96.4</v>
      </c>
      <c r="F13">
        <v>215195</v>
      </c>
    </row>
    <row r="14" spans="1:6" x14ac:dyDescent="0.25">
      <c r="A14" s="4">
        <v>41498</v>
      </c>
      <c r="B14">
        <v>96.4</v>
      </c>
      <c r="C14">
        <v>97.5</v>
      </c>
      <c r="D14">
        <v>95.2</v>
      </c>
      <c r="E14">
        <v>96.5</v>
      </c>
      <c r="F14">
        <v>192257</v>
      </c>
    </row>
    <row r="15" spans="1:6" x14ac:dyDescent="0.25">
      <c r="A15" s="4">
        <v>41505</v>
      </c>
      <c r="B15">
        <v>95.5</v>
      </c>
      <c r="C15">
        <v>97.3</v>
      </c>
      <c r="D15">
        <v>92.9</v>
      </c>
      <c r="E15">
        <v>97</v>
      </c>
      <c r="F15">
        <v>199298</v>
      </c>
    </row>
    <row r="16" spans="1:6" x14ac:dyDescent="0.25">
      <c r="A16" s="4">
        <v>41512</v>
      </c>
      <c r="B16">
        <v>97.6</v>
      </c>
      <c r="C16">
        <v>100.5</v>
      </c>
      <c r="D16">
        <v>95.1</v>
      </c>
      <c r="E16">
        <v>100.5</v>
      </c>
      <c r="F16">
        <v>170513</v>
      </c>
    </row>
    <row r="17" spans="1:6" x14ac:dyDescent="0.25">
      <c r="A17" s="4">
        <v>41519</v>
      </c>
      <c r="B17">
        <v>100</v>
      </c>
      <c r="C17">
        <v>103</v>
      </c>
      <c r="D17">
        <v>99.6</v>
      </c>
      <c r="E17">
        <v>102</v>
      </c>
      <c r="F17">
        <v>151160</v>
      </c>
    </row>
    <row r="18" spans="1:6" x14ac:dyDescent="0.25">
      <c r="A18" s="4">
        <v>41526</v>
      </c>
      <c r="B18">
        <v>102.5</v>
      </c>
      <c r="C18">
        <v>104.5</v>
      </c>
      <c r="D18">
        <v>101</v>
      </c>
      <c r="E18">
        <v>102.5</v>
      </c>
      <c r="F18">
        <v>173547</v>
      </c>
    </row>
    <row r="19" spans="1:6" x14ac:dyDescent="0.25">
      <c r="A19" s="4">
        <v>41533</v>
      </c>
      <c r="B19">
        <v>104</v>
      </c>
      <c r="C19">
        <v>105.5</v>
      </c>
      <c r="D19">
        <v>103</v>
      </c>
      <c r="E19">
        <v>103</v>
      </c>
      <c r="F19">
        <v>101148</v>
      </c>
    </row>
    <row r="20" spans="1:6" x14ac:dyDescent="0.25">
      <c r="A20" s="4">
        <v>41540</v>
      </c>
      <c r="B20">
        <v>103</v>
      </c>
      <c r="C20">
        <v>106</v>
      </c>
      <c r="D20">
        <v>101.5</v>
      </c>
      <c r="E20">
        <v>103</v>
      </c>
      <c r="F20">
        <v>170970</v>
      </c>
    </row>
    <row r="21" spans="1:6" x14ac:dyDescent="0.25">
      <c r="A21" s="4">
        <v>41547</v>
      </c>
      <c r="B21">
        <v>100.5</v>
      </c>
      <c r="C21">
        <v>106</v>
      </c>
      <c r="D21">
        <v>100</v>
      </c>
      <c r="E21">
        <v>104</v>
      </c>
      <c r="F21">
        <v>156687</v>
      </c>
    </row>
    <row r="22" spans="1:6" x14ac:dyDescent="0.25">
      <c r="A22" s="4">
        <v>41554</v>
      </c>
      <c r="B22">
        <v>103.5</v>
      </c>
      <c r="C22">
        <v>107.5</v>
      </c>
      <c r="D22">
        <v>102</v>
      </c>
      <c r="E22">
        <v>106.5</v>
      </c>
      <c r="F22">
        <v>145172</v>
      </c>
    </row>
    <row r="23" spans="1:6" x14ac:dyDescent="0.25">
      <c r="A23" s="4">
        <v>41561</v>
      </c>
      <c r="B23">
        <v>106.5</v>
      </c>
      <c r="C23">
        <v>110</v>
      </c>
      <c r="D23">
        <v>105</v>
      </c>
      <c r="E23">
        <v>110</v>
      </c>
      <c r="F23">
        <v>147872</v>
      </c>
    </row>
    <row r="24" spans="1:6" x14ac:dyDescent="0.25">
      <c r="A24" s="4">
        <v>41568</v>
      </c>
      <c r="B24">
        <v>111</v>
      </c>
      <c r="C24">
        <v>111.5</v>
      </c>
      <c r="D24">
        <v>106.5</v>
      </c>
      <c r="E24">
        <v>107</v>
      </c>
      <c r="F24">
        <v>163037</v>
      </c>
    </row>
    <row r="25" spans="1:6" x14ac:dyDescent="0.25">
      <c r="A25" s="4">
        <v>41575</v>
      </c>
      <c r="B25">
        <v>108</v>
      </c>
      <c r="C25">
        <v>110.5</v>
      </c>
      <c r="D25">
        <v>107.5</v>
      </c>
      <c r="E25">
        <v>109.5</v>
      </c>
      <c r="F25">
        <v>93511</v>
      </c>
    </row>
    <row r="26" spans="1:6" x14ac:dyDescent="0.25">
      <c r="A26" s="4">
        <v>41582</v>
      </c>
      <c r="B26">
        <v>108</v>
      </c>
      <c r="C26">
        <v>109</v>
      </c>
      <c r="D26">
        <v>105</v>
      </c>
      <c r="E26">
        <v>106</v>
      </c>
      <c r="F26">
        <v>96370</v>
      </c>
    </row>
    <row r="27" spans="1:6" x14ac:dyDescent="0.25">
      <c r="A27" s="4">
        <v>41589</v>
      </c>
      <c r="B27">
        <v>105</v>
      </c>
      <c r="C27">
        <v>106</v>
      </c>
      <c r="D27">
        <v>103</v>
      </c>
      <c r="E27">
        <v>104</v>
      </c>
      <c r="F27">
        <v>130032</v>
      </c>
    </row>
    <row r="28" spans="1:6" x14ac:dyDescent="0.25">
      <c r="A28" s="4">
        <v>41596</v>
      </c>
      <c r="B28">
        <v>104.5</v>
      </c>
      <c r="C28">
        <v>105.5</v>
      </c>
      <c r="D28">
        <v>100</v>
      </c>
      <c r="E28">
        <v>100</v>
      </c>
      <c r="F28">
        <v>220644</v>
      </c>
    </row>
    <row r="29" spans="1:6" x14ac:dyDescent="0.25">
      <c r="A29" s="4">
        <v>41603</v>
      </c>
      <c r="B29">
        <v>101</v>
      </c>
      <c r="C29">
        <v>105.5</v>
      </c>
      <c r="D29">
        <v>101</v>
      </c>
      <c r="E29">
        <v>105</v>
      </c>
      <c r="F29">
        <v>158459</v>
      </c>
    </row>
    <row r="30" spans="1:6" x14ac:dyDescent="0.25">
      <c r="A30" s="4">
        <v>41610</v>
      </c>
      <c r="B30">
        <v>105</v>
      </c>
      <c r="C30">
        <v>105.5</v>
      </c>
      <c r="D30">
        <v>103</v>
      </c>
      <c r="E30">
        <v>103</v>
      </c>
      <c r="F30">
        <v>120052</v>
      </c>
    </row>
    <row r="31" spans="1:6" x14ac:dyDescent="0.25">
      <c r="A31" s="4">
        <v>41617</v>
      </c>
      <c r="B31">
        <v>104</v>
      </c>
      <c r="C31">
        <v>105</v>
      </c>
      <c r="D31">
        <v>102.5</v>
      </c>
      <c r="E31">
        <v>102.5</v>
      </c>
      <c r="F31">
        <v>118355</v>
      </c>
    </row>
    <row r="32" spans="1:6" x14ac:dyDescent="0.25">
      <c r="A32" s="4">
        <v>41624</v>
      </c>
      <c r="B32">
        <v>102.5</v>
      </c>
      <c r="C32">
        <v>104.5</v>
      </c>
      <c r="D32">
        <v>101</v>
      </c>
      <c r="E32">
        <v>102</v>
      </c>
      <c r="F32">
        <v>176550</v>
      </c>
    </row>
    <row r="33" spans="1:6" x14ac:dyDescent="0.25">
      <c r="A33" s="4">
        <v>41631</v>
      </c>
      <c r="B33">
        <v>103</v>
      </c>
      <c r="C33">
        <v>104.5</v>
      </c>
      <c r="D33">
        <v>102.5</v>
      </c>
      <c r="E33">
        <v>104.5</v>
      </c>
      <c r="F33">
        <v>83191</v>
      </c>
    </row>
    <row r="34" spans="1:6" x14ac:dyDescent="0.25">
      <c r="A34" s="4">
        <v>41638</v>
      </c>
      <c r="B34">
        <v>104</v>
      </c>
      <c r="C34">
        <v>106</v>
      </c>
      <c r="D34">
        <v>102</v>
      </c>
      <c r="E34">
        <v>102.5</v>
      </c>
      <c r="F34">
        <v>125059</v>
      </c>
    </row>
    <row r="35" spans="1:6" x14ac:dyDescent="0.25">
      <c r="A35" s="4">
        <v>41645</v>
      </c>
      <c r="B35">
        <v>102</v>
      </c>
      <c r="C35">
        <v>104.5</v>
      </c>
      <c r="D35">
        <v>100.5</v>
      </c>
      <c r="E35">
        <v>102</v>
      </c>
      <c r="F35">
        <v>173979</v>
      </c>
    </row>
    <row r="36" spans="1:6" x14ac:dyDescent="0.25">
      <c r="A36" s="4">
        <v>41652</v>
      </c>
      <c r="B36">
        <v>103</v>
      </c>
      <c r="C36">
        <v>108.5</v>
      </c>
      <c r="D36">
        <v>102</v>
      </c>
      <c r="E36">
        <v>107.5</v>
      </c>
      <c r="F36">
        <v>203625</v>
      </c>
    </row>
    <row r="37" spans="1:6" x14ac:dyDescent="0.25">
      <c r="A37" s="4">
        <v>41659</v>
      </c>
      <c r="B37">
        <v>107</v>
      </c>
      <c r="C37">
        <v>108.5</v>
      </c>
      <c r="D37">
        <v>106</v>
      </c>
      <c r="E37">
        <v>108</v>
      </c>
      <c r="F37">
        <v>140515</v>
      </c>
    </row>
    <row r="38" spans="1:6" x14ac:dyDescent="0.25">
      <c r="A38" s="4">
        <v>41666</v>
      </c>
      <c r="B38">
        <v>106</v>
      </c>
      <c r="C38">
        <v>106.5</v>
      </c>
      <c r="D38">
        <v>104</v>
      </c>
      <c r="E38">
        <v>105</v>
      </c>
      <c r="F38">
        <v>65271</v>
      </c>
    </row>
    <row r="39" spans="1:6" x14ac:dyDescent="0.25">
      <c r="A39" s="4">
        <v>41675</v>
      </c>
      <c r="B39">
        <v>102</v>
      </c>
      <c r="C39">
        <v>104.5</v>
      </c>
      <c r="D39">
        <v>100.5</v>
      </c>
      <c r="E39">
        <v>104</v>
      </c>
      <c r="F39">
        <v>275224</v>
      </c>
    </row>
    <row r="40" spans="1:6" x14ac:dyDescent="0.25">
      <c r="A40" s="4">
        <v>41680</v>
      </c>
      <c r="B40">
        <v>104</v>
      </c>
      <c r="C40">
        <v>107.5</v>
      </c>
      <c r="D40">
        <v>103</v>
      </c>
      <c r="E40">
        <v>107.5</v>
      </c>
      <c r="F40">
        <v>137436</v>
      </c>
    </row>
    <row r="41" spans="1:6" x14ac:dyDescent="0.25">
      <c r="A41" s="4">
        <v>41687</v>
      </c>
      <c r="B41">
        <v>108</v>
      </c>
      <c r="C41">
        <v>108.5</v>
      </c>
      <c r="D41">
        <v>106</v>
      </c>
      <c r="E41">
        <v>107.5</v>
      </c>
      <c r="F41">
        <v>145520</v>
      </c>
    </row>
    <row r="42" spans="1:6" x14ac:dyDescent="0.25">
      <c r="A42" s="4">
        <v>41694</v>
      </c>
      <c r="B42">
        <v>107.5</v>
      </c>
      <c r="C42">
        <v>108</v>
      </c>
      <c r="D42">
        <v>106</v>
      </c>
      <c r="E42">
        <v>108</v>
      </c>
      <c r="F42">
        <v>150743</v>
      </c>
    </row>
    <row r="43" spans="1:6" x14ac:dyDescent="0.25">
      <c r="A43" s="4">
        <v>41701</v>
      </c>
      <c r="B43">
        <v>108</v>
      </c>
      <c r="C43">
        <v>115</v>
      </c>
      <c r="D43">
        <v>106.5</v>
      </c>
      <c r="E43">
        <v>114.5</v>
      </c>
      <c r="F43">
        <v>306394</v>
      </c>
    </row>
    <row r="44" spans="1:6" x14ac:dyDescent="0.25">
      <c r="A44" s="4">
        <v>41708</v>
      </c>
      <c r="B44">
        <v>114.5</v>
      </c>
      <c r="C44">
        <v>117.5</v>
      </c>
      <c r="D44">
        <v>112</v>
      </c>
      <c r="E44">
        <v>115</v>
      </c>
      <c r="F44">
        <v>192214</v>
      </c>
    </row>
    <row r="45" spans="1:6" x14ac:dyDescent="0.25">
      <c r="A45" s="4">
        <v>41715</v>
      </c>
      <c r="B45">
        <v>114.5</v>
      </c>
      <c r="C45">
        <v>115</v>
      </c>
      <c r="D45">
        <v>112</v>
      </c>
      <c r="E45">
        <v>112.5</v>
      </c>
      <c r="F45">
        <v>213615</v>
      </c>
    </row>
    <row r="46" spans="1:6" x14ac:dyDescent="0.25">
      <c r="A46" s="4">
        <v>41722</v>
      </c>
      <c r="B46">
        <v>111.5</v>
      </c>
      <c r="C46">
        <v>117.5</v>
      </c>
      <c r="D46">
        <v>111.5</v>
      </c>
      <c r="E46">
        <v>117.5</v>
      </c>
      <c r="F46">
        <v>188106</v>
      </c>
    </row>
    <row r="47" spans="1:6" x14ac:dyDescent="0.25">
      <c r="A47" s="4">
        <v>41729</v>
      </c>
      <c r="B47">
        <v>118</v>
      </c>
      <c r="C47">
        <v>121</v>
      </c>
      <c r="D47">
        <v>116.5</v>
      </c>
      <c r="E47">
        <v>118.5</v>
      </c>
      <c r="F47">
        <v>168468</v>
      </c>
    </row>
    <row r="48" spans="1:6" x14ac:dyDescent="0.25">
      <c r="A48" s="4">
        <v>41736</v>
      </c>
      <c r="B48">
        <v>117.5</v>
      </c>
      <c r="C48">
        <v>120</v>
      </c>
      <c r="D48">
        <v>116.5</v>
      </c>
      <c r="E48">
        <v>120</v>
      </c>
      <c r="F48">
        <v>180861</v>
      </c>
    </row>
    <row r="49" spans="1:6" x14ac:dyDescent="0.25">
      <c r="A49" s="4">
        <v>41743</v>
      </c>
      <c r="B49">
        <v>120</v>
      </c>
      <c r="C49">
        <v>123</v>
      </c>
      <c r="D49">
        <v>119</v>
      </c>
      <c r="E49">
        <v>123</v>
      </c>
      <c r="F49">
        <v>180866</v>
      </c>
    </row>
    <row r="50" spans="1:6" x14ac:dyDescent="0.25">
      <c r="A50" s="4">
        <v>41750</v>
      </c>
      <c r="B50">
        <v>122</v>
      </c>
      <c r="C50">
        <v>123</v>
      </c>
      <c r="D50">
        <v>118</v>
      </c>
      <c r="E50">
        <v>118.5</v>
      </c>
      <c r="F50">
        <v>160517</v>
      </c>
    </row>
    <row r="51" spans="1:6" x14ac:dyDescent="0.25">
      <c r="A51" s="4">
        <v>41757</v>
      </c>
      <c r="B51">
        <v>118.5</v>
      </c>
      <c r="C51">
        <v>121</v>
      </c>
      <c r="D51">
        <v>117</v>
      </c>
      <c r="E51">
        <v>118</v>
      </c>
      <c r="F51">
        <v>139034</v>
      </c>
    </row>
    <row r="52" spans="1:6" x14ac:dyDescent="0.25">
      <c r="A52" s="4">
        <v>41764</v>
      </c>
      <c r="B52">
        <v>117.5</v>
      </c>
      <c r="C52">
        <v>120</v>
      </c>
      <c r="D52">
        <v>116</v>
      </c>
      <c r="E52">
        <v>120</v>
      </c>
      <c r="F52">
        <v>143073</v>
      </c>
    </row>
    <row r="53" spans="1:6" x14ac:dyDescent="0.25">
      <c r="A53" s="4">
        <v>41771</v>
      </c>
      <c r="B53">
        <v>119.5</v>
      </c>
      <c r="C53">
        <v>123</v>
      </c>
      <c r="D53">
        <v>117.5</v>
      </c>
      <c r="E53">
        <v>122</v>
      </c>
      <c r="F53">
        <v>139491</v>
      </c>
    </row>
    <row r="54" spans="1:6" x14ac:dyDescent="0.25">
      <c r="A54" s="4">
        <v>41778</v>
      </c>
      <c r="B54">
        <v>122</v>
      </c>
      <c r="C54">
        <v>122.5</v>
      </c>
      <c r="D54">
        <v>120.5</v>
      </c>
      <c r="E54">
        <v>122</v>
      </c>
      <c r="F54">
        <v>128566</v>
      </c>
    </row>
    <row r="55" spans="1:6" x14ac:dyDescent="0.25">
      <c r="A55" s="4">
        <v>41785</v>
      </c>
      <c r="B55">
        <v>123</v>
      </c>
      <c r="C55">
        <v>124</v>
      </c>
      <c r="D55">
        <v>119.5</v>
      </c>
      <c r="E55">
        <v>119.5</v>
      </c>
      <c r="F55">
        <v>188148</v>
      </c>
    </row>
    <row r="56" spans="1:6" x14ac:dyDescent="0.25">
      <c r="A56" s="4">
        <v>41793</v>
      </c>
      <c r="B56">
        <v>120</v>
      </c>
      <c r="C56">
        <v>124</v>
      </c>
      <c r="D56">
        <v>120</v>
      </c>
      <c r="E56">
        <v>122.5</v>
      </c>
      <c r="F56">
        <v>112849</v>
      </c>
    </row>
    <row r="57" spans="1:6" x14ac:dyDescent="0.25">
      <c r="A57" s="4">
        <v>41799</v>
      </c>
      <c r="B57">
        <v>122.5</v>
      </c>
      <c r="C57">
        <v>125</v>
      </c>
      <c r="D57">
        <v>122.5</v>
      </c>
      <c r="E57">
        <v>123</v>
      </c>
      <c r="F57">
        <v>113881</v>
      </c>
    </row>
    <row r="58" spans="1:6" x14ac:dyDescent="0.25">
      <c r="A58" s="4">
        <v>41806</v>
      </c>
      <c r="B58">
        <v>122.5</v>
      </c>
      <c r="C58">
        <v>127</v>
      </c>
      <c r="D58">
        <v>122.5</v>
      </c>
      <c r="E58">
        <v>124.5</v>
      </c>
      <c r="F58">
        <v>129211</v>
      </c>
    </row>
    <row r="59" spans="1:6" x14ac:dyDescent="0.25">
      <c r="A59" s="4">
        <v>41813</v>
      </c>
      <c r="B59">
        <v>125</v>
      </c>
      <c r="C59">
        <v>126.5</v>
      </c>
      <c r="D59">
        <v>122</v>
      </c>
      <c r="E59">
        <v>125.5</v>
      </c>
      <c r="F59">
        <v>170800</v>
      </c>
    </row>
    <row r="60" spans="1:6" x14ac:dyDescent="0.25">
      <c r="A60" s="4">
        <v>41820</v>
      </c>
      <c r="B60">
        <v>126</v>
      </c>
      <c r="C60">
        <v>136</v>
      </c>
      <c r="D60">
        <v>125</v>
      </c>
      <c r="E60">
        <v>135</v>
      </c>
      <c r="F60">
        <v>208543</v>
      </c>
    </row>
    <row r="61" spans="1:6" x14ac:dyDescent="0.25">
      <c r="A61" s="4">
        <v>41827</v>
      </c>
      <c r="B61">
        <v>134.5</v>
      </c>
      <c r="C61">
        <v>138</v>
      </c>
      <c r="D61">
        <v>132.5</v>
      </c>
      <c r="E61">
        <v>136.5</v>
      </c>
      <c r="F61">
        <v>202490</v>
      </c>
    </row>
    <row r="62" spans="1:6" x14ac:dyDescent="0.25">
      <c r="A62" s="4">
        <v>41834</v>
      </c>
      <c r="B62">
        <v>134.5</v>
      </c>
      <c r="C62">
        <v>134.5</v>
      </c>
      <c r="D62">
        <v>121.5</v>
      </c>
      <c r="E62">
        <v>123.5</v>
      </c>
      <c r="F62">
        <v>362899</v>
      </c>
    </row>
    <row r="63" spans="1:6" x14ac:dyDescent="0.25">
      <c r="A63" s="4">
        <v>41841</v>
      </c>
      <c r="B63">
        <v>124</v>
      </c>
      <c r="C63">
        <v>125</v>
      </c>
      <c r="D63">
        <v>122.5</v>
      </c>
      <c r="E63">
        <v>123</v>
      </c>
      <c r="F63">
        <v>209952</v>
      </c>
    </row>
    <row r="64" spans="1:6" x14ac:dyDescent="0.25">
      <c r="A64" s="4">
        <v>41848</v>
      </c>
      <c r="B64">
        <v>122</v>
      </c>
      <c r="C64">
        <v>125</v>
      </c>
      <c r="D64">
        <v>119.5</v>
      </c>
      <c r="E64">
        <v>120</v>
      </c>
      <c r="F64">
        <v>223373</v>
      </c>
    </row>
    <row r="65" spans="1:6" x14ac:dyDescent="0.25">
      <c r="A65" s="4">
        <v>41855</v>
      </c>
      <c r="B65">
        <v>120</v>
      </c>
      <c r="C65">
        <v>123.5</v>
      </c>
      <c r="D65">
        <v>119</v>
      </c>
      <c r="E65">
        <v>120.5</v>
      </c>
      <c r="F65">
        <v>204560</v>
      </c>
    </row>
    <row r="66" spans="1:6" x14ac:dyDescent="0.25">
      <c r="A66" s="4">
        <v>41862</v>
      </c>
      <c r="B66">
        <v>120</v>
      </c>
      <c r="C66">
        <v>125</v>
      </c>
      <c r="D66">
        <v>119.5</v>
      </c>
      <c r="E66">
        <v>124</v>
      </c>
      <c r="F66">
        <v>167255</v>
      </c>
    </row>
    <row r="67" spans="1:6" x14ac:dyDescent="0.25">
      <c r="A67" s="4">
        <v>41869</v>
      </c>
      <c r="B67">
        <v>124</v>
      </c>
      <c r="C67">
        <v>126</v>
      </c>
      <c r="D67">
        <v>122.5</v>
      </c>
      <c r="E67">
        <v>125.5</v>
      </c>
      <c r="F67">
        <v>141530</v>
      </c>
    </row>
    <row r="68" spans="1:6" x14ac:dyDescent="0.25">
      <c r="A68" s="4">
        <v>41876</v>
      </c>
      <c r="B68">
        <v>125.5</v>
      </c>
      <c r="C68">
        <v>126</v>
      </c>
      <c r="D68">
        <v>124</v>
      </c>
      <c r="E68">
        <v>124</v>
      </c>
      <c r="F68">
        <v>138493</v>
      </c>
    </row>
    <row r="69" spans="1:6" x14ac:dyDescent="0.25">
      <c r="A69" s="4">
        <v>41883</v>
      </c>
      <c r="B69">
        <v>125</v>
      </c>
      <c r="C69">
        <v>128.5</v>
      </c>
      <c r="D69">
        <v>125</v>
      </c>
      <c r="E69">
        <v>127</v>
      </c>
      <c r="F69">
        <v>124462</v>
      </c>
    </row>
    <row r="70" spans="1:6" x14ac:dyDescent="0.25">
      <c r="A70" s="4">
        <v>41891</v>
      </c>
      <c r="B70">
        <v>127.5</v>
      </c>
      <c r="C70">
        <v>127.5</v>
      </c>
      <c r="D70">
        <v>123</v>
      </c>
      <c r="E70">
        <v>123</v>
      </c>
      <c r="F70">
        <v>98707</v>
      </c>
    </row>
    <row r="71" spans="1:6" x14ac:dyDescent="0.25">
      <c r="A71" s="4">
        <v>41897</v>
      </c>
      <c r="B71">
        <v>122.5</v>
      </c>
      <c r="C71">
        <v>126</v>
      </c>
      <c r="D71">
        <v>122</v>
      </c>
      <c r="E71">
        <v>125</v>
      </c>
      <c r="F71">
        <v>108484</v>
      </c>
    </row>
    <row r="72" spans="1:6" x14ac:dyDescent="0.25">
      <c r="A72" s="4">
        <v>41904</v>
      </c>
      <c r="B72">
        <v>124</v>
      </c>
      <c r="C72">
        <v>124</v>
      </c>
      <c r="D72">
        <v>120.5</v>
      </c>
      <c r="E72">
        <v>121</v>
      </c>
      <c r="F72">
        <v>134670</v>
      </c>
    </row>
    <row r="73" spans="1:6" x14ac:dyDescent="0.25">
      <c r="A73" s="4">
        <v>41911</v>
      </c>
      <c r="B73">
        <v>122</v>
      </c>
      <c r="C73">
        <v>125</v>
      </c>
      <c r="D73">
        <v>119</v>
      </c>
      <c r="E73">
        <v>124.5</v>
      </c>
      <c r="F73">
        <v>232519</v>
      </c>
    </row>
    <row r="74" spans="1:6" x14ac:dyDescent="0.25">
      <c r="A74" s="4">
        <v>41918</v>
      </c>
      <c r="B74">
        <v>125</v>
      </c>
      <c r="C74">
        <v>126</v>
      </c>
      <c r="D74">
        <v>122.5</v>
      </c>
      <c r="E74">
        <v>125</v>
      </c>
      <c r="F74">
        <v>147535</v>
      </c>
    </row>
    <row r="75" spans="1:6" x14ac:dyDescent="0.25">
      <c r="A75" s="4">
        <v>41925</v>
      </c>
      <c r="B75">
        <v>119</v>
      </c>
      <c r="C75">
        <v>125.5</v>
      </c>
      <c r="D75">
        <v>118</v>
      </c>
      <c r="E75">
        <v>123.5</v>
      </c>
      <c r="F75">
        <v>298878</v>
      </c>
    </row>
    <row r="76" spans="1:6" x14ac:dyDescent="0.25">
      <c r="A76" s="4">
        <v>41932</v>
      </c>
      <c r="B76">
        <v>125</v>
      </c>
      <c r="C76">
        <v>129</v>
      </c>
      <c r="D76">
        <v>124.5</v>
      </c>
      <c r="E76">
        <v>125.5</v>
      </c>
      <c r="F76">
        <v>200370</v>
      </c>
    </row>
    <row r="77" spans="1:6" x14ac:dyDescent="0.25">
      <c r="A77" s="4">
        <v>41939</v>
      </c>
      <c r="B77">
        <v>126.5</v>
      </c>
      <c r="C77">
        <v>130.5</v>
      </c>
      <c r="D77">
        <v>126.5</v>
      </c>
      <c r="E77">
        <v>130.5</v>
      </c>
      <c r="F77">
        <v>173162</v>
      </c>
    </row>
    <row r="78" spans="1:6" x14ac:dyDescent="0.25">
      <c r="A78" s="4">
        <v>41946</v>
      </c>
      <c r="B78">
        <v>132</v>
      </c>
      <c r="C78">
        <v>132.5</v>
      </c>
      <c r="D78">
        <v>130.5</v>
      </c>
      <c r="E78">
        <v>131</v>
      </c>
      <c r="F78">
        <v>146457</v>
      </c>
    </row>
    <row r="79" spans="1:6" x14ac:dyDescent="0.25">
      <c r="A79" s="4">
        <v>41953</v>
      </c>
      <c r="B79">
        <v>132.5</v>
      </c>
      <c r="C79">
        <v>135</v>
      </c>
      <c r="D79">
        <v>131.5</v>
      </c>
      <c r="E79">
        <v>135</v>
      </c>
      <c r="F79">
        <v>140511</v>
      </c>
    </row>
    <row r="80" spans="1:6" x14ac:dyDescent="0.25">
      <c r="A80" s="4">
        <v>41960</v>
      </c>
      <c r="B80">
        <v>135</v>
      </c>
      <c r="C80">
        <v>139.5</v>
      </c>
      <c r="D80">
        <v>131</v>
      </c>
      <c r="E80">
        <v>138.5</v>
      </c>
      <c r="F80">
        <v>214238</v>
      </c>
    </row>
    <row r="81" spans="1:6" x14ac:dyDescent="0.25">
      <c r="A81" s="4">
        <v>41967</v>
      </c>
      <c r="B81">
        <v>140</v>
      </c>
      <c r="C81">
        <v>142</v>
      </c>
      <c r="D81">
        <v>138</v>
      </c>
      <c r="E81">
        <v>141.5</v>
      </c>
      <c r="F81">
        <v>162209</v>
      </c>
    </row>
    <row r="82" spans="1:6" x14ac:dyDescent="0.25">
      <c r="A82" s="4">
        <v>41974</v>
      </c>
      <c r="B82">
        <v>139</v>
      </c>
      <c r="C82">
        <v>142</v>
      </c>
      <c r="D82">
        <v>136.5</v>
      </c>
      <c r="E82">
        <v>137.5</v>
      </c>
      <c r="F82">
        <v>202790</v>
      </c>
    </row>
    <row r="83" spans="1:6" x14ac:dyDescent="0.25">
      <c r="A83" s="4">
        <v>41981</v>
      </c>
      <c r="B83">
        <v>138</v>
      </c>
      <c r="C83">
        <v>139</v>
      </c>
      <c r="D83">
        <v>134.5</v>
      </c>
      <c r="E83">
        <v>135</v>
      </c>
      <c r="F83">
        <v>164800</v>
      </c>
    </row>
    <row r="84" spans="1:6" x14ac:dyDescent="0.25">
      <c r="A84" s="4">
        <v>41988</v>
      </c>
      <c r="B84">
        <v>134.5</v>
      </c>
      <c r="C84">
        <v>138</v>
      </c>
      <c r="D84">
        <v>130</v>
      </c>
      <c r="E84">
        <v>138</v>
      </c>
      <c r="F84">
        <v>267628</v>
      </c>
    </row>
    <row r="85" spans="1:6" x14ac:dyDescent="0.25">
      <c r="A85" s="4">
        <v>41995</v>
      </c>
      <c r="B85">
        <v>137.5</v>
      </c>
      <c r="C85">
        <v>140</v>
      </c>
      <c r="D85">
        <v>136</v>
      </c>
      <c r="E85">
        <v>138.5</v>
      </c>
      <c r="F85">
        <v>96274</v>
      </c>
    </row>
    <row r="86" spans="1:6" x14ac:dyDescent="0.25">
      <c r="A86" s="4">
        <v>42002</v>
      </c>
      <c r="B86">
        <v>138</v>
      </c>
      <c r="C86">
        <v>141.5</v>
      </c>
      <c r="D86">
        <v>138</v>
      </c>
      <c r="E86">
        <v>141</v>
      </c>
      <c r="F86">
        <v>77017</v>
      </c>
    </row>
    <row r="87" spans="1:6" x14ac:dyDescent="0.25">
      <c r="A87" s="4">
        <v>42009</v>
      </c>
      <c r="B87">
        <v>140.5</v>
      </c>
      <c r="C87">
        <v>140.5</v>
      </c>
      <c r="D87">
        <v>133</v>
      </c>
      <c r="E87">
        <v>134</v>
      </c>
      <c r="F87">
        <v>248222</v>
      </c>
    </row>
    <row r="88" spans="1:6" x14ac:dyDescent="0.25">
      <c r="A88" s="4">
        <v>42016</v>
      </c>
      <c r="B88">
        <v>132.5</v>
      </c>
      <c r="C88">
        <v>140</v>
      </c>
      <c r="D88">
        <v>130</v>
      </c>
      <c r="E88">
        <v>137</v>
      </c>
      <c r="F88">
        <v>287976</v>
      </c>
    </row>
    <row r="89" spans="1:6" x14ac:dyDescent="0.25">
      <c r="A89" s="4">
        <v>42023</v>
      </c>
      <c r="B89">
        <v>138.5</v>
      </c>
      <c r="C89">
        <v>145</v>
      </c>
      <c r="D89">
        <v>137.5</v>
      </c>
      <c r="E89">
        <v>145</v>
      </c>
      <c r="F89">
        <v>289278</v>
      </c>
    </row>
    <row r="90" spans="1:6" x14ac:dyDescent="0.25">
      <c r="A90" s="4">
        <v>42030</v>
      </c>
      <c r="B90">
        <v>145.5</v>
      </c>
      <c r="C90">
        <v>147</v>
      </c>
      <c r="D90">
        <v>141</v>
      </c>
      <c r="E90">
        <v>141</v>
      </c>
      <c r="F90">
        <v>229978</v>
      </c>
    </row>
    <row r="91" spans="1:6" x14ac:dyDescent="0.25">
      <c r="A91" s="4">
        <v>42037</v>
      </c>
      <c r="B91">
        <v>140.5</v>
      </c>
      <c r="C91">
        <v>146.5</v>
      </c>
      <c r="D91">
        <v>140.5</v>
      </c>
      <c r="E91">
        <v>143</v>
      </c>
      <c r="F91">
        <v>154766</v>
      </c>
    </row>
    <row r="92" spans="1:6" x14ac:dyDescent="0.25">
      <c r="A92" s="4">
        <v>42044</v>
      </c>
      <c r="B92">
        <v>143</v>
      </c>
      <c r="C92">
        <v>150</v>
      </c>
      <c r="D92">
        <v>141.5</v>
      </c>
      <c r="E92">
        <v>148.5</v>
      </c>
      <c r="F92">
        <v>205132</v>
      </c>
    </row>
    <row r="93" spans="1:6" x14ac:dyDescent="0.25">
      <c r="A93" s="4">
        <v>42059</v>
      </c>
      <c r="B93">
        <v>149</v>
      </c>
      <c r="C93">
        <v>154.5</v>
      </c>
      <c r="D93">
        <v>148.5</v>
      </c>
      <c r="E93">
        <v>150.5</v>
      </c>
      <c r="F93">
        <v>181177</v>
      </c>
    </row>
    <row r="94" spans="1:6" x14ac:dyDescent="0.25">
      <c r="A94" s="4">
        <v>42065</v>
      </c>
      <c r="B94">
        <v>151.5</v>
      </c>
      <c r="C94">
        <v>153</v>
      </c>
      <c r="D94">
        <v>148.5</v>
      </c>
      <c r="E94">
        <v>149</v>
      </c>
      <c r="F94">
        <v>166757</v>
      </c>
    </row>
    <row r="95" spans="1:6" x14ac:dyDescent="0.25">
      <c r="A95" s="4">
        <v>42072</v>
      </c>
      <c r="B95">
        <v>147.5</v>
      </c>
      <c r="C95">
        <v>149.5</v>
      </c>
      <c r="D95">
        <v>143</v>
      </c>
      <c r="E95">
        <v>149</v>
      </c>
      <c r="F95">
        <v>245006</v>
      </c>
    </row>
    <row r="96" spans="1:6" x14ac:dyDescent="0.25">
      <c r="A96" s="4">
        <v>42079</v>
      </c>
      <c r="B96">
        <v>149</v>
      </c>
      <c r="C96">
        <v>155</v>
      </c>
      <c r="D96">
        <v>146</v>
      </c>
      <c r="E96">
        <v>154</v>
      </c>
      <c r="F96">
        <v>246561</v>
      </c>
    </row>
    <row r="97" spans="1:6" x14ac:dyDescent="0.25">
      <c r="A97" s="4">
        <v>42086</v>
      </c>
      <c r="B97">
        <v>154</v>
      </c>
      <c r="C97">
        <v>154</v>
      </c>
      <c r="D97">
        <v>142.5</v>
      </c>
      <c r="E97">
        <v>142.5</v>
      </c>
      <c r="F97">
        <v>390473</v>
      </c>
    </row>
    <row r="98" spans="1:6" x14ac:dyDescent="0.25">
      <c r="A98" s="4">
        <v>42093</v>
      </c>
      <c r="B98">
        <v>142.5</v>
      </c>
      <c r="C98">
        <v>148</v>
      </c>
      <c r="D98">
        <v>142</v>
      </c>
      <c r="E98">
        <v>147</v>
      </c>
      <c r="F98">
        <v>213048</v>
      </c>
    </row>
    <row r="99" spans="1:6" x14ac:dyDescent="0.25">
      <c r="A99" s="4">
        <v>42101</v>
      </c>
      <c r="B99">
        <v>146.5</v>
      </c>
      <c r="C99">
        <v>147.5</v>
      </c>
      <c r="D99">
        <v>143</v>
      </c>
      <c r="E99">
        <v>147</v>
      </c>
      <c r="F99">
        <v>165528</v>
      </c>
    </row>
    <row r="100" spans="1:6" x14ac:dyDescent="0.25">
      <c r="A100" s="4">
        <v>42107</v>
      </c>
      <c r="B100">
        <v>146.5</v>
      </c>
      <c r="C100">
        <v>147.5</v>
      </c>
      <c r="D100">
        <v>141.5</v>
      </c>
      <c r="E100">
        <v>142.5</v>
      </c>
      <c r="F100">
        <v>274327</v>
      </c>
    </row>
    <row r="101" spans="1:6" x14ac:dyDescent="0.25">
      <c r="A101" s="4">
        <v>42114</v>
      </c>
      <c r="B101">
        <v>142</v>
      </c>
      <c r="C101">
        <v>152.5</v>
      </c>
      <c r="D101">
        <v>141.5</v>
      </c>
      <c r="E101">
        <v>152.5</v>
      </c>
      <c r="F101">
        <v>308428</v>
      </c>
    </row>
    <row r="102" spans="1:6" x14ac:dyDescent="0.25">
      <c r="A102" s="4">
        <v>42121</v>
      </c>
      <c r="B102">
        <v>153</v>
      </c>
      <c r="C102">
        <v>153.5</v>
      </c>
      <c r="D102">
        <v>146.5</v>
      </c>
      <c r="E102">
        <v>147</v>
      </c>
      <c r="F102">
        <v>187832</v>
      </c>
    </row>
    <row r="103" spans="1:6" x14ac:dyDescent="0.25">
      <c r="A103" s="4">
        <v>42128</v>
      </c>
      <c r="B103">
        <v>148.5</v>
      </c>
      <c r="C103">
        <v>148.5</v>
      </c>
      <c r="D103">
        <v>145.5</v>
      </c>
      <c r="E103">
        <v>146.5</v>
      </c>
      <c r="F103">
        <v>119426</v>
      </c>
    </row>
    <row r="104" spans="1:6" x14ac:dyDescent="0.25">
      <c r="A104" s="4">
        <v>42135</v>
      </c>
      <c r="B104">
        <v>149</v>
      </c>
      <c r="C104">
        <v>149</v>
      </c>
      <c r="D104">
        <v>145</v>
      </c>
      <c r="E104">
        <v>146.5</v>
      </c>
      <c r="F104">
        <v>129517</v>
      </c>
    </row>
    <row r="105" spans="1:6" x14ac:dyDescent="0.25">
      <c r="A105" s="4">
        <v>42142</v>
      </c>
      <c r="B105">
        <v>147</v>
      </c>
      <c r="C105">
        <v>147.5</v>
      </c>
      <c r="D105">
        <v>144.5</v>
      </c>
      <c r="E105">
        <v>145.5</v>
      </c>
      <c r="F105">
        <v>142909</v>
      </c>
    </row>
    <row r="106" spans="1:6" x14ac:dyDescent="0.25">
      <c r="A106" s="4">
        <v>42149</v>
      </c>
      <c r="B106">
        <v>146.5</v>
      </c>
      <c r="C106">
        <v>148.5</v>
      </c>
      <c r="D106">
        <v>145</v>
      </c>
      <c r="E106">
        <v>146</v>
      </c>
      <c r="F106">
        <v>155339</v>
      </c>
    </row>
    <row r="107" spans="1:6" x14ac:dyDescent="0.25">
      <c r="A107" s="4">
        <v>42156</v>
      </c>
      <c r="B107">
        <v>145.5</v>
      </c>
      <c r="C107">
        <v>146</v>
      </c>
      <c r="D107">
        <v>139</v>
      </c>
      <c r="E107">
        <v>140</v>
      </c>
      <c r="F107">
        <v>200415</v>
      </c>
    </row>
    <row r="108" spans="1:6" x14ac:dyDescent="0.25">
      <c r="A108" s="4">
        <v>42163</v>
      </c>
      <c r="B108">
        <v>139.5</v>
      </c>
      <c r="C108">
        <v>144.5</v>
      </c>
      <c r="D108">
        <v>138</v>
      </c>
      <c r="E108">
        <v>144.5</v>
      </c>
      <c r="F108">
        <v>196244</v>
      </c>
    </row>
    <row r="109" spans="1:6" x14ac:dyDescent="0.25">
      <c r="A109" s="4">
        <v>42170</v>
      </c>
      <c r="B109">
        <v>144.5</v>
      </c>
      <c r="C109">
        <v>144.5</v>
      </c>
      <c r="D109">
        <v>141</v>
      </c>
      <c r="E109">
        <v>142</v>
      </c>
      <c r="F109">
        <v>112775</v>
      </c>
    </row>
    <row r="110" spans="1:6" x14ac:dyDescent="0.25">
      <c r="A110" s="4">
        <v>42177</v>
      </c>
      <c r="B110">
        <v>142</v>
      </c>
      <c r="C110">
        <v>147.5</v>
      </c>
      <c r="D110">
        <v>142</v>
      </c>
      <c r="E110">
        <v>146</v>
      </c>
      <c r="F110">
        <v>168284</v>
      </c>
    </row>
    <row r="111" spans="1:6" x14ac:dyDescent="0.25">
      <c r="A111" s="4">
        <v>42184</v>
      </c>
      <c r="B111">
        <v>140.5</v>
      </c>
      <c r="C111">
        <v>142.5</v>
      </c>
      <c r="D111">
        <v>138.5</v>
      </c>
      <c r="E111">
        <v>142.5</v>
      </c>
      <c r="F111">
        <v>173203</v>
      </c>
    </row>
    <row r="112" spans="1:6" x14ac:dyDescent="0.25">
      <c r="A112" s="4">
        <v>42191</v>
      </c>
      <c r="B112">
        <v>141</v>
      </c>
      <c r="C112">
        <v>142</v>
      </c>
      <c r="D112">
        <v>134</v>
      </c>
      <c r="E112">
        <v>136.5</v>
      </c>
      <c r="F112">
        <v>153081</v>
      </c>
    </row>
    <row r="113" spans="1:6" x14ac:dyDescent="0.25">
      <c r="A113" s="4">
        <v>42198</v>
      </c>
      <c r="B113">
        <v>137</v>
      </c>
      <c r="C113">
        <v>140.5</v>
      </c>
      <c r="D113">
        <v>135.5</v>
      </c>
      <c r="E113">
        <v>140</v>
      </c>
      <c r="F113">
        <v>179563</v>
      </c>
    </row>
    <row r="114" spans="1:6" x14ac:dyDescent="0.25">
      <c r="A114" s="4">
        <v>42205</v>
      </c>
      <c r="B114">
        <v>141.5</v>
      </c>
      <c r="C114">
        <v>142</v>
      </c>
      <c r="D114">
        <v>136</v>
      </c>
      <c r="E114">
        <v>137</v>
      </c>
      <c r="F114">
        <v>154411</v>
      </c>
    </row>
    <row r="115" spans="1:6" x14ac:dyDescent="0.25">
      <c r="A115" s="4">
        <v>42212</v>
      </c>
      <c r="B115">
        <v>135</v>
      </c>
      <c r="C115">
        <v>140.5</v>
      </c>
      <c r="D115">
        <v>134</v>
      </c>
      <c r="E115">
        <v>139.5</v>
      </c>
      <c r="F115">
        <v>188924</v>
      </c>
    </row>
    <row r="116" spans="1:6" x14ac:dyDescent="0.25">
      <c r="A116" s="4">
        <v>42219</v>
      </c>
      <c r="B116">
        <v>138.5</v>
      </c>
      <c r="C116">
        <v>138.5</v>
      </c>
      <c r="D116">
        <v>131.5</v>
      </c>
      <c r="E116">
        <v>133</v>
      </c>
      <c r="F116">
        <v>160158</v>
      </c>
    </row>
    <row r="117" spans="1:6" x14ac:dyDescent="0.25">
      <c r="A117" s="4">
        <v>42226</v>
      </c>
      <c r="B117">
        <v>131</v>
      </c>
      <c r="C117">
        <v>133.5</v>
      </c>
      <c r="D117">
        <v>125</v>
      </c>
      <c r="E117">
        <v>126</v>
      </c>
      <c r="F117">
        <v>261473</v>
      </c>
    </row>
    <row r="118" spans="1:6" x14ac:dyDescent="0.25">
      <c r="A118" s="4">
        <v>42233</v>
      </c>
      <c r="B118">
        <v>125.5</v>
      </c>
      <c r="C118">
        <v>127.5</v>
      </c>
      <c r="D118">
        <v>121</v>
      </c>
      <c r="E118">
        <v>121</v>
      </c>
      <c r="F118">
        <v>234103</v>
      </c>
    </row>
    <row r="119" spans="1:6" x14ac:dyDescent="0.25">
      <c r="A119" s="4">
        <v>42240</v>
      </c>
      <c r="B119">
        <v>120</v>
      </c>
      <c r="C119">
        <v>127</v>
      </c>
      <c r="D119">
        <v>112.5</v>
      </c>
      <c r="E119">
        <v>125</v>
      </c>
      <c r="F119">
        <v>379690</v>
      </c>
    </row>
    <row r="120" spans="1:6" x14ac:dyDescent="0.25">
      <c r="A120" s="4">
        <v>42247</v>
      </c>
      <c r="B120">
        <v>126</v>
      </c>
      <c r="C120">
        <v>129</v>
      </c>
      <c r="D120">
        <v>123</v>
      </c>
      <c r="E120">
        <v>125</v>
      </c>
      <c r="F120">
        <v>183816</v>
      </c>
    </row>
    <row r="121" spans="1:6" x14ac:dyDescent="0.25">
      <c r="A121" s="4">
        <v>42254</v>
      </c>
      <c r="B121">
        <v>124.5</v>
      </c>
      <c r="C121">
        <v>129</v>
      </c>
      <c r="D121">
        <v>122</v>
      </c>
      <c r="E121">
        <v>127.5</v>
      </c>
      <c r="F121">
        <v>153814</v>
      </c>
    </row>
    <row r="122" spans="1:6" x14ac:dyDescent="0.25">
      <c r="A122" s="4">
        <v>42261</v>
      </c>
      <c r="B122">
        <v>128</v>
      </c>
      <c r="C122">
        <v>131.5</v>
      </c>
      <c r="D122">
        <v>125.5</v>
      </c>
      <c r="E122">
        <v>131.5</v>
      </c>
      <c r="F122">
        <v>177063</v>
      </c>
    </row>
    <row r="123" spans="1:6" x14ac:dyDescent="0.25">
      <c r="A123" s="4">
        <v>42268</v>
      </c>
      <c r="B123">
        <v>130</v>
      </c>
      <c r="C123">
        <v>130</v>
      </c>
      <c r="D123">
        <v>124.5</v>
      </c>
      <c r="E123">
        <v>127</v>
      </c>
      <c r="F123">
        <v>158571</v>
      </c>
    </row>
    <row r="124" spans="1:6" x14ac:dyDescent="0.25">
      <c r="A124" s="4">
        <v>42277</v>
      </c>
      <c r="B124">
        <v>128</v>
      </c>
      <c r="C124">
        <v>134</v>
      </c>
      <c r="D124">
        <v>127</v>
      </c>
      <c r="E124">
        <v>132</v>
      </c>
      <c r="F124">
        <v>155030</v>
      </c>
    </row>
    <row r="125" spans="1:6" x14ac:dyDescent="0.25">
      <c r="A125" s="4">
        <v>42282</v>
      </c>
      <c r="B125">
        <v>133</v>
      </c>
      <c r="C125">
        <v>137</v>
      </c>
      <c r="D125">
        <v>131.5</v>
      </c>
      <c r="E125">
        <v>136</v>
      </c>
      <c r="F125">
        <v>145417</v>
      </c>
    </row>
    <row r="126" spans="1:6" x14ac:dyDescent="0.25">
      <c r="A126" s="4">
        <v>42289</v>
      </c>
      <c r="B126">
        <v>137</v>
      </c>
      <c r="C126">
        <v>141</v>
      </c>
      <c r="D126">
        <v>136</v>
      </c>
      <c r="E126">
        <v>137.5</v>
      </c>
      <c r="F126">
        <v>264872</v>
      </c>
    </row>
    <row r="127" spans="1:6" x14ac:dyDescent="0.25">
      <c r="A127" s="4">
        <v>42296</v>
      </c>
      <c r="B127">
        <v>138.5</v>
      </c>
      <c r="C127">
        <v>140.5</v>
      </c>
      <c r="D127">
        <v>137</v>
      </c>
      <c r="E127">
        <v>140</v>
      </c>
      <c r="F127">
        <v>125811</v>
      </c>
    </row>
    <row r="128" spans="1:6" x14ac:dyDescent="0.25">
      <c r="A128" s="4">
        <v>42303</v>
      </c>
      <c r="B128">
        <v>140.5</v>
      </c>
      <c r="C128">
        <v>140.5</v>
      </c>
      <c r="D128">
        <v>136</v>
      </c>
      <c r="E128">
        <v>136.5</v>
      </c>
      <c r="F128">
        <v>122284</v>
      </c>
    </row>
    <row r="129" spans="1:6" x14ac:dyDescent="0.25">
      <c r="A129" s="4">
        <v>42310</v>
      </c>
      <c r="B129">
        <v>138.5</v>
      </c>
      <c r="C129">
        <v>144.5</v>
      </c>
      <c r="D129">
        <v>135.5</v>
      </c>
      <c r="E129">
        <v>140</v>
      </c>
      <c r="F129">
        <v>224634</v>
      </c>
    </row>
    <row r="130" spans="1:6" x14ac:dyDescent="0.25">
      <c r="A130" s="4">
        <v>42317</v>
      </c>
      <c r="B130">
        <v>141</v>
      </c>
      <c r="C130">
        <v>143</v>
      </c>
      <c r="D130">
        <v>136</v>
      </c>
      <c r="E130">
        <v>136</v>
      </c>
      <c r="F130">
        <v>117106</v>
      </c>
    </row>
    <row r="131" spans="1:6" x14ac:dyDescent="0.25">
      <c r="A131" s="4">
        <v>42324</v>
      </c>
      <c r="B131">
        <v>134</v>
      </c>
      <c r="C131">
        <v>141</v>
      </c>
      <c r="D131">
        <v>134</v>
      </c>
      <c r="E131">
        <v>141</v>
      </c>
      <c r="F131">
        <v>140186</v>
      </c>
    </row>
    <row r="132" spans="1:6" x14ac:dyDescent="0.25">
      <c r="A132" s="4">
        <v>42331</v>
      </c>
      <c r="B132">
        <v>141</v>
      </c>
      <c r="C132">
        <v>143</v>
      </c>
      <c r="D132">
        <v>138.5</v>
      </c>
      <c r="E132">
        <v>139</v>
      </c>
      <c r="F132">
        <v>138001</v>
      </c>
    </row>
    <row r="133" spans="1:6" x14ac:dyDescent="0.25">
      <c r="A133" s="4">
        <v>42338</v>
      </c>
      <c r="B133">
        <v>136.5</v>
      </c>
      <c r="C133">
        <v>144</v>
      </c>
      <c r="D133">
        <v>136</v>
      </c>
      <c r="E133">
        <v>140.5</v>
      </c>
      <c r="F133">
        <v>251035</v>
      </c>
    </row>
    <row r="134" spans="1:6" x14ac:dyDescent="0.25">
      <c r="A134" s="4">
        <v>42345</v>
      </c>
      <c r="B134">
        <v>142</v>
      </c>
      <c r="C134">
        <v>144.5</v>
      </c>
      <c r="D134">
        <v>139</v>
      </c>
      <c r="E134">
        <v>139.5</v>
      </c>
      <c r="F134">
        <v>179294</v>
      </c>
    </row>
    <row r="135" spans="1:6" x14ac:dyDescent="0.25">
      <c r="A135" s="4">
        <v>42352</v>
      </c>
      <c r="B135">
        <v>137.5</v>
      </c>
      <c r="C135">
        <v>145</v>
      </c>
      <c r="D135">
        <v>137.5</v>
      </c>
      <c r="E135">
        <v>142</v>
      </c>
      <c r="F135">
        <v>200635</v>
      </c>
    </row>
    <row r="136" spans="1:6" x14ac:dyDescent="0.25">
      <c r="A136" s="4">
        <v>42359</v>
      </c>
      <c r="B136">
        <v>141.5</v>
      </c>
      <c r="C136">
        <v>143.5</v>
      </c>
      <c r="D136">
        <v>140.5</v>
      </c>
      <c r="E136">
        <v>143</v>
      </c>
      <c r="F136">
        <v>81965</v>
      </c>
    </row>
    <row r="137" spans="1:6" x14ac:dyDescent="0.25">
      <c r="A137" s="4">
        <v>42366</v>
      </c>
      <c r="B137">
        <v>143.5</v>
      </c>
      <c r="C137">
        <v>144</v>
      </c>
      <c r="D137">
        <v>141</v>
      </c>
      <c r="E137">
        <v>143</v>
      </c>
      <c r="F137">
        <v>57191</v>
      </c>
    </row>
    <row r="138" spans="1:6" x14ac:dyDescent="0.25">
      <c r="A138" s="4">
        <v>42373</v>
      </c>
      <c r="B138">
        <v>142.5</v>
      </c>
      <c r="C138">
        <v>143.5</v>
      </c>
      <c r="D138">
        <v>130.5</v>
      </c>
      <c r="E138">
        <v>134</v>
      </c>
      <c r="F138">
        <v>260292</v>
      </c>
    </row>
    <row r="139" spans="1:6" x14ac:dyDescent="0.25">
      <c r="A139" s="4">
        <v>42380</v>
      </c>
      <c r="B139">
        <v>133</v>
      </c>
      <c r="C139">
        <v>138</v>
      </c>
      <c r="D139">
        <v>130.5</v>
      </c>
      <c r="E139">
        <v>137</v>
      </c>
      <c r="F139">
        <v>253054</v>
      </c>
    </row>
    <row r="140" spans="1:6" x14ac:dyDescent="0.25">
      <c r="A140" s="4">
        <v>42387</v>
      </c>
      <c r="B140">
        <v>135</v>
      </c>
      <c r="C140">
        <v>138.5</v>
      </c>
      <c r="D140">
        <v>133.5</v>
      </c>
      <c r="E140">
        <v>138.5</v>
      </c>
      <c r="F140">
        <v>172311</v>
      </c>
    </row>
    <row r="141" spans="1:6" x14ac:dyDescent="0.25">
      <c r="A141" s="4">
        <v>42394</v>
      </c>
      <c r="B141">
        <v>140</v>
      </c>
      <c r="C141">
        <v>143</v>
      </c>
      <c r="D141">
        <v>137</v>
      </c>
      <c r="E141">
        <v>142</v>
      </c>
      <c r="F141">
        <v>183200</v>
      </c>
    </row>
    <row r="142" spans="1:6" x14ac:dyDescent="0.25">
      <c r="A142" s="4">
        <v>42401</v>
      </c>
      <c r="B142">
        <v>144</v>
      </c>
      <c r="C142">
        <v>146</v>
      </c>
      <c r="D142">
        <v>141.5</v>
      </c>
      <c r="E142">
        <v>146</v>
      </c>
      <c r="F142">
        <v>140882</v>
      </c>
    </row>
    <row r="143" spans="1:6" x14ac:dyDescent="0.25">
      <c r="A143" s="4">
        <v>42415</v>
      </c>
      <c r="B143">
        <v>142</v>
      </c>
      <c r="C143">
        <v>151</v>
      </c>
      <c r="D143">
        <v>142</v>
      </c>
      <c r="E143">
        <v>151</v>
      </c>
      <c r="F143">
        <v>271235</v>
      </c>
    </row>
    <row r="144" spans="1:6" x14ac:dyDescent="0.25">
      <c r="A144" s="4">
        <v>42422</v>
      </c>
      <c r="B144">
        <v>149.5</v>
      </c>
      <c r="C144">
        <v>152.5</v>
      </c>
      <c r="D144">
        <v>147</v>
      </c>
      <c r="E144">
        <v>149</v>
      </c>
      <c r="F144">
        <v>145994</v>
      </c>
    </row>
    <row r="145" spans="1:6" x14ac:dyDescent="0.25">
      <c r="A145" s="4">
        <v>42430</v>
      </c>
      <c r="B145">
        <v>148.5</v>
      </c>
      <c r="C145">
        <v>154.5</v>
      </c>
      <c r="D145">
        <v>148.5</v>
      </c>
      <c r="E145">
        <v>152.5</v>
      </c>
      <c r="F145">
        <v>146809</v>
      </c>
    </row>
    <row r="146" spans="1:6" x14ac:dyDescent="0.25">
      <c r="A146" s="4">
        <v>42436</v>
      </c>
      <c r="B146">
        <v>152.5</v>
      </c>
      <c r="C146">
        <v>155</v>
      </c>
      <c r="D146">
        <v>149.5</v>
      </c>
      <c r="E146">
        <v>155</v>
      </c>
      <c r="F146">
        <v>151972</v>
      </c>
    </row>
    <row r="147" spans="1:6" x14ac:dyDescent="0.25">
      <c r="A147" s="4">
        <v>42443</v>
      </c>
      <c r="B147">
        <v>156.5</v>
      </c>
      <c r="C147">
        <v>160</v>
      </c>
      <c r="D147">
        <v>153</v>
      </c>
      <c r="E147">
        <v>159.5</v>
      </c>
      <c r="F147">
        <v>203648</v>
      </c>
    </row>
    <row r="148" spans="1:6" x14ac:dyDescent="0.25">
      <c r="A148" s="4">
        <v>42450</v>
      </c>
      <c r="B148">
        <v>160</v>
      </c>
      <c r="C148">
        <v>160</v>
      </c>
      <c r="D148">
        <v>157</v>
      </c>
      <c r="E148">
        <v>158</v>
      </c>
      <c r="F148">
        <v>122600</v>
      </c>
    </row>
    <row r="149" spans="1:6" x14ac:dyDescent="0.25">
      <c r="A149" s="4">
        <v>42457</v>
      </c>
      <c r="B149">
        <v>158</v>
      </c>
      <c r="C149">
        <v>163</v>
      </c>
      <c r="D149">
        <v>157</v>
      </c>
      <c r="E149">
        <v>158.5</v>
      </c>
      <c r="F149">
        <v>169762</v>
      </c>
    </row>
    <row r="150" spans="1:6" x14ac:dyDescent="0.25">
      <c r="A150" s="4">
        <v>42466</v>
      </c>
      <c r="B150">
        <v>155.5</v>
      </c>
      <c r="C150">
        <v>158</v>
      </c>
      <c r="D150">
        <v>152.5</v>
      </c>
      <c r="E150">
        <v>157.5</v>
      </c>
      <c r="F150">
        <v>141391</v>
      </c>
    </row>
    <row r="151" spans="1:6" x14ac:dyDescent="0.25">
      <c r="A151" s="4">
        <v>42471</v>
      </c>
      <c r="B151">
        <v>156</v>
      </c>
      <c r="C151">
        <v>162.5</v>
      </c>
      <c r="D151">
        <v>155.5</v>
      </c>
      <c r="E151">
        <v>159.5</v>
      </c>
      <c r="F151">
        <v>160116</v>
      </c>
    </row>
    <row r="152" spans="1:6" x14ac:dyDescent="0.25">
      <c r="A152" s="4">
        <v>42478</v>
      </c>
      <c r="B152">
        <v>158</v>
      </c>
      <c r="C152">
        <v>161</v>
      </c>
      <c r="D152">
        <v>154</v>
      </c>
      <c r="E152">
        <v>156.5</v>
      </c>
      <c r="F152">
        <v>151573</v>
      </c>
    </row>
    <row r="153" spans="1:6" x14ac:dyDescent="0.25">
      <c r="A153" s="4">
        <v>42485</v>
      </c>
      <c r="B153">
        <v>156.5</v>
      </c>
      <c r="C153">
        <v>158.5</v>
      </c>
      <c r="D153">
        <v>149</v>
      </c>
      <c r="E153">
        <v>150</v>
      </c>
      <c r="F153">
        <v>195418</v>
      </c>
    </row>
    <row r="154" spans="1:6" x14ac:dyDescent="0.25">
      <c r="A154" s="4">
        <v>42493</v>
      </c>
      <c r="B154">
        <v>148</v>
      </c>
      <c r="C154">
        <v>149</v>
      </c>
      <c r="D154">
        <v>146</v>
      </c>
      <c r="E154">
        <v>148</v>
      </c>
      <c r="F154">
        <v>204584</v>
      </c>
    </row>
    <row r="155" spans="1:6" x14ac:dyDescent="0.25">
      <c r="A155" s="4">
        <v>42499</v>
      </c>
      <c r="B155">
        <v>148.5</v>
      </c>
      <c r="C155">
        <v>149</v>
      </c>
      <c r="D155">
        <v>143</v>
      </c>
      <c r="E155">
        <v>144</v>
      </c>
      <c r="F155">
        <v>209327</v>
      </c>
    </row>
    <row r="156" spans="1:6" x14ac:dyDescent="0.25">
      <c r="A156" s="4">
        <v>42506</v>
      </c>
      <c r="B156">
        <v>143</v>
      </c>
      <c r="C156">
        <v>149.5</v>
      </c>
      <c r="D156">
        <v>143</v>
      </c>
      <c r="E156">
        <v>148.5</v>
      </c>
      <c r="F156">
        <v>169301</v>
      </c>
    </row>
    <row r="157" spans="1:6" x14ac:dyDescent="0.25">
      <c r="A157" s="4">
        <v>42513</v>
      </c>
      <c r="B157">
        <v>150.5</v>
      </c>
      <c r="C157">
        <v>156.5</v>
      </c>
      <c r="D157">
        <v>149.5</v>
      </c>
      <c r="E157">
        <v>156.5</v>
      </c>
      <c r="F157">
        <v>156702</v>
      </c>
    </row>
    <row r="158" spans="1:6" x14ac:dyDescent="0.25">
      <c r="A158" s="4">
        <v>42520</v>
      </c>
      <c r="B158">
        <v>157</v>
      </c>
      <c r="C158">
        <v>160.5</v>
      </c>
      <c r="D158">
        <v>155</v>
      </c>
      <c r="E158">
        <v>160</v>
      </c>
      <c r="F158">
        <v>192884</v>
      </c>
    </row>
    <row r="159" spans="1:6" x14ac:dyDescent="0.25">
      <c r="A159" s="4">
        <v>42527</v>
      </c>
      <c r="B159">
        <v>161</v>
      </c>
      <c r="C159">
        <v>166</v>
      </c>
      <c r="D159">
        <v>160</v>
      </c>
      <c r="E159">
        <v>165.5</v>
      </c>
      <c r="F159">
        <v>122061</v>
      </c>
    </row>
    <row r="160" spans="1:6" x14ac:dyDescent="0.25">
      <c r="A160" s="4">
        <v>42534</v>
      </c>
      <c r="B160">
        <v>161</v>
      </c>
      <c r="C160">
        <v>164.5</v>
      </c>
      <c r="D160">
        <v>159.5</v>
      </c>
      <c r="E160">
        <v>163</v>
      </c>
      <c r="F160">
        <v>180125</v>
      </c>
    </row>
    <row r="161" spans="1:6" x14ac:dyDescent="0.25">
      <c r="A161" s="4">
        <v>42541</v>
      </c>
      <c r="B161">
        <v>164.5</v>
      </c>
      <c r="C161">
        <v>166</v>
      </c>
      <c r="D161">
        <v>154.5</v>
      </c>
      <c r="E161">
        <v>159</v>
      </c>
      <c r="F161">
        <v>192988</v>
      </c>
    </row>
    <row r="162" spans="1:6" x14ac:dyDescent="0.25">
      <c r="A162" s="4">
        <v>42548</v>
      </c>
      <c r="B162">
        <v>154.5</v>
      </c>
      <c r="C162">
        <v>166</v>
      </c>
      <c r="D162">
        <v>154</v>
      </c>
      <c r="E162">
        <v>166</v>
      </c>
      <c r="F162">
        <v>194061</v>
      </c>
    </row>
    <row r="163" spans="1:6" x14ac:dyDescent="0.25">
      <c r="A163" s="4">
        <v>42555</v>
      </c>
      <c r="B163">
        <v>165.5</v>
      </c>
      <c r="C163">
        <v>166.5</v>
      </c>
      <c r="D163">
        <v>160.5</v>
      </c>
      <c r="E163">
        <v>164.5</v>
      </c>
      <c r="F163">
        <v>101934</v>
      </c>
    </row>
    <row r="164" spans="1:6" x14ac:dyDescent="0.25">
      <c r="A164" s="4">
        <v>42562</v>
      </c>
      <c r="B164">
        <v>170</v>
      </c>
      <c r="C164">
        <v>171.5</v>
      </c>
      <c r="D164">
        <v>166.5</v>
      </c>
      <c r="E164">
        <v>169.5</v>
      </c>
      <c r="F164">
        <v>225238</v>
      </c>
    </row>
    <row r="165" spans="1:6" x14ac:dyDescent="0.25">
      <c r="A165" s="4">
        <v>42569</v>
      </c>
      <c r="B165">
        <v>168</v>
      </c>
      <c r="C165">
        <v>172</v>
      </c>
      <c r="D165">
        <v>168</v>
      </c>
      <c r="E165">
        <v>171</v>
      </c>
      <c r="F165">
        <v>172583</v>
      </c>
    </row>
    <row r="166" spans="1:6" x14ac:dyDescent="0.25">
      <c r="A166" s="4">
        <v>42576</v>
      </c>
      <c r="B166">
        <v>172</v>
      </c>
      <c r="C166">
        <v>177</v>
      </c>
      <c r="D166">
        <v>169</v>
      </c>
      <c r="E166">
        <v>172.5</v>
      </c>
      <c r="F166">
        <v>157172</v>
      </c>
    </row>
    <row r="167" spans="1:6" x14ac:dyDescent="0.25">
      <c r="A167" s="4">
        <v>42583</v>
      </c>
      <c r="B167">
        <v>175</v>
      </c>
      <c r="C167">
        <v>177.5</v>
      </c>
      <c r="D167">
        <v>172</v>
      </c>
      <c r="E167">
        <v>177</v>
      </c>
      <c r="F167">
        <v>111818</v>
      </c>
    </row>
    <row r="168" spans="1:6" x14ac:dyDescent="0.25">
      <c r="A168" s="4">
        <v>42590</v>
      </c>
      <c r="B168">
        <v>178</v>
      </c>
      <c r="C168">
        <v>179.5</v>
      </c>
      <c r="D168">
        <v>175.5</v>
      </c>
      <c r="E168">
        <v>177.5</v>
      </c>
      <c r="F168">
        <v>104196</v>
      </c>
    </row>
    <row r="169" spans="1:6" x14ac:dyDescent="0.25">
      <c r="A169" s="4">
        <v>42597</v>
      </c>
      <c r="B169">
        <v>178.5</v>
      </c>
      <c r="C169">
        <v>179</v>
      </c>
      <c r="D169">
        <v>174</v>
      </c>
      <c r="E169">
        <v>174.5</v>
      </c>
      <c r="F169">
        <v>123511</v>
      </c>
    </row>
    <row r="170" spans="1:6" x14ac:dyDescent="0.25">
      <c r="A170" s="4">
        <v>42604</v>
      </c>
      <c r="B170">
        <v>173</v>
      </c>
      <c r="C170">
        <v>177</v>
      </c>
      <c r="D170">
        <v>171.5</v>
      </c>
      <c r="E170">
        <v>177</v>
      </c>
      <c r="F170">
        <v>95601</v>
      </c>
    </row>
    <row r="171" spans="1:6" x14ac:dyDescent="0.25">
      <c r="A171" s="4">
        <v>42611</v>
      </c>
      <c r="B171">
        <v>175</v>
      </c>
      <c r="C171">
        <v>177</v>
      </c>
      <c r="D171">
        <v>173</v>
      </c>
      <c r="E171">
        <v>174.5</v>
      </c>
      <c r="F171">
        <v>124771</v>
      </c>
    </row>
    <row r="172" spans="1:6" x14ac:dyDescent="0.25">
      <c r="A172" s="4">
        <v>42618</v>
      </c>
      <c r="B172">
        <v>176.5</v>
      </c>
      <c r="C172">
        <v>185</v>
      </c>
      <c r="D172">
        <v>176</v>
      </c>
      <c r="E172">
        <v>178</v>
      </c>
      <c r="F172">
        <v>184895</v>
      </c>
    </row>
    <row r="173" spans="1:6" x14ac:dyDescent="0.25">
      <c r="A173" s="4">
        <v>42625</v>
      </c>
      <c r="B173">
        <v>177.5</v>
      </c>
      <c r="C173">
        <v>177.5</v>
      </c>
      <c r="D173">
        <v>173.5</v>
      </c>
      <c r="E173">
        <v>173.5</v>
      </c>
      <c r="F173">
        <v>134157</v>
      </c>
    </row>
    <row r="174" spans="1:6" x14ac:dyDescent="0.25">
      <c r="A174" s="4">
        <v>42632</v>
      </c>
      <c r="B174">
        <v>179.5</v>
      </c>
      <c r="C174">
        <v>187.5</v>
      </c>
      <c r="D174">
        <v>178.5</v>
      </c>
      <c r="E174">
        <v>187.5</v>
      </c>
      <c r="F174">
        <v>151561</v>
      </c>
    </row>
    <row r="175" spans="1:6" x14ac:dyDescent="0.25">
      <c r="A175" s="4">
        <v>42639</v>
      </c>
      <c r="B175">
        <v>183.5</v>
      </c>
      <c r="C175">
        <v>187.5</v>
      </c>
      <c r="D175">
        <v>182.5</v>
      </c>
      <c r="E175">
        <v>182.5</v>
      </c>
      <c r="F175">
        <v>128161</v>
      </c>
    </row>
    <row r="176" spans="1:6" x14ac:dyDescent="0.25">
      <c r="A176" s="4">
        <v>42646</v>
      </c>
      <c r="B176">
        <v>186</v>
      </c>
      <c r="C176">
        <v>188</v>
      </c>
      <c r="D176">
        <v>184.5</v>
      </c>
      <c r="E176">
        <v>188</v>
      </c>
      <c r="F176">
        <v>86858</v>
      </c>
    </row>
    <row r="177" spans="1:6" x14ac:dyDescent="0.25">
      <c r="A177" s="4">
        <v>42654</v>
      </c>
      <c r="B177">
        <v>191</v>
      </c>
      <c r="C177">
        <v>191</v>
      </c>
      <c r="D177">
        <v>186</v>
      </c>
      <c r="E177">
        <v>188</v>
      </c>
      <c r="F177">
        <v>130768</v>
      </c>
    </row>
    <row r="178" spans="1:6" x14ac:dyDescent="0.25">
      <c r="A178" s="4">
        <v>42660</v>
      </c>
      <c r="B178">
        <v>186.5</v>
      </c>
      <c r="C178">
        <v>192</v>
      </c>
      <c r="D178">
        <v>185</v>
      </c>
      <c r="E178">
        <v>188.5</v>
      </c>
      <c r="F178">
        <v>154727</v>
      </c>
    </row>
    <row r="179" spans="1:6" x14ac:dyDescent="0.25">
      <c r="A179" s="4">
        <v>42667</v>
      </c>
      <c r="B179">
        <v>191</v>
      </c>
      <c r="C179">
        <v>193</v>
      </c>
      <c r="D179">
        <v>188.5</v>
      </c>
      <c r="E179">
        <v>189.5</v>
      </c>
      <c r="F179">
        <v>118402</v>
      </c>
    </row>
    <row r="180" spans="1:6" x14ac:dyDescent="0.25">
      <c r="A180" s="4">
        <v>42674</v>
      </c>
      <c r="B180">
        <v>189</v>
      </c>
      <c r="C180">
        <v>190.5</v>
      </c>
      <c r="D180">
        <v>184</v>
      </c>
      <c r="E180">
        <v>184.5</v>
      </c>
      <c r="F180">
        <v>98128</v>
      </c>
    </row>
    <row r="181" spans="1:6" x14ac:dyDescent="0.25">
      <c r="A181" s="4">
        <v>42681</v>
      </c>
      <c r="B181">
        <v>186.5</v>
      </c>
      <c r="C181">
        <v>190.5</v>
      </c>
      <c r="D181">
        <v>181</v>
      </c>
      <c r="E181">
        <v>181.5</v>
      </c>
      <c r="F181">
        <v>199469</v>
      </c>
    </row>
    <row r="182" spans="1:6" x14ac:dyDescent="0.25">
      <c r="A182" s="4">
        <v>42688</v>
      </c>
      <c r="B182">
        <v>181</v>
      </c>
      <c r="C182">
        <v>183</v>
      </c>
      <c r="D182">
        <v>179</v>
      </c>
      <c r="E182">
        <v>181</v>
      </c>
      <c r="F182">
        <v>163842</v>
      </c>
    </row>
    <row r="183" spans="1:6" x14ac:dyDescent="0.25">
      <c r="A183" s="4">
        <v>42695</v>
      </c>
      <c r="B183">
        <v>180.5</v>
      </c>
      <c r="C183">
        <v>186.5</v>
      </c>
      <c r="D183">
        <v>180</v>
      </c>
      <c r="E183">
        <v>182</v>
      </c>
      <c r="F183">
        <v>99365</v>
      </c>
    </row>
    <row r="184" spans="1:6" x14ac:dyDescent="0.25">
      <c r="A184" s="4">
        <v>42702</v>
      </c>
      <c r="B184">
        <v>181.5</v>
      </c>
      <c r="C184">
        <v>185</v>
      </c>
      <c r="D184">
        <v>178</v>
      </c>
      <c r="E184">
        <v>178</v>
      </c>
      <c r="F184">
        <v>171178</v>
      </c>
    </row>
    <row r="185" spans="1:6" x14ac:dyDescent="0.25">
      <c r="A185" s="4">
        <v>42709</v>
      </c>
      <c r="B185">
        <v>178</v>
      </c>
      <c r="C185">
        <v>186</v>
      </c>
      <c r="D185">
        <v>178</v>
      </c>
      <c r="E185">
        <v>186</v>
      </c>
      <c r="F185">
        <v>126675</v>
      </c>
    </row>
    <row r="186" spans="1:6" x14ac:dyDescent="0.25">
      <c r="A186" s="4">
        <v>42716</v>
      </c>
      <c r="B186">
        <v>186</v>
      </c>
      <c r="C186">
        <v>187.5</v>
      </c>
      <c r="D186">
        <v>184</v>
      </c>
      <c r="E186">
        <v>185</v>
      </c>
      <c r="F186">
        <v>119791</v>
      </c>
    </row>
    <row r="187" spans="1:6" x14ac:dyDescent="0.25">
      <c r="A187" s="4">
        <v>42723</v>
      </c>
      <c r="B187">
        <v>184</v>
      </c>
      <c r="C187">
        <v>184.5</v>
      </c>
      <c r="D187">
        <v>178.5</v>
      </c>
      <c r="E187">
        <v>178.5</v>
      </c>
      <c r="F187">
        <v>127917</v>
      </c>
    </row>
    <row r="188" spans="1:6" x14ac:dyDescent="0.25">
      <c r="A188" s="4">
        <v>42730</v>
      </c>
      <c r="B188">
        <v>179</v>
      </c>
      <c r="C188">
        <v>182.5</v>
      </c>
      <c r="D188">
        <v>179</v>
      </c>
      <c r="E188">
        <v>181.5</v>
      </c>
      <c r="F188">
        <v>102372</v>
      </c>
    </row>
    <row r="189" spans="1:6" x14ac:dyDescent="0.25">
      <c r="A189" s="4">
        <v>42738</v>
      </c>
      <c r="B189">
        <v>181.5</v>
      </c>
      <c r="C189">
        <v>184.5</v>
      </c>
      <c r="D189">
        <v>181</v>
      </c>
      <c r="E189">
        <v>184</v>
      </c>
      <c r="F189">
        <v>92528</v>
      </c>
    </row>
    <row r="190" spans="1:6" x14ac:dyDescent="0.25">
      <c r="A190" s="4">
        <v>42744</v>
      </c>
      <c r="B190">
        <v>184</v>
      </c>
      <c r="C190">
        <v>185.5</v>
      </c>
      <c r="D190">
        <v>180.5</v>
      </c>
      <c r="E190">
        <v>181.5</v>
      </c>
      <c r="F190">
        <v>170711</v>
      </c>
    </row>
    <row r="191" spans="1:6" x14ac:dyDescent="0.25">
      <c r="A191" s="4">
        <v>42751</v>
      </c>
      <c r="B191">
        <v>180</v>
      </c>
      <c r="C191">
        <v>181.5</v>
      </c>
      <c r="D191">
        <v>179</v>
      </c>
      <c r="E191">
        <v>181</v>
      </c>
      <c r="F191">
        <v>136149</v>
      </c>
    </row>
    <row r="192" spans="1:6" x14ac:dyDescent="0.25">
      <c r="A192" s="4">
        <v>42758</v>
      </c>
      <c r="B192">
        <v>182.5</v>
      </c>
      <c r="C192">
        <v>186.5</v>
      </c>
      <c r="D192">
        <v>182.5</v>
      </c>
      <c r="E192">
        <v>185.5</v>
      </c>
      <c r="F192">
        <v>130313</v>
      </c>
    </row>
    <row r="193" spans="1:6" x14ac:dyDescent="0.25">
      <c r="A193" s="4">
        <v>42768</v>
      </c>
      <c r="B193">
        <v>188</v>
      </c>
      <c r="C193">
        <v>188.5</v>
      </c>
      <c r="D193">
        <v>183.5</v>
      </c>
      <c r="E193">
        <v>184.5</v>
      </c>
      <c r="F193">
        <v>184091</v>
      </c>
    </row>
    <row r="194" spans="1:6" x14ac:dyDescent="0.25">
      <c r="A194" s="4">
        <v>42772</v>
      </c>
      <c r="B194">
        <v>184.5</v>
      </c>
      <c r="C194">
        <v>185.5</v>
      </c>
      <c r="D194">
        <v>183</v>
      </c>
      <c r="E194">
        <v>185.5</v>
      </c>
      <c r="F194">
        <v>171969</v>
      </c>
    </row>
    <row r="195" spans="1:6" x14ac:dyDescent="0.25">
      <c r="A195" s="4">
        <v>42779</v>
      </c>
      <c r="B195">
        <v>186.5</v>
      </c>
      <c r="C195">
        <v>190.5</v>
      </c>
      <c r="D195">
        <v>186.5</v>
      </c>
      <c r="E195">
        <v>189.5</v>
      </c>
      <c r="F195">
        <v>165097</v>
      </c>
    </row>
    <row r="196" spans="1:6" x14ac:dyDescent="0.25">
      <c r="A196" s="4">
        <v>42786</v>
      </c>
      <c r="B196">
        <v>190</v>
      </c>
      <c r="C196">
        <v>191</v>
      </c>
      <c r="D196">
        <v>187</v>
      </c>
      <c r="E196">
        <v>189</v>
      </c>
      <c r="F196">
        <v>133685</v>
      </c>
    </row>
    <row r="197" spans="1:6" x14ac:dyDescent="0.25">
      <c r="A197" s="4">
        <v>42795</v>
      </c>
      <c r="B197">
        <v>188.5</v>
      </c>
      <c r="C197">
        <v>188.5</v>
      </c>
      <c r="D197">
        <v>184</v>
      </c>
      <c r="E197">
        <v>184</v>
      </c>
      <c r="F197">
        <v>117357</v>
      </c>
    </row>
    <row r="198" spans="1:6" x14ac:dyDescent="0.25">
      <c r="A198" s="4">
        <v>42800</v>
      </c>
      <c r="B198">
        <v>184</v>
      </c>
      <c r="C198">
        <v>188</v>
      </c>
      <c r="D198">
        <v>183</v>
      </c>
      <c r="E198">
        <v>183.5</v>
      </c>
      <c r="F198">
        <v>130113</v>
      </c>
    </row>
    <row r="199" spans="1:6" x14ac:dyDescent="0.25">
      <c r="A199" s="4">
        <v>42807</v>
      </c>
      <c r="B199">
        <v>185</v>
      </c>
      <c r="C199">
        <v>191.5</v>
      </c>
      <c r="D199">
        <v>185</v>
      </c>
      <c r="E199">
        <v>191.5</v>
      </c>
      <c r="F199">
        <v>120697</v>
      </c>
    </row>
    <row r="200" spans="1:6" x14ac:dyDescent="0.25">
      <c r="A200" s="4">
        <v>42814</v>
      </c>
      <c r="B200">
        <v>191.5</v>
      </c>
      <c r="C200">
        <v>195</v>
      </c>
      <c r="D200">
        <v>189.5</v>
      </c>
      <c r="E200">
        <v>192.5</v>
      </c>
      <c r="F200">
        <v>114514</v>
      </c>
    </row>
    <row r="201" spans="1:6" x14ac:dyDescent="0.25">
      <c r="A201" s="4">
        <v>42821</v>
      </c>
      <c r="B201">
        <v>194.5</v>
      </c>
      <c r="C201">
        <v>195</v>
      </c>
      <c r="D201">
        <v>189</v>
      </c>
      <c r="E201">
        <v>189</v>
      </c>
      <c r="F201">
        <v>167944</v>
      </c>
    </row>
    <row r="202" spans="1:6" x14ac:dyDescent="0.25">
      <c r="A202" s="4">
        <v>42830</v>
      </c>
      <c r="B202">
        <v>189.5</v>
      </c>
      <c r="C202">
        <v>193</v>
      </c>
      <c r="D202">
        <v>188.5</v>
      </c>
      <c r="E202">
        <v>191</v>
      </c>
      <c r="F202">
        <v>81600</v>
      </c>
    </row>
    <row r="203" spans="1:6" x14ac:dyDescent="0.25">
      <c r="A203" s="4">
        <v>42835</v>
      </c>
      <c r="B203">
        <v>191</v>
      </c>
      <c r="C203">
        <v>192</v>
      </c>
      <c r="D203">
        <v>188</v>
      </c>
      <c r="E203">
        <v>189</v>
      </c>
      <c r="F203">
        <v>90710</v>
      </c>
    </row>
    <row r="204" spans="1:6" x14ac:dyDescent="0.25">
      <c r="A204" s="4">
        <v>42842</v>
      </c>
      <c r="B204">
        <v>189</v>
      </c>
      <c r="C204">
        <v>190</v>
      </c>
      <c r="D204">
        <v>186.5</v>
      </c>
      <c r="E204">
        <v>190</v>
      </c>
      <c r="F204">
        <v>128747</v>
      </c>
    </row>
    <row r="205" spans="1:6" x14ac:dyDescent="0.25">
      <c r="A205" s="4">
        <v>42849</v>
      </c>
      <c r="B205">
        <v>191</v>
      </c>
      <c r="C205">
        <v>194.5</v>
      </c>
      <c r="D205">
        <v>188.5</v>
      </c>
      <c r="E205">
        <v>194.5</v>
      </c>
      <c r="F205">
        <v>166839</v>
      </c>
    </row>
    <row r="206" spans="1:6" x14ac:dyDescent="0.25">
      <c r="A206" s="4">
        <v>42857</v>
      </c>
      <c r="B206">
        <v>198.5</v>
      </c>
      <c r="C206">
        <v>199</v>
      </c>
      <c r="D206">
        <v>195.5</v>
      </c>
      <c r="E206">
        <v>197.5</v>
      </c>
      <c r="F206">
        <v>112905</v>
      </c>
    </row>
    <row r="207" spans="1:6" x14ac:dyDescent="0.25">
      <c r="A207" s="4">
        <v>42863</v>
      </c>
      <c r="B207">
        <v>199</v>
      </c>
      <c r="C207">
        <v>208.5</v>
      </c>
      <c r="D207">
        <v>199</v>
      </c>
      <c r="E207">
        <v>206</v>
      </c>
      <c r="F207">
        <v>188745</v>
      </c>
    </row>
    <row r="208" spans="1:6" x14ac:dyDescent="0.25">
      <c r="A208" s="4">
        <v>42870</v>
      </c>
      <c r="B208">
        <v>204</v>
      </c>
      <c r="C208">
        <v>206</v>
      </c>
      <c r="D208">
        <v>201.5</v>
      </c>
      <c r="E208">
        <v>203</v>
      </c>
      <c r="F208">
        <v>124787</v>
      </c>
    </row>
    <row r="209" spans="1:6" x14ac:dyDescent="0.25">
      <c r="A209" s="4">
        <v>42877</v>
      </c>
      <c r="B209">
        <v>203.5</v>
      </c>
      <c r="C209">
        <v>207</v>
      </c>
      <c r="D209">
        <v>203</v>
      </c>
      <c r="E209">
        <v>207</v>
      </c>
      <c r="F209">
        <v>117821</v>
      </c>
    </row>
    <row r="210" spans="1:6" x14ac:dyDescent="0.25">
      <c r="A210" s="4">
        <v>42886</v>
      </c>
      <c r="B210">
        <v>206.5</v>
      </c>
      <c r="C210">
        <v>209</v>
      </c>
      <c r="D210">
        <v>203</v>
      </c>
      <c r="E210">
        <v>209</v>
      </c>
      <c r="F210">
        <v>122359</v>
      </c>
    </row>
    <row r="211" spans="1:6" x14ac:dyDescent="0.25">
      <c r="A211" s="4">
        <v>42891</v>
      </c>
      <c r="B211">
        <v>209.5</v>
      </c>
      <c r="C211">
        <v>215</v>
      </c>
      <c r="D211">
        <v>209</v>
      </c>
      <c r="E211">
        <v>212</v>
      </c>
      <c r="F211">
        <v>129501</v>
      </c>
    </row>
    <row r="212" spans="1:6" x14ac:dyDescent="0.25">
      <c r="A212" s="4">
        <v>42898</v>
      </c>
      <c r="B212">
        <v>207</v>
      </c>
      <c r="C212">
        <v>212</v>
      </c>
      <c r="D212">
        <v>206</v>
      </c>
      <c r="E212">
        <v>211.5</v>
      </c>
      <c r="F212">
        <v>204522</v>
      </c>
    </row>
    <row r="213" spans="1:6" x14ac:dyDescent="0.25">
      <c r="A213" s="4">
        <v>42905</v>
      </c>
      <c r="B213">
        <v>211</v>
      </c>
      <c r="C213">
        <v>218.5</v>
      </c>
      <c r="D213">
        <v>210.5</v>
      </c>
      <c r="E213">
        <v>217</v>
      </c>
      <c r="F213">
        <v>157439</v>
      </c>
    </row>
    <row r="214" spans="1:6" x14ac:dyDescent="0.25">
      <c r="A214" s="4">
        <v>42912</v>
      </c>
      <c r="B214">
        <v>212</v>
      </c>
      <c r="C214">
        <v>215</v>
      </c>
      <c r="D214">
        <v>206.5</v>
      </c>
      <c r="E214">
        <v>208.5</v>
      </c>
      <c r="F214">
        <v>215679</v>
      </c>
    </row>
    <row r="215" spans="1:6" x14ac:dyDescent="0.25">
      <c r="A215" s="4">
        <v>42919</v>
      </c>
      <c r="B215">
        <v>207.5</v>
      </c>
      <c r="C215">
        <v>209</v>
      </c>
      <c r="D215">
        <v>205.5</v>
      </c>
      <c r="E215">
        <v>206</v>
      </c>
      <c r="F215">
        <v>102950</v>
      </c>
    </row>
    <row r="216" spans="1:6" x14ac:dyDescent="0.25">
      <c r="A216" s="4">
        <v>42926</v>
      </c>
      <c r="B216">
        <v>206.5</v>
      </c>
      <c r="C216">
        <v>216</v>
      </c>
      <c r="D216">
        <v>206</v>
      </c>
      <c r="E216">
        <v>213</v>
      </c>
      <c r="F216">
        <v>147309</v>
      </c>
    </row>
    <row r="217" spans="1:6" x14ac:dyDescent="0.25">
      <c r="A217" s="4">
        <v>42933</v>
      </c>
      <c r="B217">
        <v>215</v>
      </c>
      <c r="C217">
        <v>215.5</v>
      </c>
      <c r="D217">
        <v>211.5</v>
      </c>
      <c r="E217">
        <v>214</v>
      </c>
      <c r="F217">
        <v>97036</v>
      </c>
    </row>
    <row r="218" spans="1:6" x14ac:dyDescent="0.25">
      <c r="A218" s="4">
        <v>42940</v>
      </c>
      <c r="B218">
        <v>213.5</v>
      </c>
      <c r="C218">
        <v>216</v>
      </c>
      <c r="D218">
        <v>212.5</v>
      </c>
      <c r="E218">
        <v>213</v>
      </c>
      <c r="F218">
        <v>93923</v>
      </c>
    </row>
    <row r="219" spans="1:6" x14ac:dyDescent="0.25">
      <c r="A219" s="4">
        <v>42947</v>
      </c>
      <c r="B219">
        <v>211.5</v>
      </c>
      <c r="C219">
        <v>216</v>
      </c>
      <c r="D219">
        <v>211.5</v>
      </c>
      <c r="E219">
        <v>213</v>
      </c>
      <c r="F219">
        <v>120491</v>
      </c>
    </row>
    <row r="220" spans="1:6" x14ac:dyDescent="0.25">
      <c r="A220" s="4">
        <v>42954</v>
      </c>
      <c r="B220">
        <v>213.5</v>
      </c>
      <c r="C220">
        <v>219</v>
      </c>
      <c r="D220">
        <v>210.5</v>
      </c>
      <c r="E220">
        <v>212.5</v>
      </c>
      <c r="F220">
        <v>143980</v>
      </c>
    </row>
    <row r="221" spans="1:6" x14ac:dyDescent="0.25">
      <c r="A221" s="4">
        <v>42961</v>
      </c>
      <c r="B221">
        <v>213.5</v>
      </c>
      <c r="C221">
        <v>214.5</v>
      </c>
      <c r="D221">
        <v>210</v>
      </c>
      <c r="E221">
        <v>212.5</v>
      </c>
      <c r="F221">
        <v>91724</v>
      </c>
    </row>
    <row r="222" spans="1:6" x14ac:dyDescent="0.25">
      <c r="A222" s="4">
        <v>42968</v>
      </c>
      <c r="B222">
        <v>212.5</v>
      </c>
      <c r="C222">
        <v>217.5</v>
      </c>
      <c r="D222">
        <v>211.5</v>
      </c>
      <c r="E222">
        <v>217.5</v>
      </c>
      <c r="F222">
        <v>69338</v>
      </c>
    </row>
    <row r="223" spans="1:6" x14ac:dyDescent="0.25">
      <c r="A223" s="4">
        <v>42975</v>
      </c>
      <c r="B223">
        <v>215</v>
      </c>
      <c r="C223">
        <v>218</v>
      </c>
      <c r="D223">
        <v>215</v>
      </c>
      <c r="E223">
        <v>216.5</v>
      </c>
      <c r="F223">
        <v>97498</v>
      </c>
    </row>
    <row r="224" spans="1:6" x14ac:dyDescent="0.25">
      <c r="A224" s="4">
        <v>42982</v>
      </c>
      <c r="B224">
        <v>216.5</v>
      </c>
      <c r="C224">
        <v>218.5</v>
      </c>
      <c r="D224">
        <v>215.5</v>
      </c>
      <c r="E224">
        <v>218</v>
      </c>
      <c r="F224">
        <v>122427</v>
      </c>
    </row>
    <row r="225" spans="1:6" x14ac:dyDescent="0.25">
      <c r="A225" s="4">
        <v>42989</v>
      </c>
      <c r="B225">
        <v>219</v>
      </c>
      <c r="C225">
        <v>219.5</v>
      </c>
      <c r="D225">
        <v>216.5</v>
      </c>
      <c r="E225">
        <v>218.5</v>
      </c>
      <c r="F225">
        <v>132996</v>
      </c>
    </row>
    <row r="226" spans="1:6" x14ac:dyDescent="0.25">
      <c r="A226" s="4">
        <v>42996</v>
      </c>
      <c r="B226">
        <v>219</v>
      </c>
      <c r="C226">
        <v>223</v>
      </c>
      <c r="D226">
        <v>218</v>
      </c>
      <c r="E226">
        <v>218.5</v>
      </c>
      <c r="F226">
        <v>108604</v>
      </c>
    </row>
    <row r="227" spans="1:6" x14ac:dyDescent="0.25">
      <c r="A227" s="4">
        <v>43003</v>
      </c>
      <c r="B227">
        <v>217.5</v>
      </c>
      <c r="C227">
        <v>218.5</v>
      </c>
      <c r="D227">
        <v>213.5</v>
      </c>
      <c r="E227">
        <v>216.5</v>
      </c>
      <c r="F227">
        <v>127082</v>
      </c>
    </row>
    <row r="228" spans="1:6" x14ac:dyDescent="0.25">
      <c r="A228" s="4">
        <v>43010</v>
      </c>
      <c r="B228">
        <v>219.5</v>
      </c>
      <c r="C228">
        <v>225.5</v>
      </c>
      <c r="D228">
        <v>218.5</v>
      </c>
      <c r="E228">
        <v>224.5</v>
      </c>
      <c r="F228">
        <v>108130</v>
      </c>
    </row>
    <row r="229" spans="1:6" x14ac:dyDescent="0.25">
      <c r="A229" s="4">
        <v>43019</v>
      </c>
      <c r="B229">
        <v>226.5</v>
      </c>
      <c r="C229">
        <v>237.5</v>
      </c>
      <c r="D229">
        <v>226.5</v>
      </c>
      <c r="E229">
        <v>237.5</v>
      </c>
      <c r="F229">
        <v>134971</v>
      </c>
    </row>
    <row r="230" spans="1:6" x14ac:dyDescent="0.25">
      <c r="A230" s="4">
        <v>43024</v>
      </c>
      <c r="B230">
        <v>237.5</v>
      </c>
      <c r="C230">
        <v>241.5</v>
      </c>
      <c r="D230">
        <v>235</v>
      </c>
      <c r="E230">
        <v>237.5</v>
      </c>
      <c r="F230">
        <v>117834</v>
      </c>
    </row>
    <row r="231" spans="1:6" x14ac:dyDescent="0.25">
      <c r="A231" s="4">
        <v>43031</v>
      </c>
      <c r="B231">
        <v>239</v>
      </c>
      <c r="C231">
        <v>240</v>
      </c>
      <c r="D231">
        <v>236</v>
      </c>
      <c r="E231">
        <v>239</v>
      </c>
      <c r="F231">
        <v>80266</v>
      </c>
    </row>
    <row r="232" spans="1:6" x14ac:dyDescent="0.25">
      <c r="A232" s="4">
        <v>43038</v>
      </c>
      <c r="B232">
        <v>242</v>
      </c>
      <c r="C232">
        <v>245</v>
      </c>
      <c r="D232">
        <v>238.5</v>
      </c>
      <c r="E232">
        <v>239</v>
      </c>
      <c r="F232">
        <v>107926</v>
      </c>
    </row>
    <row r="233" spans="1:6" x14ac:dyDescent="0.25">
      <c r="A233" s="4">
        <v>43045</v>
      </c>
      <c r="B233">
        <v>243.5</v>
      </c>
      <c r="C233">
        <v>244</v>
      </c>
      <c r="D233">
        <v>239</v>
      </c>
      <c r="E233">
        <v>240.5</v>
      </c>
      <c r="F233">
        <v>93726</v>
      </c>
    </row>
    <row r="234" spans="1:6" x14ac:dyDescent="0.25">
      <c r="A234" s="4">
        <v>43052</v>
      </c>
      <c r="B234">
        <v>240</v>
      </c>
      <c r="C234">
        <v>242.5</v>
      </c>
      <c r="D234">
        <v>236</v>
      </c>
      <c r="E234">
        <v>241.5</v>
      </c>
      <c r="F234">
        <v>95053</v>
      </c>
    </row>
    <row r="235" spans="1:6" x14ac:dyDescent="0.25">
      <c r="A235" s="4">
        <v>43059</v>
      </c>
      <c r="B235">
        <v>241</v>
      </c>
      <c r="C235">
        <v>244.5</v>
      </c>
      <c r="D235">
        <v>238</v>
      </c>
      <c r="E235">
        <v>244</v>
      </c>
      <c r="F235">
        <v>90908</v>
      </c>
    </row>
    <row r="236" spans="1:6" x14ac:dyDescent="0.25">
      <c r="A236" s="4">
        <v>43066</v>
      </c>
      <c r="B236">
        <v>240</v>
      </c>
      <c r="C236">
        <v>240</v>
      </c>
      <c r="D236">
        <v>226</v>
      </c>
      <c r="E236">
        <v>231</v>
      </c>
      <c r="F236">
        <v>257236</v>
      </c>
    </row>
    <row r="237" spans="1:6" x14ac:dyDescent="0.25">
      <c r="A237" s="4">
        <v>43073</v>
      </c>
      <c r="B237">
        <v>232.5</v>
      </c>
      <c r="C237">
        <v>234.5</v>
      </c>
      <c r="D237">
        <v>222.5</v>
      </c>
      <c r="E237">
        <v>227</v>
      </c>
      <c r="F237">
        <v>166964</v>
      </c>
    </row>
    <row r="238" spans="1:6" x14ac:dyDescent="0.25">
      <c r="A238" s="4">
        <v>43080</v>
      </c>
      <c r="B238">
        <v>228.5</v>
      </c>
      <c r="C238">
        <v>230.5</v>
      </c>
      <c r="D238">
        <v>225</v>
      </c>
      <c r="E238">
        <v>230</v>
      </c>
      <c r="F238">
        <v>128447</v>
      </c>
    </row>
    <row r="239" spans="1:6" x14ac:dyDescent="0.25">
      <c r="A239" s="4">
        <v>43087</v>
      </c>
      <c r="B239">
        <v>227</v>
      </c>
      <c r="C239">
        <v>228.5</v>
      </c>
      <c r="D239">
        <v>223.5</v>
      </c>
      <c r="E239">
        <v>227.5</v>
      </c>
      <c r="F239">
        <v>116049</v>
      </c>
    </row>
    <row r="240" spans="1:6" x14ac:dyDescent="0.25">
      <c r="A240" s="4">
        <v>43094</v>
      </c>
      <c r="B240">
        <v>228</v>
      </c>
      <c r="C240">
        <v>230</v>
      </c>
      <c r="D240">
        <v>225</v>
      </c>
      <c r="E240">
        <v>229.5</v>
      </c>
      <c r="F240">
        <v>80832</v>
      </c>
    </row>
    <row r="241" spans="1:6" x14ac:dyDescent="0.25">
      <c r="A241" s="4">
        <v>43102</v>
      </c>
      <c r="B241">
        <v>231.5</v>
      </c>
      <c r="C241">
        <v>240</v>
      </c>
      <c r="D241">
        <v>231</v>
      </c>
      <c r="E241">
        <v>240</v>
      </c>
      <c r="F241">
        <v>102662</v>
      </c>
    </row>
    <row r="242" spans="1:6" x14ac:dyDescent="0.25">
      <c r="A242" s="4">
        <v>43108</v>
      </c>
      <c r="B242">
        <v>242</v>
      </c>
      <c r="C242">
        <v>242.5</v>
      </c>
      <c r="D242">
        <v>232.5</v>
      </c>
      <c r="E242">
        <v>237</v>
      </c>
      <c r="F242">
        <v>121818</v>
      </c>
    </row>
    <row r="243" spans="1:6" x14ac:dyDescent="0.25">
      <c r="A243" s="4">
        <v>43115</v>
      </c>
      <c r="B243">
        <v>240</v>
      </c>
      <c r="C243">
        <v>255.5</v>
      </c>
      <c r="D243">
        <v>238</v>
      </c>
      <c r="E243">
        <v>255.5</v>
      </c>
      <c r="F243">
        <v>195284</v>
      </c>
    </row>
    <row r="244" spans="1:6" x14ac:dyDescent="0.25">
      <c r="A244" s="4">
        <v>43122</v>
      </c>
      <c r="B244">
        <v>257.5</v>
      </c>
      <c r="C244">
        <v>266</v>
      </c>
      <c r="D244">
        <v>253.5</v>
      </c>
      <c r="E244">
        <v>255</v>
      </c>
      <c r="F244">
        <v>212844</v>
      </c>
    </row>
    <row r="245" spans="1:6" x14ac:dyDescent="0.25">
      <c r="A245" s="4">
        <v>43129</v>
      </c>
      <c r="B245">
        <v>259</v>
      </c>
      <c r="C245">
        <v>261.5</v>
      </c>
      <c r="D245">
        <v>252</v>
      </c>
      <c r="E245">
        <v>259.5</v>
      </c>
      <c r="F245">
        <v>171133</v>
      </c>
    </row>
    <row r="246" spans="1:6" x14ac:dyDescent="0.25">
      <c r="A246" s="4">
        <v>43136</v>
      </c>
      <c r="B246">
        <v>251</v>
      </c>
      <c r="C246">
        <v>254.5</v>
      </c>
      <c r="D246">
        <v>228.5</v>
      </c>
      <c r="E246">
        <v>232.5</v>
      </c>
      <c r="F246">
        <v>330433</v>
      </c>
    </row>
    <row r="247" spans="1:6" x14ac:dyDescent="0.25">
      <c r="A247" s="4">
        <v>43143</v>
      </c>
      <c r="B247">
        <v>235.5</v>
      </c>
      <c r="C247">
        <v>237.5</v>
      </c>
      <c r="D247">
        <v>235</v>
      </c>
      <c r="E247">
        <v>236.5</v>
      </c>
      <c r="F247">
        <v>42917</v>
      </c>
    </row>
    <row r="248" spans="1:6" x14ac:dyDescent="0.25">
      <c r="A248" s="4">
        <v>43152</v>
      </c>
      <c r="B248">
        <v>244.5</v>
      </c>
      <c r="C248">
        <v>245</v>
      </c>
      <c r="D248">
        <v>239</v>
      </c>
      <c r="E248">
        <v>245</v>
      </c>
      <c r="F248">
        <v>148875</v>
      </c>
    </row>
    <row r="249" spans="1:6" x14ac:dyDescent="0.25">
      <c r="A249" s="4">
        <v>43157</v>
      </c>
      <c r="B249">
        <v>247</v>
      </c>
      <c r="C249">
        <v>250.5</v>
      </c>
      <c r="D249">
        <v>238.5</v>
      </c>
      <c r="E249">
        <v>240</v>
      </c>
      <c r="F249">
        <v>160002</v>
      </c>
    </row>
    <row r="250" spans="1:6" x14ac:dyDescent="0.25">
      <c r="A250" s="4">
        <v>43164</v>
      </c>
      <c r="B250">
        <v>242.5</v>
      </c>
      <c r="C250">
        <v>251.5</v>
      </c>
      <c r="D250">
        <v>240.5</v>
      </c>
      <c r="E250">
        <v>250.5</v>
      </c>
      <c r="F250">
        <v>138208</v>
      </c>
    </row>
    <row r="251" spans="1:6" x14ac:dyDescent="0.25">
      <c r="A251" s="4">
        <v>43171</v>
      </c>
      <c r="B251">
        <v>252</v>
      </c>
      <c r="C251">
        <v>259</v>
      </c>
      <c r="D251">
        <v>249.5</v>
      </c>
      <c r="E251">
        <v>255</v>
      </c>
      <c r="F251">
        <v>166006</v>
      </c>
    </row>
    <row r="252" spans="1:6" x14ac:dyDescent="0.25">
      <c r="A252" s="4">
        <v>43178</v>
      </c>
      <c r="B252">
        <v>252.5</v>
      </c>
      <c r="C252">
        <v>255.5</v>
      </c>
      <c r="D252">
        <v>244</v>
      </c>
      <c r="E252">
        <v>245</v>
      </c>
      <c r="F252">
        <v>157729</v>
      </c>
    </row>
    <row r="253" spans="1:6" x14ac:dyDescent="0.25">
      <c r="A253" s="4">
        <v>43185</v>
      </c>
      <c r="B253">
        <v>241.5</v>
      </c>
      <c r="C253">
        <v>251</v>
      </c>
      <c r="D253">
        <v>241.5</v>
      </c>
      <c r="E253">
        <v>247.5</v>
      </c>
      <c r="F253">
        <v>157540</v>
      </c>
    </row>
    <row r="254" spans="1:6" x14ac:dyDescent="0.25">
      <c r="A254" s="4">
        <v>43192</v>
      </c>
      <c r="B254">
        <v>248.5</v>
      </c>
      <c r="C254">
        <v>249</v>
      </c>
      <c r="D254">
        <v>242</v>
      </c>
      <c r="E254">
        <v>244</v>
      </c>
      <c r="F254">
        <v>54843</v>
      </c>
    </row>
    <row r="255" spans="1:6" x14ac:dyDescent="0.25">
      <c r="A255" s="4">
        <v>43199</v>
      </c>
      <c r="B255">
        <v>248</v>
      </c>
      <c r="C255">
        <v>249</v>
      </c>
      <c r="D255">
        <v>243.5</v>
      </c>
      <c r="E255">
        <v>244.5</v>
      </c>
      <c r="F255">
        <v>122936</v>
      </c>
    </row>
    <row r="256" spans="1:6" x14ac:dyDescent="0.25">
      <c r="A256" s="4">
        <v>43206</v>
      </c>
      <c r="B256">
        <v>243</v>
      </c>
      <c r="C256">
        <v>244.5</v>
      </c>
      <c r="D256">
        <v>228</v>
      </c>
      <c r="E256">
        <v>229</v>
      </c>
      <c r="F256">
        <v>272254</v>
      </c>
    </row>
    <row r="257" spans="1:6" x14ac:dyDescent="0.25">
      <c r="A257" s="4">
        <v>43213</v>
      </c>
      <c r="B257">
        <v>226.5</v>
      </c>
      <c r="C257">
        <v>227.5</v>
      </c>
      <c r="D257">
        <v>221</v>
      </c>
      <c r="E257">
        <v>223.5</v>
      </c>
      <c r="F257">
        <v>248704</v>
      </c>
    </row>
    <row r="258" spans="1:6" x14ac:dyDescent="0.25">
      <c r="A258" s="4">
        <v>43220</v>
      </c>
      <c r="B258">
        <v>224.5</v>
      </c>
      <c r="C258">
        <v>228</v>
      </c>
      <c r="D258">
        <v>220</v>
      </c>
      <c r="E258">
        <v>223</v>
      </c>
      <c r="F258">
        <v>128923</v>
      </c>
    </row>
    <row r="259" spans="1:6" x14ac:dyDescent="0.25">
      <c r="A259" s="4">
        <v>43227</v>
      </c>
      <c r="B259">
        <v>225</v>
      </c>
      <c r="C259">
        <v>234</v>
      </c>
      <c r="D259">
        <v>221.5</v>
      </c>
      <c r="E259">
        <v>233</v>
      </c>
      <c r="F259">
        <v>157899</v>
      </c>
    </row>
    <row r="260" spans="1:6" x14ac:dyDescent="0.25">
      <c r="A260" s="4">
        <v>43234</v>
      </c>
      <c r="B260">
        <v>234.5</v>
      </c>
      <c r="C260">
        <v>234.5</v>
      </c>
      <c r="D260">
        <v>223.5</v>
      </c>
      <c r="E260">
        <v>223.5</v>
      </c>
      <c r="F260">
        <v>118074</v>
      </c>
    </row>
    <row r="261" spans="1:6" x14ac:dyDescent="0.25">
      <c r="A261" s="4">
        <v>43241</v>
      </c>
      <c r="B261">
        <v>225</v>
      </c>
      <c r="C261">
        <v>233.5</v>
      </c>
      <c r="D261">
        <v>225</v>
      </c>
      <c r="E261">
        <v>228.5</v>
      </c>
      <c r="F261">
        <v>95515</v>
      </c>
    </row>
    <row r="262" spans="1:6" x14ac:dyDescent="0.25">
      <c r="A262" s="4">
        <v>43248</v>
      </c>
      <c r="B262">
        <v>229.5</v>
      </c>
      <c r="C262">
        <v>230</v>
      </c>
      <c r="D262">
        <v>220.5</v>
      </c>
      <c r="E262">
        <v>224</v>
      </c>
      <c r="F262">
        <v>226351</v>
      </c>
    </row>
    <row r="263" spans="1:6" x14ac:dyDescent="0.25">
      <c r="A263" s="4">
        <v>43255</v>
      </c>
      <c r="B263">
        <v>227.5</v>
      </c>
      <c r="C263">
        <v>231.5</v>
      </c>
      <c r="D263">
        <v>226</v>
      </c>
      <c r="E263">
        <v>227</v>
      </c>
      <c r="F263">
        <v>138817</v>
      </c>
    </row>
    <row r="264" spans="1:6" x14ac:dyDescent="0.25">
      <c r="A264" s="4">
        <v>43262</v>
      </c>
      <c r="B264">
        <v>226.5</v>
      </c>
      <c r="C264">
        <v>232</v>
      </c>
      <c r="D264">
        <v>224</v>
      </c>
      <c r="E264">
        <v>231</v>
      </c>
      <c r="F264">
        <v>174738</v>
      </c>
    </row>
    <row r="265" spans="1:6" x14ac:dyDescent="0.25">
      <c r="A265" s="4">
        <v>43270</v>
      </c>
      <c r="B265">
        <v>225.5</v>
      </c>
      <c r="C265">
        <v>228</v>
      </c>
      <c r="D265">
        <v>223.5</v>
      </c>
      <c r="E265">
        <v>227.5</v>
      </c>
      <c r="F265">
        <v>178635</v>
      </c>
    </row>
    <row r="266" spans="1:6" x14ac:dyDescent="0.25">
      <c r="A266" s="4">
        <v>43276</v>
      </c>
      <c r="B266">
        <v>220</v>
      </c>
      <c r="C266">
        <v>220.5</v>
      </c>
      <c r="D266">
        <v>210</v>
      </c>
      <c r="E266">
        <v>216.5</v>
      </c>
      <c r="F266">
        <v>208667</v>
      </c>
    </row>
    <row r="267" spans="1:6" x14ac:dyDescent="0.25">
      <c r="A267" s="4">
        <v>43283</v>
      </c>
      <c r="B267">
        <v>218.5</v>
      </c>
      <c r="C267">
        <v>219</v>
      </c>
      <c r="D267">
        <v>213</v>
      </c>
      <c r="E267">
        <v>217</v>
      </c>
      <c r="F267">
        <v>127089</v>
      </c>
    </row>
    <row r="268" spans="1:6" x14ac:dyDescent="0.25">
      <c r="A268" s="4">
        <v>43290</v>
      </c>
      <c r="B268">
        <v>219.5</v>
      </c>
      <c r="C268">
        <v>224.5</v>
      </c>
      <c r="D268">
        <v>218</v>
      </c>
      <c r="E268">
        <v>224.5</v>
      </c>
      <c r="F268">
        <v>135443</v>
      </c>
    </row>
    <row r="269" spans="1:6" x14ac:dyDescent="0.25">
      <c r="A269" s="4">
        <v>43297</v>
      </c>
      <c r="B269">
        <v>224.5</v>
      </c>
      <c r="C269">
        <v>237.5</v>
      </c>
      <c r="D269">
        <v>221</v>
      </c>
      <c r="E269">
        <v>237.5</v>
      </c>
      <c r="F269">
        <v>232093</v>
      </c>
    </row>
    <row r="270" spans="1:6" x14ac:dyDescent="0.25">
      <c r="A270" s="4">
        <v>43304</v>
      </c>
      <c r="B270">
        <v>239</v>
      </c>
      <c r="C270">
        <v>245</v>
      </c>
      <c r="D270">
        <v>238.5</v>
      </c>
      <c r="E270">
        <v>244.5</v>
      </c>
      <c r="F270">
        <v>159254</v>
      </c>
    </row>
    <row r="271" spans="1:6" x14ac:dyDescent="0.25">
      <c r="A271" s="4">
        <v>43311</v>
      </c>
      <c r="B271">
        <v>244.5</v>
      </c>
      <c r="C271">
        <v>249.5</v>
      </c>
      <c r="D271">
        <v>242</v>
      </c>
      <c r="E271">
        <v>247</v>
      </c>
      <c r="F271">
        <v>128724</v>
      </c>
    </row>
    <row r="272" spans="1:6" x14ac:dyDescent="0.25">
      <c r="A272" s="4">
        <v>43318</v>
      </c>
      <c r="B272">
        <v>245</v>
      </c>
      <c r="C272">
        <v>248</v>
      </c>
      <c r="D272">
        <v>241.5</v>
      </c>
      <c r="E272">
        <v>245</v>
      </c>
      <c r="F272">
        <v>102354</v>
      </c>
    </row>
    <row r="273" spans="1:6" x14ac:dyDescent="0.25">
      <c r="A273" s="4">
        <v>43325</v>
      </c>
      <c r="B273">
        <v>241.5</v>
      </c>
      <c r="C273">
        <v>245</v>
      </c>
      <c r="D273">
        <v>238</v>
      </c>
      <c r="E273">
        <v>239.5</v>
      </c>
      <c r="F273">
        <v>93397</v>
      </c>
    </row>
    <row r="274" spans="1:6" x14ac:dyDescent="0.25">
      <c r="A274" s="4">
        <v>43332</v>
      </c>
      <c r="B274">
        <v>239.5</v>
      </c>
      <c r="C274">
        <v>246</v>
      </c>
      <c r="D274">
        <v>238</v>
      </c>
      <c r="E274">
        <v>243.5</v>
      </c>
      <c r="F274">
        <v>76228</v>
      </c>
    </row>
    <row r="275" spans="1:6" x14ac:dyDescent="0.25">
      <c r="A275" s="4">
        <v>43339</v>
      </c>
      <c r="B275">
        <v>246</v>
      </c>
      <c r="C275">
        <v>268</v>
      </c>
      <c r="D275">
        <v>244.5</v>
      </c>
      <c r="E275">
        <v>256</v>
      </c>
      <c r="F275">
        <v>236246</v>
      </c>
    </row>
    <row r="276" spans="1:6" x14ac:dyDescent="0.25">
      <c r="A276" s="4">
        <v>43346</v>
      </c>
      <c r="B276">
        <v>259</v>
      </c>
      <c r="C276">
        <v>268</v>
      </c>
      <c r="D276">
        <v>255.5</v>
      </c>
      <c r="E276">
        <v>264</v>
      </c>
      <c r="F276">
        <v>213199</v>
      </c>
    </row>
    <row r="277" spans="1:6" x14ac:dyDescent="0.25">
      <c r="A277" s="4">
        <v>43353</v>
      </c>
      <c r="B277">
        <v>266.5</v>
      </c>
      <c r="C277">
        <v>266.5</v>
      </c>
      <c r="D277">
        <v>253.5</v>
      </c>
      <c r="E277">
        <v>261</v>
      </c>
      <c r="F277">
        <v>224242</v>
      </c>
    </row>
    <row r="278" spans="1:6" x14ac:dyDescent="0.25">
      <c r="A278" s="4">
        <v>43360</v>
      </c>
      <c r="B278">
        <v>262.5</v>
      </c>
      <c r="C278">
        <v>262.5</v>
      </c>
      <c r="D278">
        <v>254</v>
      </c>
      <c r="E278">
        <v>261.5</v>
      </c>
      <c r="F278">
        <v>201479</v>
      </c>
    </row>
    <row r="279" spans="1:6" x14ac:dyDescent="0.25">
      <c r="A279" s="4">
        <v>43368</v>
      </c>
      <c r="B279">
        <v>261.5</v>
      </c>
      <c r="C279">
        <v>266</v>
      </c>
      <c r="D279">
        <v>260</v>
      </c>
      <c r="E279">
        <v>262.5</v>
      </c>
      <c r="F279">
        <v>128180</v>
      </c>
    </row>
    <row r="280" spans="1:6" x14ac:dyDescent="0.25">
      <c r="A280" s="4">
        <v>43374</v>
      </c>
      <c r="B280">
        <v>262</v>
      </c>
      <c r="C280">
        <v>264</v>
      </c>
      <c r="D280">
        <v>248.5</v>
      </c>
      <c r="E280">
        <v>250</v>
      </c>
      <c r="F280">
        <v>164436</v>
      </c>
    </row>
    <row r="281" spans="1:6" x14ac:dyDescent="0.25">
      <c r="A281" s="4">
        <v>43381</v>
      </c>
      <c r="B281">
        <v>245.5</v>
      </c>
      <c r="C281">
        <v>246.5</v>
      </c>
      <c r="D281">
        <v>227</v>
      </c>
      <c r="E281">
        <v>237</v>
      </c>
      <c r="F281">
        <v>230491</v>
      </c>
    </row>
    <row r="282" spans="1:6" x14ac:dyDescent="0.25">
      <c r="A282" s="4">
        <v>43388</v>
      </c>
      <c r="B282">
        <v>234</v>
      </c>
      <c r="C282">
        <v>243</v>
      </c>
      <c r="D282">
        <v>229</v>
      </c>
      <c r="E282">
        <v>236</v>
      </c>
      <c r="F282">
        <v>185930</v>
      </c>
    </row>
    <row r="283" spans="1:6" x14ac:dyDescent="0.25">
      <c r="A283" s="4">
        <v>43395</v>
      </c>
      <c r="B283">
        <v>232.5</v>
      </c>
      <c r="C283">
        <v>238</v>
      </c>
      <c r="D283">
        <v>217</v>
      </c>
      <c r="E283">
        <v>221</v>
      </c>
      <c r="F283">
        <v>241112</v>
      </c>
    </row>
    <row r="284" spans="1:6" x14ac:dyDescent="0.25">
      <c r="A284" s="4">
        <v>43402</v>
      </c>
      <c r="B284">
        <v>223</v>
      </c>
      <c r="C284">
        <v>237</v>
      </c>
      <c r="D284">
        <v>220.5</v>
      </c>
      <c r="E284">
        <v>236.5</v>
      </c>
      <c r="F284">
        <v>182783</v>
      </c>
    </row>
    <row r="285" spans="1:6" x14ac:dyDescent="0.25">
      <c r="A285" s="4">
        <v>43409</v>
      </c>
      <c r="B285">
        <v>233</v>
      </c>
      <c r="C285">
        <v>237.5</v>
      </c>
      <c r="D285">
        <v>231</v>
      </c>
      <c r="E285">
        <v>231</v>
      </c>
      <c r="F285">
        <v>155379</v>
      </c>
    </row>
    <row r="286" spans="1:6" x14ac:dyDescent="0.25">
      <c r="A286" s="4">
        <v>43416</v>
      </c>
      <c r="B286">
        <v>230</v>
      </c>
      <c r="C286">
        <v>234.5</v>
      </c>
      <c r="D286">
        <v>224.5</v>
      </c>
      <c r="E286">
        <v>226</v>
      </c>
      <c r="F286">
        <v>157702</v>
      </c>
    </row>
    <row r="287" spans="1:6" x14ac:dyDescent="0.25">
      <c r="A287" s="4">
        <v>43423</v>
      </c>
      <c r="B287">
        <v>225</v>
      </c>
      <c r="C287">
        <v>225</v>
      </c>
      <c r="D287">
        <v>214</v>
      </c>
      <c r="E287">
        <v>218.5</v>
      </c>
      <c r="F287">
        <v>172814</v>
      </c>
    </row>
    <row r="288" spans="1:6" x14ac:dyDescent="0.25">
      <c r="A288" s="4">
        <v>43430</v>
      </c>
      <c r="B288">
        <v>219</v>
      </c>
      <c r="C288">
        <v>231.5</v>
      </c>
      <c r="D288">
        <v>218.5</v>
      </c>
      <c r="E288">
        <v>225.5</v>
      </c>
      <c r="F288">
        <v>196262</v>
      </c>
    </row>
    <row r="289" spans="1:6" x14ac:dyDescent="0.25">
      <c r="A289" s="4">
        <v>43437</v>
      </c>
      <c r="B289">
        <v>231</v>
      </c>
      <c r="C289">
        <v>235</v>
      </c>
      <c r="D289">
        <v>219.5</v>
      </c>
      <c r="E289">
        <v>221</v>
      </c>
      <c r="F289">
        <v>209373</v>
      </c>
    </row>
    <row r="290" spans="1:6" x14ac:dyDescent="0.25">
      <c r="A290" s="4">
        <v>43444</v>
      </c>
      <c r="B290">
        <v>219.5</v>
      </c>
      <c r="C290">
        <v>227.5</v>
      </c>
      <c r="D290">
        <v>218.5</v>
      </c>
      <c r="E290">
        <v>222.5</v>
      </c>
      <c r="F290">
        <v>162210</v>
      </c>
    </row>
    <row r="291" spans="1:6" x14ac:dyDescent="0.25">
      <c r="A291" s="4">
        <v>43451</v>
      </c>
      <c r="B291">
        <v>221</v>
      </c>
      <c r="C291">
        <v>225.5</v>
      </c>
      <c r="D291">
        <v>219</v>
      </c>
      <c r="E291">
        <v>221.5</v>
      </c>
      <c r="F291">
        <v>163480</v>
      </c>
    </row>
    <row r="292" spans="1:6" x14ac:dyDescent="0.25">
      <c r="A292" s="4">
        <v>43458</v>
      </c>
      <c r="B292">
        <v>221.5</v>
      </c>
      <c r="C292">
        <v>225.5</v>
      </c>
      <c r="D292">
        <v>215</v>
      </c>
      <c r="E292">
        <v>225.5</v>
      </c>
      <c r="F292">
        <v>111744</v>
      </c>
    </row>
    <row r="293" spans="1:6" x14ac:dyDescent="0.25">
      <c r="A293" s="4">
        <v>43467</v>
      </c>
      <c r="B293">
        <v>226.5</v>
      </c>
      <c r="C293">
        <v>226.5</v>
      </c>
      <c r="D293">
        <v>206.5</v>
      </c>
      <c r="E293">
        <v>208</v>
      </c>
      <c r="F293">
        <v>134560</v>
      </c>
    </row>
    <row r="294" spans="1:6" x14ac:dyDescent="0.25">
      <c r="A294" s="4">
        <v>43472</v>
      </c>
      <c r="B294">
        <v>212</v>
      </c>
      <c r="C294">
        <v>220.5</v>
      </c>
      <c r="D294">
        <v>210</v>
      </c>
      <c r="E294">
        <v>220.5</v>
      </c>
      <c r="F294">
        <v>160236</v>
      </c>
    </row>
    <row r="295" spans="1:6" x14ac:dyDescent="0.25">
      <c r="A295" s="4">
        <v>43479</v>
      </c>
      <c r="B295">
        <v>218.5</v>
      </c>
      <c r="C295">
        <v>221</v>
      </c>
      <c r="D295">
        <v>215.5</v>
      </c>
      <c r="E295">
        <v>218.5</v>
      </c>
      <c r="F295">
        <v>164483</v>
      </c>
    </row>
    <row r="296" spans="1:6" x14ac:dyDescent="0.25">
      <c r="A296" s="4">
        <v>43486</v>
      </c>
      <c r="B296">
        <v>220</v>
      </c>
      <c r="C296">
        <v>227</v>
      </c>
      <c r="D296">
        <v>219</v>
      </c>
      <c r="E296">
        <v>226</v>
      </c>
      <c r="F296">
        <v>161534</v>
      </c>
    </row>
    <row r="297" spans="1:6" x14ac:dyDescent="0.25">
      <c r="A297" s="4">
        <v>43493</v>
      </c>
      <c r="B297">
        <v>229.5</v>
      </c>
      <c r="C297">
        <v>229.5</v>
      </c>
      <c r="D297">
        <v>220</v>
      </c>
      <c r="E297">
        <v>221</v>
      </c>
      <c r="F297">
        <v>123591</v>
      </c>
    </row>
    <row r="298" spans="1:6" x14ac:dyDescent="0.25">
      <c r="A298" s="4">
        <v>43507</v>
      </c>
      <c r="B298">
        <v>228</v>
      </c>
      <c r="C298">
        <v>232</v>
      </c>
      <c r="D298">
        <v>226</v>
      </c>
      <c r="E298">
        <v>227</v>
      </c>
      <c r="F298">
        <v>186138</v>
      </c>
    </row>
    <row r="299" spans="1:6" x14ac:dyDescent="0.25">
      <c r="A299" s="4">
        <v>43514</v>
      </c>
      <c r="B299">
        <v>229</v>
      </c>
      <c r="C299">
        <v>236.5</v>
      </c>
      <c r="D299">
        <v>228.5</v>
      </c>
      <c r="E299">
        <v>236.5</v>
      </c>
      <c r="F299">
        <v>124520</v>
      </c>
    </row>
    <row r="300" spans="1:6" x14ac:dyDescent="0.25">
      <c r="A300" s="4">
        <v>43521</v>
      </c>
      <c r="B300">
        <v>237.5</v>
      </c>
      <c r="C300">
        <v>240</v>
      </c>
      <c r="D300">
        <v>236</v>
      </c>
      <c r="E300">
        <v>239</v>
      </c>
      <c r="F300">
        <v>87762</v>
      </c>
    </row>
    <row r="301" spans="1:6" x14ac:dyDescent="0.25">
      <c r="A301" s="4">
        <v>43528</v>
      </c>
      <c r="B301">
        <v>239.5</v>
      </c>
      <c r="C301">
        <v>239.5</v>
      </c>
      <c r="D301">
        <v>229</v>
      </c>
      <c r="E301">
        <v>230</v>
      </c>
      <c r="F301">
        <v>129446</v>
      </c>
    </row>
    <row r="302" spans="1:6" x14ac:dyDescent="0.25">
      <c r="A302" s="4">
        <v>43535</v>
      </c>
      <c r="B302">
        <v>228</v>
      </c>
      <c r="C302">
        <v>239.5</v>
      </c>
      <c r="D302">
        <v>227.5</v>
      </c>
      <c r="E302">
        <v>239</v>
      </c>
      <c r="F302">
        <v>132440</v>
      </c>
    </row>
    <row r="303" spans="1:6" x14ac:dyDescent="0.25">
      <c r="A303" s="4">
        <v>43542</v>
      </c>
      <c r="B303">
        <v>239.5</v>
      </c>
      <c r="C303">
        <v>248.5</v>
      </c>
      <c r="D303">
        <v>238</v>
      </c>
      <c r="E303">
        <v>248.5</v>
      </c>
      <c r="F303">
        <v>115227</v>
      </c>
    </row>
    <row r="304" spans="1:6" x14ac:dyDescent="0.25">
      <c r="A304" s="4">
        <v>43549</v>
      </c>
      <c r="B304">
        <v>240.5</v>
      </c>
      <c r="C304">
        <v>245.5</v>
      </c>
      <c r="D304">
        <v>240</v>
      </c>
      <c r="E304">
        <v>245.5</v>
      </c>
      <c r="F304">
        <v>108971</v>
      </c>
    </row>
    <row r="305" spans="1:6" x14ac:dyDescent="0.25">
      <c r="A305" s="4">
        <v>43556</v>
      </c>
      <c r="B305">
        <v>251</v>
      </c>
      <c r="C305">
        <v>251</v>
      </c>
      <c r="D305">
        <v>245</v>
      </c>
      <c r="E305">
        <v>246.5</v>
      </c>
      <c r="F305">
        <v>89101</v>
      </c>
    </row>
    <row r="306" spans="1:6" x14ac:dyDescent="0.25">
      <c r="A306" s="4">
        <v>43563</v>
      </c>
      <c r="B306">
        <v>251</v>
      </c>
      <c r="C306">
        <v>254.5</v>
      </c>
      <c r="D306">
        <v>250.5</v>
      </c>
      <c r="E306">
        <v>252</v>
      </c>
      <c r="F306">
        <v>141382</v>
      </c>
    </row>
    <row r="307" spans="1:6" x14ac:dyDescent="0.25">
      <c r="A307" s="4">
        <v>43570</v>
      </c>
      <c r="B307">
        <v>255</v>
      </c>
      <c r="C307">
        <v>269.5</v>
      </c>
      <c r="D307">
        <v>254</v>
      </c>
      <c r="E307">
        <v>264.5</v>
      </c>
      <c r="F307">
        <v>172750</v>
      </c>
    </row>
    <row r="308" spans="1:6" x14ac:dyDescent="0.25">
      <c r="A308" s="4">
        <v>43577</v>
      </c>
      <c r="B308">
        <v>266.5</v>
      </c>
      <c r="C308">
        <v>270</v>
      </c>
      <c r="D308">
        <v>257.5</v>
      </c>
      <c r="E308">
        <v>260</v>
      </c>
      <c r="F308">
        <v>176922</v>
      </c>
    </row>
    <row r="309" spans="1:6" x14ac:dyDescent="0.25">
      <c r="A309" s="4">
        <v>43584</v>
      </c>
      <c r="B309">
        <v>260</v>
      </c>
      <c r="C309">
        <v>265</v>
      </c>
      <c r="D309">
        <v>258</v>
      </c>
      <c r="E309">
        <v>265</v>
      </c>
      <c r="F309">
        <v>130675</v>
      </c>
    </row>
    <row r="310" spans="1:6" x14ac:dyDescent="0.25">
      <c r="A310" s="4">
        <v>43591</v>
      </c>
      <c r="B310">
        <v>260</v>
      </c>
      <c r="C310">
        <v>263</v>
      </c>
      <c r="D310">
        <v>255</v>
      </c>
      <c r="E310">
        <v>256</v>
      </c>
      <c r="F310">
        <v>138311</v>
      </c>
    </row>
    <row r="311" spans="1:6" x14ac:dyDescent="0.25">
      <c r="A311" s="4">
        <v>43598</v>
      </c>
      <c r="B311">
        <v>253</v>
      </c>
      <c r="C311">
        <v>254</v>
      </c>
      <c r="D311">
        <v>241.5</v>
      </c>
      <c r="E311">
        <v>241.5</v>
      </c>
      <c r="F311">
        <v>182500</v>
      </c>
    </row>
    <row r="312" spans="1:6" x14ac:dyDescent="0.25">
      <c r="A312" s="4">
        <v>43605</v>
      </c>
      <c r="B312">
        <v>242.5</v>
      </c>
      <c r="C312">
        <v>243</v>
      </c>
      <c r="D312">
        <v>230</v>
      </c>
      <c r="E312">
        <v>233</v>
      </c>
      <c r="F312">
        <v>266745</v>
      </c>
    </row>
    <row r="313" spans="1:6" x14ac:dyDescent="0.25">
      <c r="A313" s="4">
        <v>43612</v>
      </c>
      <c r="B313">
        <v>234</v>
      </c>
      <c r="C313">
        <v>237.5</v>
      </c>
      <c r="D313">
        <v>227</v>
      </c>
      <c r="E313">
        <v>235.5</v>
      </c>
      <c r="F313">
        <v>258568</v>
      </c>
    </row>
    <row r="314" spans="1:6" x14ac:dyDescent="0.25">
      <c r="A314" s="4">
        <v>43619</v>
      </c>
      <c r="B314">
        <v>235.5</v>
      </c>
      <c r="C314">
        <v>238.5</v>
      </c>
      <c r="D314">
        <v>229.5</v>
      </c>
      <c r="E314">
        <v>232</v>
      </c>
      <c r="F314">
        <v>131684</v>
      </c>
    </row>
    <row r="315" spans="1:6" x14ac:dyDescent="0.25">
      <c r="A315" s="4">
        <v>43626</v>
      </c>
      <c r="B315">
        <v>237.5</v>
      </c>
      <c r="C315">
        <v>247.5</v>
      </c>
      <c r="D315">
        <v>234.5</v>
      </c>
      <c r="E315">
        <v>236</v>
      </c>
      <c r="F315">
        <v>169758</v>
      </c>
    </row>
    <row r="316" spans="1:6" x14ac:dyDescent="0.25">
      <c r="A316" s="4">
        <v>43633</v>
      </c>
      <c r="B316">
        <v>231.5</v>
      </c>
      <c r="C316">
        <v>248.5</v>
      </c>
      <c r="D316">
        <v>230.5</v>
      </c>
      <c r="E316">
        <v>248.5</v>
      </c>
      <c r="F316">
        <v>232578</v>
      </c>
    </row>
    <row r="317" spans="1:6" x14ac:dyDescent="0.25">
      <c r="A317" s="4">
        <v>43640</v>
      </c>
      <c r="B317">
        <v>241</v>
      </c>
      <c r="C317">
        <v>242</v>
      </c>
      <c r="D317">
        <v>234</v>
      </c>
      <c r="E317">
        <v>239</v>
      </c>
      <c r="F317">
        <v>172059</v>
      </c>
    </row>
    <row r="318" spans="1:6" x14ac:dyDescent="0.25">
      <c r="A318" s="4">
        <v>43647</v>
      </c>
      <c r="B318">
        <v>245.5</v>
      </c>
      <c r="C318">
        <v>250</v>
      </c>
      <c r="D318">
        <v>241.5</v>
      </c>
      <c r="E318">
        <v>243</v>
      </c>
      <c r="F318">
        <v>168761</v>
      </c>
    </row>
    <row r="319" spans="1:6" x14ac:dyDescent="0.25">
      <c r="A319" s="4">
        <v>43654</v>
      </c>
      <c r="B319">
        <v>240</v>
      </c>
      <c r="C319">
        <v>252</v>
      </c>
      <c r="D319">
        <v>240</v>
      </c>
      <c r="E319">
        <v>250.5</v>
      </c>
      <c r="F319">
        <v>124707</v>
      </c>
    </row>
    <row r="320" spans="1:6" x14ac:dyDescent="0.25">
      <c r="A320" s="4">
        <v>43661</v>
      </c>
      <c r="B320">
        <v>251</v>
      </c>
      <c r="C320">
        <v>261</v>
      </c>
      <c r="D320">
        <v>249.5</v>
      </c>
      <c r="E320">
        <v>259</v>
      </c>
      <c r="F320">
        <v>175541</v>
      </c>
    </row>
    <row r="321" spans="1:6" x14ac:dyDescent="0.25">
      <c r="A321" s="4">
        <v>43668</v>
      </c>
      <c r="B321">
        <v>263</v>
      </c>
      <c r="C321">
        <v>266.5</v>
      </c>
      <c r="D321">
        <v>261</v>
      </c>
      <c r="E321">
        <v>261</v>
      </c>
      <c r="F321">
        <v>137115</v>
      </c>
    </row>
    <row r="322" spans="1:6" x14ac:dyDescent="0.25">
      <c r="A322" s="4">
        <v>43675</v>
      </c>
      <c r="B322">
        <v>260</v>
      </c>
      <c r="C322">
        <v>263</v>
      </c>
      <c r="D322">
        <v>250.5</v>
      </c>
      <c r="E322">
        <v>251.5</v>
      </c>
      <c r="F322">
        <v>162008</v>
      </c>
    </row>
    <row r="323" spans="1:6" x14ac:dyDescent="0.25">
      <c r="A323" s="4">
        <v>43682</v>
      </c>
      <c r="B323">
        <v>251</v>
      </c>
      <c r="C323">
        <v>254</v>
      </c>
      <c r="D323">
        <v>240</v>
      </c>
      <c r="E323">
        <v>253.5</v>
      </c>
      <c r="F323">
        <v>171328</v>
      </c>
    </row>
    <row r="324" spans="1:6" x14ac:dyDescent="0.25">
      <c r="A324" s="4">
        <v>43689</v>
      </c>
      <c r="B324">
        <v>254.5</v>
      </c>
      <c r="C324">
        <v>254.5</v>
      </c>
      <c r="D324">
        <v>246</v>
      </c>
      <c r="E324">
        <v>250</v>
      </c>
      <c r="F324">
        <v>140089</v>
      </c>
    </row>
    <row r="325" spans="1:6" x14ac:dyDescent="0.25">
      <c r="A325" s="4">
        <v>43696</v>
      </c>
      <c r="B325">
        <v>251.5</v>
      </c>
      <c r="C325">
        <v>257.5</v>
      </c>
      <c r="D325">
        <v>250.5</v>
      </c>
      <c r="E325">
        <v>254</v>
      </c>
      <c r="F325">
        <v>102898</v>
      </c>
    </row>
    <row r="326" spans="1:6" x14ac:dyDescent="0.25">
      <c r="A326" s="4">
        <v>43703</v>
      </c>
      <c r="B326">
        <v>249</v>
      </c>
      <c r="C326">
        <v>259</v>
      </c>
      <c r="D326">
        <v>248.5</v>
      </c>
      <c r="E326">
        <v>259</v>
      </c>
      <c r="F326">
        <v>156071</v>
      </c>
    </row>
    <row r="327" spans="1:6" x14ac:dyDescent="0.25">
      <c r="A327" s="4">
        <v>43710</v>
      </c>
      <c r="B327">
        <v>258</v>
      </c>
      <c r="C327">
        <v>265</v>
      </c>
      <c r="D327">
        <v>253</v>
      </c>
      <c r="E327">
        <v>263.5</v>
      </c>
      <c r="F327">
        <v>140212</v>
      </c>
    </row>
    <row r="328" spans="1:6" x14ac:dyDescent="0.25">
      <c r="A328" s="4">
        <v>43717</v>
      </c>
      <c r="B328">
        <v>265.5</v>
      </c>
      <c r="C328">
        <v>266</v>
      </c>
      <c r="D328">
        <v>260.5</v>
      </c>
      <c r="E328">
        <v>262.5</v>
      </c>
      <c r="F328">
        <v>122396</v>
      </c>
    </row>
    <row r="329" spans="1:6" x14ac:dyDescent="0.25">
      <c r="A329" s="4">
        <v>43724</v>
      </c>
      <c r="B329">
        <v>262</v>
      </c>
      <c r="C329">
        <v>269.5</v>
      </c>
      <c r="D329">
        <v>261.5</v>
      </c>
      <c r="E329">
        <v>264</v>
      </c>
      <c r="F329">
        <v>192066</v>
      </c>
    </row>
    <row r="330" spans="1:6" x14ac:dyDescent="0.25">
      <c r="A330" s="4">
        <v>43731</v>
      </c>
      <c r="B330">
        <v>264</v>
      </c>
      <c r="C330">
        <v>272.5</v>
      </c>
      <c r="D330">
        <v>262</v>
      </c>
      <c r="E330">
        <v>272</v>
      </c>
      <c r="F330">
        <v>140140</v>
      </c>
    </row>
    <row r="331" spans="1:6" x14ac:dyDescent="0.25">
      <c r="A331" s="4">
        <v>43739</v>
      </c>
      <c r="B331">
        <v>273</v>
      </c>
      <c r="C331">
        <v>281</v>
      </c>
      <c r="D331">
        <v>273</v>
      </c>
      <c r="E331">
        <v>276.5</v>
      </c>
      <c r="F331">
        <v>177511</v>
      </c>
    </row>
    <row r="332" spans="1:6" x14ac:dyDescent="0.25">
      <c r="A332" s="4">
        <v>43745</v>
      </c>
      <c r="B332">
        <v>279</v>
      </c>
      <c r="C332">
        <v>286.5</v>
      </c>
      <c r="D332">
        <v>277.5</v>
      </c>
      <c r="E332">
        <v>282</v>
      </c>
      <c r="F332">
        <v>92514</v>
      </c>
    </row>
    <row r="333" spans="1:6" x14ac:dyDescent="0.25">
      <c r="A333" s="4">
        <v>43752</v>
      </c>
      <c r="B333">
        <v>291.5</v>
      </c>
      <c r="C333">
        <v>298</v>
      </c>
      <c r="D333">
        <v>288.5</v>
      </c>
      <c r="E333">
        <v>293</v>
      </c>
      <c r="F333">
        <v>238457</v>
      </c>
    </row>
    <row r="334" spans="1:6" x14ac:dyDescent="0.25">
      <c r="A334" s="4">
        <v>43759</v>
      </c>
      <c r="B334">
        <v>291</v>
      </c>
      <c r="C334">
        <v>294.5</v>
      </c>
      <c r="D334">
        <v>288.5</v>
      </c>
      <c r="E334">
        <v>293.5</v>
      </c>
      <c r="F334">
        <v>146891</v>
      </c>
    </row>
    <row r="335" spans="1:6" x14ac:dyDescent="0.25">
      <c r="A335" s="4">
        <v>43766</v>
      </c>
      <c r="B335">
        <v>295</v>
      </c>
      <c r="C335">
        <v>301.5</v>
      </c>
      <c r="D335">
        <v>294</v>
      </c>
      <c r="E335">
        <v>299</v>
      </c>
      <c r="F335">
        <v>163057</v>
      </c>
    </row>
    <row r="336" spans="1:6" x14ac:dyDescent="0.25">
      <c r="A336" s="4">
        <v>43773</v>
      </c>
      <c r="B336">
        <v>302.5</v>
      </c>
      <c r="C336">
        <v>311.5</v>
      </c>
      <c r="D336">
        <v>301</v>
      </c>
      <c r="E336">
        <v>305.5</v>
      </c>
      <c r="F336">
        <v>154243</v>
      </c>
    </row>
    <row r="337" spans="1:6" x14ac:dyDescent="0.25">
      <c r="A337" s="4">
        <v>43780</v>
      </c>
      <c r="B337">
        <v>305</v>
      </c>
      <c r="C337">
        <v>307.5</v>
      </c>
      <c r="D337">
        <v>300</v>
      </c>
      <c r="E337">
        <v>307</v>
      </c>
      <c r="F337">
        <v>117498</v>
      </c>
    </row>
    <row r="338" spans="1:6" x14ac:dyDescent="0.25">
      <c r="A338" s="4">
        <v>43787</v>
      </c>
      <c r="B338">
        <v>308.5</v>
      </c>
      <c r="C338">
        <v>315</v>
      </c>
      <c r="D338">
        <v>307</v>
      </c>
      <c r="E338">
        <v>309</v>
      </c>
      <c r="F338">
        <v>133033</v>
      </c>
    </row>
    <row r="339" spans="1:6" x14ac:dyDescent="0.25">
      <c r="A339" s="4">
        <v>43794</v>
      </c>
      <c r="B339">
        <v>310.5</v>
      </c>
      <c r="C339">
        <v>312</v>
      </c>
      <c r="D339">
        <v>305</v>
      </c>
      <c r="E339">
        <v>305</v>
      </c>
      <c r="F339">
        <v>192442</v>
      </c>
    </row>
    <row r="340" spans="1:6" x14ac:dyDescent="0.25">
      <c r="A340" s="4">
        <v>43801</v>
      </c>
      <c r="B340">
        <v>307</v>
      </c>
      <c r="C340">
        <v>316</v>
      </c>
      <c r="D340">
        <v>304</v>
      </c>
      <c r="E340">
        <v>313</v>
      </c>
      <c r="F340">
        <v>145867</v>
      </c>
    </row>
    <row r="341" spans="1:6" x14ac:dyDescent="0.25">
      <c r="A341" s="4">
        <v>43808</v>
      </c>
      <c r="B341">
        <v>314</v>
      </c>
      <c r="C341">
        <v>343</v>
      </c>
      <c r="D341">
        <v>312.5</v>
      </c>
      <c r="E341">
        <v>339</v>
      </c>
      <c r="F341">
        <v>192379</v>
      </c>
    </row>
    <row r="342" spans="1:6" x14ac:dyDescent="0.25">
      <c r="A342" s="4">
        <v>43815</v>
      </c>
      <c r="B342">
        <v>336.5</v>
      </c>
      <c r="C342">
        <v>345</v>
      </c>
      <c r="D342">
        <v>328.5</v>
      </c>
      <c r="E342">
        <v>329</v>
      </c>
      <c r="F342">
        <v>274203</v>
      </c>
    </row>
    <row r="343" spans="1:6" x14ac:dyDescent="0.25">
      <c r="A343" s="4">
        <v>43822</v>
      </c>
      <c r="B343">
        <v>329.5</v>
      </c>
      <c r="C343">
        <v>338</v>
      </c>
      <c r="D343">
        <v>329.5</v>
      </c>
      <c r="E343">
        <v>338</v>
      </c>
      <c r="F343">
        <v>81064</v>
      </c>
    </row>
    <row r="344" spans="1:6" x14ac:dyDescent="0.25">
      <c r="A344" s="4">
        <v>43829</v>
      </c>
      <c r="B344">
        <v>338</v>
      </c>
      <c r="C344">
        <v>345</v>
      </c>
      <c r="D344">
        <v>331</v>
      </c>
      <c r="E344">
        <v>339.5</v>
      </c>
      <c r="F344">
        <v>119847</v>
      </c>
    </row>
    <row r="345" spans="1:6" x14ac:dyDescent="0.25">
      <c r="A345" s="4">
        <v>43836</v>
      </c>
      <c r="B345">
        <v>333</v>
      </c>
      <c r="C345">
        <v>341</v>
      </c>
      <c r="D345">
        <v>325</v>
      </c>
      <c r="E345">
        <v>339.5</v>
      </c>
      <c r="F345">
        <v>195615</v>
      </c>
    </row>
    <row r="346" spans="1:6" x14ac:dyDescent="0.25">
      <c r="A346" s="4">
        <v>43843</v>
      </c>
      <c r="B346">
        <v>342</v>
      </c>
      <c r="C346">
        <v>346</v>
      </c>
      <c r="D346">
        <v>330</v>
      </c>
      <c r="E346">
        <v>333</v>
      </c>
      <c r="F346">
        <v>227733</v>
      </c>
    </row>
    <row r="347" spans="1:6" x14ac:dyDescent="0.25">
      <c r="A347" s="4">
        <v>43850</v>
      </c>
      <c r="B347">
        <v>334</v>
      </c>
      <c r="C347">
        <v>335.5</v>
      </c>
      <c r="D347">
        <v>333</v>
      </c>
      <c r="E347">
        <v>333</v>
      </c>
      <c r="F347">
        <v>35551</v>
      </c>
    </row>
    <row r="348" spans="1:6" x14ac:dyDescent="0.25">
      <c r="A348" s="4">
        <v>43860</v>
      </c>
      <c r="B348">
        <v>326</v>
      </c>
      <c r="C348">
        <v>326</v>
      </c>
      <c r="D348">
        <v>316.5</v>
      </c>
      <c r="E348">
        <v>320</v>
      </c>
      <c r="F348">
        <v>189732</v>
      </c>
    </row>
    <row r="349" spans="1:6" x14ac:dyDescent="0.25">
      <c r="A349" s="4">
        <v>43864</v>
      </c>
      <c r="B349">
        <v>315</v>
      </c>
      <c r="C349">
        <v>332.5</v>
      </c>
      <c r="D349">
        <v>312</v>
      </c>
      <c r="E349">
        <v>328</v>
      </c>
      <c r="F349">
        <v>208236</v>
      </c>
    </row>
    <row r="350" spans="1:6" x14ac:dyDescent="0.25">
      <c r="A350" s="4">
        <v>43871</v>
      </c>
      <c r="B350">
        <v>321.5</v>
      </c>
      <c r="C350">
        <v>338</v>
      </c>
      <c r="D350">
        <v>321</v>
      </c>
      <c r="E350">
        <v>335</v>
      </c>
      <c r="F350">
        <v>139034</v>
      </c>
    </row>
    <row r="351" spans="1:6" x14ac:dyDescent="0.25">
      <c r="A351" s="4">
        <v>43878</v>
      </c>
      <c r="B351">
        <v>331.5</v>
      </c>
      <c r="C351">
        <v>333</v>
      </c>
      <c r="D351">
        <v>322</v>
      </c>
      <c r="E351">
        <v>325</v>
      </c>
      <c r="F351">
        <v>179700</v>
      </c>
    </row>
    <row r="352" spans="1:6" x14ac:dyDescent="0.25">
      <c r="A352" s="4">
        <v>43885</v>
      </c>
      <c r="B352">
        <v>319.5</v>
      </c>
      <c r="C352">
        <v>323.5</v>
      </c>
      <c r="D352">
        <v>315</v>
      </c>
      <c r="E352">
        <v>316</v>
      </c>
      <c r="F352">
        <v>204791</v>
      </c>
    </row>
    <row r="353" spans="1:6" x14ac:dyDescent="0.25">
      <c r="A353" s="4">
        <v>43892</v>
      </c>
      <c r="B353">
        <v>308</v>
      </c>
      <c r="C353">
        <v>326</v>
      </c>
      <c r="D353">
        <v>308</v>
      </c>
      <c r="E353">
        <v>315</v>
      </c>
      <c r="F353">
        <v>277319</v>
      </c>
    </row>
    <row r="354" spans="1:6" x14ac:dyDescent="0.25">
      <c r="A354" s="4">
        <v>43899</v>
      </c>
      <c r="B354">
        <v>307.5</v>
      </c>
      <c r="C354">
        <v>310.5</v>
      </c>
      <c r="D354">
        <v>272.5</v>
      </c>
      <c r="E354">
        <v>290</v>
      </c>
      <c r="F354">
        <v>493868</v>
      </c>
    </row>
    <row r="355" spans="1:6" x14ac:dyDescent="0.25">
      <c r="A355" s="4">
        <v>43906</v>
      </c>
      <c r="B355">
        <v>285</v>
      </c>
      <c r="C355">
        <v>291</v>
      </c>
      <c r="D355">
        <v>235.5</v>
      </c>
      <c r="E355">
        <v>270</v>
      </c>
      <c r="F355">
        <v>664955</v>
      </c>
    </row>
    <row r="356" spans="1:6" x14ac:dyDescent="0.25">
      <c r="A356" s="4">
        <v>43913</v>
      </c>
      <c r="B356">
        <v>257</v>
      </c>
      <c r="C356">
        <v>286</v>
      </c>
      <c r="D356">
        <v>252</v>
      </c>
      <c r="E356">
        <v>273</v>
      </c>
      <c r="F356">
        <v>363366</v>
      </c>
    </row>
    <row r="357" spans="1:6" x14ac:dyDescent="0.25">
      <c r="A357" s="4">
        <v>43920</v>
      </c>
      <c r="B357">
        <v>263.5</v>
      </c>
      <c r="C357">
        <v>276.5</v>
      </c>
      <c r="D357">
        <v>262.5</v>
      </c>
      <c r="E357">
        <v>271.5</v>
      </c>
      <c r="F357">
        <v>154878</v>
      </c>
    </row>
    <row r="358" spans="1:6" x14ac:dyDescent="0.25">
      <c r="A358" s="4">
        <v>43927</v>
      </c>
      <c r="B358">
        <v>273</v>
      </c>
      <c r="C358">
        <v>288</v>
      </c>
      <c r="D358">
        <v>270</v>
      </c>
      <c r="E358">
        <v>279.5</v>
      </c>
      <c r="F358">
        <v>204782</v>
      </c>
    </row>
    <row r="359" spans="1:6" x14ac:dyDescent="0.25">
      <c r="A359" s="4">
        <v>43934</v>
      </c>
      <c r="B359">
        <v>278.5</v>
      </c>
      <c r="C359">
        <v>308.5</v>
      </c>
      <c r="D359">
        <v>278.5</v>
      </c>
      <c r="E359">
        <v>306.5</v>
      </c>
      <c r="F359">
        <v>296659</v>
      </c>
    </row>
    <row r="360" spans="1:6" x14ac:dyDescent="0.25">
      <c r="A360" s="4">
        <v>43941</v>
      </c>
      <c r="B360">
        <v>308</v>
      </c>
      <c r="C360">
        <v>309</v>
      </c>
      <c r="D360">
        <v>290.5</v>
      </c>
      <c r="E360">
        <v>294</v>
      </c>
      <c r="F360">
        <v>216547</v>
      </c>
    </row>
    <row r="361" spans="1:6" x14ac:dyDescent="0.25">
      <c r="A361" s="4">
        <v>43948</v>
      </c>
      <c r="B361">
        <v>298</v>
      </c>
      <c r="C361">
        <v>305</v>
      </c>
      <c r="D361">
        <v>294.5</v>
      </c>
      <c r="E361">
        <v>304.5</v>
      </c>
      <c r="F361">
        <v>180807</v>
      </c>
    </row>
    <row r="362" spans="1:6" x14ac:dyDescent="0.25">
      <c r="A362" s="4">
        <v>43955</v>
      </c>
      <c r="B362">
        <v>294.5</v>
      </c>
      <c r="C362">
        <v>300</v>
      </c>
      <c r="D362">
        <v>292.5</v>
      </c>
      <c r="E362">
        <v>297.5</v>
      </c>
      <c r="F362">
        <v>195577</v>
      </c>
    </row>
    <row r="363" spans="1:6" x14ac:dyDescent="0.25">
      <c r="A363" s="4">
        <v>43962</v>
      </c>
      <c r="B363">
        <v>300</v>
      </c>
      <c r="C363">
        <v>301.5</v>
      </c>
      <c r="D363">
        <v>292.5</v>
      </c>
      <c r="E363">
        <v>298</v>
      </c>
      <c r="F363">
        <v>209818</v>
      </c>
    </row>
    <row r="364" spans="1:6" x14ac:dyDescent="0.25">
      <c r="A364" s="4">
        <v>43969</v>
      </c>
      <c r="B364">
        <v>291</v>
      </c>
      <c r="C364">
        <v>298</v>
      </c>
      <c r="D364">
        <v>290</v>
      </c>
      <c r="E364">
        <v>292</v>
      </c>
      <c r="F364">
        <v>264184</v>
      </c>
    </row>
    <row r="365" spans="1:6" x14ac:dyDescent="0.25">
      <c r="A365" s="4">
        <v>43976</v>
      </c>
      <c r="B365">
        <v>290.5</v>
      </c>
      <c r="C365">
        <v>298.5</v>
      </c>
      <c r="D365">
        <v>288.5</v>
      </c>
      <c r="E365">
        <v>292</v>
      </c>
      <c r="F365">
        <v>221142</v>
      </c>
    </row>
    <row r="366" spans="1:6" x14ac:dyDescent="0.25">
      <c r="A366" s="4">
        <v>43983</v>
      </c>
      <c r="B366">
        <v>294</v>
      </c>
      <c r="C366">
        <v>312</v>
      </c>
      <c r="D366">
        <v>293.5</v>
      </c>
      <c r="E366">
        <v>311.5</v>
      </c>
      <c r="F366">
        <v>223797</v>
      </c>
    </row>
    <row r="367" spans="1:6" x14ac:dyDescent="0.25">
      <c r="A367" s="4">
        <v>43990</v>
      </c>
      <c r="B367">
        <v>316</v>
      </c>
      <c r="C367">
        <v>327</v>
      </c>
      <c r="D367">
        <v>312.5</v>
      </c>
      <c r="E367">
        <v>316</v>
      </c>
      <c r="F367">
        <v>228901</v>
      </c>
    </row>
    <row r="368" spans="1:6" x14ac:dyDescent="0.25">
      <c r="A368" s="4">
        <v>43997</v>
      </c>
      <c r="B368">
        <v>316</v>
      </c>
      <c r="C368">
        <v>317.5</v>
      </c>
      <c r="D368">
        <v>308.5</v>
      </c>
      <c r="E368">
        <v>314.5</v>
      </c>
      <c r="F368">
        <v>210024</v>
      </c>
    </row>
    <row r="369" spans="1:6" x14ac:dyDescent="0.25">
      <c r="A369" s="4">
        <v>44004</v>
      </c>
      <c r="B369">
        <v>314.5</v>
      </c>
      <c r="C369">
        <v>320</v>
      </c>
      <c r="D369">
        <v>312</v>
      </c>
      <c r="E369">
        <v>317.5</v>
      </c>
      <c r="F369">
        <v>134139</v>
      </c>
    </row>
    <row r="370" spans="1:6" x14ac:dyDescent="0.25">
      <c r="A370" s="4">
        <v>44011</v>
      </c>
      <c r="B370">
        <v>314</v>
      </c>
      <c r="C370">
        <v>330.5</v>
      </c>
      <c r="D370">
        <v>310</v>
      </c>
      <c r="E370">
        <v>329.5</v>
      </c>
      <c r="F370">
        <v>229046</v>
      </c>
    </row>
    <row r="371" spans="1:6" x14ac:dyDescent="0.25">
      <c r="A371" s="4">
        <v>44018</v>
      </c>
      <c r="B371">
        <v>332.5</v>
      </c>
      <c r="C371">
        <v>353</v>
      </c>
      <c r="D371">
        <v>332</v>
      </c>
      <c r="E371">
        <v>348.5</v>
      </c>
      <c r="F371">
        <v>248428</v>
      </c>
    </row>
    <row r="372" spans="1:6" x14ac:dyDescent="0.25">
      <c r="A372" s="4">
        <v>44025</v>
      </c>
      <c r="B372">
        <v>351</v>
      </c>
      <c r="C372">
        <v>370</v>
      </c>
      <c r="D372">
        <v>350.5</v>
      </c>
      <c r="E372">
        <v>367</v>
      </c>
      <c r="F372">
        <v>322581</v>
      </c>
    </row>
    <row r="373" spans="1:6" x14ac:dyDescent="0.25">
      <c r="A373" s="4">
        <v>44032</v>
      </c>
      <c r="B373">
        <v>370</v>
      </c>
      <c r="C373">
        <v>395</v>
      </c>
      <c r="D373">
        <v>362.5</v>
      </c>
      <c r="E373">
        <v>386</v>
      </c>
      <c r="F373">
        <v>289726</v>
      </c>
    </row>
    <row r="374" spans="1:6" x14ac:dyDescent="0.25">
      <c r="A374" s="4">
        <v>44039</v>
      </c>
      <c r="B374">
        <v>420.5</v>
      </c>
      <c r="C374">
        <v>466.5</v>
      </c>
      <c r="D374">
        <v>416.5</v>
      </c>
      <c r="E374">
        <v>425.5</v>
      </c>
      <c r="F374">
        <v>484536</v>
      </c>
    </row>
    <row r="375" spans="1:6" x14ac:dyDescent="0.25">
      <c r="A375" s="4">
        <v>44046</v>
      </c>
      <c r="B375">
        <v>420.5</v>
      </c>
      <c r="C375">
        <v>438</v>
      </c>
      <c r="D375">
        <v>415</v>
      </c>
      <c r="E375">
        <v>433</v>
      </c>
      <c r="F375">
        <v>247502</v>
      </c>
    </row>
    <row r="376" spans="1:6" x14ac:dyDescent="0.25">
      <c r="A376" s="4">
        <v>44053</v>
      </c>
      <c r="B376">
        <v>427.5</v>
      </c>
      <c r="C376">
        <v>437.5</v>
      </c>
      <c r="D376">
        <v>419</v>
      </c>
      <c r="E376">
        <v>427</v>
      </c>
      <c r="F376">
        <v>194523</v>
      </c>
    </row>
    <row r="377" spans="1:6" x14ac:dyDescent="0.25">
      <c r="A377" s="4">
        <v>44060</v>
      </c>
      <c r="B377">
        <v>427</v>
      </c>
      <c r="C377">
        <v>440.5</v>
      </c>
      <c r="D377">
        <v>401</v>
      </c>
      <c r="E377">
        <v>424.5</v>
      </c>
      <c r="F377">
        <v>228710</v>
      </c>
    </row>
    <row r="378" spans="1:6" x14ac:dyDescent="0.25">
      <c r="A378" s="4">
        <v>44067</v>
      </c>
      <c r="B378">
        <v>427.5</v>
      </c>
      <c r="C378">
        <v>453.5</v>
      </c>
      <c r="D378">
        <v>425</v>
      </c>
      <c r="E378">
        <v>435</v>
      </c>
      <c r="F378">
        <v>241877</v>
      </c>
    </row>
    <row r="379" spans="1:6" x14ac:dyDescent="0.25">
      <c r="A379" s="4">
        <v>44074</v>
      </c>
      <c r="B379">
        <v>437</v>
      </c>
      <c r="C379">
        <v>441</v>
      </c>
      <c r="D379">
        <v>426.5</v>
      </c>
      <c r="E379">
        <v>429</v>
      </c>
      <c r="F379">
        <v>272746</v>
      </c>
    </row>
    <row r="380" spans="1:6" x14ac:dyDescent="0.25">
      <c r="A380" s="4">
        <v>44081</v>
      </c>
      <c r="B380">
        <v>428</v>
      </c>
      <c r="C380">
        <v>436.5</v>
      </c>
      <c r="D380">
        <v>423</v>
      </c>
      <c r="E380">
        <v>436.5</v>
      </c>
      <c r="F380">
        <v>174472</v>
      </c>
    </row>
    <row r="381" spans="1:6" x14ac:dyDescent="0.25">
      <c r="A381" s="4">
        <v>44088</v>
      </c>
      <c r="B381">
        <v>436</v>
      </c>
      <c r="C381">
        <v>462</v>
      </c>
      <c r="D381">
        <v>435.5</v>
      </c>
      <c r="E381">
        <v>444</v>
      </c>
      <c r="F381">
        <v>247016</v>
      </c>
    </row>
    <row r="382" spans="1:6" x14ac:dyDescent="0.25">
      <c r="A382" s="4">
        <v>44095</v>
      </c>
      <c r="B382">
        <v>443.5</v>
      </c>
      <c r="C382">
        <v>450</v>
      </c>
      <c r="D382">
        <v>421</v>
      </c>
      <c r="E382">
        <v>424</v>
      </c>
      <c r="F382">
        <v>248237</v>
      </c>
    </row>
    <row r="383" spans="1:6" x14ac:dyDescent="0.25">
      <c r="A383" s="4">
        <v>44102</v>
      </c>
      <c r="B383">
        <v>427</v>
      </c>
      <c r="C383">
        <v>435</v>
      </c>
      <c r="D383">
        <v>424.5</v>
      </c>
      <c r="E383">
        <v>433</v>
      </c>
      <c r="F383">
        <v>106017</v>
      </c>
    </row>
    <row r="384" spans="1:6" x14ac:dyDescent="0.25">
      <c r="A384" s="4">
        <v>44109</v>
      </c>
      <c r="B384">
        <v>438</v>
      </c>
      <c r="C384">
        <v>454</v>
      </c>
      <c r="D384">
        <v>431.5</v>
      </c>
      <c r="E384">
        <v>453</v>
      </c>
      <c r="F384">
        <v>175060</v>
      </c>
    </row>
    <row r="385" spans="1:6" x14ac:dyDescent="0.25">
      <c r="A385" s="4">
        <v>44116</v>
      </c>
      <c r="B385">
        <v>458</v>
      </c>
      <c r="C385">
        <v>465</v>
      </c>
      <c r="D385">
        <v>448.5</v>
      </c>
      <c r="E385">
        <v>449</v>
      </c>
      <c r="F385">
        <v>264888</v>
      </c>
    </row>
    <row r="386" spans="1:6" x14ac:dyDescent="0.25">
      <c r="A386" s="4">
        <v>44123</v>
      </c>
      <c r="B386">
        <v>453</v>
      </c>
      <c r="C386">
        <v>458</v>
      </c>
      <c r="D386">
        <v>449.5</v>
      </c>
      <c r="E386">
        <v>452</v>
      </c>
      <c r="F386">
        <v>135384</v>
      </c>
    </row>
    <row r="387" spans="1:6" x14ac:dyDescent="0.25">
      <c r="A387" s="4">
        <v>44130</v>
      </c>
      <c r="B387">
        <v>455</v>
      </c>
      <c r="C387">
        <v>455</v>
      </c>
      <c r="D387">
        <v>432</v>
      </c>
      <c r="E387">
        <v>432</v>
      </c>
      <c r="F387">
        <v>166663</v>
      </c>
    </row>
    <row r="388" spans="1:6" x14ac:dyDescent="0.25">
      <c r="A388" s="4">
        <v>44137</v>
      </c>
      <c r="B388">
        <v>433</v>
      </c>
      <c r="C388">
        <v>455.5</v>
      </c>
      <c r="D388">
        <v>428</v>
      </c>
      <c r="E388">
        <v>452.5</v>
      </c>
      <c r="F388">
        <v>173115</v>
      </c>
    </row>
    <row r="389" spans="1:6" x14ac:dyDescent="0.25">
      <c r="A389" s="4">
        <v>44144</v>
      </c>
      <c r="B389">
        <v>458</v>
      </c>
      <c r="C389">
        <v>463.5</v>
      </c>
      <c r="D389">
        <v>448.5</v>
      </c>
      <c r="E389">
        <v>462</v>
      </c>
      <c r="F389">
        <v>210036</v>
      </c>
    </row>
    <row r="390" spans="1:6" x14ac:dyDescent="0.25">
      <c r="A390" s="4">
        <v>44151</v>
      </c>
      <c r="B390">
        <v>470</v>
      </c>
      <c r="C390">
        <v>506</v>
      </c>
      <c r="D390">
        <v>469</v>
      </c>
      <c r="E390">
        <v>488</v>
      </c>
      <c r="F390">
        <v>298340</v>
      </c>
    </row>
    <row r="391" spans="1:6" x14ac:dyDescent="0.25">
      <c r="A391" s="4">
        <v>44158</v>
      </c>
      <c r="B391">
        <v>494.5</v>
      </c>
      <c r="C391">
        <v>500</v>
      </c>
      <c r="D391">
        <v>486.5</v>
      </c>
      <c r="E391">
        <v>489</v>
      </c>
      <c r="F391">
        <v>196559</v>
      </c>
    </row>
    <row r="392" spans="1:6" x14ac:dyDescent="0.25">
      <c r="A392" s="4">
        <v>44165</v>
      </c>
      <c r="B392">
        <v>493</v>
      </c>
      <c r="C392">
        <v>505</v>
      </c>
      <c r="D392">
        <v>480.5</v>
      </c>
      <c r="E392">
        <v>503</v>
      </c>
      <c r="F392">
        <v>339252</v>
      </c>
    </row>
    <row r="393" spans="1:6" x14ac:dyDescent="0.25">
      <c r="A393" s="4">
        <v>44172</v>
      </c>
      <c r="B393">
        <v>512</v>
      </c>
      <c r="C393">
        <v>525</v>
      </c>
      <c r="D393">
        <v>505</v>
      </c>
      <c r="E393">
        <v>516</v>
      </c>
      <c r="F393">
        <v>229443</v>
      </c>
    </row>
    <row r="394" spans="1:6" x14ac:dyDescent="0.25">
      <c r="A394" s="4">
        <v>44179</v>
      </c>
      <c r="B394">
        <v>512</v>
      </c>
      <c r="C394">
        <v>515</v>
      </c>
      <c r="D394">
        <v>504</v>
      </c>
      <c r="E394">
        <v>510</v>
      </c>
      <c r="F394">
        <v>207442</v>
      </c>
    </row>
    <row r="395" spans="1:6" x14ac:dyDescent="0.25">
      <c r="A395" s="4">
        <v>44186</v>
      </c>
      <c r="B395">
        <v>512</v>
      </c>
      <c r="C395">
        <v>517</v>
      </c>
      <c r="D395">
        <v>506</v>
      </c>
      <c r="E395">
        <v>511</v>
      </c>
      <c r="F395">
        <v>106905</v>
      </c>
    </row>
    <row r="396" spans="1:6" x14ac:dyDescent="0.25">
      <c r="A396" s="4">
        <v>44193</v>
      </c>
      <c r="B396">
        <v>512</v>
      </c>
      <c r="C396">
        <v>530</v>
      </c>
      <c r="D396">
        <v>509</v>
      </c>
      <c r="E396">
        <v>530</v>
      </c>
      <c r="F396">
        <v>117626</v>
      </c>
    </row>
    <row r="397" spans="1:6" x14ac:dyDescent="0.25">
      <c r="A397" s="4">
        <v>44200</v>
      </c>
      <c r="B397">
        <v>530</v>
      </c>
      <c r="C397">
        <v>580</v>
      </c>
      <c r="D397">
        <v>528</v>
      </c>
      <c r="E397">
        <v>580</v>
      </c>
      <c r="F397">
        <v>246294</v>
      </c>
    </row>
    <row r="398" spans="1:6" x14ac:dyDescent="0.25">
      <c r="A398" s="4">
        <v>44207</v>
      </c>
      <c r="B398">
        <v>577</v>
      </c>
      <c r="C398">
        <v>625</v>
      </c>
      <c r="D398">
        <v>574</v>
      </c>
      <c r="E398">
        <v>601</v>
      </c>
      <c r="F398">
        <v>372393</v>
      </c>
    </row>
    <row r="399" spans="1:6" x14ac:dyDescent="0.25">
      <c r="A399" s="4">
        <v>44214</v>
      </c>
      <c r="B399">
        <v>608</v>
      </c>
      <c r="C399">
        <v>679</v>
      </c>
      <c r="D399">
        <v>594</v>
      </c>
      <c r="E399">
        <v>649</v>
      </c>
      <c r="F399">
        <v>430649</v>
      </c>
    </row>
    <row r="400" spans="1:6" x14ac:dyDescent="0.25">
      <c r="A400" s="4">
        <v>44221</v>
      </c>
      <c r="B400">
        <v>642</v>
      </c>
      <c r="C400">
        <v>646</v>
      </c>
      <c r="D400">
        <v>591</v>
      </c>
      <c r="E400">
        <v>591</v>
      </c>
      <c r="F400">
        <v>487287</v>
      </c>
    </row>
    <row r="401" spans="1:6" x14ac:dyDescent="0.25">
      <c r="A401" s="4">
        <v>44228</v>
      </c>
      <c r="B401">
        <v>595</v>
      </c>
      <c r="C401">
        <v>642</v>
      </c>
      <c r="D401">
        <v>587</v>
      </c>
      <c r="E401">
        <v>632</v>
      </c>
      <c r="F401">
        <v>315548</v>
      </c>
    </row>
    <row r="402" spans="1:6" x14ac:dyDescent="0.25">
      <c r="A402" s="4">
        <v>44244</v>
      </c>
      <c r="B402">
        <v>663</v>
      </c>
      <c r="C402">
        <v>668</v>
      </c>
      <c r="D402">
        <v>647</v>
      </c>
      <c r="E402">
        <v>652</v>
      </c>
      <c r="F402">
        <v>221751</v>
      </c>
    </row>
    <row r="403" spans="1:6" x14ac:dyDescent="0.25">
      <c r="A403" s="4">
        <v>44249</v>
      </c>
      <c r="B403">
        <v>660</v>
      </c>
      <c r="C403">
        <v>662</v>
      </c>
      <c r="D403">
        <v>606</v>
      </c>
      <c r="E403">
        <v>606</v>
      </c>
      <c r="F403">
        <v>355603</v>
      </c>
    </row>
    <row r="404" spans="1:6" x14ac:dyDescent="0.25">
      <c r="A404" s="4">
        <v>44257</v>
      </c>
      <c r="B404">
        <v>621</v>
      </c>
      <c r="C404">
        <v>622</v>
      </c>
      <c r="D404">
        <v>584</v>
      </c>
      <c r="E404">
        <v>601</v>
      </c>
      <c r="F404">
        <v>280052</v>
      </c>
    </row>
    <row r="405" spans="1:6" x14ac:dyDescent="0.25">
      <c r="A405" s="4">
        <v>44263</v>
      </c>
      <c r="B405">
        <v>608</v>
      </c>
      <c r="C405">
        <v>618</v>
      </c>
      <c r="D405">
        <v>585</v>
      </c>
      <c r="E405">
        <v>614</v>
      </c>
      <c r="F405">
        <v>253223</v>
      </c>
    </row>
    <row r="406" spans="1:6" x14ac:dyDescent="0.25">
      <c r="A406" s="4">
        <v>44270</v>
      </c>
      <c r="B406">
        <v>614</v>
      </c>
      <c r="C406">
        <v>614</v>
      </c>
      <c r="D406">
        <v>591</v>
      </c>
      <c r="E406">
        <v>591</v>
      </c>
      <c r="F406">
        <v>216676</v>
      </c>
    </row>
    <row r="407" spans="1:6" x14ac:dyDescent="0.25">
      <c r="A407" s="4">
        <v>44277</v>
      </c>
      <c r="B407">
        <v>588</v>
      </c>
      <c r="C407">
        <v>603</v>
      </c>
      <c r="D407">
        <v>570</v>
      </c>
      <c r="E407">
        <v>590</v>
      </c>
      <c r="F407">
        <v>295346</v>
      </c>
    </row>
    <row r="408" spans="1:6" x14ac:dyDescent="0.25">
      <c r="A408" s="4">
        <v>44284</v>
      </c>
      <c r="B408">
        <v>599</v>
      </c>
      <c r="C408">
        <v>602</v>
      </c>
      <c r="D408">
        <v>587</v>
      </c>
      <c r="E408">
        <v>602</v>
      </c>
      <c r="F408">
        <v>165688</v>
      </c>
    </row>
    <row r="409" spans="1:6" x14ac:dyDescent="0.25">
      <c r="A409" s="4">
        <v>44292</v>
      </c>
      <c r="B409">
        <v>615</v>
      </c>
      <c r="C409">
        <v>618</v>
      </c>
      <c r="D409">
        <v>603</v>
      </c>
      <c r="E409">
        <v>610</v>
      </c>
      <c r="F409">
        <v>124065</v>
      </c>
    </row>
    <row r="410" spans="1:6" x14ac:dyDescent="0.25">
      <c r="A410" s="4">
        <v>44298</v>
      </c>
      <c r="B410">
        <v>612</v>
      </c>
      <c r="C410">
        <v>619</v>
      </c>
      <c r="D410">
        <v>600</v>
      </c>
      <c r="E410">
        <v>610</v>
      </c>
      <c r="F410">
        <v>168198</v>
      </c>
    </row>
    <row r="411" spans="1:6" x14ac:dyDescent="0.25">
      <c r="A411" s="4">
        <v>44305</v>
      </c>
      <c r="B411">
        <v>605</v>
      </c>
      <c r="C411">
        <v>607</v>
      </c>
      <c r="D411">
        <v>590</v>
      </c>
      <c r="E411">
        <v>602</v>
      </c>
      <c r="F411">
        <v>170883</v>
      </c>
    </row>
    <row r="412" spans="1:6" x14ac:dyDescent="0.25">
      <c r="A412" s="4">
        <v>44312</v>
      </c>
      <c r="B412">
        <v>605</v>
      </c>
      <c r="C412">
        <v>611</v>
      </c>
      <c r="D412">
        <v>600</v>
      </c>
      <c r="E412">
        <v>600</v>
      </c>
      <c r="F412">
        <v>119546</v>
      </c>
    </row>
    <row r="413" spans="1:6" x14ac:dyDescent="0.25">
      <c r="A413" s="4">
        <v>44319</v>
      </c>
      <c r="B413">
        <v>595</v>
      </c>
      <c r="C413">
        <v>600</v>
      </c>
      <c r="D413">
        <v>580</v>
      </c>
      <c r="E413">
        <v>599</v>
      </c>
      <c r="F413">
        <v>185980</v>
      </c>
    </row>
    <row r="414" spans="1:6" x14ac:dyDescent="0.25">
      <c r="A414" s="4">
        <v>44326</v>
      </c>
      <c r="B414">
        <v>596</v>
      </c>
      <c r="C414">
        <v>597</v>
      </c>
      <c r="D414">
        <v>518</v>
      </c>
      <c r="E414">
        <v>557</v>
      </c>
      <c r="F414">
        <v>335875</v>
      </c>
    </row>
    <row r="415" spans="1:6" x14ac:dyDescent="0.25">
      <c r="A415" s="4">
        <v>44333</v>
      </c>
      <c r="B415">
        <v>544</v>
      </c>
      <c r="C415">
        <v>577</v>
      </c>
      <c r="D415">
        <v>541</v>
      </c>
      <c r="E415">
        <v>573</v>
      </c>
      <c r="F415">
        <v>197257</v>
      </c>
    </row>
    <row r="416" spans="1:6" x14ac:dyDescent="0.25">
      <c r="A416" s="4">
        <v>44340</v>
      </c>
      <c r="B416">
        <v>570</v>
      </c>
      <c r="C416">
        <v>592</v>
      </c>
      <c r="D416">
        <v>566</v>
      </c>
      <c r="E416">
        <v>590</v>
      </c>
      <c r="F416">
        <v>171763</v>
      </c>
    </row>
    <row r="417" spans="1:6" x14ac:dyDescent="0.25">
      <c r="A417" s="4">
        <v>44347</v>
      </c>
      <c r="B417">
        <v>595</v>
      </c>
      <c r="C417">
        <v>600</v>
      </c>
      <c r="D417">
        <v>590</v>
      </c>
      <c r="E417">
        <v>595</v>
      </c>
      <c r="F417">
        <v>120156</v>
      </c>
    </row>
    <row r="418" spans="1:6" x14ac:dyDescent="0.25">
      <c r="A418" s="4">
        <v>44354</v>
      </c>
      <c r="B418">
        <v>594</v>
      </c>
      <c r="C418">
        <v>603</v>
      </c>
      <c r="D418">
        <v>583</v>
      </c>
      <c r="E418">
        <v>602</v>
      </c>
      <c r="F418">
        <v>108070</v>
      </c>
    </row>
    <row r="419" spans="1:6" x14ac:dyDescent="0.25">
      <c r="A419" s="4">
        <v>44362</v>
      </c>
      <c r="B419">
        <v>607</v>
      </c>
      <c r="C419">
        <v>609</v>
      </c>
      <c r="D419">
        <v>598</v>
      </c>
      <c r="E419">
        <v>603</v>
      </c>
      <c r="F419">
        <v>127384</v>
      </c>
    </row>
    <row r="420" spans="1:6" x14ac:dyDescent="0.25">
      <c r="A420" s="4">
        <v>44368</v>
      </c>
      <c r="B420">
        <v>590</v>
      </c>
      <c r="C420">
        <v>598</v>
      </c>
      <c r="D420">
        <v>578</v>
      </c>
      <c r="E420">
        <v>591</v>
      </c>
      <c r="F420">
        <v>152767</v>
      </c>
    </row>
    <row r="421" spans="1:6" x14ac:dyDescent="0.25">
      <c r="A421" s="4">
        <v>44375</v>
      </c>
      <c r="B421">
        <v>590</v>
      </c>
      <c r="C421">
        <v>599</v>
      </c>
      <c r="D421">
        <v>586</v>
      </c>
      <c r="E421">
        <v>588</v>
      </c>
      <c r="F421">
        <v>118614</v>
      </c>
    </row>
    <row r="422" spans="1:6" x14ac:dyDescent="0.25">
      <c r="A422" s="4">
        <v>44382</v>
      </c>
      <c r="B422">
        <v>588</v>
      </c>
      <c r="C422">
        <v>597</v>
      </c>
      <c r="D422">
        <v>580</v>
      </c>
      <c r="E422">
        <v>584</v>
      </c>
      <c r="F422">
        <v>113633</v>
      </c>
    </row>
    <row r="423" spans="1:6" x14ac:dyDescent="0.25">
      <c r="A423" s="4">
        <v>44389</v>
      </c>
      <c r="B423">
        <v>595</v>
      </c>
      <c r="C423">
        <v>615</v>
      </c>
      <c r="D423">
        <v>588</v>
      </c>
      <c r="E423">
        <v>589</v>
      </c>
      <c r="F423">
        <v>212516</v>
      </c>
    </row>
    <row r="424" spans="1:6" x14ac:dyDescent="0.25">
      <c r="A424" s="4">
        <v>44396</v>
      </c>
      <c r="B424">
        <v>583</v>
      </c>
      <c r="C424">
        <v>594</v>
      </c>
      <c r="D424">
        <v>578</v>
      </c>
      <c r="E424">
        <v>585</v>
      </c>
      <c r="F424">
        <v>128859</v>
      </c>
    </row>
    <row r="425" spans="1:6" x14ac:dyDescent="0.25">
      <c r="A425" s="4">
        <v>44403</v>
      </c>
      <c r="B425">
        <v>591</v>
      </c>
      <c r="C425">
        <v>591</v>
      </c>
      <c r="D425">
        <v>580</v>
      </c>
      <c r="E425">
        <v>580</v>
      </c>
      <c r="F425">
        <v>22443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5D8B5-106E-48F3-AB28-5FBAE243A492}">
  <sheetPr codeName="工作表8"/>
  <dimension ref="A2:X54"/>
  <sheetViews>
    <sheetView workbookViewId="0">
      <selection activeCell="A3" sqref="A3"/>
    </sheetView>
  </sheetViews>
  <sheetFormatPr defaultRowHeight="16.5" x14ac:dyDescent="0.25"/>
  <sheetData>
    <row r="2" spans="1:24" x14ac:dyDescent="0.25">
      <c r="A2" t="s">
        <v>0</v>
      </c>
    </row>
    <row r="3" spans="1:24" x14ac:dyDescent="0.25">
      <c r="A3">
        <f>總表!A2</f>
        <v>2330</v>
      </c>
    </row>
    <row r="6" spans="1:24" x14ac:dyDescent="0.25">
      <c r="A6" t="s">
        <v>194</v>
      </c>
      <c r="B6" t="s">
        <v>195</v>
      </c>
      <c r="C6" t="s">
        <v>196</v>
      </c>
    </row>
    <row r="7" spans="1:24" ht="49.5" x14ac:dyDescent="0.25">
      <c r="A7" s="2" t="s">
        <v>197</v>
      </c>
      <c r="B7" t="s">
        <v>198</v>
      </c>
      <c r="C7" t="s">
        <v>199</v>
      </c>
      <c r="D7" s="2" t="s">
        <v>200</v>
      </c>
      <c r="E7" s="2" t="s">
        <v>201</v>
      </c>
    </row>
    <row r="8" spans="1:24" ht="49.5" x14ac:dyDescent="0.25">
      <c r="A8" t="s">
        <v>202</v>
      </c>
      <c r="B8" t="s">
        <v>203</v>
      </c>
      <c r="C8" s="2" t="s">
        <v>204</v>
      </c>
      <c r="D8" s="2" t="s">
        <v>205</v>
      </c>
      <c r="E8" s="2" t="s">
        <v>206</v>
      </c>
      <c r="F8" s="2" t="s">
        <v>207</v>
      </c>
      <c r="G8" t="s">
        <v>208</v>
      </c>
      <c r="H8" t="s">
        <v>209</v>
      </c>
      <c r="I8" s="2" t="s">
        <v>210</v>
      </c>
      <c r="J8" s="2" t="s">
        <v>211</v>
      </c>
      <c r="K8" t="s">
        <v>212</v>
      </c>
    </row>
    <row r="9" spans="1:24" x14ac:dyDescent="0.25">
      <c r="A9" t="s">
        <v>213</v>
      </c>
      <c r="B9" t="s">
        <v>214</v>
      </c>
      <c r="C9" t="s">
        <v>215</v>
      </c>
      <c r="D9" t="s">
        <v>213</v>
      </c>
      <c r="E9" t="s">
        <v>214</v>
      </c>
      <c r="F9" t="s">
        <v>215</v>
      </c>
      <c r="G9" t="s">
        <v>216</v>
      </c>
      <c r="H9" t="s">
        <v>217</v>
      </c>
      <c r="I9" t="s">
        <v>218</v>
      </c>
      <c r="J9" t="s">
        <v>219</v>
      </c>
      <c r="K9" t="s">
        <v>220</v>
      </c>
      <c r="L9" t="s">
        <v>215</v>
      </c>
      <c r="M9" t="s">
        <v>221</v>
      </c>
      <c r="N9" t="s">
        <v>222</v>
      </c>
      <c r="O9" t="s">
        <v>215</v>
      </c>
    </row>
    <row r="10" spans="1:24" ht="49.5" x14ac:dyDescent="0.25">
      <c r="A10">
        <v>2021</v>
      </c>
      <c r="B10">
        <v>7.75</v>
      </c>
      <c r="C10">
        <v>0</v>
      </c>
      <c r="D10">
        <v>7.75</v>
      </c>
      <c r="E10">
        <v>0</v>
      </c>
      <c r="F10">
        <v>0</v>
      </c>
      <c r="G10">
        <v>0</v>
      </c>
      <c r="H10">
        <v>7.75</v>
      </c>
      <c r="I10" s="3">
        <v>2010</v>
      </c>
      <c r="J10">
        <v>0</v>
      </c>
      <c r="K10" t="s">
        <v>223</v>
      </c>
      <c r="L10" t="s">
        <v>223</v>
      </c>
      <c r="M10">
        <v>2021</v>
      </c>
      <c r="N10">
        <v>679</v>
      </c>
      <c r="O10">
        <v>518</v>
      </c>
      <c r="P10">
        <v>599</v>
      </c>
      <c r="Q10">
        <v>1.29</v>
      </c>
      <c r="R10">
        <v>0</v>
      </c>
      <c r="S10">
        <v>1.29</v>
      </c>
      <c r="T10" s="2" t="s">
        <v>3893</v>
      </c>
      <c r="U10">
        <v>16.190000000000001</v>
      </c>
      <c r="V10">
        <v>47.9</v>
      </c>
      <c r="W10">
        <v>0</v>
      </c>
      <c r="X10">
        <v>47.9</v>
      </c>
    </row>
    <row r="11" spans="1:24" x14ac:dyDescent="0.25">
      <c r="A11" t="s">
        <v>3894</v>
      </c>
      <c r="B11">
        <v>2.75</v>
      </c>
      <c r="C11">
        <v>0</v>
      </c>
      <c r="D11">
        <v>2.75</v>
      </c>
      <c r="E11">
        <v>0</v>
      </c>
      <c r="F11">
        <v>0</v>
      </c>
      <c r="G11">
        <v>0</v>
      </c>
      <c r="H11">
        <v>2.75</v>
      </c>
      <c r="I11">
        <v>713</v>
      </c>
      <c r="J11">
        <v>0</v>
      </c>
      <c r="K11" t="s">
        <v>223</v>
      </c>
      <c r="L11" t="s">
        <v>223</v>
      </c>
      <c r="M11" t="s">
        <v>3894</v>
      </c>
      <c r="N11" t="s">
        <v>223</v>
      </c>
      <c r="O11" t="s">
        <v>223</v>
      </c>
      <c r="P11" t="s">
        <v>223</v>
      </c>
      <c r="Q11">
        <v>0.46</v>
      </c>
      <c r="R11">
        <v>0</v>
      </c>
      <c r="S11">
        <v>0.46</v>
      </c>
      <c r="T11" t="s">
        <v>3895</v>
      </c>
      <c r="U11">
        <v>5.39</v>
      </c>
      <c r="V11">
        <v>51</v>
      </c>
      <c r="W11">
        <v>0</v>
      </c>
      <c r="X11">
        <v>51</v>
      </c>
    </row>
    <row r="12" spans="1:24" x14ac:dyDescent="0.25">
      <c r="A12" t="s">
        <v>3894</v>
      </c>
      <c r="B12">
        <v>2.5</v>
      </c>
      <c r="C12">
        <v>0</v>
      </c>
      <c r="D12">
        <v>2.5</v>
      </c>
      <c r="E12">
        <v>0</v>
      </c>
      <c r="F12">
        <v>0</v>
      </c>
      <c r="G12">
        <v>0</v>
      </c>
      <c r="H12">
        <v>2.5</v>
      </c>
      <c r="I12">
        <v>648</v>
      </c>
      <c r="J12">
        <v>0</v>
      </c>
      <c r="K12">
        <v>1</v>
      </c>
      <c r="L12" t="s">
        <v>223</v>
      </c>
      <c r="M12" t="s">
        <v>3894</v>
      </c>
      <c r="N12" t="s">
        <v>223</v>
      </c>
      <c r="O12" t="s">
        <v>223</v>
      </c>
      <c r="P12" t="s">
        <v>223</v>
      </c>
      <c r="Q12">
        <v>0.42</v>
      </c>
      <c r="R12">
        <v>0</v>
      </c>
      <c r="S12">
        <v>0.42</v>
      </c>
      <c r="T12" t="s">
        <v>3896</v>
      </c>
      <c r="U12">
        <v>5.51</v>
      </c>
      <c r="V12">
        <v>45.4</v>
      </c>
      <c r="W12">
        <v>0</v>
      </c>
      <c r="X12">
        <v>45.4</v>
      </c>
    </row>
    <row r="13" spans="1:24" x14ac:dyDescent="0.25">
      <c r="A13" t="s">
        <v>3894</v>
      </c>
      <c r="B13">
        <v>2.5</v>
      </c>
      <c r="C13">
        <v>0</v>
      </c>
      <c r="D13">
        <v>2.5</v>
      </c>
      <c r="E13">
        <v>0</v>
      </c>
      <c r="F13">
        <v>0</v>
      </c>
      <c r="G13">
        <v>0</v>
      </c>
      <c r="H13">
        <v>2.5</v>
      </c>
      <c r="I13">
        <v>648</v>
      </c>
      <c r="J13">
        <v>0</v>
      </c>
      <c r="K13">
        <v>13</v>
      </c>
      <c r="L13" t="s">
        <v>223</v>
      </c>
      <c r="M13" t="s">
        <v>3894</v>
      </c>
      <c r="N13" t="s">
        <v>223</v>
      </c>
      <c r="O13" t="s">
        <v>223</v>
      </c>
      <c r="P13" t="s">
        <v>223</v>
      </c>
      <c r="Q13">
        <v>0.42</v>
      </c>
      <c r="R13">
        <v>0</v>
      </c>
      <c r="S13">
        <v>0.42</v>
      </c>
      <c r="T13" t="s">
        <v>3897</v>
      </c>
      <c r="U13">
        <v>5.3</v>
      </c>
      <c r="V13">
        <v>47.2</v>
      </c>
      <c r="W13">
        <v>0</v>
      </c>
      <c r="X13">
        <v>47.2</v>
      </c>
    </row>
    <row r="14" spans="1:24" ht="49.5" x14ac:dyDescent="0.25">
      <c r="A14">
        <v>2020</v>
      </c>
      <c r="B14">
        <v>10</v>
      </c>
      <c r="C14">
        <v>0</v>
      </c>
      <c r="D14">
        <v>10</v>
      </c>
      <c r="E14">
        <v>0</v>
      </c>
      <c r="F14">
        <v>0</v>
      </c>
      <c r="G14">
        <v>0</v>
      </c>
      <c r="H14">
        <v>10</v>
      </c>
      <c r="I14" s="3">
        <v>2593</v>
      </c>
      <c r="J14">
        <v>0</v>
      </c>
      <c r="K14" t="s">
        <v>223</v>
      </c>
      <c r="L14" t="s">
        <v>223</v>
      </c>
      <c r="M14">
        <v>2020</v>
      </c>
      <c r="N14">
        <v>530</v>
      </c>
      <c r="O14">
        <v>235.5</v>
      </c>
      <c r="P14">
        <v>379</v>
      </c>
      <c r="Q14">
        <v>2.64</v>
      </c>
      <c r="R14">
        <v>0</v>
      </c>
      <c r="S14">
        <v>2.64</v>
      </c>
      <c r="T14" s="2" t="s">
        <v>3898</v>
      </c>
      <c r="U14">
        <v>17.55</v>
      </c>
      <c r="V14">
        <v>57</v>
      </c>
      <c r="W14">
        <v>0</v>
      </c>
      <c r="X14">
        <v>57</v>
      </c>
    </row>
    <row r="15" spans="1:24" x14ac:dyDescent="0.25">
      <c r="A15" t="s">
        <v>3894</v>
      </c>
      <c r="B15">
        <v>2.5</v>
      </c>
      <c r="C15">
        <v>0</v>
      </c>
      <c r="D15">
        <v>2.5</v>
      </c>
      <c r="E15">
        <v>0</v>
      </c>
      <c r="F15">
        <v>0</v>
      </c>
      <c r="G15">
        <v>0</v>
      </c>
      <c r="H15">
        <v>2.5</v>
      </c>
      <c r="I15">
        <v>648</v>
      </c>
      <c r="J15">
        <v>0</v>
      </c>
      <c r="K15">
        <v>1</v>
      </c>
      <c r="L15" t="s">
        <v>223</v>
      </c>
      <c r="M15" t="s">
        <v>3894</v>
      </c>
      <c r="N15" t="s">
        <v>223</v>
      </c>
      <c r="O15" t="s">
        <v>223</v>
      </c>
      <c r="P15" t="s">
        <v>223</v>
      </c>
      <c r="Q15">
        <v>0.66</v>
      </c>
      <c r="R15">
        <v>0</v>
      </c>
      <c r="S15">
        <v>0.66</v>
      </c>
      <c r="T15" t="s">
        <v>3899</v>
      </c>
      <c r="U15">
        <v>4.66</v>
      </c>
      <c r="V15">
        <v>53.7</v>
      </c>
      <c r="W15">
        <v>0</v>
      </c>
      <c r="X15">
        <v>53.7</v>
      </c>
    </row>
    <row r="16" spans="1:24" x14ac:dyDescent="0.25">
      <c r="A16" t="s">
        <v>3894</v>
      </c>
      <c r="B16">
        <v>2.5</v>
      </c>
      <c r="C16">
        <v>0</v>
      </c>
      <c r="D16">
        <v>2.5</v>
      </c>
      <c r="E16">
        <v>0</v>
      </c>
      <c r="F16">
        <v>0</v>
      </c>
      <c r="G16">
        <v>0</v>
      </c>
      <c r="H16">
        <v>2.5</v>
      </c>
      <c r="I16">
        <v>648</v>
      </c>
      <c r="J16">
        <v>0</v>
      </c>
      <c r="K16">
        <v>15</v>
      </c>
      <c r="L16" t="s">
        <v>223</v>
      </c>
      <c r="M16" t="s">
        <v>3894</v>
      </c>
      <c r="N16" t="s">
        <v>223</v>
      </c>
      <c r="O16" t="s">
        <v>223</v>
      </c>
      <c r="P16" t="s">
        <v>223</v>
      </c>
      <c r="Q16">
        <v>0.66</v>
      </c>
      <c r="R16">
        <v>0</v>
      </c>
      <c r="S16">
        <v>0.66</v>
      </c>
      <c r="T16" t="s">
        <v>3900</v>
      </c>
      <c r="U16">
        <v>4.51</v>
      </c>
      <c r="V16">
        <v>55.4</v>
      </c>
      <c r="W16">
        <v>0</v>
      </c>
      <c r="X16">
        <v>55.4</v>
      </c>
    </row>
    <row r="17" spans="1:24" x14ac:dyDescent="0.25">
      <c r="A17" t="s">
        <v>3894</v>
      </c>
      <c r="B17">
        <v>2.5</v>
      </c>
      <c r="C17">
        <v>0</v>
      </c>
      <c r="D17">
        <v>2.5</v>
      </c>
      <c r="E17">
        <v>0</v>
      </c>
      <c r="F17">
        <v>0</v>
      </c>
      <c r="G17">
        <v>0</v>
      </c>
      <c r="H17">
        <v>2.5</v>
      </c>
      <c r="I17">
        <v>648</v>
      </c>
      <c r="J17">
        <v>0</v>
      </c>
      <c r="K17">
        <v>1</v>
      </c>
      <c r="L17" t="s">
        <v>223</v>
      </c>
      <c r="M17" t="s">
        <v>3894</v>
      </c>
      <c r="N17" t="s">
        <v>223</v>
      </c>
      <c r="O17" t="s">
        <v>223</v>
      </c>
      <c r="P17" t="s">
        <v>223</v>
      </c>
      <c r="Q17">
        <v>0.66</v>
      </c>
      <c r="R17">
        <v>0</v>
      </c>
      <c r="S17">
        <v>0.66</v>
      </c>
      <c r="T17" t="s">
        <v>3901</v>
      </c>
      <c r="U17">
        <v>4.4800000000000004</v>
      </c>
      <c r="V17">
        <v>55.8</v>
      </c>
      <c r="W17">
        <v>0</v>
      </c>
      <c r="X17">
        <v>55.8</v>
      </c>
    </row>
    <row r="18" spans="1:24" x14ac:dyDescent="0.25">
      <c r="A18" t="s">
        <v>3894</v>
      </c>
      <c r="B18">
        <v>2.5</v>
      </c>
      <c r="C18">
        <v>0</v>
      </c>
      <c r="D18">
        <v>2.5</v>
      </c>
      <c r="E18">
        <v>0</v>
      </c>
      <c r="F18">
        <v>0</v>
      </c>
      <c r="G18">
        <v>0</v>
      </c>
      <c r="H18">
        <v>2.5</v>
      </c>
      <c r="I18">
        <v>648</v>
      </c>
      <c r="J18">
        <v>0</v>
      </c>
      <c r="K18">
        <v>2</v>
      </c>
      <c r="L18" t="s">
        <v>223</v>
      </c>
      <c r="M18" t="s">
        <v>3894</v>
      </c>
      <c r="N18" t="s">
        <v>223</v>
      </c>
      <c r="O18" t="s">
        <v>223</v>
      </c>
      <c r="P18" t="s">
        <v>223</v>
      </c>
      <c r="Q18">
        <v>0.66</v>
      </c>
      <c r="R18">
        <v>0</v>
      </c>
      <c r="S18">
        <v>0.66</v>
      </c>
      <c r="T18" t="s">
        <v>3902</v>
      </c>
      <c r="U18">
        <v>3.9</v>
      </c>
      <c r="V18">
        <v>64.099999999999994</v>
      </c>
      <c r="W18">
        <v>0</v>
      </c>
      <c r="X18">
        <v>64.099999999999994</v>
      </c>
    </row>
    <row r="19" spans="1:24" ht="49.5" x14ac:dyDescent="0.25">
      <c r="A19">
        <v>2019</v>
      </c>
      <c r="B19">
        <v>12.5</v>
      </c>
      <c r="C19">
        <v>0</v>
      </c>
      <c r="D19">
        <v>12.5</v>
      </c>
      <c r="E19">
        <v>0</v>
      </c>
      <c r="F19">
        <v>0</v>
      </c>
      <c r="G19">
        <v>0</v>
      </c>
      <c r="H19">
        <v>12.5</v>
      </c>
      <c r="I19" s="3">
        <v>3241</v>
      </c>
      <c r="J19">
        <v>0</v>
      </c>
      <c r="K19" t="s">
        <v>223</v>
      </c>
      <c r="L19" t="s">
        <v>223</v>
      </c>
      <c r="M19">
        <v>2019</v>
      </c>
      <c r="N19">
        <v>345</v>
      </c>
      <c r="O19">
        <v>206.5</v>
      </c>
      <c r="P19">
        <v>262</v>
      </c>
      <c r="Q19">
        <v>4.78</v>
      </c>
      <c r="R19">
        <v>0</v>
      </c>
      <c r="S19">
        <v>4.78</v>
      </c>
      <c r="T19" s="2" t="s">
        <v>3903</v>
      </c>
      <c r="U19">
        <v>18.48</v>
      </c>
      <c r="V19">
        <v>67.599999999999994</v>
      </c>
      <c r="W19">
        <v>0</v>
      </c>
      <c r="X19">
        <v>67.599999999999994</v>
      </c>
    </row>
    <row r="20" spans="1:24" x14ac:dyDescent="0.25">
      <c r="A20" t="s">
        <v>3894</v>
      </c>
      <c r="B20">
        <v>2.5</v>
      </c>
      <c r="C20">
        <v>0</v>
      </c>
      <c r="D20">
        <v>2.5</v>
      </c>
      <c r="E20">
        <v>0</v>
      </c>
      <c r="F20">
        <v>0</v>
      </c>
      <c r="G20">
        <v>0</v>
      </c>
      <c r="H20">
        <v>2.5</v>
      </c>
      <c r="I20">
        <v>648</v>
      </c>
      <c r="J20">
        <v>0</v>
      </c>
      <c r="K20">
        <v>11</v>
      </c>
      <c r="L20" t="s">
        <v>223</v>
      </c>
      <c r="M20" t="s">
        <v>3894</v>
      </c>
      <c r="N20" t="s">
        <v>223</v>
      </c>
      <c r="O20" t="s">
        <v>223</v>
      </c>
      <c r="P20" t="s">
        <v>223</v>
      </c>
      <c r="Q20">
        <v>0.96</v>
      </c>
      <c r="R20">
        <v>0</v>
      </c>
      <c r="S20">
        <v>0.96</v>
      </c>
      <c r="T20" t="s">
        <v>3904</v>
      </c>
      <c r="U20">
        <v>2.57</v>
      </c>
      <c r="V20">
        <v>97.1</v>
      </c>
      <c r="W20">
        <v>0</v>
      </c>
      <c r="X20">
        <v>97.1</v>
      </c>
    </row>
    <row r="21" spans="1:24" x14ac:dyDescent="0.25">
      <c r="A21" t="s">
        <v>3894</v>
      </c>
      <c r="B21">
        <v>2</v>
      </c>
      <c r="C21">
        <v>0</v>
      </c>
      <c r="D21">
        <v>2</v>
      </c>
      <c r="E21">
        <v>0</v>
      </c>
      <c r="F21">
        <v>0</v>
      </c>
      <c r="G21">
        <v>0</v>
      </c>
      <c r="H21">
        <v>2</v>
      </c>
      <c r="I21">
        <v>519</v>
      </c>
      <c r="J21">
        <v>0</v>
      </c>
      <c r="K21">
        <v>1</v>
      </c>
      <c r="L21" t="s">
        <v>223</v>
      </c>
      <c r="M21" t="s">
        <v>3894</v>
      </c>
      <c r="N21" t="s">
        <v>223</v>
      </c>
      <c r="O21" t="s">
        <v>223</v>
      </c>
      <c r="P21" t="s">
        <v>223</v>
      </c>
      <c r="Q21">
        <v>0.76</v>
      </c>
      <c r="R21">
        <v>0</v>
      </c>
      <c r="S21">
        <v>0.76</v>
      </c>
      <c r="T21" t="s">
        <v>3905</v>
      </c>
      <c r="U21">
        <v>2.37</v>
      </c>
      <c r="V21">
        <v>84.4</v>
      </c>
      <c r="W21">
        <v>0</v>
      </c>
      <c r="X21">
        <v>84.4</v>
      </c>
    </row>
    <row r="22" spans="1:24" x14ac:dyDescent="0.25">
      <c r="A22" t="s">
        <v>3894</v>
      </c>
      <c r="B22">
        <v>8</v>
      </c>
      <c r="C22">
        <v>0</v>
      </c>
      <c r="D22">
        <v>8</v>
      </c>
      <c r="E22">
        <v>0</v>
      </c>
      <c r="F22">
        <v>0</v>
      </c>
      <c r="G22">
        <v>0</v>
      </c>
      <c r="H22">
        <v>8</v>
      </c>
      <c r="I22" s="3">
        <v>2074</v>
      </c>
      <c r="J22">
        <v>0</v>
      </c>
      <c r="K22">
        <v>6</v>
      </c>
      <c r="L22" t="s">
        <v>223</v>
      </c>
      <c r="M22" t="s">
        <v>3894</v>
      </c>
      <c r="N22" t="s">
        <v>223</v>
      </c>
      <c r="O22" t="s">
        <v>223</v>
      </c>
      <c r="P22" t="s">
        <v>223</v>
      </c>
      <c r="Q22">
        <v>3.06</v>
      </c>
      <c r="R22">
        <v>0</v>
      </c>
      <c r="S22">
        <v>3.06</v>
      </c>
      <c r="T22">
        <v>2018</v>
      </c>
      <c r="U22">
        <v>13.54</v>
      </c>
      <c r="V22">
        <v>59.1</v>
      </c>
      <c r="W22">
        <v>0</v>
      </c>
      <c r="X22">
        <v>59.1</v>
      </c>
    </row>
    <row r="23" spans="1:24" x14ac:dyDescent="0.25">
      <c r="A23">
        <v>2018</v>
      </c>
      <c r="B23">
        <v>8</v>
      </c>
      <c r="C23">
        <v>0</v>
      </c>
      <c r="D23">
        <v>8</v>
      </c>
      <c r="E23">
        <v>0</v>
      </c>
      <c r="F23">
        <v>0</v>
      </c>
      <c r="G23">
        <v>0</v>
      </c>
      <c r="H23">
        <v>8</v>
      </c>
      <c r="I23" s="3">
        <v>2074</v>
      </c>
      <c r="J23">
        <v>0</v>
      </c>
      <c r="K23">
        <v>20</v>
      </c>
      <c r="L23" t="s">
        <v>223</v>
      </c>
      <c r="M23">
        <v>2018</v>
      </c>
      <c r="N23">
        <v>268</v>
      </c>
      <c r="O23">
        <v>210</v>
      </c>
      <c r="P23">
        <v>237</v>
      </c>
      <c r="Q23">
        <v>3.37</v>
      </c>
      <c r="R23">
        <v>0</v>
      </c>
      <c r="S23">
        <v>3.37</v>
      </c>
      <c r="T23">
        <v>2017</v>
      </c>
      <c r="U23">
        <v>13.23</v>
      </c>
      <c r="V23">
        <v>60.5</v>
      </c>
      <c r="W23">
        <v>0</v>
      </c>
      <c r="X23">
        <v>60.5</v>
      </c>
    </row>
    <row r="24" spans="1:24" x14ac:dyDescent="0.25">
      <c r="A24">
        <v>2017</v>
      </c>
      <c r="B24">
        <v>7</v>
      </c>
      <c r="C24">
        <v>0</v>
      </c>
      <c r="D24">
        <v>7</v>
      </c>
      <c r="E24">
        <v>0</v>
      </c>
      <c r="F24">
        <v>0</v>
      </c>
      <c r="G24">
        <v>0</v>
      </c>
      <c r="H24">
        <v>7</v>
      </c>
      <c r="I24" s="3">
        <v>1815</v>
      </c>
      <c r="J24">
        <v>0</v>
      </c>
      <c r="K24">
        <v>32</v>
      </c>
      <c r="L24" t="s">
        <v>223</v>
      </c>
      <c r="M24">
        <v>2017</v>
      </c>
      <c r="N24">
        <v>245</v>
      </c>
      <c r="O24">
        <v>179</v>
      </c>
      <c r="P24">
        <v>210</v>
      </c>
      <c r="Q24">
        <v>3.33</v>
      </c>
      <c r="R24">
        <v>0</v>
      </c>
      <c r="S24">
        <v>3.33</v>
      </c>
      <c r="T24">
        <v>2016</v>
      </c>
      <c r="U24">
        <v>12.89</v>
      </c>
      <c r="V24">
        <v>54.3</v>
      </c>
      <c r="W24">
        <v>0</v>
      </c>
      <c r="X24">
        <v>54.3</v>
      </c>
    </row>
    <row r="25" spans="1:24" x14ac:dyDescent="0.25">
      <c r="A25">
        <v>2016</v>
      </c>
      <c r="B25">
        <v>6</v>
      </c>
      <c r="C25">
        <v>0</v>
      </c>
      <c r="D25">
        <v>6</v>
      </c>
      <c r="E25">
        <v>0</v>
      </c>
      <c r="F25">
        <v>0</v>
      </c>
      <c r="G25">
        <v>0</v>
      </c>
      <c r="H25">
        <v>6</v>
      </c>
      <c r="I25" s="3">
        <v>1556</v>
      </c>
      <c r="J25">
        <v>0</v>
      </c>
      <c r="K25">
        <v>3</v>
      </c>
      <c r="L25" t="s">
        <v>223</v>
      </c>
      <c r="M25">
        <v>2016</v>
      </c>
      <c r="N25">
        <v>193</v>
      </c>
      <c r="O25">
        <v>130.5</v>
      </c>
      <c r="P25">
        <v>166</v>
      </c>
      <c r="Q25">
        <v>3.61</v>
      </c>
      <c r="R25">
        <v>0</v>
      </c>
      <c r="S25">
        <v>3.61</v>
      </c>
      <c r="T25">
        <v>2015</v>
      </c>
      <c r="U25">
        <v>11.82</v>
      </c>
      <c r="V25">
        <v>50.8</v>
      </c>
      <c r="W25">
        <v>0</v>
      </c>
      <c r="X25">
        <v>50.8</v>
      </c>
    </row>
    <row r="26" spans="1:24" x14ac:dyDescent="0.25">
      <c r="A26">
        <v>2015</v>
      </c>
      <c r="B26">
        <v>4.5</v>
      </c>
      <c r="C26">
        <v>0</v>
      </c>
      <c r="D26">
        <v>4.5</v>
      </c>
      <c r="E26">
        <v>0</v>
      </c>
      <c r="F26">
        <v>0</v>
      </c>
      <c r="G26">
        <v>0</v>
      </c>
      <c r="H26">
        <v>4.5</v>
      </c>
      <c r="I26" s="3">
        <v>1167</v>
      </c>
      <c r="J26">
        <v>0</v>
      </c>
      <c r="K26">
        <v>154</v>
      </c>
      <c r="L26" t="s">
        <v>223</v>
      </c>
      <c r="M26">
        <v>2015</v>
      </c>
      <c r="N26">
        <v>155</v>
      </c>
      <c r="O26">
        <v>112.5</v>
      </c>
      <c r="P26">
        <v>140</v>
      </c>
      <c r="Q26">
        <v>3.22</v>
      </c>
      <c r="R26">
        <v>0</v>
      </c>
      <c r="S26">
        <v>3.22</v>
      </c>
      <c r="T26">
        <v>2014</v>
      </c>
      <c r="U26">
        <v>10.18</v>
      </c>
      <c r="V26">
        <v>44.2</v>
      </c>
      <c r="W26">
        <v>0</v>
      </c>
      <c r="X26">
        <v>44.2</v>
      </c>
    </row>
    <row r="27" spans="1:24" x14ac:dyDescent="0.25">
      <c r="A27">
        <v>2014</v>
      </c>
      <c r="B27">
        <v>3</v>
      </c>
      <c r="C27">
        <v>0</v>
      </c>
      <c r="D27">
        <v>3</v>
      </c>
      <c r="E27">
        <v>0</v>
      </c>
      <c r="F27">
        <v>0</v>
      </c>
      <c r="G27">
        <v>0</v>
      </c>
      <c r="H27">
        <v>3</v>
      </c>
      <c r="I27">
        <v>778</v>
      </c>
      <c r="J27">
        <v>0</v>
      </c>
      <c r="K27">
        <v>90</v>
      </c>
      <c r="L27" t="s">
        <v>223</v>
      </c>
      <c r="M27">
        <v>2014</v>
      </c>
      <c r="N27">
        <v>142</v>
      </c>
      <c r="O27">
        <v>100.5</v>
      </c>
      <c r="P27">
        <v>123</v>
      </c>
      <c r="Q27">
        <v>2.4500000000000002</v>
      </c>
      <c r="R27">
        <v>0</v>
      </c>
      <c r="S27">
        <v>2.4500000000000002</v>
      </c>
      <c r="T27">
        <v>2013</v>
      </c>
      <c r="U27">
        <v>7.26</v>
      </c>
      <c r="V27">
        <v>41.3</v>
      </c>
      <c r="W27">
        <v>0</v>
      </c>
      <c r="X27">
        <v>41.3</v>
      </c>
    </row>
    <row r="28" spans="1:24" x14ac:dyDescent="0.25">
      <c r="A28">
        <v>2013</v>
      </c>
      <c r="B28">
        <v>3</v>
      </c>
      <c r="C28">
        <v>0</v>
      </c>
      <c r="D28">
        <v>3</v>
      </c>
      <c r="E28">
        <v>0</v>
      </c>
      <c r="F28">
        <v>0</v>
      </c>
      <c r="G28">
        <v>0</v>
      </c>
      <c r="H28">
        <v>3</v>
      </c>
      <c r="I28">
        <v>778</v>
      </c>
      <c r="J28">
        <v>0</v>
      </c>
      <c r="K28">
        <v>8</v>
      </c>
      <c r="L28" t="s">
        <v>223</v>
      </c>
      <c r="M28">
        <v>2013</v>
      </c>
      <c r="N28">
        <v>116.5</v>
      </c>
      <c r="O28">
        <v>92.9</v>
      </c>
      <c r="P28">
        <v>104</v>
      </c>
      <c r="Q28">
        <v>2.88</v>
      </c>
      <c r="R28">
        <v>0</v>
      </c>
      <c r="S28">
        <v>2.88</v>
      </c>
      <c r="T28">
        <v>2012</v>
      </c>
      <c r="U28">
        <v>6.42</v>
      </c>
      <c r="V28">
        <v>46.8</v>
      </c>
      <c r="W28">
        <v>0</v>
      </c>
      <c r="X28">
        <v>46.8</v>
      </c>
    </row>
    <row r="29" spans="1:24" x14ac:dyDescent="0.25">
      <c r="A29">
        <v>2012</v>
      </c>
      <c r="B29">
        <v>3</v>
      </c>
      <c r="C29">
        <v>0</v>
      </c>
      <c r="D29">
        <v>3</v>
      </c>
      <c r="E29">
        <v>0</v>
      </c>
      <c r="F29">
        <v>0</v>
      </c>
      <c r="G29">
        <v>0</v>
      </c>
      <c r="H29">
        <v>3</v>
      </c>
      <c r="I29">
        <v>777</v>
      </c>
      <c r="J29">
        <v>0</v>
      </c>
      <c r="K29">
        <v>49</v>
      </c>
      <c r="L29" t="s">
        <v>223</v>
      </c>
      <c r="M29">
        <v>2012</v>
      </c>
      <c r="N29">
        <v>99.4</v>
      </c>
      <c r="O29">
        <v>73.8</v>
      </c>
      <c r="P29">
        <v>84.1</v>
      </c>
      <c r="Q29">
        <v>3.57</v>
      </c>
      <c r="R29">
        <v>0</v>
      </c>
      <c r="S29">
        <v>3.57</v>
      </c>
      <c r="T29">
        <v>2011</v>
      </c>
      <c r="U29">
        <v>5.18</v>
      </c>
      <c r="V29">
        <v>57.9</v>
      </c>
      <c r="W29">
        <v>0</v>
      </c>
      <c r="X29">
        <v>57.9</v>
      </c>
    </row>
    <row r="30" spans="1:24" x14ac:dyDescent="0.25">
      <c r="A30">
        <v>2011</v>
      </c>
      <c r="B30">
        <v>3</v>
      </c>
      <c r="C30">
        <v>0</v>
      </c>
      <c r="D30">
        <v>3</v>
      </c>
      <c r="E30">
        <v>0</v>
      </c>
      <c r="F30">
        <v>0</v>
      </c>
      <c r="G30">
        <v>0</v>
      </c>
      <c r="H30">
        <v>3</v>
      </c>
      <c r="I30">
        <v>777</v>
      </c>
      <c r="J30">
        <v>0</v>
      </c>
      <c r="K30">
        <v>3</v>
      </c>
      <c r="L30" t="s">
        <v>223</v>
      </c>
      <c r="M30">
        <v>2011</v>
      </c>
      <c r="N30">
        <v>78.3</v>
      </c>
      <c r="O30">
        <v>62.2</v>
      </c>
      <c r="P30">
        <v>72.099999999999994</v>
      </c>
      <c r="Q30">
        <v>4.16</v>
      </c>
      <c r="R30">
        <v>0</v>
      </c>
      <c r="S30">
        <v>4.16</v>
      </c>
      <c r="T30">
        <v>2010</v>
      </c>
      <c r="U30">
        <v>6.24</v>
      </c>
      <c r="V30">
        <v>48.1</v>
      </c>
      <c r="W30">
        <v>0</v>
      </c>
      <c r="X30">
        <v>48.1</v>
      </c>
    </row>
    <row r="31" spans="1:24" x14ac:dyDescent="0.25">
      <c r="A31">
        <v>2010</v>
      </c>
      <c r="B31">
        <v>3</v>
      </c>
      <c r="C31">
        <v>0</v>
      </c>
      <c r="D31">
        <v>3</v>
      </c>
      <c r="E31">
        <v>0</v>
      </c>
      <c r="F31">
        <v>0</v>
      </c>
      <c r="G31">
        <v>0</v>
      </c>
      <c r="H31">
        <v>3</v>
      </c>
      <c r="I31">
        <v>777</v>
      </c>
      <c r="J31">
        <v>0</v>
      </c>
      <c r="K31">
        <v>11</v>
      </c>
      <c r="L31" t="s">
        <v>223</v>
      </c>
      <c r="M31">
        <v>2010</v>
      </c>
      <c r="N31">
        <v>75</v>
      </c>
      <c r="O31">
        <v>57</v>
      </c>
      <c r="P31">
        <v>62</v>
      </c>
      <c r="Q31">
        <v>4.84</v>
      </c>
      <c r="R31">
        <v>0</v>
      </c>
      <c r="S31">
        <v>4.84</v>
      </c>
      <c r="T31">
        <v>2009</v>
      </c>
      <c r="U31">
        <v>3.45</v>
      </c>
      <c r="V31">
        <v>86.9</v>
      </c>
      <c r="W31">
        <v>0</v>
      </c>
      <c r="X31">
        <v>86.9</v>
      </c>
    </row>
    <row r="32" spans="1:24" x14ac:dyDescent="0.25">
      <c r="A32">
        <v>2009</v>
      </c>
      <c r="B32">
        <v>3</v>
      </c>
      <c r="C32">
        <v>0</v>
      </c>
      <c r="D32">
        <v>3</v>
      </c>
      <c r="E32">
        <v>0.02</v>
      </c>
      <c r="F32">
        <v>0.03</v>
      </c>
      <c r="G32">
        <v>0.05</v>
      </c>
      <c r="H32">
        <v>3.05</v>
      </c>
      <c r="I32">
        <v>769</v>
      </c>
      <c r="J32">
        <v>51.3</v>
      </c>
      <c r="K32">
        <v>7</v>
      </c>
      <c r="L32">
        <v>7</v>
      </c>
      <c r="M32">
        <v>2009</v>
      </c>
      <c r="N32">
        <v>65.2</v>
      </c>
      <c r="O32">
        <v>38.700000000000003</v>
      </c>
      <c r="P32">
        <v>55.5</v>
      </c>
      <c r="Q32">
        <v>5.41</v>
      </c>
      <c r="R32">
        <v>0.09</v>
      </c>
      <c r="S32">
        <v>5.5</v>
      </c>
      <c r="T32">
        <v>2008</v>
      </c>
      <c r="U32">
        <v>3.86</v>
      </c>
      <c r="V32">
        <v>77.7</v>
      </c>
      <c r="W32">
        <v>1.3</v>
      </c>
      <c r="X32">
        <v>79</v>
      </c>
    </row>
    <row r="33" spans="1:24" x14ac:dyDescent="0.25">
      <c r="A33">
        <v>2008</v>
      </c>
      <c r="B33">
        <v>3.03</v>
      </c>
      <c r="C33">
        <v>0</v>
      </c>
      <c r="D33">
        <v>3.03</v>
      </c>
      <c r="E33">
        <v>0.02</v>
      </c>
      <c r="F33">
        <v>0.03</v>
      </c>
      <c r="G33">
        <v>0.05</v>
      </c>
      <c r="H33">
        <v>3.08</v>
      </c>
      <c r="I33" t="s">
        <v>223</v>
      </c>
      <c r="J33" t="s">
        <v>223</v>
      </c>
      <c r="K33">
        <v>3</v>
      </c>
      <c r="L33">
        <v>3</v>
      </c>
      <c r="M33">
        <v>2008</v>
      </c>
      <c r="N33">
        <v>69.8</v>
      </c>
      <c r="O33">
        <v>36.4</v>
      </c>
      <c r="P33">
        <v>56.4</v>
      </c>
      <c r="Q33">
        <v>5.36</v>
      </c>
      <c r="R33">
        <v>0.09</v>
      </c>
      <c r="S33">
        <v>5.45</v>
      </c>
      <c r="T33">
        <v>2007</v>
      </c>
      <c r="U33">
        <v>4.1399999999999997</v>
      </c>
      <c r="V33">
        <v>73.099999999999994</v>
      </c>
      <c r="W33">
        <v>1.22</v>
      </c>
      <c r="X33">
        <v>74.3</v>
      </c>
    </row>
    <row r="34" spans="1:24" x14ac:dyDescent="0.25">
      <c r="A34">
        <v>2007</v>
      </c>
      <c r="B34">
        <v>3</v>
      </c>
      <c r="C34">
        <v>0</v>
      </c>
      <c r="D34">
        <v>3</v>
      </c>
      <c r="E34">
        <v>0.02</v>
      </c>
      <c r="F34">
        <v>0.03</v>
      </c>
      <c r="G34">
        <v>0.05</v>
      </c>
      <c r="H34">
        <v>3.05</v>
      </c>
      <c r="I34" t="s">
        <v>223</v>
      </c>
      <c r="J34" t="s">
        <v>223</v>
      </c>
      <c r="K34">
        <v>8</v>
      </c>
      <c r="L34">
        <v>8</v>
      </c>
      <c r="M34">
        <v>2007</v>
      </c>
      <c r="N34">
        <v>73.099999999999994</v>
      </c>
      <c r="O34">
        <v>57.4</v>
      </c>
      <c r="P34">
        <v>65.5</v>
      </c>
      <c r="Q34">
        <v>4.58</v>
      </c>
      <c r="R34">
        <v>0.08</v>
      </c>
      <c r="S34">
        <v>4.6500000000000004</v>
      </c>
      <c r="T34">
        <v>2006</v>
      </c>
      <c r="U34">
        <v>4.93</v>
      </c>
      <c r="V34">
        <v>60.8</v>
      </c>
      <c r="W34">
        <v>1.01</v>
      </c>
      <c r="X34">
        <v>61.9</v>
      </c>
    </row>
    <row r="35" spans="1:24" x14ac:dyDescent="0.25">
      <c r="A35">
        <v>2006</v>
      </c>
      <c r="B35">
        <v>2.5</v>
      </c>
      <c r="C35">
        <v>0</v>
      </c>
      <c r="D35">
        <v>2.5</v>
      </c>
      <c r="E35">
        <v>0.15</v>
      </c>
      <c r="F35">
        <v>0.15</v>
      </c>
      <c r="G35">
        <v>0.3</v>
      </c>
      <c r="H35">
        <v>2.8</v>
      </c>
      <c r="I35" t="s">
        <v>223</v>
      </c>
      <c r="J35" t="s">
        <v>223</v>
      </c>
      <c r="K35">
        <v>43</v>
      </c>
      <c r="L35">
        <v>43</v>
      </c>
      <c r="M35">
        <v>2006</v>
      </c>
      <c r="N35">
        <v>70</v>
      </c>
      <c r="O35">
        <v>52.3</v>
      </c>
      <c r="P35">
        <v>61.3</v>
      </c>
      <c r="Q35">
        <v>4.07</v>
      </c>
      <c r="R35">
        <v>0.49</v>
      </c>
      <c r="S35">
        <v>4.5599999999999996</v>
      </c>
      <c r="T35">
        <v>2005</v>
      </c>
      <c r="U35">
        <v>3.79</v>
      </c>
      <c r="V35">
        <v>65.900000000000006</v>
      </c>
      <c r="W35">
        <v>7.91</v>
      </c>
      <c r="X35">
        <v>73.900000000000006</v>
      </c>
    </row>
    <row r="36" spans="1:24" x14ac:dyDescent="0.25">
      <c r="A36" t="s">
        <v>194</v>
      </c>
      <c r="B36" t="s">
        <v>195</v>
      </c>
      <c r="C36" t="s">
        <v>196</v>
      </c>
    </row>
    <row r="37" spans="1:24" ht="49.5" x14ac:dyDescent="0.25">
      <c r="A37" s="2" t="s">
        <v>197</v>
      </c>
      <c r="B37" t="s">
        <v>198</v>
      </c>
      <c r="C37" t="s">
        <v>199</v>
      </c>
      <c r="D37" s="2" t="s">
        <v>200</v>
      </c>
      <c r="E37" s="2" t="s">
        <v>201</v>
      </c>
    </row>
    <row r="38" spans="1:24" ht="49.5" x14ac:dyDescent="0.25">
      <c r="A38" t="s">
        <v>202</v>
      </c>
      <c r="B38" t="s">
        <v>203</v>
      </c>
      <c r="C38" s="2" t="s">
        <v>204</v>
      </c>
      <c r="D38" s="2" t="s">
        <v>205</v>
      </c>
      <c r="E38" s="2" t="s">
        <v>206</v>
      </c>
      <c r="F38" s="2" t="s">
        <v>207</v>
      </c>
      <c r="G38" t="s">
        <v>208</v>
      </c>
      <c r="H38" t="s">
        <v>209</v>
      </c>
      <c r="I38" s="2" t="s">
        <v>210</v>
      </c>
      <c r="J38" s="2" t="s">
        <v>211</v>
      </c>
      <c r="K38" t="s">
        <v>212</v>
      </c>
    </row>
    <row r="39" spans="1:24" x14ac:dyDescent="0.25">
      <c r="A39" t="s">
        <v>213</v>
      </c>
      <c r="B39" t="s">
        <v>214</v>
      </c>
      <c r="C39" t="s">
        <v>215</v>
      </c>
      <c r="D39" t="s">
        <v>213</v>
      </c>
      <c r="E39" t="s">
        <v>214</v>
      </c>
      <c r="F39" t="s">
        <v>215</v>
      </c>
      <c r="G39" t="s">
        <v>216</v>
      </c>
      <c r="H39" t="s">
        <v>217</v>
      </c>
      <c r="I39" t="s">
        <v>218</v>
      </c>
      <c r="J39" t="s">
        <v>219</v>
      </c>
      <c r="K39" t="s">
        <v>220</v>
      </c>
      <c r="L39" t="s">
        <v>215</v>
      </c>
      <c r="M39" t="s">
        <v>221</v>
      </c>
      <c r="N39" t="s">
        <v>222</v>
      </c>
      <c r="O39" t="s">
        <v>215</v>
      </c>
    </row>
    <row r="40" spans="1:24" x14ac:dyDescent="0.25">
      <c r="A40">
        <v>2005</v>
      </c>
      <c r="B40">
        <v>2</v>
      </c>
      <c r="C40">
        <v>0</v>
      </c>
      <c r="D40">
        <v>2</v>
      </c>
      <c r="E40">
        <v>0.5</v>
      </c>
      <c r="F40">
        <v>0</v>
      </c>
      <c r="G40">
        <v>0.5</v>
      </c>
      <c r="H40">
        <v>2.5</v>
      </c>
      <c r="I40" t="s">
        <v>223</v>
      </c>
      <c r="J40" t="s">
        <v>223</v>
      </c>
      <c r="K40">
        <v>112</v>
      </c>
      <c r="L40">
        <v>112</v>
      </c>
      <c r="M40">
        <v>2005</v>
      </c>
      <c r="N40">
        <v>64.3</v>
      </c>
      <c r="O40">
        <v>46.2</v>
      </c>
      <c r="P40">
        <v>54.1</v>
      </c>
      <c r="Q40">
        <v>3.7</v>
      </c>
      <c r="R40">
        <v>0.92</v>
      </c>
      <c r="S40">
        <v>4.62</v>
      </c>
      <c r="T40">
        <v>2004</v>
      </c>
      <c r="U40">
        <v>3.97</v>
      </c>
      <c r="V40">
        <v>50.4</v>
      </c>
      <c r="W40">
        <v>12.6</v>
      </c>
      <c r="X40">
        <v>63</v>
      </c>
    </row>
    <row r="41" spans="1:24" x14ac:dyDescent="0.25">
      <c r="A41">
        <v>2004</v>
      </c>
      <c r="B41">
        <v>0.6</v>
      </c>
      <c r="C41">
        <v>0</v>
      </c>
      <c r="D41">
        <v>0.6</v>
      </c>
      <c r="E41">
        <v>1.41</v>
      </c>
      <c r="F41">
        <v>0</v>
      </c>
      <c r="G41">
        <v>1.41</v>
      </c>
      <c r="H41">
        <v>2.0099999999999998</v>
      </c>
      <c r="I41" t="s">
        <v>223</v>
      </c>
      <c r="J41" t="s">
        <v>223</v>
      </c>
      <c r="K41">
        <v>109</v>
      </c>
      <c r="L41">
        <v>109</v>
      </c>
      <c r="M41">
        <v>2004</v>
      </c>
      <c r="N41">
        <v>68.5</v>
      </c>
      <c r="O41">
        <v>40.700000000000003</v>
      </c>
      <c r="P41">
        <v>52.4</v>
      </c>
      <c r="Q41">
        <v>1.1499999999999999</v>
      </c>
      <c r="R41">
        <v>2.69</v>
      </c>
      <c r="S41">
        <v>3.84</v>
      </c>
      <c r="T41">
        <v>2003</v>
      </c>
      <c r="U41">
        <v>2.33</v>
      </c>
      <c r="V41">
        <v>25.9</v>
      </c>
      <c r="W41">
        <v>60.5</v>
      </c>
      <c r="X41">
        <v>86.4</v>
      </c>
    </row>
    <row r="42" spans="1:24" x14ac:dyDescent="0.25">
      <c r="A42">
        <v>2003</v>
      </c>
      <c r="B42">
        <v>0</v>
      </c>
      <c r="C42">
        <v>0</v>
      </c>
      <c r="D42">
        <v>0</v>
      </c>
      <c r="E42">
        <v>0.8</v>
      </c>
      <c r="F42">
        <v>0</v>
      </c>
      <c r="G42">
        <v>0.8</v>
      </c>
      <c r="H42">
        <v>0.8</v>
      </c>
      <c r="I42" t="s">
        <v>223</v>
      </c>
      <c r="J42" t="s">
        <v>223</v>
      </c>
      <c r="K42" t="s">
        <v>223</v>
      </c>
      <c r="L42">
        <v>2</v>
      </c>
      <c r="M42">
        <v>2003</v>
      </c>
      <c r="N42">
        <v>72.5</v>
      </c>
      <c r="O42">
        <v>40.1</v>
      </c>
      <c r="P42">
        <v>56.4</v>
      </c>
      <c r="Q42">
        <v>0</v>
      </c>
      <c r="R42">
        <v>1.42</v>
      </c>
      <c r="S42">
        <v>1.42</v>
      </c>
      <c r="T42">
        <v>2002</v>
      </c>
      <c r="U42">
        <v>1.1399999999999999</v>
      </c>
      <c r="V42">
        <v>0</v>
      </c>
      <c r="W42">
        <v>70.2</v>
      </c>
      <c r="X42">
        <v>70.2</v>
      </c>
    </row>
    <row r="43" spans="1:24" x14ac:dyDescent="0.25">
      <c r="A43">
        <v>2002</v>
      </c>
      <c r="B43">
        <v>0</v>
      </c>
      <c r="C43">
        <v>0</v>
      </c>
      <c r="D43">
        <v>0</v>
      </c>
      <c r="E43">
        <v>1</v>
      </c>
      <c r="F43">
        <v>0</v>
      </c>
      <c r="G43">
        <v>1</v>
      </c>
      <c r="H43">
        <v>1</v>
      </c>
      <c r="I43" t="s">
        <v>223</v>
      </c>
      <c r="J43" t="s">
        <v>223</v>
      </c>
      <c r="K43" t="s">
        <v>223</v>
      </c>
      <c r="L43" s="3">
        <v>2141</v>
      </c>
      <c r="M43">
        <v>2002</v>
      </c>
      <c r="N43">
        <v>97.5</v>
      </c>
      <c r="O43">
        <v>34.9</v>
      </c>
      <c r="P43">
        <v>67.400000000000006</v>
      </c>
      <c r="Q43">
        <v>0</v>
      </c>
      <c r="R43">
        <v>1.48</v>
      </c>
      <c r="S43">
        <v>1.48</v>
      </c>
      <c r="T43">
        <v>2001</v>
      </c>
      <c r="U43">
        <v>0.83</v>
      </c>
      <c r="V43">
        <v>0</v>
      </c>
      <c r="W43">
        <v>120</v>
      </c>
      <c r="X43">
        <v>120</v>
      </c>
    </row>
    <row r="44" spans="1:24" x14ac:dyDescent="0.25">
      <c r="A44">
        <v>2001</v>
      </c>
      <c r="B44">
        <v>0</v>
      </c>
      <c r="C44">
        <v>0</v>
      </c>
      <c r="D44">
        <v>0</v>
      </c>
      <c r="E44">
        <v>4</v>
      </c>
      <c r="F44">
        <v>0</v>
      </c>
      <c r="G44">
        <v>4</v>
      </c>
      <c r="H44">
        <v>4</v>
      </c>
      <c r="I44" t="s">
        <v>223</v>
      </c>
      <c r="J44" t="s">
        <v>223</v>
      </c>
      <c r="K44" t="s">
        <v>223</v>
      </c>
      <c r="L44">
        <v>112</v>
      </c>
      <c r="M44">
        <v>2001</v>
      </c>
      <c r="N44">
        <v>105.5</v>
      </c>
      <c r="O44">
        <v>43.6</v>
      </c>
      <c r="P44">
        <v>77.7</v>
      </c>
      <c r="Q44">
        <v>0</v>
      </c>
      <c r="R44">
        <v>5.15</v>
      </c>
      <c r="S44">
        <v>5.15</v>
      </c>
      <c r="T44">
        <v>2000</v>
      </c>
      <c r="U44">
        <v>5.71</v>
      </c>
      <c r="V44">
        <v>0</v>
      </c>
      <c r="W44">
        <v>70.099999999999994</v>
      </c>
      <c r="X44">
        <v>70.099999999999994</v>
      </c>
    </row>
    <row r="45" spans="1:24" x14ac:dyDescent="0.25">
      <c r="A45">
        <v>2000</v>
      </c>
      <c r="B45">
        <v>0</v>
      </c>
      <c r="C45">
        <v>0</v>
      </c>
      <c r="D45">
        <v>0</v>
      </c>
      <c r="E45">
        <v>2.56</v>
      </c>
      <c r="F45">
        <v>0.24</v>
      </c>
      <c r="G45">
        <v>2.8</v>
      </c>
      <c r="H45">
        <v>2.8</v>
      </c>
      <c r="I45" t="s">
        <v>223</v>
      </c>
      <c r="J45" t="s">
        <v>223</v>
      </c>
      <c r="K45" t="s">
        <v>223</v>
      </c>
      <c r="L45" s="3">
        <v>4062</v>
      </c>
      <c r="M45">
        <v>2000</v>
      </c>
      <c r="N45">
        <v>224</v>
      </c>
      <c r="O45">
        <v>74.5</v>
      </c>
      <c r="P45">
        <v>147</v>
      </c>
      <c r="Q45">
        <v>0</v>
      </c>
      <c r="R45">
        <v>1.91</v>
      </c>
      <c r="S45">
        <v>1.91</v>
      </c>
      <c r="T45">
        <v>1999</v>
      </c>
      <c r="U45">
        <v>3.24</v>
      </c>
      <c r="V45">
        <v>0</v>
      </c>
      <c r="W45">
        <v>86.4</v>
      </c>
      <c r="X45">
        <v>86.4</v>
      </c>
    </row>
    <row r="46" spans="1:24" x14ac:dyDescent="0.25">
      <c r="A46">
        <v>1999</v>
      </c>
      <c r="B46">
        <v>0</v>
      </c>
      <c r="C46">
        <v>0</v>
      </c>
      <c r="D46">
        <v>0</v>
      </c>
      <c r="E46">
        <v>2.2999999999999998</v>
      </c>
      <c r="F46">
        <v>0</v>
      </c>
      <c r="G46">
        <v>2.2999999999999998</v>
      </c>
      <c r="H46">
        <v>2.2999999999999998</v>
      </c>
      <c r="I46" t="s">
        <v>223</v>
      </c>
      <c r="J46" t="s">
        <v>223</v>
      </c>
      <c r="K46" t="s">
        <v>223</v>
      </c>
      <c r="L46">
        <v>60</v>
      </c>
      <c r="M46">
        <v>1999</v>
      </c>
      <c r="N46">
        <v>171</v>
      </c>
      <c r="O46">
        <v>68</v>
      </c>
      <c r="P46">
        <v>120</v>
      </c>
      <c r="Q46">
        <v>0</v>
      </c>
      <c r="R46">
        <v>1.92</v>
      </c>
      <c r="S46">
        <v>1.92</v>
      </c>
      <c r="T46">
        <v>1998</v>
      </c>
      <c r="U46">
        <v>2.54</v>
      </c>
      <c r="V46">
        <v>0</v>
      </c>
      <c r="W46">
        <v>90.6</v>
      </c>
      <c r="X46">
        <v>90.6</v>
      </c>
    </row>
    <row r="47" spans="1:24" x14ac:dyDescent="0.25">
      <c r="A47">
        <v>1998</v>
      </c>
      <c r="B47">
        <v>0</v>
      </c>
      <c r="C47">
        <v>0</v>
      </c>
      <c r="D47">
        <v>0</v>
      </c>
      <c r="E47">
        <v>4.5</v>
      </c>
      <c r="F47">
        <v>0</v>
      </c>
      <c r="G47">
        <v>4.5</v>
      </c>
      <c r="H47">
        <v>4.5</v>
      </c>
      <c r="I47" t="s">
        <v>223</v>
      </c>
      <c r="J47" t="s">
        <v>223</v>
      </c>
      <c r="K47" t="s">
        <v>223</v>
      </c>
      <c r="L47">
        <v>203</v>
      </c>
      <c r="M47">
        <v>1998</v>
      </c>
      <c r="N47">
        <v>173</v>
      </c>
      <c r="O47">
        <v>56.5</v>
      </c>
      <c r="P47">
        <v>101</v>
      </c>
      <c r="Q47">
        <v>0</v>
      </c>
      <c r="R47">
        <v>4.47</v>
      </c>
      <c r="S47">
        <v>4.47</v>
      </c>
      <c r="T47">
        <v>1997</v>
      </c>
      <c r="U47">
        <v>4.4000000000000004</v>
      </c>
      <c r="V47">
        <v>0</v>
      </c>
      <c r="W47">
        <v>102</v>
      </c>
      <c r="X47">
        <v>102</v>
      </c>
    </row>
    <row r="48" spans="1:24" x14ac:dyDescent="0.25">
      <c r="A48">
        <v>1997</v>
      </c>
      <c r="B48">
        <v>0</v>
      </c>
      <c r="C48">
        <v>0</v>
      </c>
      <c r="D48">
        <v>0</v>
      </c>
      <c r="E48">
        <v>5</v>
      </c>
      <c r="F48">
        <v>0</v>
      </c>
      <c r="G48">
        <v>5</v>
      </c>
      <c r="H48">
        <v>5</v>
      </c>
      <c r="I48" t="s">
        <v>223</v>
      </c>
      <c r="J48" t="s">
        <v>223</v>
      </c>
      <c r="K48" t="s">
        <v>223</v>
      </c>
      <c r="L48">
        <v>25</v>
      </c>
      <c r="M48">
        <v>1997</v>
      </c>
      <c r="N48">
        <v>173</v>
      </c>
      <c r="O48">
        <v>55.5</v>
      </c>
      <c r="P48">
        <v>109</v>
      </c>
      <c r="Q48">
        <v>0</v>
      </c>
      <c r="R48">
        <v>4.57</v>
      </c>
      <c r="S48">
        <v>4.57</v>
      </c>
      <c r="T48">
        <v>1996</v>
      </c>
      <c r="U48">
        <v>7.31</v>
      </c>
      <c r="V48">
        <v>0</v>
      </c>
      <c r="W48">
        <v>68.400000000000006</v>
      </c>
      <c r="X48">
        <v>68.400000000000006</v>
      </c>
    </row>
    <row r="49" spans="1:24" x14ac:dyDescent="0.25">
      <c r="A49">
        <v>1996</v>
      </c>
      <c r="B49">
        <v>0</v>
      </c>
      <c r="C49">
        <v>0</v>
      </c>
      <c r="D49">
        <v>0</v>
      </c>
      <c r="E49">
        <v>8</v>
      </c>
      <c r="F49">
        <v>0</v>
      </c>
      <c r="G49">
        <v>8</v>
      </c>
      <c r="H49">
        <v>8</v>
      </c>
      <c r="I49" t="s">
        <v>223</v>
      </c>
      <c r="J49" t="s">
        <v>223</v>
      </c>
      <c r="K49" t="s">
        <v>223</v>
      </c>
      <c r="L49">
        <v>292</v>
      </c>
      <c r="M49">
        <v>1996</v>
      </c>
      <c r="N49">
        <v>106</v>
      </c>
      <c r="O49">
        <v>49.1</v>
      </c>
      <c r="P49">
        <v>63.8</v>
      </c>
      <c r="Q49">
        <v>0</v>
      </c>
      <c r="R49">
        <v>12.5</v>
      </c>
      <c r="S49">
        <v>12.5</v>
      </c>
      <c r="T49">
        <v>1995</v>
      </c>
      <c r="U49">
        <v>10.48</v>
      </c>
      <c r="V49">
        <v>0</v>
      </c>
      <c r="W49">
        <v>76.3</v>
      </c>
      <c r="X49">
        <v>76.3</v>
      </c>
    </row>
    <row r="50" spans="1:24" x14ac:dyDescent="0.25">
      <c r="A50">
        <v>1995</v>
      </c>
      <c r="B50">
        <v>0</v>
      </c>
      <c r="C50">
        <v>0</v>
      </c>
      <c r="D50">
        <v>0</v>
      </c>
      <c r="E50">
        <v>8</v>
      </c>
      <c r="F50">
        <v>0</v>
      </c>
      <c r="G50">
        <v>8</v>
      </c>
      <c r="H50">
        <v>8</v>
      </c>
      <c r="I50" t="s">
        <v>223</v>
      </c>
      <c r="J50" t="s">
        <v>223</v>
      </c>
      <c r="K50" t="s">
        <v>223</v>
      </c>
      <c r="L50" s="3">
        <v>1282</v>
      </c>
      <c r="M50">
        <v>1995</v>
      </c>
      <c r="N50">
        <v>196</v>
      </c>
      <c r="O50">
        <v>77</v>
      </c>
      <c r="P50">
        <v>128</v>
      </c>
      <c r="Q50">
        <v>0</v>
      </c>
      <c r="R50">
        <v>6.23</v>
      </c>
      <c r="S50">
        <v>6.23</v>
      </c>
      <c r="T50">
        <v>1994</v>
      </c>
      <c r="U50">
        <v>10.86</v>
      </c>
      <c r="V50">
        <v>0</v>
      </c>
      <c r="W50">
        <v>73.7</v>
      </c>
      <c r="X50">
        <v>73.7</v>
      </c>
    </row>
    <row r="51" spans="1:24" x14ac:dyDescent="0.25">
      <c r="A51">
        <v>1994</v>
      </c>
      <c r="B51">
        <v>1</v>
      </c>
      <c r="C51">
        <v>0</v>
      </c>
      <c r="D51">
        <v>1</v>
      </c>
      <c r="E51">
        <v>2.48</v>
      </c>
      <c r="F51">
        <v>0</v>
      </c>
      <c r="G51">
        <v>2.48</v>
      </c>
      <c r="H51">
        <v>3.48</v>
      </c>
      <c r="I51" t="s">
        <v>223</v>
      </c>
      <c r="J51" t="s">
        <v>223</v>
      </c>
      <c r="K51" t="s">
        <v>223</v>
      </c>
      <c r="L51" t="s">
        <v>223</v>
      </c>
      <c r="M51">
        <v>1994</v>
      </c>
      <c r="N51">
        <v>177</v>
      </c>
      <c r="O51">
        <v>96</v>
      </c>
      <c r="P51">
        <v>159</v>
      </c>
      <c r="Q51">
        <v>0.63</v>
      </c>
      <c r="R51">
        <v>1.56</v>
      </c>
      <c r="S51">
        <v>2.19</v>
      </c>
      <c r="T51">
        <v>1993</v>
      </c>
      <c r="U51">
        <v>6.98</v>
      </c>
      <c r="V51">
        <v>14.3</v>
      </c>
      <c r="W51">
        <v>35.5</v>
      </c>
      <c r="X51">
        <v>49.9</v>
      </c>
    </row>
    <row r="52" spans="1:24" x14ac:dyDescent="0.25">
      <c r="A52">
        <v>1993</v>
      </c>
      <c r="B52">
        <v>0</v>
      </c>
      <c r="C52">
        <v>0</v>
      </c>
      <c r="D52">
        <v>0</v>
      </c>
      <c r="E52">
        <v>1.04</v>
      </c>
      <c r="F52">
        <v>0</v>
      </c>
      <c r="G52">
        <v>1.04</v>
      </c>
      <c r="H52">
        <v>1.04</v>
      </c>
      <c r="I52" t="s">
        <v>223</v>
      </c>
      <c r="J52" t="s">
        <v>223</v>
      </c>
      <c r="K52" t="s">
        <v>223</v>
      </c>
      <c r="L52" t="s">
        <v>223</v>
      </c>
      <c r="M52" t="s">
        <v>223</v>
      </c>
      <c r="N52" t="s">
        <v>223</v>
      </c>
      <c r="O52" t="s">
        <v>223</v>
      </c>
      <c r="P52" t="s">
        <v>223</v>
      </c>
      <c r="Q52" t="s">
        <v>223</v>
      </c>
      <c r="R52" t="s">
        <v>223</v>
      </c>
      <c r="S52" t="s">
        <v>223</v>
      </c>
      <c r="T52">
        <v>1992</v>
      </c>
      <c r="U52">
        <v>2.09</v>
      </c>
      <c r="V52">
        <v>0</v>
      </c>
      <c r="W52">
        <v>49.7</v>
      </c>
      <c r="X52">
        <v>49.7</v>
      </c>
    </row>
    <row r="53" spans="1:24" x14ac:dyDescent="0.25">
      <c r="A53">
        <v>1992</v>
      </c>
      <c r="B53">
        <v>0.1</v>
      </c>
      <c r="C53">
        <v>0</v>
      </c>
      <c r="D53">
        <v>0.1</v>
      </c>
      <c r="E53">
        <v>0.4</v>
      </c>
      <c r="F53">
        <v>0</v>
      </c>
      <c r="G53">
        <v>0.4</v>
      </c>
      <c r="H53">
        <v>0.5</v>
      </c>
      <c r="I53" t="s">
        <v>223</v>
      </c>
      <c r="J53" t="s">
        <v>223</v>
      </c>
      <c r="K53" t="s">
        <v>223</v>
      </c>
      <c r="L53" t="s">
        <v>223</v>
      </c>
      <c r="M53" t="s">
        <v>223</v>
      </c>
      <c r="N53" t="s">
        <v>223</v>
      </c>
      <c r="O53" t="s">
        <v>223</v>
      </c>
      <c r="P53" t="s">
        <v>223</v>
      </c>
      <c r="Q53" t="s">
        <v>223</v>
      </c>
      <c r="R53" t="s">
        <v>223</v>
      </c>
      <c r="S53" t="s">
        <v>223</v>
      </c>
      <c r="T53">
        <v>1991</v>
      </c>
      <c r="U53">
        <v>1.1100000000000001</v>
      </c>
      <c r="V53">
        <v>9.0299999999999994</v>
      </c>
      <c r="W53">
        <v>36.1</v>
      </c>
      <c r="X53">
        <v>45.2</v>
      </c>
    </row>
    <row r="54" spans="1:24" x14ac:dyDescent="0.25">
      <c r="A54" t="s">
        <v>224</v>
      </c>
      <c r="B54">
        <v>86</v>
      </c>
      <c r="C54">
        <v>0</v>
      </c>
      <c r="D54">
        <v>86</v>
      </c>
      <c r="E54">
        <v>42.2</v>
      </c>
      <c r="F54">
        <v>0.49</v>
      </c>
      <c r="G54">
        <v>42.7</v>
      </c>
      <c r="H54">
        <v>129</v>
      </c>
      <c r="T54" t="s">
        <v>224</v>
      </c>
      <c r="U54">
        <v>209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CB0AD-DFCF-499C-AC3B-3199995288B8}">
  <sheetPr codeName="工作表9"/>
  <dimension ref="A2:P347"/>
  <sheetViews>
    <sheetView workbookViewId="0">
      <selection activeCell="A4" sqref="A4"/>
    </sheetView>
  </sheetViews>
  <sheetFormatPr defaultRowHeight="16.5" x14ac:dyDescent="0.25"/>
  <sheetData>
    <row r="2" spans="1:16" x14ac:dyDescent="0.25">
      <c r="A2" t="s">
        <v>0</v>
      </c>
    </row>
    <row r="3" spans="1:16" x14ac:dyDescent="0.25">
      <c r="A3">
        <f>總表!A2</f>
        <v>2330</v>
      </c>
    </row>
    <row r="6" spans="1:16" ht="66" x14ac:dyDescent="0.25">
      <c r="A6" t="s">
        <v>225</v>
      </c>
      <c r="B6" t="s">
        <v>225</v>
      </c>
      <c r="C6" t="s">
        <v>226</v>
      </c>
      <c r="D6" s="2" t="s">
        <v>227</v>
      </c>
      <c r="E6" s="2" t="s">
        <v>228</v>
      </c>
      <c r="F6" s="2" t="s">
        <v>229</v>
      </c>
      <c r="G6" s="2" t="s">
        <v>230</v>
      </c>
      <c r="H6" s="2" t="s">
        <v>231</v>
      </c>
      <c r="I6" s="2" t="s">
        <v>232</v>
      </c>
      <c r="J6" s="2" t="s">
        <v>233</v>
      </c>
      <c r="K6" s="2" t="s">
        <v>234</v>
      </c>
      <c r="L6" s="2" t="s">
        <v>235</v>
      </c>
      <c r="M6" s="2" t="s">
        <v>236</v>
      </c>
      <c r="N6" s="2" t="s">
        <v>237</v>
      </c>
      <c r="O6" t="s">
        <v>238</v>
      </c>
      <c r="P6" t="s">
        <v>225</v>
      </c>
    </row>
    <row r="7" spans="1:16" x14ac:dyDescent="0.25">
      <c r="A7" t="s">
        <v>225</v>
      </c>
      <c r="B7" t="s">
        <v>225</v>
      </c>
      <c r="C7">
        <v>20210723</v>
      </c>
      <c r="D7" s="3">
        <v>25930380</v>
      </c>
      <c r="E7" s="3">
        <v>1002207</v>
      </c>
      <c r="F7">
        <v>25.87</v>
      </c>
      <c r="G7" s="3">
        <v>23475734</v>
      </c>
      <c r="H7">
        <v>90.53</v>
      </c>
      <c r="I7" s="3">
        <v>2473</v>
      </c>
      <c r="J7">
        <v>495</v>
      </c>
      <c r="K7">
        <v>286</v>
      </c>
      <c r="L7">
        <v>183</v>
      </c>
      <c r="M7">
        <v>1509</v>
      </c>
      <c r="N7">
        <v>88.2</v>
      </c>
      <c r="O7">
        <v>585</v>
      </c>
      <c r="P7" t="s">
        <v>225</v>
      </c>
    </row>
    <row r="9" spans="1:16" x14ac:dyDescent="0.25">
      <c r="A9" t="s">
        <v>225</v>
      </c>
      <c r="B9" t="s">
        <v>225</v>
      </c>
      <c r="C9">
        <v>20210716</v>
      </c>
      <c r="D9" s="3">
        <v>25930380</v>
      </c>
      <c r="E9" s="3">
        <v>973015</v>
      </c>
      <c r="F9">
        <v>26.65</v>
      </c>
      <c r="G9" s="3">
        <v>23521104</v>
      </c>
      <c r="H9">
        <v>90.71</v>
      </c>
      <c r="I9" s="3">
        <v>2479</v>
      </c>
      <c r="J9">
        <v>498</v>
      </c>
      <c r="K9">
        <v>290</v>
      </c>
      <c r="L9">
        <v>182</v>
      </c>
      <c r="M9">
        <v>1509</v>
      </c>
      <c r="N9">
        <v>88.35</v>
      </c>
      <c r="O9">
        <v>589</v>
      </c>
      <c r="P9" t="s">
        <v>225</v>
      </c>
    </row>
    <row r="11" spans="1:16" x14ac:dyDescent="0.25">
      <c r="A11" t="s">
        <v>225</v>
      </c>
      <c r="B11" t="s">
        <v>225</v>
      </c>
      <c r="C11">
        <v>20210709</v>
      </c>
      <c r="D11" s="3">
        <v>25930380</v>
      </c>
      <c r="E11" s="3">
        <v>996982</v>
      </c>
      <c r="F11">
        <v>26.01</v>
      </c>
      <c r="G11" s="3">
        <v>23486122</v>
      </c>
      <c r="H11">
        <v>90.57</v>
      </c>
      <c r="I11" s="3">
        <v>2468</v>
      </c>
      <c r="J11">
        <v>494</v>
      </c>
      <c r="K11">
        <v>289</v>
      </c>
      <c r="L11">
        <v>177</v>
      </c>
      <c r="M11">
        <v>1508</v>
      </c>
      <c r="N11">
        <v>88.25</v>
      </c>
      <c r="O11">
        <v>584</v>
      </c>
      <c r="P11" t="s">
        <v>225</v>
      </c>
    </row>
    <row r="13" spans="1:16" x14ac:dyDescent="0.25">
      <c r="A13" t="s">
        <v>225</v>
      </c>
      <c r="B13" t="s">
        <v>225</v>
      </c>
      <c r="C13">
        <v>20210702</v>
      </c>
      <c r="D13" s="3">
        <v>25930380</v>
      </c>
      <c r="E13" s="3">
        <v>996493</v>
      </c>
      <c r="F13">
        <v>26.02</v>
      </c>
      <c r="G13" s="3">
        <v>23484973</v>
      </c>
      <c r="H13">
        <v>90.57</v>
      </c>
      <c r="I13" s="3">
        <v>2464</v>
      </c>
      <c r="J13">
        <v>490</v>
      </c>
      <c r="K13">
        <v>285</v>
      </c>
      <c r="L13">
        <v>185</v>
      </c>
      <c r="M13">
        <v>1504</v>
      </c>
      <c r="N13">
        <v>88.24</v>
      </c>
      <c r="O13">
        <v>588</v>
      </c>
      <c r="P13" t="s">
        <v>225</v>
      </c>
    </row>
    <row r="15" spans="1:16" x14ac:dyDescent="0.25">
      <c r="A15" t="s">
        <v>225</v>
      </c>
      <c r="B15" t="s">
        <v>225</v>
      </c>
      <c r="C15">
        <v>20210625</v>
      </c>
      <c r="D15" s="3">
        <v>25930380</v>
      </c>
      <c r="E15" s="3">
        <v>1006309</v>
      </c>
      <c r="F15">
        <v>25.77</v>
      </c>
      <c r="G15" s="3">
        <v>23468045</v>
      </c>
      <c r="H15">
        <v>90.5</v>
      </c>
      <c r="I15" s="3">
        <v>2461</v>
      </c>
      <c r="J15">
        <v>492</v>
      </c>
      <c r="K15">
        <v>289</v>
      </c>
      <c r="L15">
        <v>174</v>
      </c>
      <c r="M15">
        <v>1506</v>
      </c>
      <c r="N15">
        <v>88.19</v>
      </c>
      <c r="O15">
        <v>591</v>
      </c>
      <c r="P15" t="s">
        <v>225</v>
      </c>
    </row>
    <row r="17" spans="1:16" x14ac:dyDescent="0.25">
      <c r="A17" t="s">
        <v>225</v>
      </c>
      <c r="B17" t="s">
        <v>225</v>
      </c>
      <c r="C17">
        <v>20210618</v>
      </c>
      <c r="D17" s="3">
        <v>25930380</v>
      </c>
      <c r="E17" s="3">
        <v>991454</v>
      </c>
      <c r="F17">
        <v>26.15</v>
      </c>
      <c r="G17" s="3">
        <v>23489677</v>
      </c>
      <c r="H17">
        <v>90.59</v>
      </c>
      <c r="I17" s="3">
        <v>2460</v>
      </c>
      <c r="J17">
        <v>494</v>
      </c>
      <c r="K17">
        <v>287</v>
      </c>
      <c r="L17">
        <v>175</v>
      </c>
      <c r="M17">
        <v>1504</v>
      </c>
      <c r="N17">
        <v>88.27</v>
      </c>
      <c r="O17">
        <v>603</v>
      </c>
      <c r="P17" t="s">
        <v>225</v>
      </c>
    </row>
    <row r="19" spans="1:16" x14ac:dyDescent="0.25">
      <c r="A19" t="s">
        <v>225</v>
      </c>
      <c r="B19" t="s">
        <v>225</v>
      </c>
      <c r="C19">
        <v>20210611</v>
      </c>
      <c r="D19" s="3">
        <v>25930381</v>
      </c>
      <c r="E19" s="3">
        <v>1001076</v>
      </c>
      <c r="F19">
        <v>25.9</v>
      </c>
      <c r="G19" s="3">
        <v>23474701</v>
      </c>
      <c r="H19">
        <v>90.53</v>
      </c>
      <c r="I19" s="3">
        <v>2456</v>
      </c>
      <c r="J19">
        <v>494</v>
      </c>
      <c r="K19">
        <v>282</v>
      </c>
      <c r="L19">
        <v>179</v>
      </c>
      <c r="M19">
        <v>1501</v>
      </c>
      <c r="N19">
        <v>88.21</v>
      </c>
      <c r="O19">
        <v>602</v>
      </c>
      <c r="P19" t="s">
        <v>225</v>
      </c>
    </row>
    <row r="21" spans="1:16" x14ac:dyDescent="0.25">
      <c r="A21" t="s">
        <v>225</v>
      </c>
      <c r="B21" t="s">
        <v>225</v>
      </c>
      <c r="C21">
        <v>20210604</v>
      </c>
      <c r="D21" s="3">
        <v>25930380</v>
      </c>
      <c r="E21" s="3">
        <v>1003870</v>
      </c>
      <c r="F21">
        <v>25.83</v>
      </c>
      <c r="G21" s="3">
        <v>23472436</v>
      </c>
      <c r="H21">
        <v>90.52</v>
      </c>
      <c r="I21" s="3">
        <v>2458</v>
      </c>
      <c r="J21">
        <v>499</v>
      </c>
      <c r="K21">
        <v>275</v>
      </c>
      <c r="L21">
        <v>184</v>
      </c>
      <c r="M21">
        <v>1500</v>
      </c>
      <c r="N21">
        <v>88.2</v>
      </c>
      <c r="O21">
        <v>595</v>
      </c>
      <c r="P21" t="s">
        <v>225</v>
      </c>
    </row>
    <row r="23" spans="1:16" x14ac:dyDescent="0.25">
      <c r="A23" t="s">
        <v>225</v>
      </c>
      <c r="B23" t="s">
        <v>225</v>
      </c>
      <c r="C23">
        <v>20210528</v>
      </c>
      <c r="D23" s="3">
        <v>25930380</v>
      </c>
      <c r="E23" s="3">
        <v>1016732</v>
      </c>
      <c r="F23">
        <v>25.5</v>
      </c>
      <c r="G23" s="3">
        <v>23448904</v>
      </c>
      <c r="H23">
        <v>90.43</v>
      </c>
      <c r="I23" s="3">
        <v>2450</v>
      </c>
      <c r="J23">
        <v>500</v>
      </c>
      <c r="K23">
        <v>271</v>
      </c>
      <c r="L23">
        <v>179</v>
      </c>
      <c r="M23">
        <v>1500</v>
      </c>
      <c r="N23">
        <v>88.13</v>
      </c>
      <c r="O23">
        <v>590</v>
      </c>
      <c r="P23" t="s">
        <v>225</v>
      </c>
    </row>
    <row r="25" spans="1:16" x14ac:dyDescent="0.25">
      <c r="A25" t="s">
        <v>225</v>
      </c>
      <c r="B25" t="s">
        <v>225</v>
      </c>
      <c r="C25">
        <v>20210521</v>
      </c>
      <c r="D25" s="3">
        <v>25930380</v>
      </c>
      <c r="E25" s="3">
        <v>1020176</v>
      </c>
      <c r="F25">
        <v>25.42</v>
      </c>
      <c r="G25" s="3">
        <v>23437268</v>
      </c>
      <c r="H25">
        <v>90.39</v>
      </c>
      <c r="I25" s="3">
        <v>2445</v>
      </c>
      <c r="J25">
        <v>493</v>
      </c>
      <c r="K25">
        <v>267</v>
      </c>
      <c r="L25">
        <v>184</v>
      </c>
      <c r="M25">
        <v>1501</v>
      </c>
      <c r="N25">
        <v>88.1</v>
      </c>
      <c r="O25">
        <v>573</v>
      </c>
      <c r="P25" t="s">
        <v>225</v>
      </c>
    </row>
    <row r="27" spans="1:16" x14ac:dyDescent="0.25">
      <c r="A27" t="s">
        <v>225</v>
      </c>
      <c r="B27" t="s">
        <v>225</v>
      </c>
      <c r="C27">
        <v>20210514</v>
      </c>
      <c r="D27" s="3">
        <v>25930380</v>
      </c>
      <c r="E27" s="3">
        <v>1022969</v>
      </c>
      <c r="F27">
        <v>25.35</v>
      </c>
      <c r="G27" s="3">
        <v>23407229</v>
      </c>
      <c r="H27">
        <v>90.27</v>
      </c>
      <c r="I27" s="3">
        <v>2445</v>
      </c>
      <c r="J27">
        <v>483</v>
      </c>
      <c r="K27">
        <v>274</v>
      </c>
      <c r="L27">
        <v>189</v>
      </c>
      <c r="M27">
        <v>1499</v>
      </c>
      <c r="N27">
        <v>87.96</v>
      </c>
      <c r="O27">
        <v>557</v>
      </c>
      <c r="P27" t="s">
        <v>225</v>
      </c>
    </row>
    <row r="29" spans="1:16" x14ac:dyDescent="0.25">
      <c r="A29" t="s">
        <v>225</v>
      </c>
      <c r="B29" t="s">
        <v>225</v>
      </c>
      <c r="C29">
        <v>20210507</v>
      </c>
      <c r="D29" s="3">
        <v>25930380</v>
      </c>
      <c r="E29" s="3">
        <v>1011057</v>
      </c>
      <c r="F29">
        <v>25.65</v>
      </c>
      <c r="G29" s="3">
        <v>23426318</v>
      </c>
      <c r="H29">
        <v>90.34</v>
      </c>
      <c r="I29" s="3">
        <v>2449</v>
      </c>
      <c r="J29">
        <v>484</v>
      </c>
      <c r="K29">
        <v>278</v>
      </c>
      <c r="L29">
        <v>181</v>
      </c>
      <c r="M29">
        <v>1506</v>
      </c>
      <c r="N29">
        <v>88.06</v>
      </c>
      <c r="O29">
        <v>599</v>
      </c>
      <c r="P29" t="s">
        <v>225</v>
      </c>
    </row>
    <row r="31" spans="1:16" x14ac:dyDescent="0.25">
      <c r="A31" t="s">
        <v>225</v>
      </c>
      <c r="B31" t="s">
        <v>225</v>
      </c>
      <c r="C31">
        <v>20210429</v>
      </c>
      <c r="D31" s="3">
        <v>25930380</v>
      </c>
      <c r="E31" s="3">
        <v>992005</v>
      </c>
      <c r="F31">
        <v>26.14</v>
      </c>
      <c r="G31" s="3">
        <v>23454559</v>
      </c>
      <c r="H31">
        <v>90.45</v>
      </c>
      <c r="I31" s="3">
        <v>2444</v>
      </c>
      <c r="J31">
        <v>478</v>
      </c>
      <c r="K31">
        <v>276</v>
      </c>
      <c r="L31">
        <v>178</v>
      </c>
      <c r="M31">
        <v>1512</v>
      </c>
      <c r="N31">
        <v>88.19</v>
      </c>
      <c r="O31">
        <v>600</v>
      </c>
      <c r="P31" t="s">
        <v>225</v>
      </c>
    </row>
    <row r="33" spans="1:16" x14ac:dyDescent="0.25">
      <c r="A33" t="s">
        <v>225</v>
      </c>
      <c r="B33" t="s">
        <v>225</v>
      </c>
      <c r="C33">
        <v>20210423</v>
      </c>
      <c r="D33" s="3">
        <v>25930380</v>
      </c>
      <c r="E33" s="3">
        <v>998662</v>
      </c>
      <c r="F33">
        <v>25.97</v>
      </c>
      <c r="G33" s="3">
        <v>23441840</v>
      </c>
      <c r="H33">
        <v>90.4</v>
      </c>
      <c r="I33" s="3">
        <v>2441</v>
      </c>
      <c r="J33">
        <v>478</v>
      </c>
      <c r="K33">
        <v>274</v>
      </c>
      <c r="L33">
        <v>178</v>
      </c>
      <c r="M33">
        <v>1511</v>
      </c>
      <c r="N33">
        <v>88.15</v>
      </c>
      <c r="O33">
        <v>602</v>
      </c>
      <c r="P33" t="s">
        <v>225</v>
      </c>
    </row>
    <row r="35" spans="1:16" x14ac:dyDescent="0.25">
      <c r="A35" t="s">
        <v>225</v>
      </c>
      <c r="B35" t="s">
        <v>225</v>
      </c>
      <c r="C35">
        <v>20210416</v>
      </c>
      <c r="D35" s="3">
        <v>25930380</v>
      </c>
      <c r="E35" s="3">
        <v>969046</v>
      </c>
      <c r="F35">
        <v>26.76</v>
      </c>
      <c r="G35" s="3">
        <v>23483579</v>
      </c>
      <c r="H35">
        <v>90.56</v>
      </c>
      <c r="I35" s="3">
        <v>2449</v>
      </c>
      <c r="J35">
        <v>488</v>
      </c>
      <c r="K35">
        <v>269</v>
      </c>
      <c r="L35">
        <v>178</v>
      </c>
      <c r="M35">
        <v>1514</v>
      </c>
      <c r="N35">
        <v>88.3</v>
      </c>
      <c r="O35">
        <v>610</v>
      </c>
      <c r="P35" t="s">
        <v>225</v>
      </c>
    </row>
    <row r="37" spans="1:16" x14ac:dyDescent="0.25">
      <c r="A37" t="s">
        <v>225</v>
      </c>
      <c r="B37" t="s">
        <v>225</v>
      </c>
      <c r="C37">
        <v>20210409</v>
      </c>
      <c r="D37" s="3">
        <v>25930380</v>
      </c>
      <c r="E37" s="3">
        <v>980122</v>
      </c>
      <c r="F37">
        <v>26.46</v>
      </c>
      <c r="G37" s="3">
        <v>23472836</v>
      </c>
      <c r="H37">
        <v>90.52</v>
      </c>
      <c r="I37" s="3">
        <v>2450</v>
      </c>
      <c r="J37">
        <v>483</v>
      </c>
      <c r="K37">
        <v>276</v>
      </c>
      <c r="L37">
        <v>180</v>
      </c>
      <c r="M37">
        <v>1511</v>
      </c>
      <c r="N37">
        <v>88.24</v>
      </c>
      <c r="O37">
        <v>610</v>
      </c>
      <c r="P37" t="s">
        <v>225</v>
      </c>
    </row>
    <row r="39" spans="1:16" x14ac:dyDescent="0.25">
      <c r="A39" t="s">
        <v>225</v>
      </c>
      <c r="B39" t="s">
        <v>225</v>
      </c>
      <c r="C39">
        <v>20210401</v>
      </c>
      <c r="D39" s="3">
        <v>25930380</v>
      </c>
      <c r="E39" s="3">
        <v>1002564</v>
      </c>
      <c r="F39">
        <v>25.86</v>
      </c>
      <c r="G39" s="3">
        <v>23430832</v>
      </c>
      <c r="H39">
        <v>90.36</v>
      </c>
      <c r="I39" s="3">
        <v>2453</v>
      </c>
      <c r="J39">
        <v>487</v>
      </c>
      <c r="K39">
        <v>280</v>
      </c>
      <c r="L39">
        <v>182</v>
      </c>
      <c r="M39">
        <v>1504</v>
      </c>
      <c r="N39">
        <v>88.06</v>
      </c>
      <c r="O39">
        <v>602</v>
      </c>
      <c r="P39" t="s">
        <v>225</v>
      </c>
    </row>
    <row r="41" spans="1:16" x14ac:dyDescent="0.25">
      <c r="A41" t="s">
        <v>225</v>
      </c>
      <c r="B41" t="s">
        <v>225</v>
      </c>
      <c r="C41">
        <v>20210326</v>
      </c>
      <c r="D41" s="3">
        <v>25930380</v>
      </c>
      <c r="E41" s="3">
        <v>1000069</v>
      </c>
      <c r="F41">
        <v>25.93</v>
      </c>
      <c r="G41" s="3">
        <v>23428624</v>
      </c>
      <c r="H41">
        <v>90.35</v>
      </c>
      <c r="I41" s="3">
        <v>2454</v>
      </c>
      <c r="J41">
        <v>484</v>
      </c>
      <c r="K41">
        <v>285</v>
      </c>
      <c r="L41">
        <v>178</v>
      </c>
      <c r="M41">
        <v>1507</v>
      </c>
      <c r="N41">
        <v>88.06</v>
      </c>
      <c r="O41">
        <v>590</v>
      </c>
      <c r="P41" t="s">
        <v>225</v>
      </c>
    </row>
    <row r="43" spans="1:16" x14ac:dyDescent="0.25">
      <c r="A43" t="s">
        <v>225</v>
      </c>
      <c r="B43" t="s">
        <v>225</v>
      </c>
      <c r="C43">
        <v>20210319</v>
      </c>
      <c r="D43" s="3">
        <v>25930380</v>
      </c>
      <c r="E43" s="3">
        <v>946692</v>
      </c>
      <c r="F43">
        <v>27.39</v>
      </c>
      <c r="G43" s="3">
        <v>23514149</v>
      </c>
      <c r="H43">
        <v>90.68</v>
      </c>
      <c r="I43" s="3">
        <v>2460</v>
      </c>
      <c r="J43">
        <v>471</v>
      </c>
      <c r="K43">
        <v>292</v>
      </c>
      <c r="L43">
        <v>189</v>
      </c>
      <c r="M43">
        <v>1508</v>
      </c>
      <c r="N43">
        <v>88.36</v>
      </c>
      <c r="O43">
        <v>591</v>
      </c>
      <c r="P43" t="s">
        <v>225</v>
      </c>
    </row>
    <row r="45" spans="1:16" x14ac:dyDescent="0.25">
      <c r="A45" t="s">
        <v>225</v>
      </c>
      <c r="B45" t="s">
        <v>225</v>
      </c>
      <c r="C45">
        <v>20210312</v>
      </c>
      <c r="D45" s="3">
        <v>25930380</v>
      </c>
      <c r="E45" s="3">
        <v>940994</v>
      </c>
      <c r="F45">
        <v>27.56</v>
      </c>
      <c r="G45" s="3">
        <v>23519860</v>
      </c>
      <c r="H45">
        <v>90.7</v>
      </c>
      <c r="I45" s="3">
        <v>2460</v>
      </c>
      <c r="J45">
        <v>472</v>
      </c>
      <c r="K45">
        <v>286</v>
      </c>
      <c r="L45">
        <v>188</v>
      </c>
      <c r="M45">
        <v>1514</v>
      </c>
      <c r="N45">
        <v>88.4</v>
      </c>
      <c r="O45">
        <v>614</v>
      </c>
      <c r="P45" t="s">
        <v>225</v>
      </c>
    </row>
    <row r="47" spans="1:16" x14ac:dyDescent="0.25">
      <c r="A47" t="s">
        <v>225</v>
      </c>
      <c r="B47" t="s">
        <v>225</v>
      </c>
      <c r="C47">
        <v>20210305</v>
      </c>
      <c r="D47" s="3">
        <v>25930380</v>
      </c>
      <c r="E47" s="3">
        <v>906135</v>
      </c>
      <c r="F47">
        <v>28.62</v>
      </c>
      <c r="G47" s="3">
        <v>23556607</v>
      </c>
      <c r="H47">
        <v>90.85</v>
      </c>
      <c r="I47" s="3">
        <v>2463</v>
      </c>
      <c r="J47">
        <v>476</v>
      </c>
      <c r="K47">
        <v>287</v>
      </c>
      <c r="L47">
        <v>182</v>
      </c>
      <c r="M47">
        <v>1518</v>
      </c>
      <c r="N47">
        <v>88.55</v>
      </c>
      <c r="O47">
        <v>601</v>
      </c>
      <c r="P47" t="s">
        <v>225</v>
      </c>
    </row>
    <row r="49" spans="1:16" x14ac:dyDescent="0.25">
      <c r="A49" t="s">
        <v>225</v>
      </c>
      <c r="B49" t="s">
        <v>225</v>
      </c>
      <c r="C49">
        <v>20210226</v>
      </c>
      <c r="D49" s="3">
        <v>25930380</v>
      </c>
      <c r="E49" s="3">
        <v>840204</v>
      </c>
      <c r="F49">
        <v>30.86</v>
      </c>
      <c r="G49" s="3">
        <v>23647367</v>
      </c>
      <c r="H49">
        <v>91.2</v>
      </c>
      <c r="I49" s="3">
        <v>2470</v>
      </c>
      <c r="J49">
        <v>480</v>
      </c>
      <c r="K49">
        <v>291</v>
      </c>
      <c r="L49">
        <v>183</v>
      </c>
      <c r="M49">
        <v>1516</v>
      </c>
      <c r="N49">
        <v>88.88</v>
      </c>
      <c r="O49">
        <v>606</v>
      </c>
      <c r="P49" t="s">
        <v>225</v>
      </c>
    </row>
    <row r="51" spans="1:16" x14ac:dyDescent="0.25">
      <c r="A51" t="s">
        <v>225</v>
      </c>
      <c r="B51" t="s">
        <v>225</v>
      </c>
      <c r="C51">
        <v>20210219</v>
      </c>
      <c r="D51" s="3">
        <v>25930380</v>
      </c>
      <c r="E51" s="3">
        <v>804641</v>
      </c>
      <c r="F51">
        <v>32.229999999999997</v>
      </c>
      <c r="G51" s="3">
        <v>23685175</v>
      </c>
      <c r="H51">
        <v>91.34</v>
      </c>
      <c r="I51" s="3">
        <v>2472</v>
      </c>
      <c r="J51">
        <v>487</v>
      </c>
      <c r="K51">
        <v>284</v>
      </c>
      <c r="L51">
        <v>180</v>
      </c>
      <c r="M51">
        <v>1521</v>
      </c>
      <c r="N51">
        <v>89.04</v>
      </c>
      <c r="O51">
        <v>652</v>
      </c>
      <c r="P51" t="s">
        <v>225</v>
      </c>
    </row>
    <row r="53" spans="1:16" x14ac:dyDescent="0.25">
      <c r="A53" t="s">
        <v>225</v>
      </c>
      <c r="B53" t="s">
        <v>225</v>
      </c>
      <c r="C53">
        <v>20210209</v>
      </c>
      <c r="D53" s="3">
        <v>25930380</v>
      </c>
      <c r="E53" s="3">
        <v>806262</v>
      </c>
      <c r="F53">
        <v>32.159999999999997</v>
      </c>
      <c r="G53" s="3">
        <v>23677760</v>
      </c>
      <c r="H53">
        <v>91.31</v>
      </c>
      <c r="I53" s="3">
        <v>2474</v>
      </c>
      <c r="J53">
        <v>494</v>
      </c>
      <c r="K53">
        <v>279</v>
      </c>
      <c r="L53">
        <v>188</v>
      </c>
      <c r="M53">
        <v>1513</v>
      </c>
      <c r="N53">
        <v>88.99</v>
      </c>
      <c r="O53">
        <v>632</v>
      </c>
      <c r="P53" t="s">
        <v>225</v>
      </c>
    </row>
    <row r="55" spans="1:16" x14ac:dyDescent="0.25">
      <c r="A55" t="s">
        <v>225</v>
      </c>
      <c r="B55" t="s">
        <v>225</v>
      </c>
      <c r="C55">
        <v>20210205</v>
      </c>
      <c r="D55" s="3">
        <v>25930381</v>
      </c>
      <c r="E55" s="3">
        <v>808169</v>
      </c>
      <c r="F55">
        <v>32.090000000000003</v>
      </c>
      <c r="G55" s="3">
        <v>23677143</v>
      </c>
      <c r="H55">
        <v>91.31</v>
      </c>
      <c r="I55" s="3">
        <v>2471</v>
      </c>
      <c r="J55">
        <v>494</v>
      </c>
      <c r="K55">
        <v>279</v>
      </c>
      <c r="L55">
        <v>187</v>
      </c>
      <c r="M55">
        <v>1511</v>
      </c>
      <c r="N55">
        <v>88.99</v>
      </c>
      <c r="O55">
        <v>632</v>
      </c>
      <c r="P55" t="s">
        <v>225</v>
      </c>
    </row>
    <row r="57" spans="1:16" x14ac:dyDescent="0.25">
      <c r="A57" t="s">
        <v>225</v>
      </c>
      <c r="B57" t="s">
        <v>225</v>
      </c>
      <c r="C57">
        <v>20210129</v>
      </c>
      <c r="D57" s="3">
        <v>25930380</v>
      </c>
      <c r="E57" s="3">
        <v>794292</v>
      </c>
      <c r="F57">
        <v>32.65</v>
      </c>
      <c r="G57" s="3">
        <v>23677300</v>
      </c>
      <c r="H57">
        <v>91.31</v>
      </c>
      <c r="I57" s="3">
        <v>2469</v>
      </c>
      <c r="J57">
        <v>494</v>
      </c>
      <c r="K57">
        <v>281</v>
      </c>
      <c r="L57">
        <v>184</v>
      </c>
      <c r="M57">
        <v>1510</v>
      </c>
      <c r="N57">
        <v>89</v>
      </c>
      <c r="O57">
        <v>591</v>
      </c>
      <c r="P57" t="s">
        <v>225</v>
      </c>
    </row>
    <row r="59" spans="1:16" x14ac:dyDescent="0.25">
      <c r="A59" t="s">
        <v>225</v>
      </c>
      <c r="B59" t="s">
        <v>225</v>
      </c>
      <c r="C59">
        <v>20210122</v>
      </c>
      <c r="D59" s="3">
        <v>25930380</v>
      </c>
      <c r="E59" s="3">
        <v>702288</v>
      </c>
      <c r="F59">
        <v>36.92</v>
      </c>
      <c r="G59" s="3">
        <v>23791965</v>
      </c>
      <c r="H59">
        <v>91.75</v>
      </c>
      <c r="I59" s="3">
        <v>2473</v>
      </c>
      <c r="J59">
        <v>496</v>
      </c>
      <c r="K59">
        <v>266</v>
      </c>
      <c r="L59">
        <v>193</v>
      </c>
      <c r="M59">
        <v>1518</v>
      </c>
      <c r="N59">
        <v>89.45</v>
      </c>
      <c r="O59">
        <v>649</v>
      </c>
      <c r="P59" t="s">
        <v>225</v>
      </c>
    </row>
    <row r="61" spans="1:16" x14ac:dyDescent="0.25">
      <c r="A61" t="s">
        <v>225</v>
      </c>
      <c r="B61" t="s">
        <v>225</v>
      </c>
      <c r="C61">
        <v>20210115</v>
      </c>
      <c r="D61" s="3">
        <v>25930380</v>
      </c>
      <c r="E61" s="3">
        <v>662046</v>
      </c>
      <c r="F61">
        <v>39.17</v>
      </c>
      <c r="G61" s="3">
        <v>23820540</v>
      </c>
      <c r="H61">
        <v>91.86</v>
      </c>
      <c r="I61" s="3">
        <v>2474</v>
      </c>
      <c r="J61">
        <v>491</v>
      </c>
      <c r="K61">
        <v>257</v>
      </c>
      <c r="L61">
        <v>207</v>
      </c>
      <c r="M61">
        <v>1519</v>
      </c>
      <c r="N61">
        <v>89.54</v>
      </c>
      <c r="O61">
        <v>601</v>
      </c>
      <c r="P61" t="s">
        <v>225</v>
      </c>
    </row>
    <row r="63" spans="1:16" x14ac:dyDescent="0.25">
      <c r="A63" t="s">
        <v>225</v>
      </c>
      <c r="B63" t="s">
        <v>225</v>
      </c>
      <c r="C63">
        <v>20210108</v>
      </c>
      <c r="D63" s="3">
        <v>25930380</v>
      </c>
      <c r="E63" s="3">
        <v>610369</v>
      </c>
      <c r="F63">
        <v>42.48</v>
      </c>
      <c r="G63" s="3">
        <v>23895460</v>
      </c>
      <c r="H63">
        <v>92.15</v>
      </c>
      <c r="I63" s="3">
        <v>2481</v>
      </c>
      <c r="J63">
        <v>488</v>
      </c>
      <c r="K63">
        <v>269</v>
      </c>
      <c r="L63">
        <v>201</v>
      </c>
      <c r="M63">
        <v>1523</v>
      </c>
      <c r="N63">
        <v>89.83</v>
      </c>
      <c r="O63">
        <v>580</v>
      </c>
      <c r="P63" t="s">
        <v>225</v>
      </c>
    </row>
    <row r="65" spans="1:16" x14ac:dyDescent="0.25">
      <c r="A65" t="s">
        <v>225</v>
      </c>
      <c r="B65" t="s">
        <v>225</v>
      </c>
      <c r="C65">
        <v>20201231</v>
      </c>
      <c r="D65" s="3">
        <v>25930380</v>
      </c>
      <c r="E65" s="3">
        <v>605914</v>
      </c>
      <c r="F65">
        <v>42.8</v>
      </c>
      <c r="G65" s="3">
        <v>23893548</v>
      </c>
      <c r="H65">
        <v>92.14</v>
      </c>
      <c r="I65" s="3">
        <v>2482</v>
      </c>
      <c r="J65">
        <v>485</v>
      </c>
      <c r="K65">
        <v>275</v>
      </c>
      <c r="L65">
        <v>200</v>
      </c>
      <c r="M65">
        <v>1522</v>
      </c>
      <c r="N65">
        <v>89.81</v>
      </c>
      <c r="O65">
        <v>530</v>
      </c>
      <c r="P65" t="s">
        <v>225</v>
      </c>
    </row>
    <row r="67" spans="1:16" x14ac:dyDescent="0.25">
      <c r="A67" t="s">
        <v>225</v>
      </c>
      <c r="B67" t="s">
        <v>225</v>
      </c>
      <c r="C67">
        <v>20201225</v>
      </c>
      <c r="D67" s="3">
        <v>25930380</v>
      </c>
      <c r="E67" s="3">
        <v>611077</v>
      </c>
      <c r="F67">
        <v>42.43</v>
      </c>
      <c r="G67" s="3">
        <v>23876550</v>
      </c>
      <c r="H67">
        <v>92.08</v>
      </c>
      <c r="I67" s="3">
        <v>2482</v>
      </c>
      <c r="J67">
        <v>484</v>
      </c>
      <c r="K67">
        <v>279</v>
      </c>
      <c r="L67">
        <v>201</v>
      </c>
      <c r="M67">
        <v>1518</v>
      </c>
      <c r="N67">
        <v>89.74</v>
      </c>
      <c r="O67">
        <v>511</v>
      </c>
      <c r="P67" t="s">
        <v>225</v>
      </c>
    </row>
    <row r="69" spans="1:16" x14ac:dyDescent="0.25">
      <c r="A69" t="s">
        <v>225</v>
      </c>
      <c r="B69" t="s">
        <v>225</v>
      </c>
      <c r="C69">
        <v>20201218</v>
      </c>
      <c r="D69" s="3">
        <v>25930380</v>
      </c>
      <c r="E69" s="3">
        <v>607982</v>
      </c>
      <c r="F69">
        <v>42.65</v>
      </c>
      <c r="G69" s="3">
        <v>23874128</v>
      </c>
      <c r="H69">
        <v>92.07</v>
      </c>
      <c r="I69" s="3">
        <v>2471</v>
      </c>
      <c r="J69">
        <v>474</v>
      </c>
      <c r="K69">
        <v>288</v>
      </c>
      <c r="L69">
        <v>191</v>
      </c>
      <c r="M69">
        <v>1518</v>
      </c>
      <c r="N69">
        <v>89.76</v>
      </c>
      <c r="O69">
        <v>510</v>
      </c>
      <c r="P69" t="s">
        <v>225</v>
      </c>
    </row>
    <row r="71" spans="1:16" x14ac:dyDescent="0.25">
      <c r="A71" t="s">
        <v>225</v>
      </c>
      <c r="B71" t="s">
        <v>225</v>
      </c>
      <c r="C71">
        <v>20201211</v>
      </c>
      <c r="D71" s="3">
        <v>25930380</v>
      </c>
      <c r="E71" s="3">
        <v>586059</v>
      </c>
      <c r="F71">
        <v>44.25</v>
      </c>
      <c r="G71" s="3">
        <v>23903657</v>
      </c>
      <c r="H71">
        <v>92.18</v>
      </c>
      <c r="I71" s="3">
        <v>2471</v>
      </c>
      <c r="J71">
        <v>478</v>
      </c>
      <c r="K71">
        <v>285</v>
      </c>
      <c r="L71">
        <v>186</v>
      </c>
      <c r="M71">
        <v>1522</v>
      </c>
      <c r="N71">
        <v>89.89</v>
      </c>
      <c r="O71">
        <v>516</v>
      </c>
      <c r="P71" t="s">
        <v>225</v>
      </c>
    </row>
    <row r="73" spans="1:16" x14ac:dyDescent="0.25">
      <c r="A73" t="s">
        <v>225</v>
      </c>
      <c r="B73" t="s">
        <v>225</v>
      </c>
      <c r="C73">
        <v>20201204</v>
      </c>
      <c r="D73" s="3">
        <v>25930380</v>
      </c>
      <c r="E73" s="3">
        <v>578777</v>
      </c>
      <c r="F73">
        <v>44.8</v>
      </c>
      <c r="G73" s="3">
        <v>23902528</v>
      </c>
      <c r="H73">
        <v>92.18</v>
      </c>
      <c r="I73" s="3">
        <v>2464</v>
      </c>
      <c r="J73">
        <v>462</v>
      </c>
      <c r="K73">
        <v>295</v>
      </c>
      <c r="L73">
        <v>187</v>
      </c>
      <c r="M73">
        <v>1520</v>
      </c>
      <c r="N73">
        <v>89.89</v>
      </c>
      <c r="O73">
        <v>503</v>
      </c>
      <c r="P73" t="s">
        <v>225</v>
      </c>
    </row>
    <row r="75" spans="1:16" x14ac:dyDescent="0.25">
      <c r="A75" t="s">
        <v>225</v>
      </c>
      <c r="B75" t="s">
        <v>225</v>
      </c>
      <c r="C75">
        <v>20201127</v>
      </c>
      <c r="D75" s="3">
        <v>25930380</v>
      </c>
      <c r="E75" s="3">
        <v>567805</v>
      </c>
      <c r="F75">
        <v>45.67</v>
      </c>
      <c r="G75" s="3">
        <v>23920614</v>
      </c>
      <c r="H75">
        <v>92.25</v>
      </c>
      <c r="I75" s="3">
        <v>2449</v>
      </c>
      <c r="J75">
        <v>460</v>
      </c>
      <c r="K75">
        <v>287</v>
      </c>
      <c r="L75">
        <v>195</v>
      </c>
      <c r="M75">
        <v>1507</v>
      </c>
      <c r="N75">
        <v>89.95</v>
      </c>
      <c r="O75">
        <v>489</v>
      </c>
      <c r="P75" t="s">
        <v>225</v>
      </c>
    </row>
    <row r="77" spans="1:16" x14ac:dyDescent="0.25">
      <c r="A77" t="s">
        <v>225</v>
      </c>
      <c r="B77" t="s">
        <v>225</v>
      </c>
      <c r="C77">
        <v>20201120</v>
      </c>
      <c r="D77" s="3">
        <v>25930380</v>
      </c>
      <c r="E77" s="3">
        <v>546511</v>
      </c>
      <c r="F77">
        <v>47.45</v>
      </c>
      <c r="G77" s="3">
        <v>23949626</v>
      </c>
      <c r="H77">
        <v>92.36</v>
      </c>
      <c r="I77" s="3">
        <v>2438</v>
      </c>
      <c r="J77">
        <v>461</v>
      </c>
      <c r="K77">
        <v>282</v>
      </c>
      <c r="L77">
        <v>199</v>
      </c>
      <c r="M77">
        <v>1496</v>
      </c>
      <c r="N77">
        <v>90.05</v>
      </c>
      <c r="O77">
        <v>488</v>
      </c>
      <c r="P77" t="s">
        <v>225</v>
      </c>
    </row>
    <row r="79" spans="1:16" x14ac:dyDescent="0.25">
      <c r="A79" t="s">
        <v>225</v>
      </c>
      <c r="B79" t="s">
        <v>225</v>
      </c>
      <c r="C79">
        <v>20201113</v>
      </c>
      <c r="D79" s="3">
        <v>25930380</v>
      </c>
      <c r="E79" s="3">
        <v>541219</v>
      </c>
      <c r="F79">
        <v>47.91</v>
      </c>
      <c r="G79" s="3">
        <v>23927829</v>
      </c>
      <c r="H79">
        <v>92.28</v>
      </c>
      <c r="I79" s="3">
        <v>2426</v>
      </c>
      <c r="J79">
        <v>458</v>
      </c>
      <c r="K79">
        <v>279</v>
      </c>
      <c r="L79">
        <v>197</v>
      </c>
      <c r="M79">
        <v>1492</v>
      </c>
      <c r="N79">
        <v>89.99</v>
      </c>
      <c r="O79">
        <v>462</v>
      </c>
      <c r="P79" t="s">
        <v>225</v>
      </c>
    </row>
    <row r="81" spans="1:16" x14ac:dyDescent="0.25">
      <c r="A81" t="s">
        <v>225</v>
      </c>
      <c r="B81" t="s">
        <v>225</v>
      </c>
      <c r="C81">
        <v>20201106</v>
      </c>
      <c r="D81" s="3">
        <v>25930380</v>
      </c>
      <c r="E81" s="3">
        <v>549055</v>
      </c>
      <c r="F81">
        <v>47.23</v>
      </c>
      <c r="G81" s="3">
        <v>23899383</v>
      </c>
      <c r="H81">
        <v>92.17</v>
      </c>
      <c r="I81" s="3">
        <v>2429</v>
      </c>
      <c r="J81">
        <v>461</v>
      </c>
      <c r="K81">
        <v>275</v>
      </c>
      <c r="L81">
        <v>202</v>
      </c>
      <c r="M81">
        <v>1491</v>
      </c>
      <c r="N81">
        <v>89.87</v>
      </c>
      <c r="O81">
        <v>452.5</v>
      </c>
      <c r="P81" t="s">
        <v>225</v>
      </c>
    </row>
    <row r="83" spans="1:16" x14ac:dyDescent="0.25">
      <c r="A83" t="s">
        <v>225</v>
      </c>
      <c r="B83" t="s">
        <v>225</v>
      </c>
      <c r="C83">
        <v>20201030</v>
      </c>
      <c r="D83" s="3">
        <v>25930380</v>
      </c>
      <c r="E83" s="3">
        <v>539323</v>
      </c>
      <c r="F83">
        <v>48.08</v>
      </c>
      <c r="G83" s="3">
        <v>23898350</v>
      </c>
      <c r="H83">
        <v>92.16</v>
      </c>
      <c r="I83" s="3">
        <v>2419</v>
      </c>
      <c r="J83">
        <v>451</v>
      </c>
      <c r="K83">
        <v>280</v>
      </c>
      <c r="L83">
        <v>200</v>
      </c>
      <c r="M83">
        <v>1488</v>
      </c>
      <c r="N83">
        <v>89.88</v>
      </c>
      <c r="O83">
        <v>432</v>
      </c>
      <c r="P83" t="s">
        <v>225</v>
      </c>
    </row>
    <row r="85" spans="1:16" x14ac:dyDescent="0.25">
      <c r="A85" t="s">
        <v>225</v>
      </c>
      <c r="B85" t="s">
        <v>225</v>
      </c>
      <c r="C85">
        <v>20201023</v>
      </c>
      <c r="D85" s="3">
        <v>25930380</v>
      </c>
      <c r="E85" s="3">
        <v>499397</v>
      </c>
      <c r="F85">
        <v>51.92</v>
      </c>
      <c r="G85" s="3">
        <v>23945966</v>
      </c>
      <c r="H85">
        <v>92.35</v>
      </c>
      <c r="I85" s="3">
        <v>2421</v>
      </c>
      <c r="J85">
        <v>458</v>
      </c>
      <c r="K85">
        <v>275</v>
      </c>
      <c r="L85">
        <v>200</v>
      </c>
      <c r="M85">
        <v>1488</v>
      </c>
      <c r="N85">
        <v>90.06</v>
      </c>
      <c r="O85">
        <v>452</v>
      </c>
      <c r="P85" t="s">
        <v>225</v>
      </c>
    </row>
    <row r="87" spans="1:16" x14ac:dyDescent="0.25">
      <c r="A87" t="s">
        <v>225</v>
      </c>
      <c r="B87" t="s">
        <v>225</v>
      </c>
      <c r="C87">
        <v>20201016</v>
      </c>
      <c r="D87" s="3">
        <v>25930380</v>
      </c>
      <c r="E87" s="3">
        <v>496518</v>
      </c>
      <c r="F87">
        <v>52.22</v>
      </c>
      <c r="G87" s="3">
        <v>23944234</v>
      </c>
      <c r="H87">
        <v>92.34</v>
      </c>
      <c r="I87" s="3">
        <v>2423</v>
      </c>
      <c r="J87">
        <v>464</v>
      </c>
      <c r="K87">
        <v>267</v>
      </c>
      <c r="L87">
        <v>198</v>
      </c>
      <c r="M87">
        <v>1494</v>
      </c>
      <c r="N87">
        <v>90.07</v>
      </c>
      <c r="O87">
        <v>449</v>
      </c>
      <c r="P87" t="s">
        <v>225</v>
      </c>
    </row>
    <row r="89" spans="1:16" x14ac:dyDescent="0.25">
      <c r="A89" t="s">
        <v>225</v>
      </c>
      <c r="B89" t="s">
        <v>225</v>
      </c>
      <c r="C89">
        <v>20201008</v>
      </c>
      <c r="D89" s="3">
        <v>25930380</v>
      </c>
      <c r="E89" s="3">
        <v>513125</v>
      </c>
      <c r="F89">
        <v>50.53</v>
      </c>
      <c r="G89" s="3">
        <v>23896669</v>
      </c>
      <c r="H89">
        <v>92.16</v>
      </c>
      <c r="I89" s="3">
        <v>2415</v>
      </c>
      <c r="J89">
        <v>459</v>
      </c>
      <c r="K89">
        <v>267</v>
      </c>
      <c r="L89">
        <v>194</v>
      </c>
      <c r="M89">
        <v>1495</v>
      </c>
      <c r="N89">
        <v>89.91</v>
      </c>
      <c r="O89">
        <v>453</v>
      </c>
      <c r="P89" t="s">
        <v>225</v>
      </c>
    </row>
    <row r="91" spans="1:16" x14ac:dyDescent="0.25">
      <c r="A91" t="s">
        <v>225</v>
      </c>
      <c r="B91" t="s">
        <v>225</v>
      </c>
      <c r="C91">
        <v>20200930</v>
      </c>
      <c r="D91" s="3">
        <v>25930380</v>
      </c>
      <c r="E91" s="3">
        <v>520207</v>
      </c>
      <c r="F91">
        <v>49.85</v>
      </c>
      <c r="G91" s="3">
        <v>23874503</v>
      </c>
      <c r="H91">
        <v>92.07</v>
      </c>
      <c r="I91" s="3">
        <v>2413</v>
      </c>
      <c r="J91">
        <v>457</v>
      </c>
      <c r="K91">
        <v>266</v>
      </c>
      <c r="L91">
        <v>201</v>
      </c>
      <c r="M91">
        <v>1489</v>
      </c>
      <c r="N91">
        <v>89.81</v>
      </c>
      <c r="O91">
        <v>433</v>
      </c>
      <c r="P91" t="s">
        <v>225</v>
      </c>
    </row>
    <row r="93" spans="1:16" x14ac:dyDescent="0.25">
      <c r="A93" t="s">
        <v>225</v>
      </c>
      <c r="B93" t="s">
        <v>225</v>
      </c>
      <c r="C93">
        <v>20200925</v>
      </c>
      <c r="D93" s="3">
        <v>25930380</v>
      </c>
      <c r="E93" s="3">
        <v>516335</v>
      </c>
      <c r="F93">
        <v>50.22</v>
      </c>
      <c r="G93" s="3">
        <v>23883599</v>
      </c>
      <c r="H93">
        <v>92.11</v>
      </c>
      <c r="I93" s="3">
        <v>2414</v>
      </c>
      <c r="J93">
        <v>459</v>
      </c>
      <c r="K93">
        <v>267</v>
      </c>
      <c r="L93">
        <v>195</v>
      </c>
      <c r="M93">
        <v>1493</v>
      </c>
      <c r="N93">
        <v>89.86</v>
      </c>
      <c r="O93">
        <v>424</v>
      </c>
      <c r="P93" t="s">
        <v>225</v>
      </c>
    </row>
    <row r="95" spans="1:16" x14ac:dyDescent="0.25">
      <c r="A95" t="s">
        <v>225</v>
      </c>
      <c r="B95" t="s">
        <v>225</v>
      </c>
      <c r="C95">
        <v>20200918</v>
      </c>
      <c r="D95" s="3">
        <v>25930380</v>
      </c>
      <c r="E95" s="3">
        <v>486564</v>
      </c>
      <c r="F95">
        <v>53.29</v>
      </c>
      <c r="G95" s="3">
        <v>23976437</v>
      </c>
      <c r="H95">
        <v>92.46</v>
      </c>
      <c r="I95" s="3">
        <v>2408</v>
      </c>
      <c r="J95">
        <v>462</v>
      </c>
      <c r="K95">
        <v>261</v>
      </c>
      <c r="L95">
        <v>202</v>
      </c>
      <c r="M95">
        <v>1483</v>
      </c>
      <c r="N95">
        <v>90.2</v>
      </c>
      <c r="O95">
        <v>444</v>
      </c>
      <c r="P95" t="s">
        <v>225</v>
      </c>
    </row>
    <row r="97" spans="1:16" x14ac:dyDescent="0.25">
      <c r="A97" t="s">
        <v>225</v>
      </c>
      <c r="B97" t="s">
        <v>225</v>
      </c>
      <c r="C97">
        <v>20200911</v>
      </c>
      <c r="D97" s="3">
        <v>25930380</v>
      </c>
      <c r="E97" s="3">
        <v>495337</v>
      </c>
      <c r="F97">
        <v>52.35</v>
      </c>
      <c r="G97" s="3">
        <v>23948693</v>
      </c>
      <c r="H97">
        <v>92.36</v>
      </c>
      <c r="I97" s="3">
        <v>2415</v>
      </c>
      <c r="J97">
        <v>459</v>
      </c>
      <c r="K97">
        <v>269</v>
      </c>
      <c r="L97">
        <v>203</v>
      </c>
      <c r="M97">
        <v>1484</v>
      </c>
      <c r="N97">
        <v>90.08</v>
      </c>
      <c r="O97">
        <v>436.5</v>
      </c>
      <c r="P97" t="s">
        <v>225</v>
      </c>
    </row>
    <row r="99" spans="1:16" x14ac:dyDescent="0.25">
      <c r="A99" t="s">
        <v>225</v>
      </c>
      <c r="B99" t="s">
        <v>225</v>
      </c>
      <c r="C99">
        <v>20200904</v>
      </c>
      <c r="D99" s="3">
        <v>25930380</v>
      </c>
      <c r="E99" s="3">
        <v>486398</v>
      </c>
      <c r="F99">
        <v>53.31</v>
      </c>
      <c r="G99" s="3">
        <v>23973671</v>
      </c>
      <c r="H99">
        <v>92.45</v>
      </c>
      <c r="I99" s="3">
        <v>2423</v>
      </c>
      <c r="J99">
        <v>468</v>
      </c>
      <c r="K99">
        <v>268</v>
      </c>
      <c r="L99">
        <v>202</v>
      </c>
      <c r="M99">
        <v>1485</v>
      </c>
      <c r="N99">
        <v>90.16</v>
      </c>
      <c r="O99">
        <v>429</v>
      </c>
      <c r="P99" t="s">
        <v>225</v>
      </c>
    </row>
    <row r="101" spans="1:16" x14ac:dyDescent="0.25">
      <c r="A101" t="s">
        <v>225</v>
      </c>
      <c r="B101" t="s">
        <v>225</v>
      </c>
      <c r="C101">
        <v>20200828</v>
      </c>
      <c r="D101" s="3">
        <v>25930380</v>
      </c>
      <c r="E101" s="3">
        <v>476788</v>
      </c>
      <c r="F101">
        <v>54.39</v>
      </c>
      <c r="G101" s="3">
        <v>23999294</v>
      </c>
      <c r="H101">
        <v>92.55</v>
      </c>
      <c r="I101" s="3">
        <v>2418</v>
      </c>
      <c r="J101">
        <v>468</v>
      </c>
      <c r="K101">
        <v>267</v>
      </c>
      <c r="L101">
        <v>204</v>
      </c>
      <c r="M101">
        <v>1479</v>
      </c>
      <c r="N101">
        <v>90.26</v>
      </c>
      <c r="O101">
        <v>435</v>
      </c>
      <c r="P101" t="s">
        <v>225</v>
      </c>
    </row>
    <row r="103" spans="1:16" x14ac:dyDescent="0.25">
      <c r="A103" t="s">
        <v>225</v>
      </c>
      <c r="B103" t="s">
        <v>225</v>
      </c>
      <c r="C103">
        <v>20200821</v>
      </c>
      <c r="D103" s="3">
        <v>25930380</v>
      </c>
      <c r="E103" s="3">
        <v>481586</v>
      </c>
      <c r="F103">
        <v>53.84</v>
      </c>
      <c r="G103" s="3">
        <v>23984439</v>
      </c>
      <c r="H103">
        <v>92.5</v>
      </c>
      <c r="I103" s="3">
        <v>2404</v>
      </c>
      <c r="J103">
        <v>460</v>
      </c>
      <c r="K103">
        <v>273</v>
      </c>
      <c r="L103">
        <v>208</v>
      </c>
      <c r="M103">
        <v>1463</v>
      </c>
      <c r="N103">
        <v>90.18</v>
      </c>
      <c r="O103">
        <v>424.5</v>
      </c>
      <c r="P103" t="s">
        <v>225</v>
      </c>
    </row>
    <row r="105" spans="1:16" x14ac:dyDescent="0.25">
      <c r="A105" t="s">
        <v>225</v>
      </c>
      <c r="B105" t="s">
        <v>225</v>
      </c>
      <c r="C105">
        <v>20200814</v>
      </c>
      <c r="D105" s="3">
        <v>25930380</v>
      </c>
      <c r="E105" s="3">
        <v>477460</v>
      </c>
      <c r="F105">
        <v>54.31</v>
      </c>
      <c r="G105" s="3">
        <v>23995092</v>
      </c>
      <c r="H105">
        <v>92.54</v>
      </c>
      <c r="I105" s="3">
        <v>2402</v>
      </c>
      <c r="J105">
        <v>464</v>
      </c>
      <c r="K105">
        <v>278</v>
      </c>
      <c r="L105">
        <v>196</v>
      </c>
      <c r="M105">
        <v>1464</v>
      </c>
      <c r="N105">
        <v>90.24</v>
      </c>
      <c r="O105">
        <v>427</v>
      </c>
      <c r="P105" t="s">
        <v>225</v>
      </c>
    </row>
    <row r="107" spans="1:16" x14ac:dyDescent="0.25">
      <c r="A107" t="s">
        <v>225</v>
      </c>
      <c r="B107" t="s">
        <v>225</v>
      </c>
      <c r="C107">
        <v>20200807</v>
      </c>
      <c r="D107" s="3">
        <v>25930380</v>
      </c>
      <c r="E107" s="3">
        <v>473963</v>
      </c>
      <c r="F107">
        <v>54.71</v>
      </c>
      <c r="G107" s="3">
        <v>24002555</v>
      </c>
      <c r="H107">
        <v>92.57</v>
      </c>
      <c r="I107" s="3">
        <v>2402</v>
      </c>
      <c r="J107">
        <v>464</v>
      </c>
      <c r="K107">
        <v>280</v>
      </c>
      <c r="L107">
        <v>195</v>
      </c>
      <c r="M107">
        <v>1463</v>
      </c>
      <c r="N107">
        <v>90.27</v>
      </c>
      <c r="O107">
        <v>433</v>
      </c>
      <c r="P107" t="s">
        <v>225</v>
      </c>
    </row>
    <row r="109" spans="1:16" x14ac:dyDescent="0.25">
      <c r="A109" t="s">
        <v>225</v>
      </c>
      <c r="B109" t="s">
        <v>225</v>
      </c>
      <c r="C109">
        <v>20200731</v>
      </c>
      <c r="D109" s="3">
        <v>25930380</v>
      </c>
      <c r="E109" s="3">
        <v>464462</v>
      </c>
      <c r="F109">
        <v>55.83</v>
      </c>
      <c r="G109" s="3">
        <v>24029216</v>
      </c>
      <c r="H109">
        <v>92.67</v>
      </c>
      <c r="I109" s="3">
        <v>2406</v>
      </c>
      <c r="J109">
        <v>464</v>
      </c>
      <c r="K109">
        <v>277</v>
      </c>
      <c r="L109">
        <v>205</v>
      </c>
      <c r="M109">
        <v>1460</v>
      </c>
      <c r="N109">
        <v>90.35</v>
      </c>
      <c r="O109">
        <v>425.5</v>
      </c>
      <c r="P109" t="s">
        <v>225</v>
      </c>
    </row>
    <row r="111" spans="1:16" x14ac:dyDescent="0.25">
      <c r="A111" t="s">
        <v>225</v>
      </c>
      <c r="B111" t="s">
        <v>225</v>
      </c>
      <c r="C111">
        <v>20200724</v>
      </c>
      <c r="D111" s="3">
        <v>25930380</v>
      </c>
      <c r="E111" s="3">
        <v>460874</v>
      </c>
      <c r="F111">
        <v>56.26</v>
      </c>
      <c r="G111" s="3">
        <v>24033611</v>
      </c>
      <c r="H111">
        <v>92.69</v>
      </c>
      <c r="I111" s="3">
        <v>2394</v>
      </c>
      <c r="J111">
        <v>458</v>
      </c>
      <c r="K111">
        <v>276</v>
      </c>
      <c r="L111">
        <v>201</v>
      </c>
      <c r="M111">
        <v>1459</v>
      </c>
      <c r="N111">
        <v>90.39</v>
      </c>
      <c r="O111">
        <v>386</v>
      </c>
      <c r="P111" t="s">
        <v>225</v>
      </c>
    </row>
    <row r="113" spans="1:16" x14ac:dyDescent="0.25">
      <c r="A113" t="s">
        <v>225</v>
      </c>
      <c r="B113" t="s">
        <v>225</v>
      </c>
      <c r="C113">
        <v>20200717</v>
      </c>
      <c r="D113" s="3">
        <v>25930380</v>
      </c>
      <c r="E113" s="3">
        <v>462353</v>
      </c>
      <c r="F113">
        <v>56.08</v>
      </c>
      <c r="G113" s="3">
        <v>24023801</v>
      </c>
      <c r="H113">
        <v>92.65</v>
      </c>
      <c r="I113" s="3">
        <v>2400</v>
      </c>
      <c r="J113">
        <v>465</v>
      </c>
      <c r="K113">
        <v>273</v>
      </c>
      <c r="L113">
        <v>209</v>
      </c>
      <c r="M113">
        <v>1453</v>
      </c>
      <c r="N113">
        <v>90.32</v>
      </c>
      <c r="O113">
        <v>367</v>
      </c>
      <c r="P113" t="s">
        <v>225</v>
      </c>
    </row>
    <row r="115" spans="1:16" x14ac:dyDescent="0.25">
      <c r="A115" t="s">
        <v>225</v>
      </c>
      <c r="B115" t="s">
        <v>225</v>
      </c>
      <c r="C115">
        <v>20200710</v>
      </c>
      <c r="D115" s="3">
        <v>25930380</v>
      </c>
      <c r="E115" s="3">
        <v>465086</v>
      </c>
      <c r="F115">
        <v>55.75</v>
      </c>
      <c r="G115" s="3">
        <v>24010666</v>
      </c>
      <c r="H115">
        <v>92.6</v>
      </c>
      <c r="I115" s="3">
        <v>2390</v>
      </c>
      <c r="J115">
        <v>470</v>
      </c>
      <c r="K115">
        <v>260</v>
      </c>
      <c r="L115">
        <v>202</v>
      </c>
      <c r="M115">
        <v>1458</v>
      </c>
      <c r="N115">
        <v>90.32</v>
      </c>
      <c r="O115">
        <v>348.5</v>
      </c>
      <c r="P115" t="s">
        <v>225</v>
      </c>
    </row>
    <row r="117" spans="1:16" x14ac:dyDescent="0.25">
      <c r="A117" t="s">
        <v>225</v>
      </c>
      <c r="B117" t="s">
        <v>225</v>
      </c>
      <c r="C117">
        <v>20200703</v>
      </c>
      <c r="D117" s="3">
        <v>25930380</v>
      </c>
      <c r="E117" s="3">
        <v>485586</v>
      </c>
      <c r="F117">
        <v>53.4</v>
      </c>
      <c r="G117" s="3">
        <v>23941825</v>
      </c>
      <c r="H117">
        <v>92.33</v>
      </c>
      <c r="I117" s="3">
        <v>2389</v>
      </c>
      <c r="J117">
        <v>475</v>
      </c>
      <c r="K117">
        <v>250</v>
      </c>
      <c r="L117">
        <v>204</v>
      </c>
      <c r="M117">
        <v>1460</v>
      </c>
      <c r="N117">
        <v>90.06</v>
      </c>
      <c r="O117">
        <v>329.5</v>
      </c>
      <c r="P117" t="s">
        <v>225</v>
      </c>
    </row>
    <row r="119" spans="1:16" x14ac:dyDescent="0.25">
      <c r="A119" t="s">
        <v>225</v>
      </c>
      <c r="B119" t="s">
        <v>225</v>
      </c>
      <c r="C119">
        <v>20200624</v>
      </c>
      <c r="D119" s="3">
        <v>25930380</v>
      </c>
      <c r="E119" s="3">
        <v>485115</v>
      </c>
      <c r="F119">
        <v>53.45</v>
      </c>
      <c r="G119" s="3">
        <v>23945488</v>
      </c>
      <c r="H119">
        <v>92.35</v>
      </c>
      <c r="I119" s="3">
        <v>2384</v>
      </c>
      <c r="J119">
        <v>459</v>
      </c>
      <c r="K119">
        <v>265</v>
      </c>
      <c r="L119">
        <v>202</v>
      </c>
      <c r="M119">
        <v>1458</v>
      </c>
      <c r="N119">
        <v>90.08</v>
      </c>
      <c r="O119">
        <v>317.5</v>
      </c>
      <c r="P119" t="s">
        <v>225</v>
      </c>
    </row>
    <row r="121" spans="1:16" x14ac:dyDescent="0.25">
      <c r="A121" t="s">
        <v>225</v>
      </c>
      <c r="B121" t="s">
        <v>225</v>
      </c>
      <c r="C121">
        <v>20200619</v>
      </c>
      <c r="D121" s="3">
        <v>25930380</v>
      </c>
      <c r="E121" s="3">
        <v>480470</v>
      </c>
      <c r="F121">
        <v>53.97</v>
      </c>
      <c r="G121" s="3">
        <v>23959194</v>
      </c>
      <c r="H121">
        <v>92.4</v>
      </c>
      <c r="I121" s="3">
        <v>2383</v>
      </c>
      <c r="J121">
        <v>462</v>
      </c>
      <c r="K121">
        <v>269</v>
      </c>
      <c r="L121">
        <v>198</v>
      </c>
      <c r="M121">
        <v>1454</v>
      </c>
      <c r="N121">
        <v>90.12</v>
      </c>
      <c r="O121">
        <v>314.5</v>
      </c>
      <c r="P121" t="s">
        <v>225</v>
      </c>
    </row>
    <row r="123" spans="1:16" x14ac:dyDescent="0.25">
      <c r="A123" t="s">
        <v>225</v>
      </c>
      <c r="B123" t="s">
        <v>225</v>
      </c>
      <c r="C123">
        <v>20200612</v>
      </c>
      <c r="D123" s="3">
        <v>25930380</v>
      </c>
      <c r="E123" s="3">
        <v>474220</v>
      </c>
      <c r="F123">
        <v>54.68</v>
      </c>
      <c r="G123" s="3">
        <v>23982981</v>
      </c>
      <c r="H123">
        <v>92.49</v>
      </c>
      <c r="I123" s="3">
        <v>2372</v>
      </c>
      <c r="J123">
        <v>452</v>
      </c>
      <c r="K123">
        <v>268</v>
      </c>
      <c r="L123">
        <v>199</v>
      </c>
      <c r="M123">
        <v>1453</v>
      </c>
      <c r="N123">
        <v>90.24</v>
      </c>
      <c r="O123">
        <v>316</v>
      </c>
      <c r="P123" t="s">
        <v>225</v>
      </c>
    </row>
    <row r="125" spans="1:16" x14ac:dyDescent="0.25">
      <c r="A125" t="s">
        <v>225</v>
      </c>
      <c r="B125" t="s">
        <v>225</v>
      </c>
      <c r="C125">
        <v>20200605</v>
      </c>
      <c r="D125" s="3">
        <v>25930380</v>
      </c>
      <c r="E125" s="3">
        <v>487583</v>
      </c>
      <c r="F125">
        <v>53.18</v>
      </c>
      <c r="G125" s="3">
        <v>23940645</v>
      </c>
      <c r="H125">
        <v>92.33</v>
      </c>
      <c r="I125" s="3">
        <v>2370</v>
      </c>
      <c r="J125">
        <v>460</v>
      </c>
      <c r="K125">
        <v>265</v>
      </c>
      <c r="L125">
        <v>198</v>
      </c>
      <c r="M125">
        <v>1447</v>
      </c>
      <c r="N125">
        <v>90.07</v>
      </c>
      <c r="O125">
        <v>311.5</v>
      </c>
      <c r="P125" t="s">
        <v>225</v>
      </c>
    </row>
    <row r="127" spans="1:16" x14ac:dyDescent="0.25">
      <c r="A127" t="s">
        <v>225</v>
      </c>
      <c r="B127" t="s">
        <v>225</v>
      </c>
      <c r="C127">
        <v>20200529</v>
      </c>
      <c r="D127" s="3">
        <v>25930380</v>
      </c>
      <c r="E127" s="3">
        <v>498724</v>
      </c>
      <c r="F127">
        <v>51.99</v>
      </c>
      <c r="G127" s="3">
        <v>23909812</v>
      </c>
      <c r="H127">
        <v>92.21</v>
      </c>
      <c r="I127" s="3">
        <v>2374</v>
      </c>
      <c r="J127">
        <v>457</v>
      </c>
      <c r="K127">
        <v>274</v>
      </c>
      <c r="L127">
        <v>195</v>
      </c>
      <c r="M127">
        <v>1448</v>
      </c>
      <c r="N127">
        <v>89.95</v>
      </c>
      <c r="O127">
        <v>292</v>
      </c>
      <c r="P127" t="s">
        <v>225</v>
      </c>
    </row>
    <row r="129" spans="1:16" x14ac:dyDescent="0.25">
      <c r="A129" t="s">
        <v>225</v>
      </c>
      <c r="B129" t="s">
        <v>225</v>
      </c>
      <c r="C129">
        <v>20200522</v>
      </c>
      <c r="D129" s="3">
        <v>25930380</v>
      </c>
      <c r="E129" s="3">
        <v>498244</v>
      </c>
      <c r="F129">
        <v>52.04</v>
      </c>
      <c r="G129" s="3">
        <v>23908231</v>
      </c>
      <c r="H129">
        <v>92.2</v>
      </c>
      <c r="I129" s="3">
        <v>2370</v>
      </c>
      <c r="J129">
        <v>451</v>
      </c>
      <c r="K129">
        <v>278</v>
      </c>
      <c r="L129">
        <v>196</v>
      </c>
      <c r="M129">
        <v>1445</v>
      </c>
      <c r="N129">
        <v>89.94</v>
      </c>
      <c r="O129">
        <v>292</v>
      </c>
      <c r="P129" t="s">
        <v>225</v>
      </c>
    </row>
    <row r="131" spans="1:16" x14ac:dyDescent="0.25">
      <c r="A131" t="s">
        <v>225</v>
      </c>
      <c r="B131" t="s">
        <v>225</v>
      </c>
      <c r="C131">
        <v>20200515</v>
      </c>
      <c r="D131" s="3">
        <v>25930380</v>
      </c>
      <c r="E131" s="3">
        <v>491890</v>
      </c>
      <c r="F131">
        <v>52.72</v>
      </c>
      <c r="G131" s="3">
        <v>23924077</v>
      </c>
      <c r="H131">
        <v>92.26</v>
      </c>
      <c r="I131" s="3">
        <v>2381</v>
      </c>
      <c r="J131">
        <v>455</v>
      </c>
      <c r="K131">
        <v>283</v>
      </c>
      <c r="L131">
        <v>198</v>
      </c>
      <c r="M131">
        <v>1445</v>
      </c>
      <c r="N131">
        <v>89.97</v>
      </c>
      <c r="O131">
        <v>298</v>
      </c>
      <c r="P131" t="s">
        <v>225</v>
      </c>
    </row>
    <row r="133" spans="1:16" x14ac:dyDescent="0.25">
      <c r="A133" t="s">
        <v>225</v>
      </c>
      <c r="B133" t="s">
        <v>225</v>
      </c>
      <c r="C133">
        <v>20200508</v>
      </c>
      <c r="D133" s="3">
        <v>25930380</v>
      </c>
      <c r="E133" s="3">
        <v>479035</v>
      </c>
      <c r="F133">
        <v>54.13</v>
      </c>
      <c r="G133" s="3">
        <v>23965116</v>
      </c>
      <c r="H133">
        <v>92.42</v>
      </c>
      <c r="I133" s="3">
        <v>2375</v>
      </c>
      <c r="J133">
        <v>458</v>
      </c>
      <c r="K133">
        <v>272</v>
      </c>
      <c r="L133">
        <v>197</v>
      </c>
      <c r="M133">
        <v>1448</v>
      </c>
      <c r="N133">
        <v>90.15</v>
      </c>
      <c r="O133">
        <v>297.5</v>
      </c>
      <c r="P133" t="s">
        <v>225</v>
      </c>
    </row>
    <row r="135" spans="1:16" x14ac:dyDescent="0.25">
      <c r="A135" t="s">
        <v>225</v>
      </c>
      <c r="B135" t="s">
        <v>225</v>
      </c>
      <c r="C135">
        <v>20200430</v>
      </c>
      <c r="D135" s="3">
        <v>25930380</v>
      </c>
      <c r="E135" s="3">
        <v>466122</v>
      </c>
      <c r="F135">
        <v>55.63</v>
      </c>
      <c r="G135" s="3">
        <v>24000676</v>
      </c>
      <c r="H135">
        <v>92.56</v>
      </c>
      <c r="I135" s="3">
        <v>2370</v>
      </c>
      <c r="J135">
        <v>461</v>
      </c>
      <c r="K135">
        <v>268</v>
      </c>
      <c r="L135">
        <v>191</v>
      </c>
      <c r="M135">
        <v>1450</v>
      </c>
      <c r="N135">
        <v>90.31</v>
      </c>
      <c r="O135">
        <v>304.5</v>
      </c>
      <c r="P135" t="s">
        <v>225</v>
      </c>
    </row>
    <row r="137" spans="1:16" x14ac:dyDescent="0.25">
      <c r="A137" t="s">
        <v>225</v>
      </c>
      <c r="B137" t="s">
        <v>225</v>
      </c>
      <c r="C137">
        <v>20200424</v>
      </c>
      <c r="D137" s="3">
        <v>25930380</v>
      </c>
      <c r="E137" s="3">
        <v>461598</v>
      </c>
      <c r="F137">
        <v>56.18</v>
      </c>
      <c r="G137" s="3">
        <v>24011692</v>
      </c>
      <c r="H137">
        <v>92.6</v>
      </c>
      <c r="I137" s="3">
        <v>2374</v>
      </c>
      <c r="J137">
        <v>464</v>
      </c>
      <c r="K137">
        <v>274</v>
      </c>
      <c r="L137">
        <v>183</v>
      </c>
      <c r="M137">
        <v>1453</v>
      </c>
      <c r="N137">
        <v>90.36</v>
      </c>
      <c r="O137">
        <v>294</v>
      </c>
      <c r="P137" t="s">
        <v>225</v>
      </c>
    </row>
    <row r="139" spans="1:16" x14ac:dyDescent="0.25">
      <c r="A139" t="s">
        <v>225</v>
      </c>
      <c r="B139" t="s">
        <v>225</v>
      </c>
      <c r="C139">
        <v>20200417</v>
      </c>
      <c r="D139" s="3">
        <v>25930380</v>
      </c>
      <c r="E139" s="3">
        <v>460847</v>
      </c>
      <c r="F139">
        <v>56.27</v>
      </c>
      <c r="G139" s="3">
        <v>24013901</v>
      </c>
      <c r="H139">
        <v>92.61</v>
      </c>
      <c r="I139" s="3">
        <v>2366</v>
      </c>
      <c r="J139">
        <v>469</v>
      </c>
      <c r="K139">
        <v>258</v>
      </c>
      <c r="L139">
        <v>189</v>
      </c>
      <c r="M139">
        <v>1450</v>
      </c>
      <c r="N139">
        <v>90.38</v>
      </c>
      <c r="O139">
        <v>306.5</v>
      </c>
      <c r="P139" t="s">
        <v>225</v>
      </c>
    </row>
    <row r="141" spans="1:16" x14ac:dyDescent="0.25">
      <c r="A141" t="s">
        <v>225</v>
      </c>
      <c r="B141" t="s">
        <v>225</v>
      </c>
      <c r="C141">
        <v>20200410</v>
      </c>
      <c r="D141" s="3">
        <v>25930380</v>
      </c>
      <c r="E141" s="3">
        <v>453524</v>
      </c>
      <c r="F141">
        <v>57.18</v>
      </c>
      <c r="G141" s="3">
        <v>24034400</v>
      </c>
      <c r="H141">
        <v>92.69</v>
      </c>
      <c r="I141" s="3">
        <v>2361</v>
      </c>
      <c r="J141">
        <v>467</v>
      </c>
      <c r="K141">
        <v>257</v>
      </c>
      <c r="L141">
        <v>187</v>
      </c>
      <c r="M141">
        <v>1450</v>
      </c>
      <c r="N141">
        <v>90.47</v>
      </c>
      <c r="O141">
        <v>279.5</v>
      </c>
      <c r="P141" t="s">
        <v>225</v>
      </c>
    </row>
    <row r="143" spans="1:16" x14ac:dyDescent="0.25">
      <c r="A143" t="s">
        <v>225</v>
      </c>
      <c r="B143" t="s">
        <v>225</v>
      </c>
      <c r="C143">
        <v>20200401</v>
      </c>
      <c r="D143" s="3">
        <v>25930380</v>
      </c>
      <c r="E143" s="3">
        <v>454997</v>
      </c>
      <c r="F143">
        <v>56.99</v>
      </c>
      <c r="G143" s="3">
        <v>24020109</v>
      </c>
      <c r="H143">
        <v>92.63</v>
      </c>
      <c r="I143" s="3">
        <v>2362</v>
      </c>
      <c r="J143">
        <v>466</v>
      </c>
      <c r="K143">
        <v>263</v>
      </c>
      <c r="L143">
        <v>187</v>
      </c>
      <c r="M143">
        <v>1446</v>
      </c>
      <c r="N143">
        <v>90.4</v>
      </c>
      <c r="O143">
        <v>271.5</v>
      </c>
      <c r="P143" t="s">
        <v>225</v>
      </c>
    </row>
    <row r="145" spans="1:16" x14ac:dyDescent="0.25">
      <c r="A145" t="s">
        <v>225</v>
      </c>
      <c r="B145" t="s">
        <v>225</v>
      </c>
      <c r="C145">
        <v>20200327</v>
      </c>
      <c r="D145" s="3">
        <v>25930380</v>
      </c>
      <c r="E145" s="3">
        <v>449200</v>
      </c>
      <c r="F145">
        <v>57.73</v>
      </c>
      <c r="G145" s="3">
        <v>24038086</v>
      </c>
      <c r="H145">
        <v>92.7</v>
      </c>
      <c r="I145" s="3">
        <v>2362</v>
      </c>
      <c r="J145">
        <v>466</v>
      </c>
      <c r="K145">
        <v>262</v>
      </c>
      <c r="L145">
        <v>185</v>
      </c>
      <c r="M145">
        <v>1449</v>
      </c>
      <c r="N145">
        <v>90.48</v>
      </c>
      <c r="O145">
        <v>273</v>
      </c>
      <c r="P145" t="s">
        <v>225</v>
      </c>
    </row>
    <row r="147" spans="1:16" x14ac:dyDescent="0.25">
      <c r="A147" t="s">
        <v>225</v>
      </c>
      <c r="B147" t="s">
        <v>225</v>
      </c>
      <c r="C147">
        <v>20200320</v>
      </c>
      <c r="D147" s="3">
        <v>25930568</v>
      </c>
      <c r="E147" s="3">
        <v>452742</v>
      </c>
      <c r="F147">
        <v>57.27</v>
      </c>
      <c r="G147" s="3">
        <v>24011197</v>
      </c>
      <c r="H147">
        <v>92.6</v>
      </c>
      <c r="I147" s="3">
        <v>2341</v>
      </c>
      <c r="J147">
        <v>455</v>
      </c>
      <c r="K147">
        <v>273</v>
      </c>
      <c r="L147">
        <v>177</v>
      </c>
      <c r="M147">
        <v>1436</v>
      </c>
      <c r="N147">
        <v>90.39</v>
      </c>
      <c r="O147">
        <v>270</v>
      </c>
      <c r="P147" t="s">
        <v>225</v>
      </c>
    </row>
    <row r="149" spans="1:16" x14ac:dyDescent="0.25">
      <c r="A149" t="s">
        <v>225</v>
      </c>
      <c r="B149" t="s">
        <v>225</v>
      </c>
      <c r="C149">
        <v>20200313</v>
      </c>
      <c r="D149" s="3">
        <v>25930380</v>
      </c>
      <c r="E149" s="3">
        <v>429913</v>
      </c>
      <c r="F149">
        <v>60.32</v>
      </c>
      <c r="G149" s="3">
        <v>24084162</v>
      </c>
      <c r="H149">
        <v>92.88</v>
      </c>
      <c r="I149" s="3">
        <v>2336</v>
      </c>
      <c r="J149">
        <v>445</v>
      </c>
      <c r="K149">
        <v>265</v>
      </c>
      <c r="L149">
        <v>187</v>
      </c>
      <c r="M149">
        <v>1439</v>
      </c>
      <c r="N149">
        <v>90.68</v>
      </c>
      <c r="O149">
        <v>290</v>
      </c>
      <c r="P149" t="s">
        <v>225</v>
      </c>
    </row>
    <row r="151" spans="1:16" x14ac:dyDescent="0.25">
      <c r="A151" t="s">
        <v>225</v>
      </c>
      <c r="B151" t="s">
        <v>225</v>
      </c>
      <c r="C151">
        <v>20200306</v>
      </c>
      <c r="D151" s="3">
        <v>25930380</v>
      </c>
      <c r="E151" s="3">
        <v>408736</v>
      </c>
      <c r="F151">
        <v>63.44</v>
      </c>
      <c r="G151" s="3">
        <v>24149978</v>
      </c>
      <c r="H151">
        <v>93.13</v>
      </c>
      <c r="I151" s="3">
        <v>2340</v>
      </c>
      <c r="J151">
        <v>445</v>
      </c>
      <c r="K151">
        <v>258</v>
      </c>
      <c r="L151">
        <v>189</v>
      </c>
      <c r="M151">
        <v>1448</v>
      </c>
      <c r="N151">
        <v>90.95</v>
      </c>
      <c r="O151">
        <v>315</v>
      </c>
      <c r="P151" t="s">
        <v>225</v>
      </c>
    </row>
    <row r="153" spans="1:16" x14ac:dyDescent="0.25">
      <c r="A153" t="s">
        <v>225</v>
      </c>
      <c r="B153" t="s">
        <v>225</v>
      </c>
      <c r="C153">
        <v>20200227</v>
      </c>
      <c r="D153" s="3">
        <v>25930380</v>
      </c>
      <c r="E153" s="3">
        <v>405640</v>
      </c>
      <c r="F153">
        <v>63.92</v>
      </c>
      <c r="G153" s="3">
        <v>24159147</v>
      </c>
      <c r="H153">
        <v>93.17</v>
      </c>
      <c r="I153" s="3">
        <v>2344</v>
      </c>
      <c r="J153">
        <v>443</v>
      </c>
      <c r="K153">
        <v>262</v>
      </c>
      <c r="L153">
        <v>181</v>
      </c>
      <c r="M153">
        <v>1458</v>
      </c>
      <c r="N153">
        <v>91.01</v>
      </c>
      <c r="O153">
        <v>316</v>
      </c>
      <c r="P153" t="s">
        <v>225</v>
      </c>
    </row>
    <row r="155" spans="1:16" x14ac:dyDescent="0.25">
      <c r="A155" t="s">
        <v>225</v>
      </c>
      <c r="B155" t="s">
        <v>225</v>
      </c>
      <c r="C155">
        <v>20200221</v>
      </c>
      <c r="D155" s="3">
        <v>25930380</v>
      </c>
      <c r="E155" s="3">
        <v>398771</v>
      </c>
      <c r="F155">
        <v>65.03</v>
      </c>
      <c r="G155" s="3">
        <v>24178858</v>
      </c>
      <c r="H155">
        <v>93.25</v>
      </c>
      <c r="I155" s="3">
        <v>2349</v>
      </c>
      <c r="J155">
        <v>444</v>
      </c>
      <c r="K155">
        <v>261</v>
      </c>
      <c r="L155">
        <v>181</v>
      </c>
      <c r="M155">
        <v>1463</v>
      </c>
      <c r="N155">
        <v>91.09</v>
      </c>
      <c r="O155">
        <v>325</v>
      </c>
      <c r="P155" t="s">
        <v>225</v>
      </c>
    </row>
    <row r="157" spans="1:16" x14ac:dyDescent="0.25">
      <c r="A157" t="s">
        <v>225</v>
      </c>
      <c r="B157" t="s">
        <v>225</v>
      </c>
      <c r="C157">
        <v>20200214</v>
      </c>
      <c r="D157" s="3">
        <v>25930380</v>
      </c>
      <c r="E157" s="3">
        <v>386302</v>
      </c>
      <c r="F157">
        <v>67.12</v>
      </c>
      <c r="G157" s="3">
        <v>24214754</v>
      </c>
      <c r="H157">
        <v>93.38</v>
      </c>
      <c r="I157" s="3">
        <v>2346</v>
      </c>
      <c r="J157">
        <v>443</v>
      </c>
      <c r="K157">
        <v>260</v>
      </c>
      <c r="L157">
        <v>177</v>
      </c>
      <c r="M157">
        <v>1466</v>
      </c>
      <c r="N157">
        <v>91.24</v>
      </c>
      <c r="O157">
        <v>335</v>
      </c>
      <c r="P157" t="s">
        <v>225</v>
      </c>
    </row>
    <row r="159" spans="1:16" x14ac:dyDescent="0.25">
      <c r="A159" t="s">
        <v>225</v>
      </c>
      <c r="B159" t="s">
        <v>225</v>
      </c>
      <c r="C159">
        <v>20200207</v>
      </c>
      <c r="D159" s="3">
        <v>25930380</v>
      </c>
      <c r="E159" s="3">
        <v>389421</v>
      </c>
      <c r="F159">
        <v>66.59</v>
      </c>
      <c r="G159" s="3">
        <v>24200948</v>
      </c>
      <c r="H159">
        <v>93.33</v>
      </c>
      <c r="I159" s="3">
        <v>2350</v>
      </c>
      <c r="J159">
        <v>450</v>
      </c>
      <c r="K159">
        <v>261</v>
      </c>
      <c r="L159">
        <v>178</v>
      </c>
      <c r="M159">
        <v>1461</v>
      </c>
      <c r="N159">
        <v>91.17</v>
      </c>
      <c r="O159">
        <v>328</v>
      </c>
      <c r="P159" t="s">
        <v>225</v>
      </c>
    </row>
    <row r="161" spans="1:16" x14ac:dyDescent="0.25">
      <c r="A161" t="s">
        <v>225</v>
      </c>
      <c r="B161" t="s">
        <v>225</v>
      </c>
      <c r="C161">
        <v>20200131</v>
      </c>
      <c r="D161" s="3">
        <v>25930380</v>
      </c>
      <c r="E161" s="3">
        <v>389104</v>
      </c>
      <c r="F161">
        <v>66.64</v>
      </c>
      <c r="G161" s="3">
        <v>24188761</v>
      </c>
      <c r="H161">
        <v>93.28</v>
      </c>
      <c r="I161" s="3">
        <v>2350</v>
      </c>
      <c r="J161">
        <v>452</v>
      </c>
      <c r="K161">
        <v>265</v>
      </c>
      <c r="L161">
        <v>175</v>
      </c>
      <c r="M161">
        <v>1458</v>
      </c>
      <c r="N161">
        <v>91.12</v>
      </c>
      <c r="O161">
        <v>320</v>
      </c>
      <c r="P161" t="s">
        <v>225</v>
      </c>
    </row>
    <row r="163" spans="1:16" x14ac:dyDescent="0.25">
      <c r="A163" t="s">
        <v>225</v>
      </c>
      <c r="B163" t="s">
        <v>225</v>
      </c>
      <c r="C163">
        <v>20200120</v>
      </c>
      <c r="D163" s="3">
        <v>25930380</v>
      </c>
      <c r="E163" s="3">
        <v>383153</v>
      </c>
      <c r="F163">
        <v>67.680000000000007</v>
      </c>
      <c r="G163" s="3">
        <v>24209118</v>
      </c>
      <c r="H163">
        <v>93.36</v>
      </c>
      <c r="I163" s="3">
        <v>2344</v>
      </c>
      <c r="J163">
        <v>446</v>
      </c>
      <c r="K163">
        <v>266</v>
      </c>
      <c r="L163">
        <v>178</v>
      </c>
      <c r="M163">
        <v>1454</v>
      </c>
      <c r="N163">
        <v>91.2</v>
      </c>
      <c r="O163">
        <v>333</v>
      </c>
      <c r="P163" t="s">
        <v>225</v>
      </c>
    </row>
    <row r="165" spans="1:16" x14ac:dyDescent="0.25">
      <c r="A165" t="s">
        <v>225</v>
      </c>
      <c r="B165" t="s">
        <v>225</v>
      </c>
      <c r="C165">
        <v>20200117</v>
      </c>
      <c r="D165" s="3">
        <v>25930380</v>
      </c>
      <c r="E165" s="3">
        <v>375394</v>
      </c>
      <c r="F165">
        <v>69.08</v>
      </c>
      <c r="G165" s="3">
        <v>24236978</v>
      </c>
      <c r="H165">
        <v>93.47</v>
      </c>
      <c r="I165" s="3">
        <v>2348</v>
      </c>
      <c r="J165">
        <v>449</v>
      </c>
      <c r="K165">
        <v>268</v>
      </c>
      <c r="L165">
        <v>178</v>
      </c>
      <c r="M165">
        <v>1453</v>
      </c>
      <c r="N165">
        <v>91.3</v>
      </c>
      <c r="O165">
        <v>333</v>
      </c>
      <c r="P165" t="s">
        <v>225</v>
      </c>
    </row>
    <row r="167" spans="1:16" x14ac:dyDescent="0.25">
      <c r="A167" t="s">
        <v>225</v>
      </c>
      <c r="B167" t="s">
        <v>225</v>
      </c>
      <c r="C167">
        <v>20200110</v>
      </c>
      <c r="D167" s="3">
        <v>25930380</v>
      </c>
      <c r="E167" s="3">
        <v>370330</v>
      </c>
      <c r="F167">
        <v>70.02</v>
      </c>
      <c r="G167" s="3">
        <v>24252265</v>
      </c>
      <c r="H167">
        <v>93.53</v>
      </c>
      <c r="I167" s="3">
        <v>2339</v>
      </c>
      <c r="J167">
        <v>444</v>
      </c>
      <c r="K167">
        <v>269</v>
      </c>
      <c r="L167">
        <v>183</v>
      </c>
      <c r="M167">
        <v>1443</v>
      </c>
      <c r="N167">
        <v>91.35</v>
      </c>
      <c r="O167">
        <v>339.5</v>
      </c>
      <c r="P167" t="s">
        <v>225</v>
      </c>
    </row>
    <row r="169" spans="1:16" x14ac:dyDescent="0.25">
      <c r="A169" t="s">
        <v>225</v>
      </c>
      <c r="B169" t="s">
        <v>225</v>
      </c>
      <c r="C169">
        <v>20200103</v>
      </c>
      <c r="D169" s="3">
        <v>25930380</v>
      </c>
      <c r="E169" s="3">
        <v>368888</v>
      </c>
      <c r="F169">
        <v>70.290000000000006</v>
      </c>
      <c r="G169" s="3">
        <v>24252126</v>
      </c>
      <c r="H169">
        <v>93.53</v>
      </c>
      <c r="I169" s="3">
        <v>2339</v>
      </c>
      <c r="J169">
        <v>442</v>
      </c>
      <c r="K169">
        <v>276</v>
      </c>
      <c r="L169">
        <v>177</v>
      </c>
      <c r="M169">
        <v>1444</v>
      </c>
      <c r="N169">
        <v>91.35</v>
      </c>
      <c r="O169">
        <v>339.5</v>
      </c>
      <c r="P169" t="s">
        <v>225</v>
      </c>
    </row>
    <row r="171" spans="1:16" x14ac:dyDescent="0.25">
      <c r="A171" t="s">
        <v>225</v>
      </c>
      <c r="B171" t="s">
        <v>225</v>
      </c>
      <c r="C171">
        <v>20191227</v>
      </c>
      <c r="D171" s="3">
        <v>25930380</v>
      </c>
      <c r="E171" s="3">
        <v>367492</v>
      </c>
      <c r="F171">
        <v>70.56</v>
      </c>
      <c r="G171" s="3">
        <v>24257107</v>
      </c>
      <c r="H171">
        <v>93.55</v>
      </c>
      <c r="I171" s="3">
        <v>2337</v>
      </c>
      <c r="J171">
        <v>441</v>
      </c>
      <c r="K171">
        <v>277</v>
      </c>
      <c r="L171">
        <v>171</v>
      </c>
      <c r="M171">
        <v>1448</v>
      </c>
      <c r="N171">
        <v>91.39</v>
      </c>
      <c r="O171">
        <v>338</v>
      </c>
      <c r="P171" t="s">
        <v>225</v>
      </c>
    </row>
    <row r="173" spans="1:16" x14ac:dyDescent="0.25">
      <c r="A173" t="s">
        <v>225</v>
      </c>
      <c r="B173" t="s">
        <v>225</v>
      </c>
      <c r="C173">
        <v>20191220</v>
      </c>
      <c r="D173" s="3">
        <v>25930380</v>
      </c>
      <c r="E173" s="3">
        <v>360475</v>
      </c>
      <c r="F173">
        <v>71.930000000000007</v>
      </c>
      <c r="G173" s="3">
        <v>24275913</v>
      </c>
      <c r="H173">
        <v>93.62</v>
      </c>
      <c r="I173" s="3">
        <v>2341</v>
      </c>
      <c r="J173">
        <v>441</v>
      </c>
      <c r="K173">
        <v>277</v>
      </c>
      <c r="L173">
        <v>172</v>
      </c>
      <c r="M173">
        <v>1451</v>
      </c>
      <c r="N173">
        <v>91.46</v>
      </c>
      <c r="O173">
        <v>329</v>
      </c>
      <c r="P173" t="s">
        <v>225</v>
      </c>
    </row>
    <row r="175" spans="1:16" x14ac:dyDescent="0.25">
      <c r="A175" t="s">
        <v>225</v>
      </c>
      <c r="B175" t="s">
        <v>225</v>
      </c>
      <c r="C175">
        <v>20191213</v>
      </c>
      <c r="D175" s="3">
        <v>25930380</v>
      </c>
      <c r="E175" s="3">
        <v>346832</v>
      </c>
      <c r="F175">
        <v>74.760000000000005</v>
      </c>
      <c r="G175" s="3">
        <v>24316537</v>
      </c>
      <c r="H175">
        <v>93.78</v>
      </c>
      <c r="I175" s="3">
        <v>2343</v>
      </c>
      <c r="J175">
        <v>435</v>
      </c>
      <c r="K175">
        <v>276</v>
      </c>
      <c r="L175">
        <v>171</v>
      </c>
      <c r="M175">
        <v>1461</v>
      </c>
      <c r="N175">
        <v>91.63</v>
      </c>
      <c r="O175">
        <v>339</v>
      </c>
      <c r="P175" t="s">
        <v>225</v>
      </c>
    </row>
    <row r="177" spans="1:16" x14ac:dyDescent="0.25">
      <c r="A177" t="s">
        <v>225</v>
      </c>
      <c r="B177" t="s">
        <v>225</v>
      </c>
      <c r="C177">
        <v>20191206</v>
      </c>
      <c r="D177" s="3">
        <v>25930380</v>
      </c>
      <c r="E177" s="3">
        <v>350237</v>
      </c>
      <c r="F177">
        <v>74.040000000000006</v>
      </c>
      <c r="G177" s="3">
        <v>24297438</v>
      </c>
      <c r="H177">
        <v>93.7</v>
      </c>
      <c r="I177" s="3">
        <v>2340</v>
      </c>
      <c r="J177">
        <v>436</v>
      </c>
      <c r="K177">
        <v>273</v>
      </c>
      <c r="L177">
        <v>171</v>
      </c>
      <c r="M177">
        <v>1460</v>
      </c>
      <c r="N177">
        <v>91.56</v>
      </c>
      <c r="O177">
        <v>313</v>
      </c>
      <c r="P177" t="s">
        <v>225</v>
      </c>
    </row>
    <row r="179" spans="1:16" x14ac:dyDescent="0.25">
      <c r="A179" t="s">
        <v>225</v>
      </c>
      <c r="B179" t="s">
        <v>225</v>
      </c>
      <c r="C179">
        <v>20191129</v>
      </c>
      <c r="D179" s="3">
        <v>25930380</v>
      </c>
      <c r="E179" s="3">
        <v>347630</v>
      </c>
      <c r="F179">
        <v>74.59</v>
      </c>
      <c r="G179" s="3">
        <v>24308504</v>
      </c>
      <c r="H179">
        <v>93.75</v>
      </c>
      <c r="I179" s="3">
        <v>2341</v>
      </c>
      <c r="J179">
        <v>433</v>
      </c>
      <c r="K179">
        <v>277</v>
      </c>
      <c r="L179">
        <v>170</v>
      </c>
      <c r="M179">
        <v>1461</v>
      </c>
      <c r="N179">
        <v>91.61</v>
      </c>
      <c r="O179">
        <v>305</v>
      </c>
      <c r="P179" t="s">
        <v>225</v>
      </c>
    </row>
    <row r="181" spans="1:16" x14ac:dyDescent="0.25">
      <c r="A181" t="s">
        <v>225</v>
      </c>
      <c r="B181" t="s">
        <v>225</v>
      </c>
      <c r="C181">
        <v>20191122</v>
      </c>
      <c r="D181" s="3">
        <v>25930380</v>
      </c>
      <c r="E181" s="3">
        <v>345665</v>
      </c>
      <c r="F181">
        <v>75.02</v>
      </c>
      <c r="G181" s="3">
        <v>24312168</v>
      </c>
      <c r="H181">
        <v>93.76</v>
      </c>
      <c r="I181" s="3">
        <v>2346</v>
      </c>
      <c r="J181">
        <v>430</v>
      </c>
      <c r="K181">
        <v>280</v>
      </c>
      <c r="L181">
        <v>176</v>
      </c>
      <c r="M181">
        <v>1460</v>
      </c>
      <c r="N181">
        <v>91.6</v>
      </c>
      <c r="O181">
        <v>309</v>
      </c>
      <c r="P181" t="s">
        <v>225</v>
      </c>
    </row>
    <row r="183" spans="1:16" x14ac:dyDescent="0.25">
      <c r="A183" t="s">
        <v>225</v>
      </c>
      <c r="B183" t="s">
        <v>225</v>
      </c>
      <c r="C183">
        <v>20191115</v>
      </c>
      <c r="D183" s="3">
        <v>25930380</v>
      </c>
      <c r="E183" s="3">
        <v>346774</v>
      </c>
      <c r="F183">
        <v>74.78</v>
      </c>
      <c r="G183" s="3">
        <v>24309609</v>
      </c>
      <c r="H183">
        <v>93.75</v>
      </c>
      <c r="I183" s="3">
        <v>2354</v>
      </c>
      <c r="J183">
        <v>448</v>
      </c>
      <c r="K183">
        <v>277</v>
      </c>
      <c r="L183">
        <v>172</v>
      </c>
      <c r="M183">
        <v>1457</v>
      </c>
      <c r="N183">
        <v>91.57</v>
      </c>
      <c r="O183">
        <v>307</v>
      </c>
      <c r="P183" t="s">
        <v>225</v>
      </c>
    </row>
    <row r="185" spans="1:16" x14ac:dyDescent="0.25">
      <c r="A185" t="s">
        <v>225</v>
      </c>
      <c r="B185" t="s">
        <v>225</v>
      </c>
      <c r="C185">
        <v>20191108</v>
      </c>
      <c r="D185" s="3">
        <v>25930380</v>
      </c>
      <c r="E185" s="3">
        <v>344942</v>
      </c>
      <c r="F185">
        <v>75.17</v>
      </c>
      <c r="G185" s="3">
        <v>24317690</v>
      </c>
      <c r="H185">
        <v>93.78</v>
      </c>
      <c r="I185" s="3">
        <v>2353</v>
      </c>
      <c r="J185">
        <v>442</v>
      </c>
      <c r="K185">
        <v>281</v>
      </c>
      <c r="L185">
        <v>174</v>
      </c>
      <c r="M185">
        <v>1456</v>
      </c>
      <c r="N185">
        <v>91.6</v>
      </c>
      <c r="O185">
        <v>305.5</v>
      </c>
      <c r="P185" t="s">
        <v>225</v>
      </c>
    </row>
    <row r="187" spans="1:16" x14ac:dyDescent="0.25">
      <c r="A187" t="s">
        <v>225</v>
      </c>
      <c r="B187" t="s">
        <v>225</v>
      </c>
      <c r="C187">
        <v>20191101</v>
      </c>
      <c r="D187" s="3">
        <v>25930380</v>
      </c>
      <c r="E187" s="3">
        <v>343112</v>
      </c>
      <c r="F187">
        <v>75.569999999999993</v>
      </c>
      <c r="G187" s="3">
        <v>24322830</v>
      </c>
      <c r="H187">
        <v>93.8</v>
      </c>
      <c r="I187" s="3">
        <v>2351</v>
      </c>
      <c r="J187">
        <v>448</v>
      </c>
      <c r="K187">
        <v>273</v>
      </c>
      <c r="L187">
        <v>177</v>
      </c>
      <c r="M187">
        <v>1453</v>
      </c>
      <c r="N187">
        <v>91.62</v>
      </c>
      <c r="O187">
        <v>299</v>
      </c>
      <c r="P187" t="s">
        <v>225</v>
      </c>
    </row>
    <row r="189" spans="1:16" x14ac:dyDescent="0.25">
      <c r="A189" t="s">
        <v>225</v>
      </c>
      <c r="B189" t="s">
        <v>225</v>
      </c>
      <c r="C189">
        <v>20191025</v>
      </c>
      <c r="D189" s="3">
        <v>25930380</v>
      </c>
      <c r="E189" s="3">
        <v>344775</v>
      </c>
      <c r="F189">
        <v>75.209999999999994</v>
      </c>
      <c r="G189" s="3">
        <v>24314517</v>
      </c>
      <c r="H189">
        <v>93.77</v>
      </c>
      <c r="I189" s="3">
        <v>2350</v>
      </c>
      <c r="J189">
        <v>445</v>
      </c>
      <c r="K189">
        <v>269</v>
      </c>
      <c r="L189">
        <v>178</v>
      </c>
      <c r="M189">
        <v>1458</v>
      </c>
      <c r="N189">
        <v>91.6</v>
      </c>
      <c r="O189">
        <v>293.5</v>
      </c>
      <c r="P189" t="s">
        <v>225</v>
      </c>
    </row>
    <row r="191" spans="1:16" x14ac:dyDescent="0.25">
      <c r="A191" t="s">
        <v>225</v>
      </c>
      <c r="B191" t="s">
        <v>225</v>
      </c>
      <c r="C191">
        <v>20191018</v>
      </c>
      <c r="D191" s="3">
        <v>25930380</v>
      </c>
      <c r="E191" s="3">
        <v>341033</v>
      </c>
      <c r="F191">
        <v>76.03</v>
      </c>
      <c r="G191" s="3">
        <v>24327972</v>
      </c>
      <c r="H191">
        <v>93.82</v>
      </c>
      <c r="I191" s="3">
        <v>2341</v>
      </c>
      <c r="J191">
        <v>436</v>
      </c>
      <c r="K191">
        <v>266</v>
      </c>
      <c r="L191">
        <v>179</v>
      </c>
      <c r="M191">
        <v>1460</v>
      </c>
      <c r="N191">
        <v>91.67</v>
      </c>
      <c r="O191">
        <v>293</v>
      </c>
      <c r="P191" t="s">
        <v>225</v>
      </c>
    </row>
    <row r="193" spans="1:16" x14ac:dyDescent="0.25">
      <c r="A193" t="s">
        <v>225</v>
      </c>
      <c r="B193" t="s">
        <v>225</v>
      </c>
      <c r="C193">
        <v>20191009</v>
      </c>
      <c r="D193" s="3">
        <v>25930380</v>
      </c>
      <c r="E193" s="3">
        <v>335656</v>
      </c>
      <c r="F193">
        <v>77.25</v>
      </c>
      <c r="G193" s="3">
        <v>24347699</v>
      </c>
      <c r="H193">
        <v>93.9</v>
      </c>
      <c r="I193" s="3">
        <v>2327</v>
      </c>
      <c r="J193">
        <v>432</v>
      </c>
      <c r="K193">
        <v>266</v>
      </c>
      <c r="L193">
        <v>175</v>
      </c>
      <c r="M193">
        <v>1454</v>
      </c>
      <c r="N193">
        <v>91.77</v>
      </c>
      <c r="O193">
        <v>282</v>
      </c>
      <c r="P193" t="s">
        <v>225</v>
      </c>
    </row>
    <row r="195" spans="1:16" x14ac:dyDescent="0.25">
      <c r="A195" t="s">
        <v>225</v>
      </c>
      <c r="B195" t="s">
        <v>225</v>
      </c>
      <c r="C195">
        <v>20191004</v>
      </c>
      <c r="D195" s="3">
        <v>25930380</v>
      </c>
      <c r="E195" s="3">
        <v>336543</v>
      </c>
      <c r="F195">
        <v>77.05</v>
      </c>
      <c r="G195" s="3">
        <v>24348452</v>
      </c>
      <c r="H195">
        <v>93.9</v>
      </c>
      <c r="I195" s="3">
        <v>2327</v>
      </c>
      <c r="J195">
        <v>428</v>
      </c>
      <c r="K195">
        <v>268</v>
      </c>
      <c r="L195">
        <v>179</v>
      </c>
      <c r="M195">
        <v>1452</v>
      </c>
      <c r="N195">
        <v>91.76</v>
      </c>
      <c r="O195">
        <v>276.5</v>
      </c>
      <c r="P195" t="s">
        <v>225</v>
      </c>
    </row>
    <row r="197" spans="1:16" x14ac:dyDescent="0.25">
      <c r="A197" t="s">
        <v>225</v>
      </c>
      <c r="B197" t="s">
        <v>225</v>
      </c>
      <c r="C197">
        <v>20190927</v>
      </c>
      <c r="D197" s="3">
        <v>25930380</v>
      </c>
      <c r="E197" s="3">
        <v>337894</v>
      </c>
      <c r="F197">
        <v>76.739999999999995</v>
      </c>
      <c r="G197" s="3">
        <v>24341501</v>
      </c>
      <c r="H197">
        <v>93.87</v>
      </c>
      <c r="I197" s="3">
        <v>2306</v>
      </c>
      <c r="J197">
        <v>418</v>
      </c>
      <c r="K197">
        <v>263</v>
      </c>
      <c r="L197">
        <v>178</v>
      </c>
      <c r="M197">
        <v>1447</v>
      </c>
      <c r="N197">
        <v>91.77</v>
      </c>
      <c r="O197">
        <v>272</v>
      </c>
      <c r="P197" t="s">
        <v>225</v>
      </c>
    </row>
    <row r="199" spans="1:16" x14ac:dyDescent="0.25">
      <c r="A199" t="s">
        <v>225</v>
      </c>
      <c r="B199" t="s">
        <v>225</v>
      </c>
      <c r="C199">
        <v>20190920</v>
      </c>
      <c r="D199" s="3">
        <v>25930380</v>
      </c>
      <c r="E199" s="3">
        <v>338018</v>
      </c>
      <c r="F199">
        <v>76.709999999999994</v>
      </c>
      <c r="G199" s="3">
        <v>24343436</v>
      </c>
      <c r="H199">
        <v>93.88</v>
      </c>
      <c r="I199" s="3">
        <v>2306</v>
      </c>
      <c r="J199">
        <v>421</v>
      </c>
      <c r="K199">
        <v>265</v>
      </c>
      <c r="L199">
        <v>179</v>
      </c>
      <c r="M199">
        <v>1441</v>
      </c>
      <c r="N199">
        <v>91.76</v>
      </c>
      <c r="O199">
        <v>264</v>
      </c>
      <c r="P199" t="s">
        <v>225</v>
      </c>
    </row>
    <row r="201" spans="1:16" x14ac:dyDescent="0.25">
      <c r="A201" t="s">
        <v>225</v>
      </c>
      <c r="B201" t="s">
        <v>225</v>
      </c>
      <c r="C201">
        <v>20190912</v>
      </c>
      <c r="D201" s="3">
        <v>25930380</v>
      </c>
      <c r="E201" s="3">
        <v>341677</v>
      </c>
      <c r="F201">
        <v>75.89</v>
      </c>
      <c r="G201" s="3">
        <v>24326064</v>
      </c>
      <c r="H201">
        <v>93.81</v>
      </c>
      <c r="I201" s="3">
        <v>2301</v>
      </c>
      <c r="J201">
        <v>412</v>
      </c>
      <c r="K201">
        <v>267</v>
      </c>
      <c r="L201">
        <v>182</v>
      </c>
      <c r="M201">
        <v>1440</v>
      </c>
      <c r="N201">
        <v>91.7</v>
      </c>
      <c r="O201">
        <v>262.5</v>
      </c>
      <c r="P201" t="s">
        <v>225</v>
      </c>
    </row>
    <row r="203" spans="1:16" x14ac:dyDescent="0.25">
      <c r="A203" t="s">
        <v>225</v>
      </c>
      <c r="B203" t="s">
        <v>225</v>
      </c>
      <c r="C203">
        <v>20190906</v>
      </c>
      <c r="D203" s="3">
        <v>25930380</v>
      </c>
      <c r="E203" s="3">
        <v>342245</v>
      </c>
      <c r="F203">
        <v>75.77</v>
      </c>
      <c r="G203" s="3">
        <v>24324889</v>
      </c>
      <c r="H203">
        <v>93.81</v>
      </c>
      <c r="I203" s="3">
        <v>2292</v>
      </c>
      <c r="J203">
        <v>406</v>
      </c>
      <c r="K203">
        <v>272</v>
      </c>
      <c r="L203">
        <v>184</v>
      </c>
      <c r="M203">
        <v>1430</v>
      </c>
      <c r="N203">
        <v>91.69</v>
      </c>
      <c r="O203">
        <v>263.5</v>
      </c>
      <c r="P203" t="s">
        <v>225</v>
      </c>
    </row>
    <row r="205" spans="1:16" x14ac:dyDescent="0.25">
      <c r="A205" t="s">
        <v>225</v>
      </c>
      <c r="B205" t="s">
        <v>225</v>
      </c>
      <c r="C205">
        <v>20190830</v>
      </c>
      <c r="D205" s="3">
        <v>25930380</v>
      </c>
      <c r="E205" s="3">
        <v>350019</v>
      </c>
      <c r="F205">
        <v>74.08</v>
      </c>
      <c r="G205" s="3">
        <v>24292327</v>
      </c>
      <c r="H205">
        <v>93.68</v>
      </c>
      <c r="I205" s="3">
        <v>2285</v>
      </c>
      <c r="J205">
        <v>404</v>
      </c>
      <c r="K205">
        <v>271</v>
      </c>
      <c r="L205">
        <v>179</v>
      </c>
      <c r="M205">
        <v>1431</v>
      </c>
      <c r="N205">
        <v>91.59</v>
      </c>
      <c r="O205">
        <v>259</v>
      </c>
      <c r="P205" t="s">
        <v>225</v>
      </c>
    </row>
    <row r="207" spans="1:16" x14ac:dyDescent="0.25">
      <c r="A207" t="s">
        <v>225</v>
      </c>
      <c r="B207" t="s">
        <v>225</v>
      </c>
      <c r="C207">
        <v>20190823</v>
      </c>
      <c r="D207" s="3">
        <v>25930380</v>
      </c>
      <c r="E207" s="3">
        <v>346960</v>
      </c>
      <c r="F207">
        <v>74.739999999999995</v>
      </c>
      <c r="G207" s="3">
        <v>24300194</v>
      </c>
      <c r="H207">
        <v>93.71</v>
      </c>
      <c r="I207" s="3">
        <v>2278</v>
      </c>
      <c r="J207">
        <v>397</v>
      </c>
      <c r="K207">
        <v>267</v>
      </c>
      <c r="L207">
        <v>185</v>
      </c>
      <c r="M207">
        <v>1429</v>
      </c>
      <c r="N207">
        <v>91.62</v>
      </c>
      <c r="O207">
        <v>254</v>
      </c>
      <c r="P207" t="s">
        <v>225</v>
      </c>
    </row>
    <row r="209" spans="1:16" x14ac:dyDescent="0.25">
      <c r="A209" t="s">
        <v>225</v>
      </c>
      <c r="B209" t="s">
        <v>225</v>
      </c>
      <c r="C209">
        <v>20190816</v>
      </c>
      <c r="D209" s="3">
        <v>25930380</v>
      </c>
      <c r="E209" s="3">
        <v>348963</v>
      </c>
      <c r="F209">
        <v>74.31</v>
      </c>
      <c r="G209" s="3">
        <v>24297054</v>
      </c>
      <c r="H209">
        <v>93.7</v>
      </c>
      <c r="I209" s="3">
        <v>2277</v>
      </c>
      <c r="J209">
        <v>398</v>
      </c>
      <c r="K209">
        <v>275</v>
      </c>
      <c r="L209">
        <v>181</v>
      </c>
      <c r="M209">
        <v>1423</v>
      </c>
      <c r="N209">
        <v>91.6</v>
      </c>
      <c r="O209">
        <v>250</v>
      </c>
      <c r="P209" t="s">
        <v>225</v>
      </c>
    </row>
    <row r="211" spans="1:16" x14ac:dyDescent="0.25">
      <c r="A211" t="s">
        <v>225</v>
      </c>
      <c r="B211" t="s">
        <v>225</v>
      </c>
      <c r="C211">
        <v>20190808</v>
      </c>
      <c r="D211" s="3">
        <v>25930380</v>
      </c>
      <c r="E211" s="3">
        <v>346825</v>
      </c>
      <c r="F211">
        <v>74.77</v>
      </c>
      <c r="G211" s="3">
        <v>24308311</v>
      </c>
      <c r="H211">
        <v>93.74</v>
      </c>
      <c r="I211" s="3">
        <v>2270</v>
      </c>
      <c r="J211">
        <v>395</v>
      </c>
      <c r="K211">
        <v>271</v>
      </c>
      <c r="L211">
        <v>179</v>
      </c>
      <c r="M211">
        <v>1425</v>
      </c>
      <c r="N211">
        <v>91.67</v>
      </c>
      <c r="O211">
        <v>253.5</v>
      </c>
      <c r="P211" t="s">
        <v>225</v>
      </c>
    </row>
    <row r="213" spans="1:16" x14ac:dyDescent="0.25">
      <c r="A213" t="s">
        <v>225</v>
      </c>
      <c r="B213" t="s">
        <v>225</v>
      </c>
      <c r="C213">
        <v>20190802</v>
      </c>
      <c r="D213" s="3">
        <v>25930380</v>
      </c>
      <c r="E213" s="3">
        <v>340347</v>
      </c>
      <c r="F213">
        <v>76.19</v>
      </c>
      <c r="G213" s="3">
        <v>24332872</v>
      </c>
      <c r="H213">
        <v>93.84</v>
      </c>
      <c r="I213" s="3">
        <v>2271</v>
      </c>
      <c r="J213">
        <v>397</v>
      </c>
      <c r="K213">
        <v>266</v>
      </c>
      <c r="L213">
        <v>179</v>
      </c>
      <c r="M213">
        <v>1429</v>
      </c>
      <c r="N213">
        <v>91.77</v>
      </c>
      <c r="O213">
        <v>251.5</v>
      </c>
      <c r="P213" t="s">
        <v>225</v>
      </c>
    </row>
    <row r="215" spans="1:16" x14ac:dyDescent="0.25">
      <c r="A215" t="s">
        <v>225</v>
      </c>
      <c r="B215" t="s">
        <v>225</v>
      </c>
      <c r="C215">
        <v>20190726</v>
      </c>
      <c r="D215" s="3">
        <v>25930380</v>
      </c>
      <c r="E215" s="3">
        <v>337880</v>
      </c>
      <c r="F215">
        <v>76.739999999999995</v>
      </c>
      <c r="G215" s="3">
        <v>24343998</v>
      </c>
      <c r="H215">
        <v>93.88</v>
      </c>
      <c r="I215" s="3">
        <v>2272</v>
      </c>
      <c r="J215">
        <v>398</v>
      </c>
      <c r="K215">
        <v>256</v>
      </c>
      <c r="L215">
        <v>180</v>
      </c>
      <c r="M215">
        <v>1438</v>
      </c>
      <c r="N215">
        <v>91.83</v>
      </c>
      <c r="O215">
        <v>261</v>
      </c>
      <c r="P215" t="s">
        <v>225</v>
      </c>
    </row>
    <row r="217" spans="1:16" x14ac:dyDescent="0.25">
      <c r="A217" t="s">
        <v>225</v>
      </c>
      <c r="B217" t="s">
        <v>225</v>
      </c>
      <c r="C217">
        <v>20190719</v>
      </c>
      <c r="D217" s="3">
        <v>25930380</v>
      </c>
      <c r="E217" s="3">
        <v>344941</v>
      </c>
      <c r="F217">
        <v>75.17</v>
      </c>
      <c r="G217" s="3">
        <v>24319782</v>
      </c>
      <c r="H217">
        <v>93.79</v>
      </c>
      <c r="I217" s="3">
        <v>2272</v>
      </c>
      <c r="J217">
        <v>399</v>
      </c>
      <c r="K217">
        <v>265</v>
      </c>
      <c r="L217">
        <v>179</v>
      </c>
      <c r="M217">
        <v>1429</v>
      </c>
      <c r="N217">
        <v>91.72</v>
      </c>
      <c r="O217">
        <v>259</v>
      </c>
      <c r="P217" t="s">
        <v>225</v>
      </c>
    </row>
    <row r="219" spans="1:16" x14ac:dyDescent="0.25">
      <c r="A219" t="s">
        <v>225</v>
      </c>
      <c r="B219" t="s">
        <v>225</v>
      </c>
      <c r="C219">
        <v>20190712</v>
      </c>
      <c r="D219" s="3">
        <v>25930380</v>
      </c>
      <c r="E219" s="3">
        <v>347587</v>
      </c>
      <c r="F219">
        <v>74.599999999999994</v>
      </c>
      <c r="G219" s="3">
        <v>24313046</v>
      </c>
      <c r="H219">
        <v>93.76</v>
      </c>
      <c r="I219" s="3">
        <v>2267</v>
      </c>
      <c r="J219">
        <v>398</v>
      </c>
      <c r="K219">
        <v>264</v>
      </c>
      <c r="L219">
        <v>179</v>
      </c>
      <c r="M219">
        <v>1426</v>
      </c>
      <c r="N219">
        <v>91.7</v>
      </c>
      <c r="O219">
        <v>250.5</v>
      </c>
      <c r="P219" t="s">
        <v>225</v>
      </c>
    </row>
    <row r="221" spans="1:16" x14ac:dyDescent="0.25">
      <c r="A221" t="s">
        <v>225</v>
      </c>
      <c r="B221" t="s">
        <v>225</v>
      </c>
      <c r="C221">
        <v>20190705</v>
      </c>
      <c r="D221" s="3">
        <v>25930380</v>
      </c>
      <c r="E221" s="3">
        <v>350182</v>
      </c>
      <c r="F221">
        <v>74.05</v>
      </c>
      <c r="G221" s="3">
        <v>24309617</v>
      </c>
      <c r="H221">
        <v>93.75</v>
      </c>
      <c r="I221" s="3">
        <v>2274</v>
      </c>
      <c r="J221">
        <v>406</v>
      </c>
      <c r="K221">
        <v>261</v>
      </c>
      <c r="L221">
        <v>180</v>
      </c>
      <c r="M221">
        <v>1427</v>
      </c>
      <c r="N221">
        <v>91.68</v>
      </c>
      <c r="O221">
        <v>243</v>
      </c>
      <c r="P221" t="s">
        <v>225</v>
      </c>
    </row>
    <row r="223" spans="1:16" x14ac:dyDescent="0.25">
      <c r="A223" t="s">
        <v>225</v>
      </c>
      <c r="B223" t="s">
        <v>225</v>
      </c>
      <c r="C223">
        <v>20190628</v>
      </c>
      <c r="D223" s="3">
        <v>25930380</v>
      </c>
      <c r="E223" s="3">
        <v>354991</v>
      </c>
      <c r="F223">
        <v>73.05</v>
      </c>
      <c r="G223" s="3">
        <v>24293493</v>
      </c>
      <c r="H223">
        <v>93.69</v>
      </c>
      <c r="I223" s="3">
        <v>2270</v>
      </c>
      <c r="J223">
        <v>412</v>
      </c>
      <c r="K223">
        <v>262</v>
      </c>
      <c r="L223">
        <v>175</v>
      </c>
      <c r="M223">
        <v>1421</v>
      </c>
      <c r="N223">
        <v>91.61</v>
      </c>
      <c r="O223">
        <v>239</v>
      </c>
      <c r="P223" t="s">
        <v>225</v>
      </c>
    </row>
    <row r="225" spans="1:16" x14ac:dyDescent="0.25">
      <c r="A225" t="s">
        <v>225</v>
      </c>
      <c r="B225" t="s">
        <v>225</v>
      </c>
      <c r="C225">
        <v>20190621</v>
      </c>
      <c r="D225" s="3">
        <v>25930380</v>
      </c>
      <c r="E225" s="3">
        <v>348469</v>
      </c>
      <c r="F225">
        <v>74.41</v>
      </c>
      <c r="G225" s="3">
        <v>24310523</v>
      </c>
      <c r="H225">
        <v>93.75</v>
      </c>
      <c r="I225" s="3">
        <v>2268</v>
      </c>
      <c r="J225">
        <v>405</v>
      </c>
      <c r="K225">
        <v>269</v>
      </c>
      <c r="L225">
        <v>171</v>
      </c>
      <c r="M225">
        <v>1423</v>
      </c>
      <c r="N225">
        <v>91.69</v>
      </c>
      <c r="O225">
        <v>248.5</v>
      </c>
      <c r="P225" t="s">
        <v>225</v>
      </c>
    </row>
    <row r="227" spans="1:16" x14ac:dyDescent="0.25">
      <c r="A227" t="s">
        <v>225</v>
      </c>
      <c r="B227" t="s">
        <v>225</v>
      </c>
      <c r="C227">
        <v>20190614</v>
      </c>
      <c r="D227" s="3">
        <v>25930380</v>
      </c>
      <c r="E227" s="3">
        <v>347676</v>
      </c>
      <c r="F227">
        <v>74.58</v>
      </c>
      <c r="G227" s="3">
        <v>24315433</v>
      </c>
      <c r="H227">
        <v>93.77</v>
      </c>
      <c r="I227" s="3">
        <v>2286</v>
      </c>
      <c r="J227">
        <v>412</v>
      </c>
      <c r="K227">
        <v>268</v>
      </c>
      <c r="L227">
        <v>176</v>
      </c>
      <c r="M227">
        <v>1430</v>
      </c>
      <c r="N227">
        <v>91.67</v>
      </c>
      <c r="O227">
        <v>236</v>
      </c>
      <c r="P227" t="s">
        <v>225</v>
      </c>
    </row>
    <row r="229" spans="1:16" x14ac:dyDescent="0.25">
      <c r="A229" t="s">
        <v>225</v>
      </c>
      <c r="B229" t="s">
        <v>225</v>
      </c>
      <c r="C229">
        <v>20190606</v>
      </c>
      <c r="D229" s="3">
        <v>25930380</v>
      </c>
      <c r="E229" s="3">
        <v>347822</v>
      </c>
      <c r="F229">
        <v>74.55</v>
      </c>
      <c r="G229" s="3">
        <v>24314308</v>
      </c>
      <c r="H229">
        <v>93.77</v>
      </c>
      <c r="I229" s="3">
        <v>2281</v>
      </c>
      <c r="J229">
        <v>409</v>
      </c>
      <c r="K229">
        <v>267</v>
      </c>
      <c r="L229">
        <v>179</v>
      </c>
      <c r="M229">
        <v>1426</v>
      </c>
      <c r="N229">
        <v>91.67</v>
      </c>
      <c r="O229">
        <v>232</v>
      </c>
      <c r="P229" t="s">
        <v>225</v>
      </c>
    </row>
    <row r="231" spans="1:16" x14ac:dyDescent="0.25">
      <c r="A231" t="s">
        <v>225</v>
      </c>
      <c r="B231" t="s">
        <v>225</v>
      </c>
      <c r="C231">
        <v>20190531</v>
      </c>
      <c r="D231" s="3">
        <v>25930380</v>
      </c>
      <c r="E231" s="3">
        <v>347447</v>
      </c>
      <c r="F231">
        <v>74.63</v>
      </c>
      <c r="G231" s="3">
        <v>24313318</v>
      </c>
      <c r="H231">
        <v>93.76</v>
      </c>
      <c r="I231" s="3">
        <v>2278</v>
      </c>
      <c r="J231">
        <v>408</v>
      </c>
      <c r="K231">
        <v>274</v>
      </c>
      <c r="L231">
        <v>167</v>
      </c>
      <c r="M231">
        <v>1429</v>
      </c>
      <c r="N231">
        <v>91.68</v>
      </c>
      <c r="O231">
        <v>235.5</v>
      </c>
      <c r="P231" t="s">
        <v>225</v>
      </c>
    </row>
    <row r="233" spans="1:16" x14ac:dyDescent="0.25">
      <c r="A233" t="s">
        <v>225</v>
      </c>
      <c r="B233" t="s">
        <v>225</v>
      </c>
      <c r="C233">
        <v>20190524</v>
      </c>
      <c r="D233" s="3">
        <v>25930380</v>
      </c>
      <c r="E233" s="3">
        <v>343524</v>
      </c>
      <c r="F233">
        <v>75.48</v>
      </c>
      <c r="G233" s="3">
        <v>24326347</v>
      </c>
      <c r="H233">
        <v>93.81</v>
      </c>
      <c r="I233" s="3">
        <v>2289</v>
      </c>
      <c r="J233">
        <v>403</v>
      </c>
      <c r="K233">
        <v>276</v>
      </c>
      <c r="L233">
        <v>183</v>
      </c>
      <c r="M233">
        <v>1427</v>
      </c>
      <c r="N233">
        <v>91.69</v>
      </c>
      <c r="O233">
        <v>233</v>
      </c>
      <c r="P233" t="s">
        <v>225</v>
      </c>
    </row>
    <row r="235" spans="1:16" x14ac:dyDescent="0.25">
      <c r="A235" t="s">
        <v>225</v>
      </c>
      <c r="B235" t="s">
        <v>225</v>
      </c>
      <c r="C235">
        <v>20190517</v>
      </c>
      <c r="D235" s="3">
        <v>25930380</v>
      </c>
      <c r="E235" s="3">
        <v>333930</v>
      </c>
      <c r="F235">
        <v>77.650000000000006</v>
      </c>
      <c r="G235" s="3">
        <v>24360746</v>
      </c>
      <c r="H235">
        <v>93.95</v>
      </c>
      <c r="I235" s="3">
        <v>2286</v>
      </c>
      <c r="J235">
        <v>402</v>
      </c>
      <c r="K235">
        <v>270</v>
      </c>
      <c r="L235">
        <v>179</v>
      </c>
      <c r="M235">
        <v>1435</v>
      </c>
      <c r="N235">
        <v>91.85</v>
      </c>
      <c r="O235">
        <v>241.5</v>
      </c>
      <c r="P235" t="s">
        <v>225</v>
      </c>
    </row>
    <row r="237" spans="1:16" x14ac:dyDescent="0.25">
      <c r="A237" t="s">
        <v>225</v>
      </c>
      <c r="B237" t="s">
        <v>225</v>
      </c>
      <c r="C237">
        <v>20190510</v>
      </c>
      <c r="D237" s="3">
        <v>25930380</v>
      </c>
      <c r="E237" s="3">
        <v>330537</v>
      </c>
      <c r="F237">
        <v>78.45</v>
      </c>
      <c r="G237" s="3">
        <v>24372954</v>
      </c>
      <c r="H237">
        <v>93.99</v>
      </c>
      <c r="I237" s="3">
        <v>2280</v>
      </c>
      <c r="J237">
        <v>399</v>
      </c>
      <c r="K237">
        <v>266</v>
      </c>
      <c r="L237">
        <v>180</v>
      </c>
      <c r="M237">
        <v>1435</v>
      </c>
      <c r="N237">
        <v>91.91</v>
      </c>
      <c r="O237">
        <v>256</v>
      </c>
      <c r="P237" t="s">
        <v>225</v>
      </c>
    </row>
    <row r="239" spans="1:16" x14ac:dyDescent="0.25">
      <c r="A239" t="s">
        <v>225</v>
      </c>
      <c r="B239" t="s">
        <v>225</v>
      </c>
      <c r="C239">
        <v>20190503</v>
      </c>
      <c r="D239" s="3">
        <v>25930380</v>
      </c>
      <c r="E239" s="3">
        <v>329093</v>
      </c>
      <c r="F239">
        <v>78.790000000000006</v>
      </c>
      <c r="G239" s="3">
        <v>24380216</v>
      </c>
      <c r="H239">
        <v>94.02</v>
      </c>
      <c r="I239" s="3">
        <v>2277</v>
      </c>
      <c r="J239">
        <v>396</v>
      </c>
      <c r="K239">
        <v>264</v>
      </c>
      <c r="L239">
        <v>187</v>
      </c>
      <c r="M239">
        <v>1430</v>
      </c>
      <c r="N239">
        <v>91.92</v>
      </c>
      <c r="O239">
        <v>265</v>
      </c>
      <c r="P239" t="s">
        <v>225</v>
      </c>
    </row>
    <row r="241" spans="1:16" x14ac:dyDescent="0.25">
      <c r="A241" t="s">
        <v>225</v>
      </c>
      <c r="B241" t="s">
        <v>225</v>
      </c>
      <c r="C241">
        <v>20190426</v>
      </c>
      <c r="D241" s="3">
        <v>25930380</v>
      </c>
      <c r="E241" s="3">
        <v>326277</v>
      </c>
      <c r="F241">
        <v>79.47</v>
      </c>
      <c r="G241" s="3">
        <v>24394548</v>
      </c>
      <c r="H241">
        <v>94.08</v>
      </c>
      <c r="I241" s="3">
        <v>2285</v>
      </c>
      <c r="J241">
        <v>400</v>
      </c>
      <c r="K241">
        <v>268</v>
      </c>
      <c r="L241">
        <v>185</v>
      </c>
      <c r="M241">
        <v>1432</v>
      </c>
      <c r="N241">
        <v>91.97</v>
      </c>
      <c r="O241">
        <v>260</v>
      </c>
      <c r="P241" t="s">
        <v>225</v>
      </c>
    </row>
    <row r="243" spans="1:16" x14ac:dyDescent="0.25">
      <c r="A243" t="s">
        <v>225</v>
      </c>
      <c r="B243" t="s">
        <v>225</v>
      </c>
      <c r="C243">
        <v>20190419</v>
      </c>
      <c r="D243" s="3">
        <v>25930380</v>
      </c>
      <c r="E243" s="3">
        <v>328373</v>
      </c>
      <c r="F243">
        <v>78.97</v>
      </c>
      <c r="G243" s="3">
        <v>24387171</v>
      </c>
      <c r="H243">
        <v>94.05</v>
      </c>
      <c r="I243" s="3">
        <v>2294</v>
      </c>
      <c r="J243">
        <v>413</v>
      </c>
      <c r="K243">
        <v>260</v>
      </c>
      <c r="L243">
        <v>184</v>
      </c>
      <c r="M243">
        <v>1437</v>
      </c>
      <c r="N243">
        <v>91.94</v>
      </c>
      <c r="O243">
        <v>264.5</v>
      </c>
      <c r="P243" t="s">
        <v>225</v>
      </c>
    </row>
    <row r="245" spans="1:16" x14ac:dyDescent="0.25">
      <c r="A245" t="s">
        <v>225</v>
      </c>
      <c r="B245" t="s">
        <v>225</v>
      </c>
      <c r="C245">
        <v>20190412</v>
      </c>
      <c r="D245" s="3">
        <v>25930380</v>
      </c>
      <c r="E245" s="3">
        <v>332821</v>
      </c>
      <c r="F245">
        <v>77.91</v>
      </c>
      <c r="G245" s="3">
        <v>24362055</v>
      </c>
      <c r="H245">
        <v>93.95</v>
      </c>
      <c r="I245" s="3">
        <v>2282</v>
      </c>
      <c r="J245">
        <v>407</v>
      </c>
      <c r="K245">
        <v>259</v>
      </c>
      <c r="L245">
        <v>185</v>
      </c>
      <c r="M245">
        <v>1431</v>
      </c>
      <c r="N245">
        <v>91.86</v>
      </c>
      <c r="O245">
        <v>252</v>
      </c>
      <c r="P245" t="s">
        <v>225</v>
      </c>
    </row>
    <row r="247" spans="1:16" x14ac:dyDescent="0.25">
      <c r="A247" t="s">
        <v>225</v>
      </c>
      <c r="B247" t="s">
        <v>225</v>
      </c>
      <c r="C247">
        <v>20190403</v>
      </c>
      <c r="D247" s="3">
        <v>25930380</v>
      </c>
      <c r="E247" s="3">
        <v>335959</v>
      </c>
      <c r="F247">
        <v>77.180000000000007</v>
      </c>
      <c r="G247" s="3">
        <v>24344241</v>
      </c>
      <c r="H247">
        <v>93.88</v>
      </c>
      <c r="I247" s="3">
        <v>2280</v>
      </c>
      <c r="J247">
        <v>408</v>
      </c>
      <c r="K247">
        <v>263</v>
      </c>
      <c r="L247">
        <v>184</v>
      </c>
      <c r="M247">
        <v>1425</v>
      </c>
      <c r="N247">
        <v>91.77</v>
      </c>
      <c r="O247">
        <v>246.5</v>
      </c>
      <c r="P247" t="s">
        <v>225</v>
      </c>
    </row>
    <row r="249" spans="1:16" x14ac:dyDescent="0.25">
      <c r="A249" t="s">
        <v>225</v>
      </c>
      <c r="B249" t="s">
        <v>225</v>
      </c>
      <c r="C249">
        <v>20190329</v>
      </c>
      <c r="D249" s="3">
        <v>25930380</v>
      </c>
      <c r="E249" s="3">
        <v>337623</v>
      </c>
      <c r="F249">
        <v>76.8</v>
      </c>
      <c r="G249" s="3">
        <v>24338800</v>
      </c>
      <c r="H249">
        <v>93.86</v>
      </c>
      <c r="I249" s="3">
        <v>2280</v>
      </c>
      <c r="J249">
        <v>408</v>
      </c>
      <c r="K249">
        <v>264</v>
      </c>
      <c r="L249">
        <v>185</v>
      </c>
      <c r="M249">
        <v>1423</v>
      </c>
      <c r="N249">
        <v>91.74</v>
      </c>
      <c r="O249">
        <v>245.5</v>
      </c>
      <c r="P249" t="s">
        <v>225</v>
      </c>
    </row>
    <row r="251" spans="1:16" x14ac:dyDescent="0.25">
      <c r="A251" t="s">
        <v>225</v>
      </c>
      <c r="B251" t="s">
        <v>225</v>
      </c>
      <c r="C251">
        <v>20190322</v>
      </c>
      <c r="D251" s="3">
        <v>25930380</v>
      </c>
      <c r="E251" s="3">
        <v>336452</v>
      </c>
      <c r="F251">
        <v>77.069999999999993</v>
      </c>
      <c r="G251" s="3">
        <v>24343147</v>
      </c>
      <c r="H251">
        <v>93.88</v>
      </c>
      <c r="I251" s="3">
        <v>2283</v>
      </c>
      <c r="J251">
        <v>408</v>
      </c>
      <c r="K251">
        <v>274</v>
      </c>
      <c r="L251">
        <v>172</v>
      </c>
      <c r="M251">
        <v>1429</v>
      </c>
      <c r="N251">
        <v>91.78</v>
      </c>
      <c r="O251">
        <v>248.5</v>
      </c>
      <c r="P251" t="s">
        <v>225</v>
      </c>
    </row>
    <row r="253" spans="1:16" x14ac:dyDescent="0.25">
      <c r="A253" t="s">
        <v>225</v>
      </c>
      <c r="B253" t="s">
        <v>225</v>
      </c>
      <c r="C253">
        <v>20190315</v>
      </c>
      <c r="D253" s="3">
        <v>25930380</v>
      </c>
      <c r="E253" s="3">
        <v>342037</v>
      </c>
      <c r="F253">
        <v>75.81</v>
      </c>
      <c r="G253" s="3">
        <v>24317324</v>
      </c>
      <c r="H253">
        <v>93.78</v>
      </c>
      <c r="I253" s="3">
        <v>2278</v>
      </c>
      <c r="J253">
        <v>407</v>
      </c>
      <c r="K253">
        <v>271</v>
      </c>
      <c r="L253">
        <v>167</v>
      </c>
      <c r="M253">
        <v>1433</v>
      </c>
      <c r="N253">
        <v>91.71</v>
      </c>
      <c r="O253">
        <v>239</v>
      </c>
      <c r="P253" t="s">
        <v>225</v>
      </c>
    </row>
    <row r="255" spans="1:16" x14ac:dyDescent="0.25">
      <c r="A255" t="s">
        <v>225</v>
      </c>
      <c r="B255" t="s">
        <v>225</v>
      </c>
      <c r="C255">
        <v>20190308</v>
      </c>
      <c r="D255" s="3">
        <v>25930380</v>
      </c>
      <c r="E255" s="3">
        <v>341626</v>
      </c>
      <c r="F255">
        <v>75.900000000000006</v>
      </c>
      <c r="G255" s="3">
        <v>24319764</v>
      </c>
      <c r="H255">
        <v>93.79</v>
      </c>
      <c r="I255" s="3">
        <v>2282</v>
      </c>
      <c r="J255">
        <v>410</v>
      </c>
      <c r="K255">
        <v>269</v>
      </c>
      <c r="L255">
        <v>176</v>
      </c>
      <c r="M255">
        <v>1427</v>
      </c>
      <c r="N255">
        <v>91.69</v>
      </c>
      <c r="O255">
        <v>230</v>
      </c>
      <c r="P255" t="s">
        <v>225</v>
      </c>
    </row>
    <row r="257" spans="1:16" x14ac:dyDescent="0.25">
      <c r="A257" t="s">
        <v>225</v>
      </c>
      <c r="B257" t="s">
        <v>225</v>
      </c>
      <c r="C257">
        <v>20190227</v>
      </c>
      <c r="D257" s="3">
        <v>25930380</v>
      </c>
      <c r="E257" s="3">
        <v>340216</v>
      </c>
      <c r="F257">
        <v>76.22</v>
      </c>
      <c r="G257" s="3">
        <v>24326170</v>
      </c>
      <c r="H257">
        <v>93.81</v>
      </c>
      <c r="I257" s="3">
        <v>2280</v>
      </c>
      <c r="J257">
        <v>411</v>
      </c>
      <c r="K257">
        <v>268</v>
      </c>
      <c r="L257">
        <v>171</v>
      </c>
      <c r="M257">
        <v>1430</v>
      </c>
      <c r="N257">
        <v>91.73</v>
      </c>
      <c r="O257">
        <v>239</v>
      </c>
      <c r="P257" t="s">
        <v>225</v>
      </c>
    </row>
    <row r="259" spans="1:16" x14ac:dyDescent="0.25">
      <c r="A259" t="s">
        <v>225</v>
      </c>
      <c r="B259" t="s">
        <v>225</v>
      </c>
      <c r="C259">
        <v>20190222</v>
      </c>
      <c r="D259" s="3">
        <v>25930380</v>
      </c>
      <c r="E259" s="3">
        <v>340976</v>
      </c>
      <c r="F259">
        <v>76.05</v>
      </c>
      <c r="G259" s="3">
        <v>24325047</v>
      </c>
      <c r="H259">
        <v>93.81</v>
      </c>
      <c r="I259" s="3">
        <v>2282</v>
      </c>
      <c r="J259">
        <v>409</v>
      </c>
      <c r="K259">
        <v>268</v>
      </c>
      <c r="L259">
        <v>175</v>
      </c>
      <c r="M259">
        <v>1430</v>
      </c>
      <c r="N259">
        <v>91.72</v>
      </c>
      <c r="O259">
        <v>236.5</v>
      </c>
      <c r="P259" t="s">
        <v>225</v>
      </c>
    </row>
    <row r="261" spans="1:16" x14ac:dyDescent="0.25">
      <c r="A261" t="s">
        <v>225</v>
      </c>
      <c r="B261" t="s">
        <v>225</v>
      </c>
      <c r="C261">
        <v>20190215</v>
      </c>
      <c r="D261" s="3">
        <v>25930380</v>
      </c>
      <c r="E261" s="3">
        <v>343383</v>
      </c>
      <c r="F261">
        <v>75.510000000000005</v>
      </c>
      <c r="G261" s="3">
        <v>24308868</v>
      </c>
      <c r="H261">
        <v>93.75</v>
      </c>
      <c r="I261" s="3">
        <v>2280</v>
      </c>
      <c r="J261">
        <v>406</v>
      </c>
      <c r="K261">
        <v>269</v>
      </c>
      <c r="L261">
        <v>178</v>
      </c>
      <c r="M261">
        <v>1427</v>
      </c>
      <c r="N261">
        <v>91.64</v>
      </c>
      <c r="O261">
        <v>227</v>
      </c>
      <c r="P261" t="s">
        <v>225</v>
      </c>
    </row>
    <row r="263" spans="1:16" x14ac:dyDescent="0.25">
      <c r="A263" t="s">
        <v>225</v>
      </c>
      <c r="B263" t="s">
        <v>225</v>
      </c>
      <c r="C263">
        <v>20190130</v>
      </c>
      <c r="D263" s="3">
        <v>25930380</v>
      </c>
      <c r="E263" s="3">
        <v>348957</v>
      </c>
      <c r="F263">
        <v>74.31</v>
      </c>
      <c r="G263" s="3">
        <v>24280903</v>
      </c>
      <c r="H263">
        <v>93.64</v>
      </c>
      <c r="I263" s="3">
        <v>2279</v>
      </c>
      <c r="J263">
        <v>410</v>
      </c>
      <c r="K263">
        <v>268</v>
      </c>
      <c r="L263">
        <v>170</v>
      </c>
      <c r="M263">
        <v>1431</v>
      </c>
      <c r="N263">
        <v>91.55</v>
      </c>
      <c r="O263">
        <v>221</v>
      </c>
      <c r="P263" t="s">
        <v>225</v>
      </c>
    </row>
    <row r="265" spans="1:16" x14ac:dyDescent="0.25">
      <c r="A265" t="s">
        <v>225</v>
      </c>
      <c r="B265" t="s">
        <v>225</v>
      </c>
      <c r="C265">
        <v>20190125</v>
      </c>
      <c r="D265" s="3">
        <v>25930380</v>
      </c>
      <c r="E265" s="3">
        <v>350222</v>
      </c>
      <c r="F265">
        <v>74.040000000000006</v>
      </c>
      <c r="G265" s="3">
        <v>24279946</v>
      </c>
      <c r="H265">
        <v>93.64</v>
      </c>
      <c r="I265" s="3">
        <v>2285</v>
      </c>
      <c r="J265">
        <v>412</v>
      </c>
      <c r="K265">
        <v>270</v>
      </c>
      <c r="L265">
        <v>172</v>
      </c>
      <c r="M265">
        <v>1431</v>
      </c>
      <c r="N265">
        <v>91.53</v>
      </c>
      <c r="O265">
        <v>226</v>
      </c>
      <c r="P265" t="s">
        <v>225</v>
      </c>
    </row>
    <row r="267" spans="1:16" x14ac:dyDescent="0.25">
      <c r="A267" t="s">
        <v>225</v>
      </c>
      <c r="B267" t="s">
        <v>225</v>
      </c>
      <c r="C267">
        <v>20190118</v>
      </c>
      <c r="D267" s="3">
        <v>25930380</v>
      </c>
      <c r="E267" s="3">
        <v>352348</v>
      </c>
      <c r="F267">
        <v>73.59</v>
      </c>
      <c r="G267" s="3">
        <v>24275632</v>
      </c>
      <c r="H267">
        <v>93.62</v>
      </c>
      <c r="I267" s="3">
        <v>2290</v>
      </c>
      <c r="J267">
        <v>416</v>
      </c>
      <c r="K267">
        <v>269</v>
      </c>
      <c r="L267">
        <v>175</v>
      </c>
      <c r="M267">
        <v>1430</v>
      </c>
      <c r="N267">
        <v>91.51</v>
      </c>
      <c r="O267">
        <v>218.5</v>
      </c>
      <c r="P267" t="s">
        <v>225</v>
      </c>
    </row>
    <row r="269" spans="1:16" x14ac:dyDescent="0.25">
      <c r="A269" t="s">
        <v>225</v>
      </c>
      <c r="B269" t="s">
        <v>225</v>
      </c>
      <c r="C269">
        <v>20190111</v>
      </c>
      <c r="D269" s="3">
        <v>25930380</v>
      </c>
      <c r="E269" s="3">
        <v>353937</v>
      </c>
      <c r="F269">
        <v>73.260000000000005</v>
      </c>
      <c r="G269" s="3">
        <v>24267440</v>
      </c>
      <c r="H269">
        <v>93.59</v>
      </c>
      <c r="I269" s="3">
        <v>2295</v>
      </c>
      <c r="J269">
        <v>419</v>
      </c>
      <c r="K269">
        <v>264</v>
      </c>
      <c r="L269">
        <v>176</v>
      </c>
      <c r="M269">
        <v>1436</v>
      </c>
      <c r="N269">
        <v>91.48</v>
      </c>
      <c r="O269">
        <v>220.5</v>
      </c>
      <c r="P269" t="s">
        <v>225</v>
      </c>
    </row>
    <row r="271" spans="1:16" x14ac:dyDescent="0.25">
      <c r="A271" t="s">
        <v>225</v>
      </c>
      <c r="B271" t="s">
        <v>225</v>
      </c>
      <c r="C271">
        <v>20190104</v>
      </c>
      <c r="D271" s="3">
        <v>25930380</v>
      </c>
      <c r="E271" s="3">
        <v>353105</v>
      </c>
      <c r="F271">
        <v>73.44</v>
      </c>
      <c r="G271" s="3">
        <v>24271372</v>
      </c>
      <c r="H271">
        <v>93.6</v>
      </c>
      <c r="I271" s="3">
        <v>2311</v>
      </c>
      <c r="J271">
        <v>423</v>
      </c>
      <c r="K271">
        <v>270</v>
      </c>
      <c r="L271">
        <v>179</v>
      </c>
      <c r="M271">
        <v>1439</v>
      </c>
      <c r="N271">
        <v>91.46</v>
      </c>
      <c r="O271">
        <v>208</v>
      </c>
      <c r="P271" t="s">
        <v>225</v>
      </c>
    </row>
    <row r="273" spans="1:16" x14ac:dyDescent="0.25">
      <c r="A273" t="s">
        <v>225</v>
      </c>
      <c r="B273" t="s">
        <v>225</v>
      </c>
      <c r="C273">
        <v>20181228</v>
      </c>
      <c r="D273" s="3">
        <v>25930380</v>
      </c>
      <c r="E273" s="3">
        <v>350615</v>
      </c>
      <c r="F273">
        <v>73.959999999999994</v>
      </c>
      <c r="G273" s="3">
        <v>24279529</v>
      </c>
      <c r="H273">
        <v>93.63</v>
      </c>
      <c r="I273" s="3">
        <v>2312</v>
      </c>
      <c r="J273">
        <v>418</v>
      </c>
      <c r="K273">
        <v>270</v>
      </c>
      <c r="L273">
        <v>182</v>
      </c>
      <c r="M273">
        <v>1442</v>
      </c>
      <c r="N273">
        <v>91.49</v>
      </c>
      <c r="O273">
        <v>225.5</v>
      </c>
      <c r="P273" t="s">
        <v>225</v>
      </c>
    </row>
    <row r="275" spans="1:16" x14ac:dyDescent="0.25">
      <c r="A275" t="s">
        <v>225</v>
      </c>
      <c r="B275" t="s">
        <v>225</v>
      </c>
      <c r="C275">
        <v>20181222</v>
      </c>
      <c r="D275" s="3">
        <v>25930380</v>
      </c>
      <c r="E275" s="3">
        <v>350256</v>
      </c>
      <c r="F275">
        <v>74.03</v>
      </c>
      <c r="G275" s="3">
        <v>24280938</v>
      </c>
      <c r="H275">
        <v>93.64</v>
      </c>
      <c r="I275" s="3">
        <v>2316</v>
      </c>
      <c r="J275">
        <v>414</v>
      </c>
      <c r="K275">
        <v>272</v>
      </c>
      <c r="L275">
        <v>189</v>
      </c>
      <c r="M275">
        <v>1441</v>
      </c>
      <c r="N275">
        <v>91.47</v>
      </c>
      <c r="O275">
        <v>221.5</v>
      </c>
      <c r="P275" t="s">
        <v>225</v>
      </c>
    </row>
    <row r="277" spans="1:16" x14ac:dyDescent="0.25">
      <c r="A277" t="s">
        <v>225</v>
      </c>
      <c r="B277" t="s">
        <v>225</v>
      </c>
      <c r="C277">
        <v>20181214</v>
      </c>
      <c r="D277" s="3">
        <v>25930380</v>
      </c>
      <c r="E277" s="3">
        <v>348941</v>
      </c>
      <c r="F277">
        <v>74.31</v>
      </c>
      <c r="G277" s="3">
        <v>24280001</v>
      </c>
      <c r="H277">
        <v>93.64</v>
      </c>
      <c r="I277" s="3">
        <v>2312</v>
      </c>
      <c r="J277">
        <v>402</v>
      </c>
      <c r="K277">
        <v>277</v>
      </c>
      <c r="L277">
        <v>188</v>
      </c>
      <c r="M277">
        <v>1445</v>
      </c>
      <c r="N277">
        <v>91.48</v>
      </c>
      <c r="O277">
        <v>222.5</v>
      </c>
      <c r="P277" t="s">
        <v>225</v>
      </c>
    </row>
    <row r="279" spans="1:16" x14ac:dyDescent="0.25">
      <c r="A279" t="s">
        <v>225</v>
      </c>
      <c r="B279" t="s">
        <v>225</v>
      </c>
      <c r="C279">
        <v>20181207</v>
      </c>
      <c r="D279" s="3">
        <v>25930380</v>
      </c>
      <c r="E279" s="3">
        <v>349489</v>
      </c>
      <c r="F279">
        <v>74.2</v>
      </c>
      <c r="G279" s="3">
        <v>24276861</v>
      </c>
      <c r="H279">
        <v>93.62</v>
      </c>
      <c r="I279" s="3">
        <v>2313</v>
      </c>
      <c r="J279">
        <v>398</v>
      </c>
      <c r="K279">
        <v>281</v>
      </c>
      <c r="L279">
        <v>187</v>
      </c>
      <c r="M279">
        <v>1447</v>
      </c>
      <c r="N279">
        <v>91.47</v>
      </c>
      <c r="O279">
        <v>221</v>
      </c>
      <c r="P279" t="s">
        <v>225</v>
      </c>
    </row>
    <row r="281" spans="1:16" x14ac:dyDescent="0.25">
      <c r="A281" t="s">
        <v>225</v>
      </c>
      <c r="B281" t="s">
        <v>225</v>
      </c>
      <c r="C281">
        <v>20181130</v>
      </c>
      <c r="D281" s="3">
        <v>25930380</v>
      </c>
      <c r="E281" s="3">
        <v>348132</v>
      </c>
      <c r="F281">
        <v>74.48</v>
      </c>
      <c r="G281" s="3">
        <v>24278086</v>
      </c>
      <c r="H281">
        <v>93.63</v>
      </c>
      <c r="I281" s="3">
        <v>2318</v>
      </c>
      <c r="J281">
        <v>394</v>
      </c>
      <c r="K281">
        <v>285</v>
      </c>
      <c r="L281">
        <v>188</v>
      </c>
      <c r="M281">
        <v>1451</v>
      </c>
      <c r="N281">
        <v>91.48</v>
      </c>
      <c r="O281">
        <v>225.5</v>
      </c>
      <c r="P281" t="s">
        <v>225</v>
      </c>
    </row>
    <row r="283" spans="1:16" x14ac:dyDescent="0.25">
      <c r="A283" t="s">
        <v>225</v>
      </c>
      <c r="B283" t="s">
        <v>225</v>
      </c>
      <c r="C283">
        <v>20181123</v>
      </c>
      <c r="D283" s="3">
        <v>25930380</v>
      </c>
      <c r="E283" s="3">
        <v>351079</v>
      </c>
      <c r="F283">
        <v>73.86</v>
      </c>
      <c r="G283" s="3">
        <v>24267692</v>
      </c>
      <c r="H283">
        <v>93.59</v>
      </c>
      <c r="I283" s="3">
        <v>2316</v>
      </c>
      <c r="J283">
        <v>393</v>
      </c>
      <c r="K283">
        <v>284</v>
      </c>
      <c r="L283">
        <v>191</v>
      </c>
      <c r="M283">
        <v>1448</v>
      </c>
      <c r="N283">
        <v>91.43</v>
      </c>
      <c r="O283">
        <v>218.5</v>
      </c>
      <c r="P283" t="s">
        <v>225</v>
      </c>
    </row>
    <row r="285" spans="1:16" x14ac:dyDescent="0.25">
      <c r="A285" t="s">
        <v>225</v>
      </c>
      <c r="B285" t="s">
        <v>225</v>
      </c>
      <c r="C285">
        <v>20181116</v>
      </c>
      <c r="D285" s="3">
        <v>25930380</v>
      </c>
      <c r="E285" s="3">
        <v>344302</v>
      </c>
      <c r="F285">
        <v>75.31</v>
      </c>
      <c r="G285" s="3">
        <v>24291315</v>
      </c>
      <c r="H285">
        <v>93.68</v>
      </c>
      <c r="I285" s="3">
        <v>2325</v>
      </c>
      <c r="J285">
        <v>398</v>
      </c>
      <c r="K285">
        <v>288</v>
      </c>
      <c r="L285">
        <v>184</v>
      </c>
      <c r="M285">
        <v>1455</v>
      </c>
      <c r="N285">
        <v>91.53</v>
      </c>
      <c r="O285">
        <v>226</v>
      </c>
      <c r="P285" t="s">
        <v>225</v>
      </c>
    </row>
    <row r="287" spans="1:16" x14ac:dyDescent="0.25">
      <c r="A287" t="s">
        <v>225</v>
      </c>
      <c r="B287" t="s">
        <v>225</v>
      </c>
      <c r="C287">
        <v>20181109</v>
      </c>
      <c r="D287" s="3">
        <v>25930380</v>
      </c>
      <c r="E287" s="3">
        <v>343272</v>
      </c>
      <c r="F287">
        <v>75.540000000000006</v>
      </c>
      <c r="G287" s="3">
        <v>24295078</v>
      </c>
      <c r="H287">
        <v>93.69</v>
      </c>
      <c r="I287" s="3">
        <v>2327</v>
      </c>
      <c r="J287">
        <v>404</v>
      </c>
      <c r="K287">
        <v>285</v>
      </c>
      <c r="L287">
        <v>188</v>
      </c>
      <c r="M287">
        <v>1450</v>
      </c>
      <c r="N287">
        <v>91.53</v>
      </c>
      <c r="O287">
        <v>231</v>
      </c>
      <c r="P287" t="s">
        <v>225</v>
      </c>
    </row>
    <row r="289" spans="1:16" x14ac:dyDescent="0.25">
      <c r="A289" t="s">
        <v>225</v>
      </c>
      <c r="B289" t="s">
        <v>225</v>
      </c>
      <c r="C289">
        <v>20181102</v>
      </c>
      <c r="D289" s="3">
        <v>25930380</v>
      </c>
      <c r="E289" s="3">
        <v>345189</v>
      </c>
      <c r="F289">
        <v>75.12</v>
      </c>
      <c r="G289" s="3">
        <v>24290952</v>
      </c>
      <c r="H289">
        <v>93.68</v>
      </c>
      <c r="I289" s="3">
        <v>2326</v>
      </c>
      <c r="J289">
        <v>410</v>
      </c>
      <c r="K289">
        <v>285</v>
      </c>
      <c r="L289">
        <v>188</v>
      </c>
      <c r="M289">
        <v>1443</v>
      </c>
      <c r="N289">
        <v>91.5</v>
      </c>
      <c r="O289">
        <v>236.5</v>
      </c>
      <c r="P289" t="s">
        <v>225</v>
      </c>
    </row>
    <row r="291" spans="1:16" x14ac:dyDescent="0.25">
      <c r="A291" t="s">
        <v>225</v>
      </c>
      <c r="B291" t="s">
        <v>225</v>
      </c>
      <c r="C291">
        <v>20181026</v>
      </c>
      <c r="D291" s="3">
        <v>25930380</v>
      </c>
      <c r="E291" s="3">
        <v>347802</v>
      </c>
      <c r="F291">
        <v>74.56</v>
      </c>
      <c r="G291" s="3">
        <v>24276795</v>
      </c>
      <c r="H291">
        <v>93.62</v>
      </c>
      <c r="I291" s="3">
        <v>2321</v>
      </c>
      <c r="J291">
        <v>400</v>
      </c>
      <c r="K291">
        <v>278</v>
      </c>
      <c r="L291">
        <v>199</v>
      </c>
      <c r="M291">
        <v>1444</v>
      </c>
      <c r="N291">
        <v>91.44</v>
      </c>
      <c r="O291">
        <v>221</v>
      </c>
      <c r="P291" t="s">
        <v>225</v>
      </c>
    </row>
    <row r="293" spans="1:16" x14ac:dyDescent="0.25">
      <c r="A293" t="s">
        <v>225</v>
      </c>
      <c r="B293" t="s">
        <v>225</v>
      </c>
      <c r="C293">
        <v>20181019</v>
      </c>
      <c r="D293" s="3">
        <v>25930380</v>
      </c>
      <c r="E293" s="3">
        <v>341307</v>
      </c>
      <c r="F293">
        <v>75.97</v>
      </c>
      <c r="G293" s="3">
        <v>24299566</v>
      </c>
      <c r="H293">
        <v>93.71</v>
      </c>
      <c r="I293" s="3">
        <v>2323</v>
      </c>
      <c r="J293">
        <v>396</v>
      </c>
      <c r="K293">
        <v>282</v>
      </c>
      <c r="L293">
        <v>195</v>
      </c>
      <c r="M293">
        <v>1450</v>
      </c>
      <c r="N293">
        <v>91.54</v>
      </c>
      <c r="O293">
        <v>236</v>
      </c>
      <c r="P293" t="s">
        <v>225</v>
      </c>
    </row>
    <row r="295" spans="1:16" x14ac:dyDescent="0.25">
      <c r="A295" t="s">
        <v>225</v>
      </c>
      <c r="B295" t="s">
        <v>225</v>
      </c>
      <c r="C295">
        <v>20181012</v>
      </c>
      <c r="D295" s="3">
        <v>25930380</v>
      </c>
      <c r="E295" s="3">
        <v>339262</v>
      </c>
      <c r="F295">
        <v>76.430000000000007</v>
      </c>
      <c r="G295" s="3">
        <v>24309634</v>
      </c>
      <c r="H295">
        <v>93.75</v>
      </c>
      <c r="I295" s="3">
        <v>2327</v>
      </c>
      <c r="J295">
        <v>406</v>
      </c>
      <c r="K295">
        <v>287</v>
      </c>
      <c r="L295">
        <v>187</v>
      </c>
      <c r="M295">
        <v>1447</v>
      </c>
      <c r="N295">
        <v>91.57</v>
      </c>
      <c r="O295">
        <v>237</v>
      </c>
      <c r="P295" t="s">
        <v>225</v>
      </c>
    </row>
    <row r="297" spans="1:16" x14ac:dyDescent="0.25">
      <c r="A297" t="s">
        <v>225</v>
      </c>
      <c r="B297" t="s">
        <v>225</v>
      </c>
      <c r="C297">
        <v>20181005</v>
      </c>
      <c r="D297" s="3">
        <v>25930380</v>
      </c>
      <c r="E297" s="3">
        <v>330762</v>
      </c>
      <c r="F297">
        <v>78.400000000000006</v>
      </c>
      <c r="G297" s="3">
        <v>24344634</v>
      </c>
      <c r="H297">
        <v>93.88</v>
      </c>
      <c r="I297" s="3">
        <v>2329</v>
      </c>
      <c r="J297">
        <v>408</v>
      </c>
      <c r="K297">
        <v>279</v>
      </c>
      <c r="L297">
        <v>194</v>
      </c>
      <c r="M297">
        <v>1448</v>
      </c>
      <c r="N297">
        <v>91.7</v>
      </c>
      <c r="O297">
        <v>250</v>
      </c>
      <c r="P297" t="s">
        <v>225</v>
      </c>
    </row>
    <row r="299" spans="1:16" x14ac:dyDescent="0.25">
      <c r="A299" t="s">
        <v>225</v>
      </c>
      <c r="B299" t="s">
        <v>225</v>
      </c>
      <c r="C299">
        <v>20180928</v>
      </c>
      <c r="D299" s="3">
        <v>25930380</v>
      </c>
      <c r="E299" s="3">
        <v>326263</v>
      </c>
      <c r="F299">
        <v>79.48</v>
      </c>
      <c r="G299" s="3">
        <v>24360729</v>
      </c>
      <c r="H299">
        <v>93.95</v>
      </c>
      <c r="I299" s="3">
        <v>2322</v>
      </c>
      <c r="J299">
        <v>405</v>
      </c>
      <c r="K299">
        <v>267</v>
      </c>
      <c r="L299">
        <v>204</v>
      </c>
      <c r="M299">
        <v>1446</v>
      </c>
      <c r="N299">
        <v>91.76</v>
      </c>
      <c r="O299">
        <v>262.5</v>
      </c>
      <c r="P299" t="s">
        <v>225</v>
      </c>
    </row>
    <row r="301" spans="1:16" x14ac:dyDescent="0.25">
      <c r="A301" t="s">
        <v>225</v>
      </c>
      <c r="B301" t="s">
        <v>225</v>
      </c>
      <c r="C301">
        <v>20180921</v>
      </c>
      <c r="D301" s="3">
        <v>25930380</v>
      </c>
      <c r="E301" s="3">
        <v>329214</v>
      </c>
      <c r="F301">
        <v>78.760000000000005</v>
      </c>
      <c r="G301" s="3">
        <v>24349135</v>
      </c>
      <c r="H301">
        <v>93.9</v>
      </c>
      <c r="I301" s="3">
        <v>2321</v>
      </c>
      <c r="J301">
        <v>396</v>
      </c>
      <c r="K301">
        <v>277</v>
      </c>
      <c r="L301">
        <v>202</v>
      </c>
      <c r="M301">
        <v>1446</v>
      </c>
      <c r="N301">
        <v>91.71</v>
      </c>
      <c r="O301">
        <v>261.5</v>
      </c>
      <c r="P301" t="s">
        <v>225</v>
      </c>
    </row>
    <row r="303" spans="1:16" x14ac:dyDescent="0.25">
      <c r="A303" t="s">
        <v>225</v>
      </c>
      <c r="B303" t="s">
        <v>225</v>
      </c>
      <c r="C303">
        <v>20180914</v>
      </c>
      <c r="D303" s="3">
        <v>25930380</v>
      </c>
      <c r="E303" s="3">
        <v>328327</v>
      </c>
      <c r="F303">
        <v>78.98</v>
      </c>
      <c r="G303" s="3">
        <v>24353895</v>
      </c>
      <c r="H303">
        <v>93.92</v>
      </c>
      <c r="I303" s="3">
        <v>2314</v>
      </c>
      <c r="J303">
        <v>402</v>
      </c>
      <c r="K303">
        <v>266</v>
      </c>
      <c r="L303">
        <v>200</v>
      </c>
      <c r="M303">
        <v>1446</v>
      </c>
      <c r="N303">
        <v>91.76</v>
      </c>
      <c r="O303">
        <v>261</v>
      </c>
      <c r="P303" t="s">
        <v>225</v>
      </c>
    </row>
    <row r="305" spans="1:16" x14ac:dyDescent="0.25">
      <c r="A305" t="s">
        <v>225</v>
      </c>
      <c r="B305" t="s">
        <v>225</v>
      </c>
      <c r="C305">
        <v>20180907</v>
      </c>
      <c r="D305" s="3">
        <v>25930380</v>
      </c>
      <c r="E305" s="3">
        <v>327421</v>
      </c>
      <c r="F305">
        <v>79.2</v>
      </c>
      <c r="G305" s="3">
        <v>24358770</v>
      </c>
      <c r="H305">
        <v>93.94</v>
      </c>
      <c r="I305" s="3">
        <v>2316</v>
      </c>
      <c r="J305">
        <v>398</v>
      </c>
      <c r="K305">
        <v>263</v>
      </c>
      <c r="L305">
        <v>199</v>
      </c>
      <c r="M305">
        <v>1456</v>
      </c>
      <c r="N305">
        <v>91.79</v>
      </c>
      <c r="O305">
        <v>264</v>
      </c>
      <c r="P305" t="s">
        <v>225</v>
      </c>
    </row>
    <row r="307" spans="1:16" x14ac:dyDescent="0.25">
      <c r="A307" t="s">
        <v>225</v>
      </c>
      <c r="B307" t="s">
        <v>225</v>
      </c>
      <c r="C307">
        <v>20180831</v>
      </c>
      <c r="D307" s="3">
        <v>25930380</v>
      </c>
      <c r="E307" s="3">
        <v>326991</v>
      </c>
      <c r="F307">
        <v>79.3</v>
      </c>
      <c r="G307" s="3">
        <v>24364555</v>
      </c>
      <c r="H307">
        <v>93.96</v>
      </c>
      <c r="I307" s="3">
        <v>2321</v>
      </c>
      <c r="J307">
        <v>405</v>
      </c>
      <c r="K307">
        <v>263</v>
      </c>
      <c r="L307">
        <v>196</v>
      </c>
      <c r="M307">
        <v>1457</v>
      </c>
      <c r="N307">
        <v>91.81</v>
      </c>
      <c r="O307">
        <v>256</v>
      </c>
      <c r="P307" t="s">
        <v>225</v>
      </c>
    </row>
    <row r="309" spans="1:16" x14ac:dyDescent="0.25">
      <c r="A309" t="s">
        <v>225</v>
      </c>
      <c r="B309" t="s">
        <v>225</v>
      </c>
      <c r="C309">
        <v>20180824</v>
      </c>
      <c r="D309" s="3">
        <v>25930380</v>
      </c>
      <c r="E309" s="3">
        <v>333304</v>
      </c>
      <c r="F309">
        <v>77.8</v>
      </c>
      <c r="G309" s="3">
        <v>24339546</v>
      </c>
      <c r="H309">
        <v>93.86</v>
      </c>
      <c r="I309" s="3">
        <v>2307</v>
      </c>
      <c r="J309">
        <v>407</v>
      </c>
      <c r="K309">
        <v>267</v>
      </c>
      <c r="L309">
        <v>188</v>
      </c>
      <c r="M309">
        <v>1445</v>
      </c>
      <c r="N309">
        <v>91.73</v>
      </c>
      <c r="O309">
        <v>243.5</v>
      </c>
      <c r="P309" t="s">
        <v>225</v>
      </c>
    </row>
    <row r="311" spans="1:16" x14ac:dyDescent="0.25">
      <c r="A311" t="s">
        <v>225</v>
      </c>
      <c r="B311" t="s">
        <v>225</v>
      </c>
      <c r="C311">
        <v>20180817</v>
      </c>
      <c r="D311" s="3">
        <v>25930380</v>
      </c>
      <c r="E311" s="3">
        <v>333568</v>
      </c>
      <c r="F311">
        <v>77.739999999999995</v>
      </c>
      <c r="G311" s="3">
        <v>24341511</v>
      </c>
      <c r="H311">
        <v>93.87</v>
      </c>
      <c r="I311" s="3">
        <v>2307</v>
      </c>
      <c r="J311">
        <v>410</v>
      </c>
      <c r="K311">
        <v>270</v>
      </c>
      <c r="L311">
        <v>185</v>
      </c>
      <c r="M311">
        <v>1442</v>
      </c>
      <c r="N311">
        <v>91.73</v>
      </c>
      <c r="O311">
        <v>239.5</v>
      </c>
      <c r="P311" t="s">
        <v>225</v>
      </c>
    </row>
    <row r="313" spans="1:16" x14ac:dyDescent="0.25">
      <c r="A313" t="s">
        <v>225</v>
      </c>
      <c r="B313" t="s">
        <v>225</v>
      </c>
      <c r="C313">
        <v>20180810</v>
      </c>
      <c r="D313" s="3">
        <v>25930380</v>
      </c>
      <c r="E313" s="3">
        <v>332408</v>
      </c>
      <c r="F313">
        <v>78.010000000000005</v>
      </c>
      <c r="G313" s="3">
        <v>24347478</v>
      </c>
      <c r="H313">
        <v>93.9</v>
      </c>
      <c r="I313" s="3">
        <v>2301</v>
      </c>
      <c r="J313">
        <v>408</v>
      </c>
      <c r="K313">
        <v>266</v>
      </c>
      <c r="L313">
        <v>188</v>
      </c>
      <c r="M313">
        <v>1439</v>
      </c>
      <c r="N313">
        <v>91.76</v>
      </c>
      <c r="O313">
        <v>245</v>
      </c>
      <c r="P313" t="s">
        <v>225</v>
      </c>
    </row>
    <row r="315" spans="1:16" x14ac:dyDescent="0.25">
      <c r="A315" t="s">
        <v>225</v>
      </c>
      <c r="B315" t="s">
        <v>225</v>
      </c>
      <c r="C315">
        <v>20180803</v>
      </c>
      <c r="D315" s="3">
        <v>25930380</v>
      </c>
      <c r="E315" s="3">
        <v>334685</v>
      </c>
      <c r="F315">
        <v>77.48</v>
      </c>
      <c r="G315" s="3">
        <v>24340268</v>
      </c>
      <c r="H315">
        <v>93.87</v>
      </c>
      <c r="I315" s="3">
        <v>2300</v>
      </c>
      <c r="J315">
        <v>405</v>
      </c>
      <c r="K315">
        <v>273</v>
      </c>
      <c r="L315">
        <v>181</v>
      </c>
      <c r="M315">
        <v>1441</v>
      </c>
      <c r="N315">
        <v>91.75</v>
      </c>
      <c r="O315">
        <v>247</v>
      </c>
      <c r="P315" t="s">
        <v>225</v>
      </c>
    </row>
    <row r="317" spans="1:16" x14ac:dyDescent="0.25">
      <c r="A317" t="s">
        <v>225</v>
      </c>
      <c r="B317" t="s">
        <v>225</v>
      </c>
      <c r="C317">
        <v>20180727</v>
      </c>
      <c r="D317" s="3">
        <v>25930380</v>
      </c>
      <c r="E317" s="3">
        <v>340136</v>
      </c>
      <c r="F317">
        <v>76.239999999999995</v>
      </c>
      <c r="G317" s="3">
        <v>24321176</v>
      </c>
      <c r="H317">
        <v>93.79</v>
      </c>
      <c r="I317" s="3">
        <v>2304</v>
      </c>
      <c r="J317">
        <v>404</v>
      </c>
      <c r="K317">
        <v>276</v>
      </c>
      <c r="L317">
        <v>185</v>
      </c>
      <c r="M317">
        <v>1439</v>
      </c>
      <c r="N317">
        <v>91.66</v>
      </c>
      <c r="O317">
        <v>244.5</v>
      </c>
      <c r="P317" t="s">
        <v>225</v>
      </c>
    </row>
    <row r="319" spans="1:16" x14ac:dyDescent="0.25">
      <c r="A319" t="s">
        <v>225</v>
      </c>
      <c r="B319" t="s">
        <v>225</v>
      </c>
      <c r="C319">
        <v>20180720</v>
      </c>
      <c r="D319" s="3">
        <v>25930380</v>
      </c>
      <c r="E319" s="3">
        <v>353848</v>
      </c>
      <c r="F319">
        <v>73.28</v>
      </c>
      <c r="G319" s="3">
        <v>24269995</v>
      </c>
      <c r="H319">
        <v>93.6</v>
      </c>
      <c r="I319" s="3">
        <v>2298</v>
      </c>
      <c r="J319">
        <v>410</v>
      </c>
      <c r="K319">
        <v>270</v>
      </c>
      <c r="L319">
        <v>181</v>
      </c>
      <c r="M319">
        <v>1437</v>
      </c>
      <c r="N319">
        <v>91.48</v>
      </c>
      <c r="O319">
        <v>237.5</v>
      </c>
      <c r="P319" t="s">
        <v>225</v>
      </c>
    </row>
    <row r="321" spans="1:16" x14ac:dyDescent="0.25">
      <c r="A321" t="s">
        <v>225</v>
      </c>
      <c r="B321" t="s">
        <v>225</v>
      </c>
      <c r="C321">
        <v>20180713</v>
      </c>
      <c r="D321" s="3">
        <v>25930380</v>
      </c>
      <c r="E321" s="3">
        <v>357880</v>
      </c>
      <c r="F321">
        <v>72.459999999999994</v>
      </c>
      <c r="G321" s="3">
        <v>24256869</v>
      </c>
      <c r="H321">
        <v>93.55</v>
      </c>
      <c r="I321" s="3">
        <v>2289</v>
      </c>
      <c r="J321">
        <v>414</v>
      </c>
      <c r="K321">
        <v>268</v>
      </c>
      <c r="L321">
        <v>182</v>
      </c>
      <c r="M321">
        <v>1425</v>
      </c>
      <c r="N321">
        <v>91.42</v>
      </c>
      <c r="O321">
        <v>224.5</v>
      </c>
      <c r="P321" t="s">
        <v>225</v>
      </c>
    </row>
    <row r="323" spans="1:16" x14ac:dyDescent="0.25">
      <c r="A323" t="s">
        <v>225</v>
      </c>
      <c r="B323" t="s">
        <v>225</v>
      </c>
      <c r="C323">
        <v>20180706</v>
      </c>
      <c r="D323" s="3">
        <v>25930380</v>
      </c>
      <c r="E323" s="3">
        <v>361500</v>
      </c>
      <c r="F323">
        <v>71.73</v>
      </c>
      <c r="G323" s="3">
        <v>24243151</v>
      </c>
      <c r="H323">
        <v>93.49</v>
      </c>
      <c r="I323" s="3">
        <v>2288</v>
      </c>
      <c r="J323">
        <v>411</v>
      </c>
      <c r="K323">
        <v>264</v>
      </c>
      <c r="L323">
        <v>186</v>
      </c>
      <c r="M323">
        <v>1427</v>
      </c>
      <c r="N323">
        <v>91.37</v>
      </c>
      <c r="O323">
        <v>217</v>
      </c>
      <c r="P323" t="s">
        <v>225</v>
      </c>
    </row>
    <row r="325" spans="1:16" x14ac:dyDescent="0.25">
      <c r="A325" t="s">
        <v>225</v>
      </c>
      <c r="B325" t="s">
        <v>225</v>
      </c>
      <c r="C325">
        <v>20180629</v>
      </c>
      <c r="D325" s="3">
        <v>25930380</v>
      </c>
      <c r="E325" s="3">
        <v>361783</v>
      </c>
      <c r="F325">
        <v>71.67</v>
      </c>
      <c r="G325" s="3">
        <v>24241298</v>
      </c>
      <c r="H325">
        <v>93.49</v>
      </c>
      <c r="I325" s="3">
        <v>2297</v>
      </c>
      <c r="J325">
        <v>418</v>
      </c>
      <c r="K325">
        <v>267</v>
      </c>
      <c r="L325">
        <v>187</v>
      </c>
      <c r="M325">
        <v>1425</v>
      </c>
      <c r="N325">
        <v>91.34</v>
      </c>
      <c r="O325">
        <v>216.5</v>
      </c>
      <c r="P325" t="s">
        <v>225</v>
      </c>
    </row>
    <row r="327" spans="1:16" x14ac:dyDescent="0.25">
      <c r="A327" t="s">
        <v>225</v>
      </c>
      <c r="B327" t="s">
        <v>225</v>
      </c>
      <c r="C327">
        <v>20180622</v>
      </c>
      <c r="D327" s="3">
        <v>25930380</v>
      </c>
      <c r="E327" s="3">
        <v>353785</v>
      </c>
      <c r="F327">
        <v>73.290000000000006</v>
      </c>
      <c r="G327" s="3">
        <v>24270945</v>
      </c>
      <c r="H327">
        <v>93.6</v>
      </c>
      <c r="I327" s="3">
        <v>2302</v>
      </c>
      <c r="J327">
        <v>432</v>
      </c>
      <c r="K327">
        <v>258</v>
      </c>
      <c r="L327">
        <v>190</v>
      </c>
      <c r="M327">
        <v>1422</v>
      </c>
      <c r="N327">
        <v>91.43</v>
      </c>
      <c r="O327">
        <v>227.5</v>
      </c>
      <c r="P327" t="s">
        <v>225</v>
      </c>
    </row>
    <row r="329" spans="1:16" x14ac:dyDescent="0.25">
      <c r="A329" t="s">
        <v>225</v>
      </c>
      <c r="B329" t="s">
        <v>225</v>
      </c>
      <c r="C329">
        <v>20180615</v>
      </c>
      <c r="D329" s="3">
        <v>25930380</v>
      </c>
      <c r="E329" s="3">
        <v>350021</v>
      </c>
      <c r="F329">
        <v>74.08</v>
      </c>
      <c r="G329" s="3">
        <v>24283424</v>
      </c>
      <c r="H329">
        <v>93.65</v>
      </c>
      <c r="I329" s="3">
        <v>2306</v>
      </c>
      <c r="J329">
        <v>428</v>
      </c>
      <c r="K329">
        <v>266</v>
      </c>
      <c r="L329">
        <v>183</v>
      </c>
      <c r="M329">
        <v>1429</v>
      </c>
      <c r="N329">
        <v>91.5</v>
      </c>
      <c r="O329">
        <v>231</v>
      </c>
      <c r="P329" t="s">
        <v>225</v>
      </c>
    </row>
    <row r="331" spans="1:16" x14ac:dyDescent="0.25">
      <c r="A331" t="s">
        <v>225</v>
      </c>
      <c r="B331" t="s">
        <v>225</v>
      </c>
      <c r="C331">
        <v>20180608</v>
      </c>
      <c r="D331" s="3">
        <v>25930380</v>
      </c>
      <c r="E331" s="3">
        <v>349068</v>
      </c>
      <c r="F331">
        <v>74.28</v>
      </c>
      <c r="G331" s="3">
        <v>24284102</v>
      </c>
      <c r="H331">
        <v>93.65</v>
      </c>
      <c r="I331" s="3">
        <v>2304</v>
      </c>
      <c r="J331">
        <v>429</v>
      </c>
      <c r="K331">
        <v>262</v>
      </c>
      <c r="L331">
        <v>182</v>
      </c>
      <c r="M331">
        <v>1431</v>
      </c>
      <c r="N331">
        <v>91.51</v>
      </c>
      <c r="O331">
        <v>227</v>
      </c>
      <c r="P331" t="s">
        <v>225</v>
      </c>
    </row>
    <row r="333" spans="1:16" x14ac:dyDescent="0.25">
      <c r="A333" t="s">
        <v>225</v>
      </c>
      <c r="B333" t="s">
        <v>225</v>
      </c>
      <c r="C333">
        <v>20180601</v>
      </c>
      <c r="D333" s="3">
        <v>25930380</v>
      </c>
      <c r="E333" s="3">
        <v>350571</v>
      </c>
      <c r="F333">
        <v>73.97</v>
      </c>
      <c r="G333" s="3">
        <v>24284731</v>
      </c>
      <c r="H333">
        <v>93.65</v>
      </c>
      <c r="I333" s="3">
        <v>2315</v>
      </c>
      <c r="J333">
        <v>438</v>
      </c>
      <c r="K333">
        <v>257</v>
      </c>
      <c r="L333">
        <v>189</v>
      </c>
      <c r="M333">
        <v>1431</v>
      </c>
      <c r="N333">
        <v>91.49</v>
      </c>
      <c r="O333">
        <v>224</v>
      </c>
      <c r="P333" t="s">
        <v>225</v>
      </c>
    </row>
    <row r="335" spans="1:16" x14ac:dyDescent="0.25">
      <c r="A335" t="s">
        <v>225</v>
      </c>
      <c r="B335" t="s">
        <v>225</v>
      </c>
      <c r="C335">
        <v>20180525</v>
      </c>
      <c r="D335" s="3">
        <v>25930380</v>
      </c>
      <c r="E335" s="3">
        <v>346055</v>
      </c>
      <c r="F335">
        <v>74.930000000000007</v>
      </c>
      <c r="G335" s="3">
        <v>24300704</v>
      </c>
      <c r="H335">
        <v>93.72</v>
      </c>
      <c r="I335" s="3">
        <v>2313</v>
      </c>
      <c r="J335">
        <v>435</v>
      </c>
      <c r="K335">
        <v>260</v>
      </c>
      <c r="L335">
        <v>188</v>
      </c>
      <c r="M335">
        <v>1430</v>
      </c>
      <c r="N335">
        <v>91.55</v>
      </c>
      <c r="O335">
        <v>228.5</v>
      </c>
      <c r="P335" t="s">
        <v>225</v>
      </c>
    </row>
    <row r="337" spans="1:16" x14ac:dyDescent="0.25">
      <c r="A337" t="s">
        <v>225</v>
      </c>
      <c r="B337" t="s">
        <v>225</v>
      </c>
      <c r="C337">
        <v>20180518</v>
      </c>
      <c r="D337" s="3">
        <v>25930380</v>
      </c>
      <c r="E337" s="3">
        <v>345717</v>
      </c>
      <c r="F337">
        <v>75</v>
      </c>
      <c r="G337" s="3">
        <v>24301004</v>
      </c>
      <c r="H337">
        <v>93.72</v>
      </c>
      <c r="I337" s="3">
        <v>2318</v>
      </c>
      <c r="J337">
        <v>439</v>
      </c>
      <c r="K337">
        <v>258</v>
      </c>
      <c r="L337">
        <v>184</v>
      </c>
      <c r="M337">
        <v>1437</v>
      </c>
      <c r="N337">
        <v>91.56</v>
      </c>
      <c r="O337">
        <v>223.5</v>
      </c>
      <c r="P337" t="s">
        <v>225</v>
      </c>
    </row>
    <row r="339" spans="1:16" x14ac:dyDescent="0.25">
      <c r="A339" t="s">
        <v>225</v>
      </c>
      <c r="B339" t="s">
        <v>225</v>
      </c>
      <c r="C339">
        <v>20180511</v>
      </c>
      <c r="D339" s="3">
        <v>25930380</v>
      </c>
      <c r="E339" s="3">
        <v>347880</v>
      </c>
      <c r="F339">
        <v>74.540000000000006</v>
      </c>
      <c r="G339" s="3">
        <v>24295022</v>
      </c>
      <c r="H339">
        <v>93.69</v>
      </c>
      <c r="I339" s="3">
        <v>2320</v>
      </c>
      <c r="J339">
        <v>437</v>
      </c>
      <c r="K339">
        <v>261</v>
      </c>
      <c r="L339">
        <v>183</v>
      </c>
      <c r="M339">
        <v>1439</v>
      </c>
      <c r="N339">
        <v>91.54</v>
      </c>
      <c r="O339">
        <v>233</v>
      </c>
      <c r="P339" t="s">
        <v>225</v>
      </c>
    </row>
    <row r="341" spans="1:16" x14ac:dyDescent="0.25">
      <c r="A341" t="s">
        <v>225</v>
      </c>
      <c r="B341" t="s">
        <v>225</v>
      </c>
      <c r="C341">
        <v>20180504</v>
      </c>
      <c r="D341" s="3">
        <v>25930380</v>
      </c>
      <c r="E341" s="3">
        <v>349545</v>
      </c>
      <c r="F341">
        <v>74.180000000000007</v>
      </c>
      <c r="G341" s="3">
        <v>24293167</v>
      </c>
      <c r="H341">
        <v>93.69</v>
      </c>
      <c r="I341" s="3">
        <v>2324</v>
      </c>
      <c r="J341">
        <v>452</v>
      </c>
      <c r="K341">
        <v>260</v>
      </c>
      <c r="L341">
        <v>177</v>
      </c>
      <c r="M341">
        <v>1435</v>
      </c>
      <c r="N341">
        <v>91.53</v>
      </c>
      <c r="O341">
        <v>223</v>
      </c>
      <c r="P341" t="s">
        <v>225</v>
      </c>
    </row>
    <row r="343" spans="1:16" x14ac:dyDescent="0.25">
      <c r="A343" t="s">
        <v>225</v>
      </c>
      <c r="B343" t="s">
        <v>225</v>
      </c>
      <c r="C343">
        <v>20180427</v>
      </c>
      <c r="D343" s="3">
        <v>25930380</v>
      </c>
      <c r="E343" s="3">
        <v>347819</v>
      </c>
      <c r="F343">
        <v>74.55</v>
      </c>
      <c r="G343" s="3">
        <v>24300199</v>
      </c>
      <c r="H343">
        <v>93.71</v>
      </c>
      <c r="I343" s="3">
        <v>2319</v>
      </c>
      <c r="J343">
        <v>446</v>
      </c>
      <c r="K343">
        <v>256</v>
      </c>
      <c r="L343">
        <v>179</v>
      </c>
      <c r="M343">
        <v>1438</v>
      </c>
      <c r="N343">
        <v>91.57</v>
      </c>
      <c r="O343">
        <v>223.5</v>
      </c>
      <c r="P343" t="s">
        <v>225</v>
      </c>
    </row>
    <row r="345" spans="1:16" x14ac:dyDescent="0.25">
      <c r="A345" t="s">
        <v>225</v>
      </c>
      <c r="B345" t="s">
        <v>225</v>
      </c>
      <c r="C345">
        <v>20180420</v>
      </c>
      <c r="D345" s="3">
        <v>25930380</v>
      </c>
      <c r="E345" s="3">
        <v>331626</v>
      </c>
      <c r="F345">
        <v>78.19</v>
      </c>
      <c r="G345" s="3">
        <v>24356917</v>
      </c>
      <c r="H345">
        <v>93.93</v>
      </c>
      <c r="I345" s="3">
        <v>2322</v>
      </c>
      <c r="J345">
        <v>439</v>
      </c>
      <c r="K345">
        <v>255</v>
      </c>
      <c r="L345">
        <v>183</v>
      </c>
      <c r="M345">
        <v>1445</v>
      </c>
      <c r="N345">
        <v>91.79</v>
      </c>
      <c r="O345">
        <v>229</v>
      </c>
      <c r="P345" t="s">
        <v>225</v>
      </c>
    </row>
    <row r="347" spans="1:16" x14ac:dyDescent="0.25">
      <c r="A347" t="s">
        <v>225</v>
      </c>
      <c r="B347" t="s">
        <v>239</v>
      </c>
      <c r="C347" t="s">
        <v>225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B1C29-BE0A-4F27-95CD-9AB00C288D32}">
  <sheetPr codeName="工作表10"/>
  <dimension ref="A1:J1741"/>
  <sheetViews>
    <sheetView topLeftCell="A1655" workbookViewId="0">
      <selection activeCell="K9" sqref="K9"/>
    </sheetView>
  </sheetViews>
  <sheetFormatPr defaultRowHeight="16.5" x14ac:dyDescent="0.25"/>
  <sheetData>
    <row r="1" spans="1:10" x14ac:dyDescent="0.25">
      <c r="A1" t="s">
        <v>240</v>
      </c>
      <c r="B1" t="s">
        <v>241</v>
      </c>
      <c r="C1" t="s">
        <v>242</v>
      </c>
      <c r="D1" t="s">
        <v>243</v>
      </c>
      <c r="E1" t="s">
        <v>244</v>
      </c>
      <c r="F1" t="s">
        <v>245</v>
      </c>
      <c r="G1" t="s">
        <v>246</v>
      </c>
      <c r="H1" t="s">
        <v>247</v>
      </c>
      <c r="I1" t="s">
        <v>248</v>
      </c>
      <c r="J1" t="s">
        <v>249</v>
      </c>
    </row>
    <row r="2" spans="1:10" x14ac:dyDescent="0.25">
      <c r="A2">
        <v>1</v>
      </c>
      <c r="B2" t="s">
        <v>250</v>
      </c>
      <c r="C2">
        <v>1101</v>
      </c>
      <c r="D2" t="s">
        <v>251</v>
      </c>
      <c r="E2" t="s">
        <v>252</v>
      </c>
      <c r="F2" t="s">
        <v>220</v>
      </c>
      <c r="G2" t="s">
        <v>253</v>
      </c>
      <c r="H2" s="4">
        <v>22686</v>
      </c>
      <c r="I2" t="s">
        <v>254</v>
      </c>
    </row>
    <row r="3" spans="1:10" x14ac:dyDescent="0.25">
      <c r="A3">
        <v>2</v>
      </c>
      <c r="B3" t="s">
        <v>255</v>
      </c>
      <c r="C3">
        <v>1102</v>
      </c>
      <c r="D3" t="s">
        <v>256</v>
      </c>
      <c r="E3" t="s">
        <v>252</v>
      </c>
      <c r="F3" t="s">
        <v>220</v>
      </c>
      <c r="G3" t="s">
        <v>253</v>
      </c>
      <c r="H3" s="4">
        <v>22805</v>
      </c>
      <c r="I3" t="s">
        <v>254</v>
      </c>
    </row>
    <row r="4" spans="1:10" x14ac:dyDescent="0.25">
      <c r="A4">
        <v>3</v>
      </c>
      <c r="B4" t="s">
        <v>257</v>
      </c>
      <c r="C4">
        <v>1103</v>
      </c>
      <c r="D4" t="s">
        <v>258</v>
      </c>
      <c r="E4" t="s">
        <v>252</v>
      </c>
      <c r="F4" t="s">
        <v>220</v>
      </c>
      <c r="G4" t="s">
        <v>253</v>
      </c>
      <c r="H4" s="4">
        <v>25521</v>
      </c>
      <c r="I4" t="s">
        <v>254</v>
      </c>
    </row>
    <row r="5" spans="1:10" x14ac:dyDescent="0.25">
      <c r="A5">
        <v>4</v>
      </c>
      <c r="B5" t="s">
        <v>259</v>
      </c>
      <c r="C5">
        <v>1104</v>
      </c>
      <c r="D5" t="s">
        <v>260</v>
      </c>
      <c r="E5" t="s">
        <v>252</v>
      </c>
      <c r="F5" t="s">
        <v>220</v>
      </c>
      <c r="G5" t="s">
        <v>253</v>
      </c>
      <c r="H5" s="4">
        <v>25965</v>
      </c>
      <c r="I5" t="s">
        <v>254</v>
      </c>
    </row>
    <row r="6" spans="1:10" x14ac:dyDescent="0.25">
      <c r="A6">
        <v>5</v>
      </c>
      <c r="B6" t="s">
        <v>261</v>
      </c>
      <c r="C6">
        <v>1108</v>
      </c>
      <c r="D6" t="s">
        <v>262</v>
      </c>
      <c r="E6" t="s">
        <v>252</v>
      </c>
      <c r="F6" t="s">
        <v>220</v>
      </c>
      <c r="G6" t="s">
        <v>253</v>
      </c>
      <c r="H6" s="4">
        <v>33030</v>
      </c>
      <c r="I6" t="s">
        <v>254</v>
      </c>
    </row>
    <row r="7" spans="1:10" x14ac:dyDescent="0.25">
      <c r="A7">
        <v>6</v>
      </c>
      <c r="B7" t="s">
        <v>263</v>
      </c>
      <c r="C7">
        <v>1109</v>
      </c>
      <c r="D7" t="s">
        <v>264</v>
      </c>
      <c r="E7" t="s">
        <v>252</v>
      </c>
      <c r="F7" t="s">
        <v>220</v>
      </c>
      <c r="G7" t="s">
        <v>253</v>
      </c>
      <c r="H7" s="4">
        <v>33577</v>
      </c>
      <c r="I7" t="s">
        <v>254</v>
      </c>
    </row>
    <row r="8" spans="1:10" x14ac:dyDescent="0.25">
      <c r="A8">
        <v>7</v>
      </c>
      <c r="B8" t="s">
        <v>265</v>
      </c>
      <c r="C8">
        <v>1110</v>
      </c>
      <c r="D8" t="s">
        <v>266</v>
      </c>
      <c r="E8" t="s">
        <v>252</v>
      </c>
      <c r="F8" t="s">
        <v>220</v>
      </c>
      <c r="G8" t="s">
        <v>253</v>
      </c>
      <c r="H8" s="4">
        <v>34629</v>
      </c>
      <c r="I8" t="s">
        <v>254</v>
      </c>
    </row>
    <row r="9" spans="1:10" x14ac:dyDescent="0.25">
      <c r="A9">
        <v>8</v>
      </c>
      <c r="B9" t="s">
        <v>267</v>
      </c>
      <c r="C9">
        <v>1201</v>
      </c>
      <c r="D9" t="s">
        <v>268</v>
      </c>
      <c r="E9" t="s">
        <v>252</v>
      </c>
      <c r="F9" t="s">
        <v>220</v>
      </c>
      <c r="G9" t="s">
        <v>269</v>
      </c>
      <c r="H9" s="4">
        <v>22686</v>
      </c>
      <c r="I9" t="s">
        <v>254</v>
      </c>
    </row>
    <row r="10" spans="1:10" x14ac:dyDescent="0.25">
      <c r="A10">
        <v>9</v>
      </c>
      <c r="B10" t="s">
        <v>270</v>
      </c>
      <c r="C10">
        <v>1203</v>
      </c>
      <c r="D10" t="s">
        <v>271</v>
      </c>
      <c r="E10" t="s">
        <v>252</v>
      </c>
      <c r="F10" t="s">
        <v>220</v>
      </c>
      <c r="G10" t="s">
        <v>269</v>
      </c>
      <c r="H10" s="4">
        <v>23613</v>
      </c>
      <c r="I10" t="s">
        <v>254</v>
      </c>
    </row>
    <row r="11" spans="1:10" x14ac:dyDescent="0.25">
      <c r="A11">
        <v>10</v>
      </c>
      <c r="B11" t="s">
        <v>272</v>
      </c>
      <c r="C11">
        <v>1210</v>
      </c>
      <c r="D11" t="s">
        <v>273</v>
      </c>
      <c r="E11" t="s">
        <v>252</v>
      </c>
      <c r="F11" t="s">
        <v>220</v>
      </c>
      <c r="G11" t="s">
        <v>269</v>
      </c>
      <c r="H11" s="4">
        <v>28630</v>
      </c>
      <c r="I11" t="s">
        <v>254</v>
      </c>
    </row>
    <row r="12" spans="1:10" x14ac:dyDescent="0.25">
      <c r="A12">
        <v>11</v>
      </c>
      <c r="B12" t="s">
        <v>274</v>
      </c>
      <c r="C12">
        <v>1213</v>
      </c>
      <c r="D12" t="s">
        <v>275</v>
      </c>
      <c r="E12" t="s">
        <v>252</v>
      </c>
      <c r="F12" t="s">
        <v>220</v>
      </c>
      <c r="G12" t="s">
        <v>269</v>
      </c>
      <c r="H12" s="4">
        <v>29686</v>
      </c>
      <c r="I12" t="s">
        <v>254</v>
      </c>
    </row>
    <row r="13" spans="1:10" x14ac:dyDescent="0.25">
      <c r="A13">
        <v>12</v>
      </c>
      <c r="B13" t="s">
        <v>276</v>
      </c>
      <c r="C13">
        <v>1215</v>
      </c>
      <c r="D13" t="s">
        <v>277</v>
      </c>
      <c r="E13" t="s">
        <v>252</v>
      </c>
      <c r="F13" t="s">
        <v>220</v>
      </c>
      <c r="G13" t="s">
        <v>269</v>
      </c>
      <c r="H13" s="4">
        <v>31985</v>
      </c>
      <c r="I13" t="s">
        <v>254</v>
      </c>
    </row>
    <row r="14" spans="1:10" x14ac:dyDescent="0.25">
      <c r="A14">
        <v>13</v>
      </c>
      <c r="B14" t="s">
        <v>278</v>
      </c>
      <c r="C14">
        <v>1216</v>
      </c>
      <c r="D14" t="s">
        <v>279</v>
      </c>
      <c r="E14" t="s">
        <v>252</v>
      </c>
      <c r="F14" t="s">
        <v>220</v>
      </c>
      <c r="G14" t="s">
        <v>269</v>
      </c>
      <c r="H14" s="4">
        <v>32139</v>
      </c>
      <c r="I14" t="s">
        <v>254</v>
      </c>
    </row>
    <row r="15" spans="1:10" x14ac:dyDescent="0.25">
      <c r="A15">
        <v>14</v>
      </c>
      <c r="B15" t="s">
        <v>280</v>
      </c>
      <c r="C15">
        <v>1217</v>
      </c>
      <c r="D15" t="s">
        <v>281</v>
      </c>
      <c r="E15" t="s">
        <v>252</v>
      </c>
      <c r="F15" t="s">
        <v>220</v>
      </c>
      <c r="G15" t="s">
        <v>269</v>
      </c>
      <c r="H15" s="4">
        <v>32809</v>
      </c>
      <c r="I15" t="s">
        <v>254</v>
      </c>
    </row>
    <row r="16" spans="1:10" x14ac:dyDescent="0.25">
      <c r="A16">
        <v>15</v>
      </c>
      <c r="B16" t="s">
        <v>282</v>
      </c>
      <c r="C16">
        <v>1218</v>
      </c>
      <c r="D16" t="s">
        <v>283</v>
      </c>
      <c r="E16" t="s">
        <v>252</v>
      </c>
      <c r="F16" t="s">
        <v>220</v>
      </c>
      <c r="G16" t="s">
        <v>269</v>
      </c>
      <c r="H16" s="4">
        <v>32823</v>
      </c>
      <c r="I16" t="s">
        <v>254</v>
      </c>
    </row>
    <row r="17" spans="1:9" x14ac:dyDescent="0.25">
      <c r="A17">
        <v>16</v>
      </c>
      <c r="B17" t="s">
        <v>284</v>
      </c>
      <c r="C17">
        <v>1219</v>
      </c>
      <c r="D17" t="s">
        <v>285</v>
      </c>
      <c r="E17" t="s">
        <v>252</v>
      </c>
      <c r="F17" t="s">
        <v>220</v>
      </c>
      <c r="G17" t="s">
        <v>269</v>
      </c>
      <c r="H17" s="4">
        <v>33208</v>
      </c>
      <c r="I17" t="s">
        <v>254</v>
      </c>
    </row>
    <row r="18" spans="1:9" x14ac:dyDescent="0.25">
      <c r="A18">
        <v>17</v>
      </c>
      <c r="B18" t="s">
        <v>286</v>
      </c>
      <c r="C18">
        <v>1220</v>
      </c>
      <c r="D18" t="s">
        <v>287</v>
      </c>
      <c r="E18" t="s">
        <v>252</v>
      </c>
      <c r="F18" t="s">
        <v>220</v>
      </c>
      <c r="G18" t="s">
        <v>269</v>
      </c>
      <c r="H18" s="4">
        <v>33562</v>
      </c>
      <c r="I18" t="s">
        <v>254</v>
      </c>
    </row>
    <row r="19" spans="1:9" x14ac:dyDescent="0.25">
      <c r="A19">
        <v>18</v>
      </c>
      <c r="B19" t="s">
        <v>288</v>
      </c>
      <c r="C19">
        <v>1225</v>
      </c>
      <c r="D19" t="s">
        <v>289</v>
      </c>
      <c r="E19" t="s">
        <v>252</v>
      </c>
      <c r="F19" t="s">
        <v>220</v>
      </c>
      <c r="G19" t="s">
        <v>269</v>
      </c>
      <c r="H19" s="4">
        <v>34239</v>
      </c>
      <c r="I19" t="s">
        <v>254</v>
      </c>
    </row>
    <row r="20" spans="1:9" x14ac:dyDescent="0.25">
      <c r="A20">
        <v>19</v>
      </c>
      <c r="B20" t="s">
        <v>290</v>
      </c>
      <c r="C20">
        <v>1227</v>
      </c>
      <c r="D20" t="s">
        <v>291</v>
      </c>
      <c r="E20" t="s">
        <v>252</v>
      </c>
      <c r="F20" t="s">
        <v>220</v>
      </c>
      <c r="G20" t="s">
        <v>269</v>
      </c>
      <c r="H20" s="4">
        <v>34433</v>
      </c>
      <c r="I20" t="s">
        <v>254</v>
      </c>
    </row>
    <row r="21" spans="1:9" x14ac:dyDescent="0.25">
      <c r="A21">
        <v>20</v>
      </c>
      <c r="B21" t="s">
        <v>292</v>
      </c>
      <c r="C21">
        <v>1229</v>
      </c>
      <c r="D21" t="s">
        <v>293</v>
      </c>
      <c r="E21" t="s">
        <v>252</v>
      </c>
      <c r="F21" t="s">
        <v>220</v>
      </c>
      <c r="G21" t="s">
        <v>269</v>
      </c>
      <c r="H21" s="4">
        <v>27960</v>
      </c>
      <c r="I21" t="s">
        <v>254</v>
      </c>
    </row>
    <row r="22" spans="1:9" x14ac:dyDescent="0.25">
      <c r="A22">
        <v>21</v>
      </c>
      <c r="B22" t="s">
        <v>294</v>
      </c>
      <c r="C22">
        <v>1231</v>
      </c>
      <c r="D22" t="s">
        <v>295</v>
      </c>
      <c r="E22" t="s">
        <v>252</v>
      </c>
      <c r="F22" t="s">
        <v>220</v>
      </c>
      <c r="G22" t="s">
        <v>269</v>
      </c>
      <c r="H22" s="4">
        <v>35005</v>
      </c>
      <c r="I22" t="s">
        <v>254</v>
      </c>
    </row>
    <row r="23" spans="1:9" x14ac:dyDescent="0.25">
      <c r="A23">
        <v>22</v>
      </c>
      <c r="B23" t="s">
        <v>296</v>
      </c>
      <c r="C23">
        <v>1232</v>
      </c>
      <c r="D23" t="s">
        <v>297</v>
      </c>
      <c r="E23" t="s">
        <v>252</v>
      </c>
      <c r="F23" t="s">
        <v>220</v>
      </c>
      <c r="G23" t="s">
        <v>269</v>
      </c>
      <c r="H23" s="4">
        <v>35104</v>
      </c>
      <c r="I23" t="s">
        <v>254</v>
      </c>
    </row>
    <row r="24" spans="1:9" x14ac:dyDescent="0.25">
      <c r="A24">
        <v>23</v>
      </c>
      <c r="B24" t="s">
        <v>298</v>
      </c>
      <c r="C24">
        <v>1233</v>
      </c>
      <c r="D24" t="s">
        <v>299</v>
      </c>
      <c r="E24" t="s">
        <v>252</v>
      </c>
      <c r="F24" t="s">
        <v>220</v>
      </c>
      <c r="G24" t="s">
        <v>269</v>
      </c>
      <c r="H24" s="4">
        <v>36180</v>
      </c>
      <c r="I24" t="s">
        <v>254</v>
      </c>
    </row>
    <row r="25" spans="1:9" x14ac:dyDescent="0.25">
      <c r="A25">
        <v>24</v>
      </c>
      <c r="B25" t="s">
        <v>300</v>
      </c>
      <c r="C25">
        <v>1234</v>
      </c>
      <c r="D25" t="s">
        <v>301</v>
      </c>
      <c r="E25" t="s">
        <v>252</v>
      </c>
      <c r="F25" t="s">
        <v>220</v>
      </c>
      <c r="G25" t="s">
        <v>269</v>
      </c>
      <c r="H25" s="4">
        <v>36231</v>
      </c>
      <c r="I25" t="s">
        <v>254</v>
      </c>
    </row>
    <row r="26" spans="1:9" x14ac:dyDescent="0.25">
      <c r="A26">
        <v>25</v>
      </c>
      <c r="B26" t="s">
        <v>302</v>
      </c>
      <c r="C26">
        <v>1235</v>
      </c>
      <c r="D26" t="s">
        <v>303</v>
      </c>
      <c r="E26" t="s">
        <v>252</v>
      </c>
      <c r="F26" t="s">
        <v>220</v>
      </c>
      <c r="G26" t="s">
        <v>269</v>
      </c>
      <c r="H26" s="4">
        <v>36780</v>
      </c>
      <c r="I26" t="s">
        <v>254</v>
      </c>
    </row>
    <row r="27" spans="1:9" x14ac:dyDescent="0.25">
      <c r="A27">
        <v>26</v>
      </c>
      <c r="B27" t="s">
        <v>304</v>
      </c>
      <c r="C27">
        <v>1236</v>
      </c>
      <c r="D27" t="s">
        <v>305</v>
      </c>
      <c r="E27" t="s">
        <v>252</v>
      </c>
      <c r="F27" t="s">
        <v>220</v>
      </c>
      <c r="G27" t="s">
        <v>269</v>
      </c>
      <c r="H27" s="4">
        <v>37151</v>
      </c>
      <c r="I27" t="s">
        <v>254</v>
      </c>
    </row>
    <row r="28" spans="1:9" x14ac:dyDescent="0.25">
      <c r="A28">
        <v>27</v>
      </c>
      <c r="B28" t="s">
        <v>306</v>
      </c>
      <c r="C28">
        <v>1256</v>
      </c>
      <c r="D28" t="s">
        <v>307</v>
      </c>
      <c r="E28" t="s">
        <v>252</v>
      </c>
      <c r="F28" t="s">
        <v>220</v>
      </c>
      <c r="G28" t="s">
        <v>269</v>
      </c>
      <c r="H28" s="4">
        <v>42446</v>
      </c>
      <c r="I28" t="s">
        <v>254</v>
      </c>
    </row>
    <row r="29" spans="1:9" x14ac:dyDescent="0.25">
      <c r="A29">
        <v>28</v>
      </c>
      <c r="B29" t="s">
        <v>308</v>
      </c>
      <c r="C29">
        <v>1301</v>
      </c>
      <c r="D29" t="s">
        <v>309</v>
      </c>
      <c r="E29" t="s">
        <v>252</v>
      </c>
      <c r="F29" t="s">
        <v>220</v>
      </c>
      <c r="G29" t="s">
        <v>310</v>
      </c>
      <c r="H29" s="4">
        <v>23585</v>
      </c>
      <c r="I29" t="s">
        <v>254</v>
      </c>
    </row>
    <row r="30" spans="1:9" x14ac:dyDescent="0.25">
      <c r="A30">
        <v>29</v>
      </c>
      <c r="B30" t="s">
        <v>311</v>
      </c>
      <c r="C30">
        <v>1303</v>
      </c>
      <c r="D30" t="s">
        <v>312</v>
      </c>
      <c r="E30" t="s">
        <v>252</v>
      </c>
      <c r="F30" t="s">
        <v>220</v>
      </c>
      <c r="G30" t="s">
        <v>310</v>
      </c>
      <c r="H30" s="4">
        <v>24781</v>
      </c>
      <c r="I30" t="s">
        <v>254</v>
      </c>
    </row>
    <row r="31" spans="1:9" x14ac:dyDescent="0.25">
      <c r="A31">
        <v>30</v>
      </c>
      <c r="B31" t="s">
        <v>313</v>
      </c>
      <c r="C31">
        <v>1304</v>
      </c>
      <c r="D31" t="s">
        <v>314</v>
      </c>
      <c r="E31" t="s">
        <v>252</v>
      </c>
      <c r="F31" t="s">
        <v>220</v>
      </c>
      <c r="G31" t="s">
        <v>310</v>
      </c>
      <c r="H31" s="4">
        <v>26439</v>
      </c>
      <c r="I31" t="s">
        <v>254</v>
      </c>
    </row>
    <row r="32" spans="1:9" x14ac:dyDescent="0.25">
      <c r="A32">
        <v>31</v>
      </c>
      <c r="B32" t="s">
        <v>315</v>
      </c>
      <c r="C32">
        <v>1305</v>
      </c>
      <c r="D32" t="s">
        <v>316</v>
      </c>
      <c r="E32" t="s">
        <v>252</v>
      </c>
      <c r="F32" t="s">
        <v>220</v>
      </c>
      <c r="G32" t="s">
        <v>310</v>
      </c>
      <c r="H32" s="4">
        <v>26728</v>
      </c>
      <c r="I32" t="s">
        <v>254</v>
      </c>
    </row>
    <row r="33" spans="1:9" x14ac:dyDescent="0.25">
      <c r="A33">
        <v>32</v>
      </c>
      <c r="B33" t="s">
        <v>317</v>
      </c>
      <c r="C33">
        <v>1307</v>
      </c>
      <c r="D33" t="s">
        <v>318</v>
      </c>
      <c r="E33" t="s">
        <v>252</v>
      </c>
      <c r="F33" t="s">
        <v>220</v>
      </c>
      <c r="G33" t="s">
        <v>310</v>
      </c>
      <c r="H33" s="4">
        <v>31374</v>
      </c>
      <c r="I33" t="s">
        <v>254</v>
      </c>
    </row>
    <row r="34" spans="1:9" x14ac:dyDescent="0.25">
      <c r="A34">
        <v>33</v>
      </c>
      <c r="B34" t="s">
        <v>319</v>
      </c>
      <c r="C34">
        <v>1308</v>
      </c>
      <c r="D34" t="s">
        <v>320</v>
      </c>
      <c r="E34" t="s">
        <v>252</v>
      </c>
      <c r="F34" t="s">
        <v>220</v>
      </c>
      <c r="G34" t="s">
        <v>310</v>
      </c>
      <c r="H34" s="4">
        <v>31583</v>
      </c>
      <c r="I34" t="s">
        <v>254</v>
      </c>
    </row>
    <row r="35" spans="1:9" x14ac:dyDescent="0.25">
      <c r="A35">
        <v>34</v>
      </c>
      <c r="B35" t="s">
        <v>321</v>
      </c>
      <c r="C35">
        <v>1309</v>
      </c>
      <c r="D35" t="s">
        <v>322</v>
      </c>
      <c r="E35" t="s">
        <v>252</v>
      </c>
      <c r="F35" t="s">
        <v>220</v>
      </c>
      <c r="G35" t="s">
        <v>310</v>
      </c>
      <c r="H35" s="4">
        <v>31590</v>
      </c>
      <c r="I35" t="s">
        <v>254</v>
      </c>
    </row>
    <row r="36" spans="1:9" x14ac:dyDescent="0.25">
      <c r="A36">
        <v>35</v>
      </c>
      <c r="B36" t="s">
        <v>323</v>
      </c>
      <c r="C36">
        <v>1310</v>
      </c>
      <c r="D36" t="s">
        <v>324</v>
      </c>
      <c r="E36" t="s">
        <v>252</v>
      </c>
      <c r="F36" t="s">
        <v>220</v>
      </c>
      <c r="G36" t="s">
        <v>310</v>
      </c>
      <c r="H36" s="4">
        <v>31995</v>
      </c>
      <c r="I36" t="s">
        <v>254</v>
      </c>
    </row>
    <row r="37" spans="1:9" x14ac:dyDescent="0.25">
      <c r="A37">
        <v>36</v>
      </c>
      <c r="B37" t="s">
        <v>325</v>
      </c>
      <c r="C37">
        <v>1312</v>
      </c>
      <c r="D37" t="s">
        <v>326</v>
      </c>
      <c r="E37" t="s">
        <v>252</v>
      </c>
      <c r="F37" t="s">
        <v>220</v>
      </c>
      <c r="G37" t="s">
        <v>310</v>
      </c>
      <c r="H37" s="4">
        <v>32498</v>
      </c>
      <c r="I37" t="s">
        <v>254</v>
      </c>
    </row>
    <row r="38" spans="1:9" x14ac:dyDescent="0.25">
      <c r="A38">
        <v>37</v>
      </c>
      <c r="B38" t="s">
        <v>327</v>
      </c>
      <c r="C38">
        <v>1313</v>
      </c>
      <c r="D38" t="s">
        <v>328</v>
      </c>
      <c r="E38" t="s">
        <v>252</v>
      </c>
      <c r="F38" t="s">
        <v>220</v>
      </c>
      <c r="G38" t="s">
        <v>310</v>
      </c>
      <c r="H38" s="4">
        <v>32594</v>
      </c>
      <c r="I38" t="s">
        <v>254</v>
      </c>
    </row>
    <row r="39" spans="1:9" x14ac:dyDescent="0.25">
      <c r="A39">
        <v>38</v>
      </c>
      <c r="B39" t="s">
        <v>329</v>
      </c>
      <c r="C39">
        <v>1314</v>
      </c>
      <c r="D39" t="s">
        <v>330</v>
      </c>
      <c r="E39" t="s">
        <v>252</v>
      </c>
      <c r="F39" t="s">
        <v>220</v>
      </c>
      <c r="G39" t="s">
        <v>310</v>
      </c>
      <c r="H39" s="4">
        <v>33431</v>
      </c>
      <c r="I39" t="s">
        <v>254</v>
      </c>
    </row>
    <row r="40" spans="1:9" x14ac:dyDescent="0.25">
      <c r="A40">
        <v>39</v>
      </c>
      <c r="B40" t="s">
        <v>331</v>
      </c>
      <c r="C40">
        <v>1315</v>
      </c>
      <c r="D40" t="s">
        <v>332</v>
      </c>
      <c r="E40" t="s">
        <v>252</v>
      </c>
      <c r="F40" t="s">
        <v>220</v>
      </c>
      <c r="G40" t="s">
        <v>310</v>
      </c>
      <c r="H40" s="4">
        <v>33733</v>
      </c>
      <c r="I40" t="s">
        <v>254</v>
      </c>
    </row>
    <row r="41" spans="1:9" x14ac:dyDescent="0.25">
      <c r="A41">
        <v>40</v>
      </c>
      <c r="B41" t="s">
        <v>333</v>
      </c>
      <c r="C41">
        <v>1316</v>
      </c>
      <c r="D41" t="s">
        <v>334</v>
      </c>
      <c r="E41" t="s">
        <v>252</v>
      </c>
      <c r="F41" t="s">
        <v>220</v>
      </c>
      <c r="G41" t="s">
        <v>335</v>
      </c>
      <c r="H41" s="4">
        <v>33892</v>
      </c>
      <c r="I41" t="s">
        <v>254</v>
      </c>
    </row>
    <row r="42" spans="1:9" x14ac:dyDescent="0.25">
      <c r="A42">
        <v>41</v>
      </c>
      <c r="B42" t="s">
        <v>336</v>
      </c>
      <c r="C42">
        <v>1319</v>
      </c>
      <c r="D42" t="s">
        <v>337</v>
      </c>
      <c r="E42" t="s">
        <v>252</v>
      </c>
      <c r="F42" t="s">
        <v>220</v>
      </c>
      <c r="G42" t="s">
        <v>338</v>
      </c>
      <c r="H42" s="4">
        <v>34680</v>
      </c>
      <c r="I42" t="s">
        <v>254</v>
      </c>
    </row>
    <row r="43" spans="1:9" x14ac:dyDescent="0.25">
      <c r="A43">
        <v>42</v>
      </c>
      <c r="B43" t="s">
        <v>339</v>
      </c>
      <c r="C43">
        <v>1321</v>
      </c>
      <c r="D43" t="s">
        <v>340</v>
      </c>
      <c r="E43" t="s">
        <v>252</v>
      </c>
      <c r="F43" t="s">
        <v>220</v>
      </c>
      <c r="G43" t="s">
        <v>310</v>
      </c>
      <c r="H43" s="4">
        <v>36186</v>
      </c>
      <c r="I43" t="s">
        <v>254</v>
      </c>
    </row>
    <row r="44" spans="1:9" x14ac:dyDescent="0.25">
      <c r="A44">
        <v>43</v>
      </c>
      <c r="B44" t="s">
        <v>341</v>
      </c>
      <c r="C44">
        <v>1323</v>
      </c>
      <c r="D44" t="s">
        <v>342</v>
      </c>
      <c r="E44" t="s">
        <v>252</v>
      </c>
      <c r="F44" t="s">
        <v>220</v>
      </c>
      <c r="G44" t="s">
        <v>310</v>
      </c>
      <c r="H44" s="4">
        <v>36780</v>
      </c>
      <c r="I44" t="s">
        <v>254</v>
      </c>
    </row>
    <row r="45" spans="1:9" x14ac:dyDescent="0.25">
      <c r="A45">
        <v>44</v>
      </c>
      <c r="B45" t="s">
        <v>343</v>
      </c>
      <c r="C45">
        <v>1324</v>
      </c>
      <c r="D45" t="s">
        <v>344</v>
      </c>
      <c r="E45" t="s">
        <v>252</v>
      </c>
      <c r="F45" t="s">
        <v>220</v>
      </c>
      <c r="G45" t="s">
        <v>310</v>
      </c>
      <c r="H45" s="4">
        <v>36780</v>
      </c>
      <c r="I45" t="s">
        <v>254</v>
      </c>
    </row>
    <row r="46" spans="1:9" x14ac:dyDescent="0.25">
      <c r="A46">
        <v>45</v>
      </c>
      <c r="B46" t="s">
        <v>345</v>
      </c>
      <c r="C46">
        <v>1325</v>
      </c>
      <c r="D46" t="s">
        <v>346</v>
      </c>
      <c r="E46" t="s">
        <v>252</v>
      </c>
      <c r="F46" t="s">
        <v>220</v>
      </c>
      <c r="G46" t="s">
        <v>310</v>
      </c>
      <c r="H46" s="4">
        <v>36780</v>
      </c>
      <c r="I46" t="s">
        <v>254</v>
      </c>
    </row>
    <row r="47" spans="1:9" x14ac:dyDescent="0.25">
      <c r="A47">
        <v>46</v>
      </c>
      <c r="B47" t="s">
        <v>347</v>
      </c>
      <c r="C47">
        <v>1326</v>
      </c>
      <c r="D47" t="s">
        <v>348</v>
      </c>
      <c r="E47" t="s">
        <v>252</v>
      </c>
      <c r="F47" t="s">
        <v>220</v>
      </c>
      <c r="G47" t="s">
        <v>310</v>
      </c>
      <c r="H47" s="4">
        <v>31036</v>
      </c>
      <c r="I47" t="s">
        <v>254</v>
      </c>
    </row>
    <row r="48" spans="1:9" x14ac:dyDescent="0.25">
      <c r="A48">
        <v>47</v>
      </c>
      <c r="B48" t="s">
        <v>349</v>
      </c>
      <c r="C48">
        <v>1337</v>
      </c>
      <c r="D48" t="s">
        <v>350</v>
      </c>
      <c r="E48" t="s">
        <v>252</v>
      </c>
      <c r="F48" t="s">
        <v>220</v>
      </c>
      <c r="G48" t="s">
        <v>310</v>
      </c>
      <c r="H48" s="4">
        <v>40725</v>
      </c>
      <c r="I48" t="s">
        <v>254</v>
      </c>
    </row>
    <row r="49" spans="1:9" x14ac:dyDescent="0.25">
      <c r="A49">
        <v>48</v>
      </c>
      <c r="B49" t="s">
        <v>351</v>
      </c>
      <c r="C49">
        <v>1338</v>
      </c>
      <c r="D49" t="s">
        <v>352</v>
      </c>
      <c r="E49" t="s">
        <v>252</v>
      </c>
      <c r="F49" t="s">
        <v>220</v>
      </c>
      <c r="G49" t="s">
        <v>338</v>
      </c>
      <c r="H49" s="4">
        <v>41262</v>
      </c>
      <c r="I49" t="s">
        <v>254</v>
      </c>
    </row>
    <row r="50" spans="1:9" x14ac:dyDescent="0.25">
      <c r="A50">
        <v>49</v>
      </c>
      <c r="B50" t="s">
        <v>353</v>
      </c>
      <c r="C50">
        <v>1339</v>
      </c>
      <c r="D50" t="s">
        <v>354</v>
      </c>
      <c r="E50" t="s">
        <v>252</v>
      </c>
      <c r="F50" t="s">
        <v>220</v>
      </c>
      <c r="G50" t="s">
        <v>338</v>
      </c>
      <c r="H50" s="4">
        <v>41023</v>
      </c>
      <c r="I50" t="s">
        <v>254</v>
      </c>
    </row>
    <row r="51" spans="1:9" x14ac:dyDescent="0.25">
      <c r="A51">
        <v>50</v>
      </c>
      <c r="B51" t="s">
        <v>355</v>
      </c>
      <c r="C51">
        <v>1340</v>
      </c>
      <c r="D51" t="s">
        <v>356</v>
      </c>
      <c r="E51" t="s">
        <v>252</v>
      </c>
      <c r="F51" t="s">
        <v>220</v>
      </c>
      <c r="G51" t="s">
        <v>310</v>
      </c>
      <c r="H51" s="4">
        <v>41614</v>
      </c>
      <c r="I51" t="s">
        <v>254</v>
      </c>
    </row>
    <row r="52" spans="1:9" x14ac:dyDescent="0.25">
      <c r="A52">
        <v>51</v>
      </c>
      <c r="B52" t="s">
        <v>357</v>
      </c>
      <c r="C52">
        <v>1341</v>
      </c>
      <c r="D52" t="s">
        <v>358</v>
      </c>
      <c r="E52" t="s">
        <v>252</v>
      </c>
      <c r="F52" t="s">
        <v>220</v>
      </c>
      <c r="G52" t="s">
        <v>310</v>
      </c>
      <c r="H52" s="4">
        <v>43458</v>
      </c>
      <c r="I52" t="s">
        <v>254</v>
      </c>
    </row>
    <row r="53" spans="1:9" x14ac:dyDescent="0.25">
      <c r="A53">
        <v>52</v>
      </c>
      <c r="B53" t="s">
        <v>359</v>
      </c>
      <c r="C53">
        <v>1342</v>
      </c>
      <c r="D53" t="s">
        <v>360</v>
      </c>
      <c r="E53" t="s">
        <v>252</v>
      </c>
      <c r="F53" t="s">
        <v>220</v>
      </c>
      <c r="G53" t="s">
        <v>361</v>
      </c>
      <c r="H53" s="4">
        <v>44159</v>
      </c>
      <c r="I53" t="s">
        <v>254</v>
      </c>
    </row>
    <row r="54" spans="1:9" x14ac:dyDescent="0.25">
      <c r="A54">
        <v>53</v>
      </c>
      <c r="B54" t="s">
        <v>362</v>
      </c>
      <c r="C54">
        <v>1402</v>
      </c>
      <c r="D54" t="s">
        <v>363</v>
      </c>
      <c r="E54" t="s">
        <v>252</v>
      </c>
      <c r="F54" t="s">
        <v>220</v>
      </c>
      <c r="G54" t="s">
        <v>364</v>
      </c>
      <c r="H54" s="4">
        <v>24576</v>
      </c>
      <c r="I54" t="s">
        <v>254</v>
      </c>
    </row>
    <row r="55" spans="1:9" x14ac:dyDescent="0.25">
      <c r="A55">
        <v>54</v>
      </c>
      <c r="B55" t="s">
        <v>365</v>
      </c>
      <c r="C55">
        <v>1409</v>
      </c>
      <c r="D55" t="s">
        <v>366</v>
      </c>
      <c r="E55" t="s">
        <v>252</v>
      </c>
      <c r="F55" t="s">
        <v>220</v>
      </c>
      <c r="G55" t="s">
        <v>364</v>
      </c>
      <c r="H55" s="4">
        <v>26907</v>
      </c>
      <c r="I55" t="s">
        <v>254</v>
      </c>
    </row>
    <row r="56" spans="1:9" x14ac:dyDescent="0.25">
      <c r="A56">
        <v>55</v>
      </c>
      <c r="B56" t="s">
        <v>367</v>
      </c>
      <c r="C56">
        <v>1410</v>
      </c>
      <c r="D56" t="s">
        <v>368</v>
      </c>
      <c r="E56" t="s">
        <v>252</v>
      </c>
      <c r="F56" t="s">
        <v>220</v>
      </c>
      <c r="G56" t="s">
        <v>364</v>
      </c>
      <c r="H56" s="4">
        <v>26955</v>
      </c>
      <c r="I56" t="s">
        <v>254</v>
      </c>
    </row>
    <row r="57" spans="1:9" x14ac:dyDescent="0.25">
      <c r="A57">
        <v>56</v>
      </c>
      <c r="B57" t="s">
        <v>369</v>
      </c>
      <c r="C57">
        <v>1413</v>
      </c>
      <c r="D57" t="s">
        <v>370</v>
      </c>
      <c r="E57" t="s">
        <v>252</v>
      </c>
      <c r="F57" t="s">
        <v>220</v>
      </c>
      <c r="G57" t="s">
        <v>364</v>
      </c>
      <c r="H57" s="4">
        <v>27751</v>
      </c>
      <c r="I57" t="s">
        <v>254</v>
      </c>
    </row>
    <row r="58" spans="1:9" x14ac:dyDescent="0.25">
      <c r="A58">
        <v>57</v>
      </c>
      <c r="B58" t="s">
        <v>371</v>
      </c>
      <c r="C58">
        <v>1414</v>
      </c>
      <c r="D58" t="s">
        <v>372</v>
      </c>
      <c r="E58" t="s">
        <v>252</v>
      </c>
      <c r="F58" t="s">
        <v>220</v>
      </c>
      <c r="G58" t="s">
        <v>364</v>
      </c>
      <c r="H58" s="4">
        <v>27792</v>
      </c>
      <c r="I58" t="s">
        <v>254</v>
      </c>
    </row>
    <row r="59" spans="1:9" x14ac:dyDescent="0.25">
      <c r="A59">
        <v>58</v>
      </c>
      <c r="B59" t="s">
        <v>373</v>
      </c>
      <c r="C59">
        <v>1416</v>
      </c>
      <c r="D59" t="s">
        <v>374</v>
      </c>
      <c r="E59" t="s">
        <v>252</v>
      </c>
      <c r="F59" t="s">
        <v>220</v>
      </c>
      <c r="G59" t="s">
        <v>361</v>
      </c>
      <c r="H59" s="4">
        <v>27870</v>
      </c>
      <c r="I59" t="s">
        <v>254</v>
      </c>
    </row>
    <row r="60" spans="1:9" x14ac:dyDescent="0.25">
      <c r="A60">
        <v>59</v>
      </c>
      <c r="B60" t="s">
        <v>375</v>
      </c>
      <c r="C60">
        <v>1417</v>
      </c>
      <c r="D60" t="s">
        <v>376</v>
      </c>
      <c r="E60" t="s">
        <v>252</v>
      </c>
      <c r="F60" t="s">
        <v>220</v>
      </c>
      <c r="G60" t="s">
        <v>364</v>
      </c>
      <c r="H60" s="4">
        <v>28122</v>
      </c>
      <c r="I60" t="s">
        <v>254</v>
      </c>
    </row>
    <row r="61" spans="1:9" x14ac:dyDescent="0.25">
      <c r="A61">
        <v>60</v>
      </c>
      <c r="B61" t="s">
        <v>377</v>
      </c>
      <c r="C61">
        <v>1418</v>
      </c>
      <c r="D61" t="s">
        <v>378</v>
      </c>
      <c r="E61" t="s">
        <v>252</v>
      </c>
      <c r="F61" t="s">
        <v>220</v>
      </c>
      <c r="G61" t="s">
        <v>364</v>
      </c>
      <c r="H61" s="4">
        <v>28170</v>
      </c>
      <c r="I61" t="s">
        <v>254</v>
      </c>
    </row>
    <row r="62" spans="1:9" x14ac:dyDescent="0.25">
      <c r="A62">
        <v>61</v>
      </c>
      <c r="B62" t="s">
        <v>379</v>
      </c>
      <c r="C62">
        <v>1419</v>
      </c>
      <c r="D62" t="s">
        <v>380</v>
      </c>
      <c r="E62" t="s">
        <v>252</v>
      </c>
      <c r="F62" t="s">
        <v>220</v>
      </c>
      <c r="G62" t="s">
        <v>364</v>
      </c>
      <c r="H62" s="4">
        <v>28198</v>
      </c>
      <c r="I62" t="s">
        <v>254</v>
      </c>
    </row>
    <row r="63" spans="1:9" x14ac:dyDescent="0.25">
      <c r="A63">
        <v>62</v>
      </c>
      <c r="B63" t="s">
        <v>381</v>
      </c>
      <c r="C63">
        <v>1423</v>
      </c>
      <c r="D63" t="s">
        <v>382</v>
      </c>
      <c r="E63" t="s">
        <v>252</v>
      </c>
      <c r="F63" t="s">
        <v>220</v>
      </c>
      <c r="G63" t="s">
        <v>364</v>
      </c>
      <c r="H63" s="4">
        <v>28947</v>
      </c>
      <c r="I63" t="s">
        <v>254</v>
      </c>
    </row>
    <row r="64" spans="1:9" x14ac:dyDescent="0.25">
      <c r="A64">
        <v>63</v>
      </c>
      <c r="B64" t="s">
        <v>383</v>
      </c>
      <c r="C64">
        <v>1432</v>
      </c>
      <c r="D64" t="s">
        <v>384</v>
      </c>
      <c r="E64" t="s">
        <v>252</v>
      </c>
      <c r="F64" t="s">
        <v>220</v>
      </c>
      <c r="G64" t="s">
        <v>385</v>
      </c>
      <c r="H64" s="4">
        <v>30158</v>
      </c>
      <c r="I64" t="s">
        <v>254</v>
      </c>
    </row>
    <row r="65" spans="1:9" x14ac:dyDescent="0.25">
      <c r="A65">
        <v>64</v>
      </c>
      <c r="B65" t="s">
        <v>386</v>
      </c>
      <c r="C65">
        <v>1434</v>
      </c>
      <c r="D65" t="s">
        <v>387</v>
      </c>
      <c r="E65" t="s">
        <v>252</v>
      </c>
      <c r="F65" t="s">
        <v>220</v>
      </c>
      <c r="G65" t="s">
        <v>364</v>
      </c>
      <c r="H65" s="4">
        <v>31405</v>
      </c>
      <c r="I65" t="s">
        <v>254</v>
      </c>
    </row>
    <row r="66" spans="1:9" x14ac:dyDescent="0.25">
      <c r="A66">
        <v>65</v>
      </c>
      <c r="B66" t="s">
        <v>388</v>
      </c>
      <c r="C66">
        <v>1435</v>
      </c>
      <c r="D66" t="s">
        <v>389</v>
      </c>
      <c r="E66" t="s">
        <v>252</v>
      </c>
      <c r="F66" t="s">
        <v>220</v>
      </c>
      <c r="G66" t="s">
        <v>361</v>
      </c>
      <c r="H66" s="4">
        <v>32139</v>
      </c>
      <c r="I66" t="s">
        <v>254</v>
      </c>
    </row>
    <row r="67" spans="1:9" x14ac:dyDescent="0.25">
      <c r="A67">
        <v>66</v>
      </c>
      <c r="B67" t="s">
        <v>390</v>
      </c>
      <c r="C67">
        <v>1436</v>
      </c>
      <c r="D67" t="s">
        <v>391</v>
      </c>
      <c r="E67" t="s">
        <v>252</v>
      </c>
      <c r="F67" t="s">
        <v>220</v>
      </c>
      <c r="G67" t="s">
        <v>335</v>
      </c>
      <c r="H67" s="4">
        <v>32244</v>
      </c>
      <c r="I67" t="s">
        <v>254</v>
      </c>
    </row>
    <row r="68" spans="1:9" x14ac:dyDescent="0.25">
      <c r="A68">
        <v>67</v>
      </c>
      <c r="B68" t="s">
        <v>392</v>
      </c>
      <c r="C68">
        <v>1437</v>
      </c>
      <c r="D68" t="s">
        <v>393</v>
      </c>
      <c r="E68" t="s">
        <v>252</v>
      </c>
      <c r="F68" t="s">
        <v>220</v>
      </c>
      <c r="G68" t="s">
        <v>361</v>
      </c>
      <c r="H68" s="4">
        <v>32457</v>
      </c>
      <c r="I68" t="s">
        <v>254</v>
      </c>
    </row>
    <row r="69" spans="1:9" x14ac:dyDescent="0.25">
      <c r="A69">
        <v>68</v>
      </c>
      <c r="B69" t="s">
        <v>394</v>
      </c>
      <c r="C69">
        <v>1438</v>
      </c>
      <c r="D69" t="s">
        <v>395</v>
      </c>
      <c r="E69" t="s">
        <v>252</v>
      </c>
      <c r="F69" t="s">
        <v>220</v>
      </c>
      <c r="G69" t="s">
        <v>335</v>
      </c>
      <c r="H69" s="4">
        <v>32492</v>
      </c>
      <c r="I69" t="s">
        <v>254</v>
      </c>
    </row>
    <row r="70" spans="1:9" x14ac:dyDescent="0.25">
      <c r="A70">
        <v>69</v>
      </c>
      <c r="B70" t="s">
        <v>396</v>
      </c>
      <c r="C70">
        <v>1439</v>
      </c>
      <c r="D70" t="s">
        <v>397</v>
      </c>
      <c r="E70" t="s">
        <v>252</v>
      </c>
      <c r="F70" t="s">
        <v>220</v>
      </c>
      <c r="G70" t="s">
        <v>364</v>
      </c>
      <c r="H70" s="4">
        <v>32650</v>
      </c>
      <c r="I70" t="s">
        <v>254</v>
      </c>
    </row>
    <row r="71" spans="1:9" x14ac:dyDescent="0.25">
      <c r="A71">
        <v>70</v>
      </c>
      <c r="B71" t="s">
        <v>398</v>
      </c>
      <c r="C71">
        <v>1440</v>
      </c>
      <c r="D71" t="s">
        <v>399</v>
      </c>
      <c r="E71" t="s">
        <v>252</v>
      </c>
      <c r="F71" t="s">
        <v>220</v>
      </c>
      <c r="G71" t="s">
        <v>364</v>
      </c>
      <c r="H71" s="4">
        <v>32784</v>
      </c>
      <c r="I71" t="s">
        <v>254</v>
      </c>
    </row>
    <row r="72" spans="1:9" x14ac:dyDescent="0.25">
      <c r="A72">
        <v>71</v>
      </c>
      <c r="B72" t="s">
        <v>400</v>
      </c>
      <c r="C72">
        <v>1441</v>
      </c>
      <c r="D72" t="s">
        <v>401</v>
      </c>
      <c r="E72" t="s">
        <v>252</v>
      </c>
      <c r="F72" t="s">
        <v>220</v>
      </c>
      <c r="G72" t="s">
        <v>364</v>
      </c>
      <c r="H72" s="4">
        <v>32808</v>
      </c>
      <c r="I72" t="s">
        <v>254</v>
      </c>
    </row>
    <row r="73" spans="1:9" x14ac:dyDescent="0.25">
      <c r="A73">
        <v>72</v>
      </c>
      <c r="B73" t="s">
        <v>402</v>
      </c>
      <c r="C73">
        <v>1442</v>
      </c>
      <c r="D73" t="s">
        <v>403</v>
      </c>
      <c r="E73" t="s">
        <v>252</v>
      </c>
      <c r="F73" t="s">
        <v>220</v>
      </c>
      <c r="G73" t="s">
        <v>335</v>
      </c>
      <c r="H73" s="4">
        <v>32828</v>
      </c>
      <c r="I73" t="s">
        <v>254</v>
      </c>
    </row>
    <row r="74" spans="1:9" x14ac:dyDescent="0.25">
      <c r="A74">
        <v>73</v>
      </c>
      <c r="B74" t="s">
        <v>404</v>
      </c>
      <c r="C74">
        <v>1443</v>
      </c>
      <c r="D74" t="s">
        <v>405</v>
      </c>
      <c r="E74" t="s">
        <v>252</v>
      </c>
      <c r="F74" t="s">
        <v>220</v>
      </c>
      <c r="G74" t="s">
        <v>361</v>
      </c>
      <c r="H74" s="4">
        <v>32984</v>
      </c>
      <c r="I74" t="s">
        <v>254</v>
      </c>
    </row>
    <row r="75" spans="1:9" x14ac:dyDescent="0.25">
      <c r="A75">
        <v>74</v>
      </c>
      <c r="B75" t="s">
        <v>406</v>
      </c>
      <c r="C75">
        <v>1444</v>
      </c>
      <c r="D75" t="s">
        <v>407</v>
      </c>
      <c r="E75" t="s">
        <v>252</v>
      </c>
      <c r="F75" t="s">
        <v>220</v>
      </c>
      <c r="G75" t="s">
        <v>364</v>
      </c>
      <c r="H75" s="4">
        <v>33093</v>
      </c>
      <c r="I75" t="s">
        <v>254</v>
      </c>
    </row>
    <row r="76" spans="1:9" x14ac:dyDescent="0.25">
      <c r="A76">
        <v>75</v>
      </c>
      <c r="B76" t="s">
        <v>408</v>
      </c>
      <c r="C76">
        <v>1445</v>
      </c>
      <c r="D76" t="s">
        <v>409</v>
      </c>
      <c r="E76" t="s">
        <v>252</v>
      </c>
      <c r="F76" t="s">
        <v>220</v>
      </c>
      <c r="G76" t="s">
        <v>364</v>
      </c>
      <c r="H76" s="4">
        <v>33274</v>
      </c>
      <c r="I76" t="s">
        <v>254</v>
      </c>
    </row>
    <row r="77" spans="1:9" x14ac:dyDescent="0.25">
      <c r="A77">
        <v>76</v>
      </c>
      <c r="B77" t="s">
        <v>410</v>
      </c>
      <c r="C77">
        <v>1446</v>
      </c>
      <c r="D77" t="s">
        <v>411</v>
      </c>
      <c r="E77" t="s">
        <v>252</v>
      </c>
      <c r="F77" t="s">
        <v>220</v>
      </c>
      <c r="G77" t="s">
        <v>364</v>
      </c>
      <c r="H77" s="4">
        <v>33526</v>
      </c>
      <c r="I77" t="s">
        <v>254</v>
      </c>
    </row>
    <row r="78" spans="1:9" x14ac:dyDescent="0.25">
      <c r="A78">
        <v>77</v>
      </c>
      <c r="B78" t="s">
        <v>412</v>
      </c>
      <c r="C78">
        <v>1447</v>
      </c>
      <c r="D78" t="s">
        <v>413</v>
      </c>
      <c r="E78" t="s">
        <v>252</v>
      </c>
      <c r="F78" t="s">
        <v>220</v>
      </c>
      <c r="G78" t="s">
        <v>364</v>
      </c>
      <c r="H78" s="4">
        <v>33631</v>
      </c>
      <c r="I78" t="s">
        <v>254</v>
      </c>
    </row>
    <row r="79" spans="1:9" x14ac:dyDescent="0.25">
      <c r="A79">
        <v>78</v>
      </c>
      <c r="B79" t="s">
        <v>414</v>
      </c>
      <c r="C79">
        <v>1449</v>
      </c>
      <c r="D79" t="s">
        <v>415</v>
      </c>
      <c r="E79" t="s">
        <v>252</v>
      </c>
      <c r="F79" t="s">
        <v>220</v>
      </c>
      <c r="G79" t="s">
        <v>364</v>
      </c>
      <c r="H79" s="4">
        <v>33675</v>
      </c>
      <c r="I79" t="s">
        <v>254</v>
      </c>
    </row>
    <row r="80" spans="1:9" x14ac:dyDescent="0.25">
      <c r="A80">
        <v>79</v>
      </c>
      <c r="B80" t="s">
        <v>416</v>
      </c>
      <c r="C80">
        <v>1451</v>
      </c>
      <c r="D80" t="s">
        <v>417</v>
      </c>
      <c r="E80" t="s">
        <v>252</v>
      </c>
      <c r="F80" t="s">
        <v>220</v>
      </c>
      <c r="G80" t="s">
        <v>364</v>
      </c>
      <c r="H80" s="4">
        <v>33959</v>
      </c>
      <c r="I80" t="s">
        <v>254</v>
      </c>
    </row>
    <row r="81" spans="1:9" x14ac:dyDescent="0.25">
      <c r="A81">
        <v>80</v>
      </c>
      <c r="B81" t="s">
        <v>418</v>
      </c>
      <c r="C81">
        <v>1452</v>
      </c>
      <c r="D81" t="s">
        <v>419</v>
      </c>
      <c r="E81" t="s">
        <v>252</v>
      </c>
      <c r="F81" t="s">
        <v>220</v>
      </c>
      <c r="G81" t="s">
        <v>364</v>
      </c>
      <c r="H81" s="4">
        <v>33966</v>
      </c>
      <c r="I81" t="s">
        <v>254</v>
      </c>
    </row>
    <row r="82" spans="1:9" x14ac:dyDescent="0.25">
      <c r="A82">
        <v>81</v>
      </c>
      <c r="B82" t="s">
        <v>420</v>
      </c>
      <c r="C82">
        <v>1453</v>
      </c>
      <c r="D82" t="s">
        <v>421</v>
      </c>
      <c r="E82" t="s">
        <v>252</v>
      </c>
      <c r="F82" t="s">
        <v>220</v>
      </c>
      <c r="G82" t="s">
        <v>335</v>
      </c>
      <c r="H82" s="4">
        <v>34078</v>
      </c>
      <c r="I82" t="s">
        <v>254</v>
      </c>
    </row>
    <row r="83" spans="1:9" x14ac:dyDescent="0.25">
      <c r="A83">
        <v>82</v>
      </c>
      <c r="B83" t="s">
        <v>422</v>
      </c>
      <c r="C83">
        <v>1454</v>
      </c>
      <c r="D83" t="s">
        <v>423</v>
      </c>
      <c r="E83" t="s">
        <v>252</v>
      </c>
      <c r="F83" t="s">
        <v>220</v>
      </c>
      <c r="G83" t="s">
        <v>364</v>
      </c>
      <c r="H83" s="4">
        <v>34096</v>
      </c>
      <c r="I83" t="s">
        <v>254</v>
      </c>
    </row>
    <row r="84" spans="1:9" x14ac:dyDescent="0.25">
      <c r="A84">
        <v>83</v>
      </c>
      <c r="B84" t="s">
        <v>424</v>
      </c>
      <c r="C84">
        <v>1455</v>
      </c>
      <c r="D84" t="s">
        <v>425</v>
      </c>
      <c r="E84" t="s">
        <v>252</v>
      </c>
      <c r="F84" t="s">
        <v>220</v>
      </c>
      <c r="G84" t="s">
        <v>364</v>
      </c>
      <c r="H84" s="4">
        <v>34249</v>
      </c>
      <c r="I84" t="s">
        <v>254</v>
      </c>
    </row>
    <row r="85" spans="1:9" x14ac:dyDescent="0.25">
      <c r="A85">
        <v>84</v>
      </c>
      <c r="B85" t="s">
        <v>426</v>
      </c>
      <c r="C85">
        <v>1456</v>
      </c>
      <c r="D85" t="s">
        <v>427</v>
      </c>
      <c r="E85" t="s">
        <v>252</v>
      </c>
      <c r="F85" t="s">
        <v>220</v>
      </c>
      <c r="G85" t="s">
        <v>335</v>
      </c>
      <c r="H85" s="4">
        <v>34312</v>
      </c>
      <c r="I85" t="s">
        <v>254</v>
      </c>
    </row>
    <row r="86" spans="1:9" x14ac:dyDescent="0.25">
      <c r="A86">
        <v>85</v>
      </c>
      <c r="B86" t="s">
        <v>428</v>
      </c>
      <c r="C86">
        <v>1457</v>
      </c>
      <c r="D86" t="s">
        <v>429</v>
      </c>
      <c r="E86" t="s">
        <v>252</v>
      </c>
      <c r="F86" t="s">
        <v>220</v>
      </c>
      <c r="G86" t="s">
        <v>364</v>
      </c>
      <c r="H86" s="4">
        <v>34627</v>
      </c>
      <c r="I86" t="s">
        <v>254</v>
      </c>
    </row>
    <row r="87" spans="1:9" x14ac:dyDescent="0.25">
      <c r="A87">
        <v>86</v>
      </c>
      <c r="B87" t="s">
        <v>430</v>
      </c>
      <c r="C87">
        <v>1459</v>
      </c>
      <c r="D87" t="s">
        <v>431</v>
      </c>
      <c r="E87" t="s">
        <v>252</v>
      </c>
      <c r="F87" t="s">
        <v>220</v>
      </c>
      <c r="G87" t="s">
        <v>364</v>
      </c>
      <c r="H87" s="4">
        <v>34633</v>
      </c>
      <c r="I87" t="s">
        <v>254</v>
      </c>
    </row>
    <row r="88" spans="1:9" x14ac:dyDescent="0.25">
      <c r="A88">
        <v>87</v>
      </c>
      <c r="B88" t="s">
        <v>432</v>
      </c>
      <c r="C88">
        <v>1460</v>
      </c>
      <c r="D88" t="s">
        <v>433</v>
      </c>
      <c r="E88" t="s">
        <v>252</v>
      </c>
      <c r="F88" t="s">
        <v>220</v>
      </c>
      <c r="G88" t="s">
        <v>364</v>
      </c>
      <c r="H88" s="4">
        <v>34817</v>
      </c>
      <c r="I88" t="s">
        <v>254</v>
      </c>
    </row>
    <row r="89" spans="1:9" x14ac:dyDescent="0.25">
      <c r="A89">
        <v>88</v>
      </c>
      <c r="B89" t="s">
        <v>434</v>
      </c>
      <c r="C89">
        <v>1463</v>
      </c>
      <c r="D89" t="s">
        <v>435</v>
      </c>
      <c r="E89" t="s">
        <v>252</v>
      </c>
      <c r="F89" t="s">
        <v>220</v>
      </c>
      <c r="G89" t="s">
        <v>364</v>
      </c>
      <c r="H89" s="4">
        <v>35404</v>
      </c>
      <c r="I89" t="s">
        <v>254</v>
      </c>
    </row>
    <row r="90" spans="1:9" x14ac:dyDescent="0.25">
      <c r="A90">
        <v>89</v>
      </c>
      <c r="B90" t="s">
        <v>436</v>
      </c>
      <c r="C90">
        <v>1464</v>
      </c>
      <c r="D90" t="s">
        <v>437</v>
      </c>
      <c r="E90" t="s">
        <v>252</v>
      </c>
      <c r="F90" t="s">
        <v>220</v>
      </c>
      <c r="G90" t="s">
        <v>364</v>
      </c>
      <c r="H90" s="4">
        <v>35448</v>
      </c>
      <c r="I90" t="s">
        <v>254</v>
      </c>
    </row>
    <row r="91" spans="1:9" x14ac:dyDescent="0.25">
      <c r="A91">
        <v>90</v>
      </c>
      <c r="B91" t="s">
        <v>438</v>
      </c>
      <c r="C91">
        <v>1465</v>
      </c>
      <c r="D91" t="s">
        <v>439</v>
      </c>
      <c r="E91" t="s">
        <v>252</v>
      </c>
      <c r="F91" t="s">
        <v>220</v>
      </c>
      <c r="G91" t="s">
        <v>364</v>
      </c>
      <c r="H91" s="4">
        <v>35681</v>
      </c>
      <c r="I91" t="s">
        <v>254</v>
      </c>
    </row>
    <row r="92" spans="1:9" x14ac:dyDescent="0.25">
      <c r="A92">
        <v>91</v>
      </c>
      <c r="B92" t="s">
        <v>440</v>
      </c>
      <c r="C92">
        <v>1466</v>
      </c>
      <c r="D92" t="s">
        <v>441</v>
      </c>
      <c r="E92" t="s">
        <v>252</v>
      </c>
      <c r="F92" t="s">
        <v>220</v>
      </c>
      <c r="G92" t="s">
        <v>364</v>
      </c>
      <c r="H92" s="4">
        <v>35889</v>
      </c>
      <c r="I92" t="s">
        <v>254</v>
      </c>
    </row>
    <row r="93" spans="1:9" x14ac:dyDescent="0.25">
      <c r="A93">
        <v>92</v>
      </c>
      <c r="B93" t="s">
        <v>442</v>
      </c>
      <c r="C93">
        <v>1467</v>
      </c>
      <c r="D93" t="s">
        <v>443</v>
      </c>
      <c r="E93" t="s">
        <v>252</v>
      </c>
      <c r="F93" t="s">
        <v>220</v>
      </c>
      <c r="G93" t="s">
        <v>364</v>
      </c>
      <c r="H93" s="4">
        <v>36150</v>
      </c>
      <c r="I93" t="s">
        <v>254</v>
      </c>
    </row>
    <row r="94" spans="1:9" x14ac:dyDescent="0.25">
      <c r="A94">
        <v>93</v>
      </c>
      <c r="B94" t="s">
        <v>444</v>
      </c>
      <c r="C94">
        <v>1468</v>
      </c>
      <c r="D94" t="s">
        <v>445</v>
      </c>
      <c r="E94" t="s">
        <v>252</v>
      </c>
      <c r="F94" t="s">
        <v>220</v>
      </c>
      <c r="G94" t="s">
        <v>364</v>
      </c>
      <c r="H94" s="4">
        <v>36181</v>
      </c>
      <c r="I94" t="s">
        <v>254</v>
      </c>
    </row>
    <row r="95" spans="1:9" x14ac:dyDescent="0.25">
      <c r="A95">
        <v>94</v>
      </c>
      <c r="B95" t="s">
        <v>446</v>
      </c>
      <c r="C95">
        <v>1470</v>
      </c>
      <c r="D95" t="s">
        <v>447</v>
      </c>
      <c r="E95" t="s">
        <v>252</v>
      </c>
      <c r="F95" t="s">
        <v>220</v>
      </c>
      <c r="G95" t="s">
        <v>364</v>
      </c>
      <c r="H95" s="4">
        <v>36301</v>
      </c>
      <c r="I95" t="s">
        <v>254</v>
      </c>
    </row>
    <row r="96" spans="1:9" x14ac:dyDescent="0.25">
      <c r="A96">
        <v>95</v>
      </c>
      <c r="B96" t="s">
        <v>448</v>
      </c>
      <c r="C96">
        <v>1471</v>
      </c>
      <c r="D96" t="s">
        <v>449</v>
      </c>
      <c r="E96" t="s">
        <v>252</v>
      </c>
      <c r="F96" t="s">
        <v>220</v>
      </c>
      <c r="G96" t="s">
        <v>450</v>
      </c>
      <c r="H96" s="4">
        <v>36591</v>
      </c>
      <c r="I96" t="s">
        <v>254</v>
      </c>
    </row>
    <row r="97" spans="1:9" x14ac:dyDescent="0.25">
      <c r="A97">
        <v>96</v>
      </c>
      <c r="B97" t="s">
        <v>451</v>
      </c>
      <c r="C97">
        <v>1472</v>
      </c>
      <c r="D97" t="s">
        <v>452</v>
      </c>
      <c r="E97" t="s">
        <v>252</v>
      </c>
      <c r="F97" t="s">
        <v>220</v>
      </c>
      <c r="G97" t="s">
        <v>364</v>
      </c>
      <c r="H97" s="4">
        <v>36780</v>
      </c>
      <c r="I97" t="s">
        <v>254</v>
      </c>
    </row>
    <row r="98" spans="1:9" x14ac:dyDescent="0.25">
      <c r="A98">
        <v>97</v>
      </c>
      <c r="B98" t="s">
        <v>453</v>
      </c>
      <c r="C98">
        <v>1473</v>
      </c>
      <c r="D98" t="s">
        <v>454</v>
      </c>
      <c r="E98" t="s">
        <v>252</v>
      </c>
      <c r="F98" t="s">
        <v>220</v>
      </c>
      <c r="G98" t="s">
        <v>364</v>
      </c>
      <c r="H98" s="4">
        <v>36780</v>
      </c>
      <c r="I98" t="s">
        <v>254</v>
      </c>
    </row>
    <row r="99" spans="1:9" x14ac:dyDescent="0.25">
      <c r="A99">
        <v>98</v>
      </c>
      <c r="B99" t="s">
        <v>455</v>
      </c>
      <c r="C99">
        <v>1474</v>
      </c>
      <c r="D99" t="s">
        <v>456</v>
      </c>
      <c r="E99" t="s">
        <v>252</v>
      </c>
      <c r="F99" t="s">
        <v>220</v>
      </c>
      <c r="G99" t="s">
        <v>364</v>
      </c>
      <c r="H99" s="4">
        <v>36830</v>
      </c>
      <c r="I99" t="s">
        <v>254</v>
      </c>
    </row>
    <row r="100" spans="1:9" x14ac:dyDescent="0.25">
      <c r="A100">
        <v>99</v>
      </c>
      <c r="B100" t="s">
        <v>457</v>
      </c>
      <c r="C100">
        <v>1475</v>
      </c>
      <c r="D100" t="s">
        <v>458</v>
      </c>
      <c r="E100" t="s">
        <v>252</v>
      </c>
      <c r="F100" t="s">
        <v>220</v>
      </c>
      <c r="G100" t="s">
        <v>364</v>
      </c>
      <c r="H100" s="4">
        <v>36826</v>
      </c>
      <c r="I100" t="s">
        <v>254</v>
      </c>
    </row>
    <row r="101" spans="1:9" x14ac:dyDescent="0.25">
      <c r="A101">
        <v>100</v>
      </c>
      <c r="B101" t="s">
        <v>459</v>
      </c>
      <c r="C101">
        <v>1476</v>
      </c>
      <c r="D101" t="s">
        <v>460</v>
      </c>
      <c r="E101" t="s">
        <v>252</v>
      </c>
      <c r="F101" t="s">
        <v>220</v>
      </c>
      <c r="G101" t="s">
        <v>364</v>
      </c>
      <c r="H101" s="4">
        <v>36999</v>
      </c>
      <c r="I101" t="s">
        <v>254</v>
      </c>
    </row>
    <row r="102" spans="1:9" x14ac:dyDescent="0.25">
      <c r="A102">
        <v>101</v>
      </c>
      <c r="B102" t="s">
        <v>461</v>
      </c>
      <c r="C102">
        <v>1477</v>
      </c>
      <c r="D102" t="s">
        <v>462</v>
      </c>
      <c r="E102" t="s">
        <v>252</v>
      </c>
      <c r="F102" t="s">
        <v>220</v>
      </c>
      <c r="G102" t="s">
        <v>364</v>
      </c>
      <c r="H102" s="4">
        <v>37642</v>
      </c>
      <c r="I102" t="s">
        <v>254</v>
      </c>
    </row>
    <row r="103" spans="1:9" x14ac:dyDescent="0.25">
      <c r="A103">
        <v>102</v>
      </c>
      <c r="B103" t="s">
        <v>463</v>
      </c>
      <c r="C103">
        <v>1503</v>
      </c>
      <c r="D103" t="s">
        <v>464</v>
      </c>
      <c r="E103" t="s">
        <v>252</v>
      </c>
      <c r="F103" t="s">
        <v>220</v>
      </c>
      <c r="G103" t="s">
        <v>465</v>
      </c>
      <c r="H103" s="4">
        <v>25552</v>
      </c>
      <c r="I103" t="s">
        <v>254</v>
      </c>
    </row>
    <row r="104" spans="1:9" x14ac:dyDescent="0.25">
      <c r="A104">
        <v>103</v>
      </c>
      <c r="B104" t="s">
        <v>466</v>
      </c>
      <c r="C104">
        <v>1504</v>
      </c>
      <c r="D104" t="s">
        <v>467</v>
      </c>
      <c r="E104" t="s">
        <v>252</v>
      </c>
      <c r="F104" t="s">
        <v>220</v>
      </c>
      <c r="G104" t="s">
        <v>465</v>
      </c>
      <c r="H104" s="4">
        <v>26973</v>
      </c>
      <c r="I104" t="s">
        <v>254</v>
      </c>
    </row>
    <row r="105" spans="1:9" x14ac:dyDescent="0.25">
      <c r="A105">
        <v>104</v>
      </c>
      <c r="B105" t="s">
        <v>468</v>
      </c>
      <c r="C105">
        <v>1506</v>
      </c>
      <c r="D105" t="s">
        <v>469</v>
      </c>
      <c r="E105" t="s">
        <v>252</v>
      </c>
      <c r="F105" t="s">
        <v>220</v>
      </c>
      <c r="G105" t="s">
        <v>465</v>
      </c>
      <c r="H105" s="4">
        <v>29444</v>
      </c>
      <c r="I105" t="s">
        <v>254</v>
      </c>
    </row>
    <row r="106" spans="1:9" x14ac:dyDescent="0.25">
      <c r="A106">
        <v>105</v>
      </c>
      <c r="B106" t="s">
        <v>470</v>
      </c>
      <c r="C106">
        <v>1507</v>
      </c>
      <c r="D106" t="s">
        <v>471</v>
      </c>
      <c r="E106" t="s">
        <v>252</v>
      </c>
      <c r="F106" t="s">
        <v>220</v>
      </c>
      <c r="G106" t="s">
        <v>465</v>
      </c>
      <c r="H106" s="4">
        <v>32821</v>
      </c>
      <c r="I106" t="s">
        <v>254</v>
      </c>
    </row>
    <row r="107" spans="1:9" x14ac:dyDescent="0.25">
      <c r="A107">
        <v>106</v>
      </c>
      <c r="B107" t="s">
        <v>472</v>
      </c>
      <c r="C107">
        <v>1512</v>
      </c>
      <c r="D107" t="s">
        <v>473</v>
      </c>
      <c r="E107" t="s">
        <v>252</v>
      </c>
      <c r="F107" t="s">
        <v>220</v>
      </c>
      <c r="G107" t="s">
        <v>338</v>
      </c>
      <c r="H107" s="4">
        <v>34362</v>
      </c>
      <c r="I107" t="s">
        <v>254</v>
      </c>
    </row>
    <row r="108" spans="1:9" x14ac:dyDescent="0.25">
      <c r="A108">
        <v>107</v>
      </c>
      <c r="B108" t="s">
        <v>474</v>
      </c>
      <c r="C108">
        <v>1513</v>
      </c>
      <c r="D108" t="s">
        <v>475</v>
      </c>
      <c r="E108" t="s">
        <v>252</v>
      </c>
      <c r="F108" t="s">
        <v>220</v>
      </c>
      <c r="G108" t="s">
        <v>465</v>
      </c>
      <c r="H108" s="4">
        <v>34401</v>
      </c>
      <c r="I108" t="s">
        <v>254</v>
      </c>
    </row>
    <row r="109" spans="1:9" x14ac:dyDescent="0.25">
      <c r="A109">
        <v>108</v>
      </c>
      <c r="B109" t="s">
        <v>476</v>
      </c>
      <c r="C109">
        <v>1514</v>
      </c>
      <c r="D109" t="s">
        <v>477</v>
      </c>
      <c r="E109" t="s">
        <v>252</v>
      </c>
      <c r="F109" t="s">
        <v>220</v>
      </c>
      <c r="G109" t="s">
        <v>465</v>
      </c>
      <c r="H109" s="4">
        <v>34419</v>
      </c>
      <c r="I109" t="s">
        <v>254</v>
      </c>
    </row>
    <row r="110" spans="1:9" x14ac:dyDescent="0.25">
      <c r="A110">
        <v>109</v>
      </c>
      <c r="B110" t="s">
        <v>478</v>
      </c>
      <c r="C110">
        <v>1515</v>
      </c>
      <c r="D110" t="s">
        <v>479</v>
      </c>
      <c r="E110" t="s">
        <v>252</v>
      </c>
      <c r="F110" t="s">
        <v>220</v>
      </c>
      <c r="G110" t="s">
        <v>465</v>
      </c>
      <c r="H110" s="4">
        <v>34734</v>
      </c>
      <c r="I110" t="s">
        <v>254</v>
      </c>
    </row>
    <row r="111" spans="1:9" x14ac:dyDescent="0.25">
      <c r="A111">
        <v>110</v>
      </c>
      <c r="B111" t="s">
        <v>480</v>
      </c>
      <c r="C111">
        <v>1516</v>
      </c>
      <c r="D111" t="s">
        <v>481</v>
      </c>
      <c r="E111" t="s">
        <v>252</v>
      </c>
      <c r="F111" t="s">
        <v>220</v>
      </c>
      <c r="G111" t="s">
        <v>361</v>
      </c>
      <c r="H111" s="4">
        <v>34790</v>
      </c>
      <c r="I111" t="s">
        <v>254</v>
      </c>
    </row>
    <row r="112" spans="1:9" x14ac:dyDescent="0.25">
      <c r="A112">
        <v>111</v>
      </c>
      <c r="B112" t="s">
        <v>482</v>
      </c>
      <c r="C112">
        <v>1517</v>
      </c>
      <c r="D112" t="s">
        <v>483</v>
      </c>
      <c r="E112" t="s">
        <v>252</v>
      </c>
      <c r="F112" t="s">
        <v>220</v>
      </c>
      <c r="G112" t="s">
        <v>465</v>
      </c>
      <c r="H112" s="4">
        <v>35017</v>
      </c>
      <c r="I112" t="s">
        <v>254</v>
      </c>
    </row>
    <row r="113" spans="1:9" x14ac:dyDescent="0.25">
      <c r="A113">
        <v>112</v>
      </c>
      <c r="B113" t="s">
        <v>484</v>
      </c>
      <c r="C113">
        <v>1519</v>
      </c>
      <c r="D113" t="s">
        <v>485</v>
      </c>
      <c r="E113" t="s">
        <v>252</v>
      </c>
      <c r="F113" t="s">
        <v>220</v>
      </c>
      <c r="G113" t="s">
        <v>465</v>
      </c>
      <c r="H113" s="4">
        <v>35536</v>
      </c>
      <c r="I113" t="s">
        <v>254</v>
      </c>
    </row>
    <row r="114" spans="1:9" x14ac:dyDescent="0.25">
      <c r="A114">
        <v>113</v>
      </c>
      <c r="B114" t="s">
        <v>486</v>
      </c>
      <c r="C114">
        <v>1521</v>
      </c>
      <c r="D114" t="s">
        <v>487</v>
      </c>
      <c r="E114" t="s">
        <v>252</v>
      </c>
      <c r="F114" t="s">
        <v>220</v>
      </c>
      <c r="G114" t="s">
        <v>338</v>
      </c>
      <c r="H114" s="4">
        <v>35709</v>
      </c>
      <c r="I114" t="s">
        <v>254</v>
      </c>
    </row>
    <row r="115" spans="1:9" x14ac:dyDescent="0.25">
      <c r="A115">
        <v>114</v>
      </c>
      <c r="B115" t="s">
        <v>488</v>
      </c>
      <c r="C115">
        <v>1522</v>
      </c>
      <c r="D115" t="s">
        <v>489</v>
      </c>
      <c r="E115" t="s">
        <v>252</v>
      </c>
      <c r="F115" t="s">
        <v>220</v>
      </c>
      <c r="G115" t="s">
        <v>338</v>
      </c>
      <c r="H115" s="4">
        <v>35709</v>
      </c>
      <c r="I115" t="s">
        <v>254</v>
      </c>
    </row>
    <row r="116" spans="1:9" x14ac:dyDescent="0.25">
      <c r="A116">
        <v>115</v>
      </c>
      <c r="B116" t="s">
        <v>490</v>
      </c>
      <c r="C116">
        <v>1524</v>
      </c>
      <c r="D116" t="s">
        <v>491</v>
      </c>
      <c r="E116" t="s">
        <v>252</v>
      </c>
      <c r="F116" t="s">
        <v>220</v>
      </c>
      <c r="G116" t="s">
        <v>338</v>
      </c>
      <c r="H116" s="4">
        <v>36098</v>
      </c>
      <c r="I116" t="s">
        <v>254</v>
      </c>
    </row>
    <row r="117" spans="1:9" x14ac:dyDescent="0.25">
      <c r="A117">
        <v>116</v>
      </c>
      <c r="B117" t="s">
        <v>492</v>
      </c>
      <c r="C117">
        <v>1525</v>
      </c>
      <c r="D117" t="s">
        <v>493</v>
      </c>
      <c r="E117" t="s">
        <v>252</v>
      </c>
      <c r="F117" t="s">
        <v>220</v>
      </c>
      <c r="G117" t="s">
        <v>338</v>
      </c>
      <c r="H117" s="4">
        <v>36295</v>
      </c>
      <c r="I117" t="s">
        <v>254</v>
      </c>
    </row>
    <row r="118" spans="1:9" x14ac:dyDescent="0.25">
      <c r="A118">
        <v>117</v>
      </c>
      <c r="B118" t="s">
        <v>494</v>
      </c>
      <c r="C118">
        <v>1526</v>
      </c>
      <c r="D118" t="s">
        <v>495</v>
      </c>
      <c r="E118" t="s">
        <v>252</v>
      </c>
      <c r="F118" t="s">
        <v>220</v>
      </c>
      <c r="G118" t="s">
        <v>465</v>
      </c>
      <c r="H118" s="4">
        <v>36612</v>
      </c>
      <c r="I118" t="s">
        <v>254</v>
      </c>
    </row>
    <row r="119" spans="1:9" x14ac:dyDescent="0.25">
      <c r="A119">
        <v>118</v>
      </c>
      <c r="B119" t="s">
        <v>496</v>
      </c>
      <c r="C119">
        <v>1527</v>
      </c>
      <c r="D119" t="s">
        <v>497</v>
      </c>
      <c r="E119" t="s">
        <v>252</v>
      </c>
      <c r="F119" t="s">
        <v>220</v>
      </c>
      <c r="G119" t="s">
        <v>465</v>
      </c>
      <c r="H119" s="4">
        <v>36698</v>
      </c>
      <c r="I119" t="s">
        <v>254</v>
      </c>
    </row>
    <row r="120" spans="1:9" x14ac:dyDescent="0.25">
      <c r="A120">
        <v>119</v>
      </c>
      <c r="B120" t="s">
        <v>498</v>
      </c>
      <c r="C120">
        <v>1528</v>
      </c>
      <c r="D120" t="s">
        <v>499</v>
      </c>
      <c r="E120" t="s">
        <v>252</v>
      </c>
      <c r="F120" t="s">
        <v>220</v>
      </c>
      <c r="G120" t="s">
        <v>465</v>
      </c>
      <c r="H120" s="4">
        <v>36780</v>
      </c>
      <c r="I120" t="s">
        <v>254</v>
      </c>
    </row>
    <row r="121" spans="1:9" x14ac:dyDescent="0.25">
      <c r="A121">
        <v>120</v>
      </c>
      <c r="B121" t="s">
        <v>500</v>
      </c>
      <c r="C121">
        <v>1529</v>
      </c>
      <c r="D121" t="s">
        <v>501</v>
      </c>
      <c r="E121" t="s">
        <v>252</v>
      </c>
      <c r="F121" t="s">
        <v>220</v>
      </c>
      <c r="G121" t="s">
        <v>465</v>
      </c>
      <c r="H121" s="4">
        <v>36780</v>
      </c>
      <c r="I121" t="s">
        <v>254</v>
      </c>
    </row>
    <row r="122" spans="1:9" x14ac:dyDescent="0.25">
      <c r="A122">
        <v>121</v>
      </c>
      <c r="B122" t="s">
        <v>502</v>
      </c>
      <c r="C122">
        <v>1530</v>
      </c>
      <c r="D122" t="s">
        <v>503</v>
      </c>
      <c r="E122" t="s">
        <v>252</v>
      </c>
      <c r="F122" t="s">
        <v>220</v>
      </c>
      <c r="G122" t="s">
        <v>465</v>
      </c>
      <c r="H122" s="4">
        <v>36780</v>
      </c>
      <c r="I122" t="s">
        <v>254</v>
      </c>
    </row>
    <row r="123" spans="1:9" x14ac:dyDescent="0.25">
      <c r="A123">
        <v>122</v>
      </c>
      <c r="B123" t="s">
        <v>504</v>
      </c>
      <c r="C123">
        <v>1531</v>
      </c>
      <c r="D123" t="s">
        <v>505</v>
      </c>
      <c r="E123" t="s">
        <v>252</v>
      </c>
      <c r="F123" t="s">
        <v>220</v>
      </c>
      <c r="G123" t="s">
        <v>465</v>
      </c>
      <c r="H123" s="4">
        <v>36780</v>
      </c>
      <c r="I123" t="s">
        <v>254</v>
      </c>
    </row>
    <row r="124" spans="1:9" x14ac:dyDescent="0.25">
      <c r="A124">
        <v>123</v>
      </c>
      <c r="B124" t="s">
        <v>506</v>
      </c>
      <c r="C124">
        <v>1532</v>
      </c>
      <c r="D124" t="s">
        <v>507</v>
      </c>
      <c r="E124" t="s">
        <v>252</v>
      </c>
      <c r="F124" t="s">
        <v>220</v>
      </c>
      <c r="G124" t="s">
        <v>465</v>
      </c>
      <c r="H124" s="4">
        <v>36780</v>
      </c>
      <c r="I124" t="s">
        <v>254</v>
      </c>
    </row>
    <row r="125" spans="1:9" x14ac:dyDescent="0.25">
      <c r="A125">
        <v>124</v>
      </c>
      <c r="B125" t="s">
        <v>508</v>
      </c>
      <c r="C125">
        <v>1533</v>
      </c>
      <c r="D125" t="s">
        <v>509</v>
      </c>
      <c r="E125" t="s">
        <v>252</v>
      </c>
      <c r="F125" t="s">
        <v>220</v>
      </c>
      <c r="G125" t="s">
        <v>338</v>
      </c>
      <c r="H125" s="4">
        <v>36987</v>
      </c>
      <c r="I125" t="s">
        <v>254</v>
      </c>
    </row>
    <row r="126" spans="1:9" x14ac:dyDescent="0.25">
      <c r="A126">
        <v>125</v>
      </c>
      <c r="B126" t="s">
        <v>510</v>
      </c>
      <c r="C126">
        <v>1535</v>
      </c>
      <c r="D126" t="s">
        <v>511</v>
      </c>
      <c r="E126" t="s">
        <v>252</v>
      </c>
      <c r="F126" t="s">
        <v>220</v>
      </c>
      <c r="G126" t="s">
        <v>465</v>
      </c>
      <c r="H126" s="4">
        <v>37151</v>
      </c>
      <c r="I126" t="s">
        <v>254</v>
      </c>
    </row>
    <row r="127" spans="1:9" x14ac:dyDescent="0.25">
      <c r="A127">
        <v>126</v>
      </c>
      <c r="B127" t="s">
        <v>512</v>
      </c>
      <c r="C127">
        <v>1536</v>
      </c>
      <c r="D127" t="s">
        <v>513</v>
      </c>
      <c r="E127" t="s">
        <v>252</v>
      </c>
      <c r="F127" t="s">
        <v>220</v>
      </c>
      <c r="G127" t="s">
        <v>338</v>
      </c>
      <c r="H127" s="4">
        <v>37151</v>
      </c>
      <c r="I127" t="s">
        <v>254</v>
      </c>
    </row>
    <row r="128" spans="1:9" x14ac:dyDescent="0.25">
      <c r="A128">
        <v>127</v>
      </c>
      <c r="B128" t="s">
        <v>514</v>
      </c>
      <c r="C128">
        <v>1537</v>
      </c>
      <c r="D128" t="s">
        <v>515</v>
      </c>
      <c r="E128" t="s">
        <v>252</v>
      </c>
      <c r="F128" t="s">
        <v>220</v>
      </c>
      <c r="G128" t="s">
        <v>465</v>
      </c>
      <c r="H128" s="4">
        <v>37278</v>
      </c>
      <c r="I128" t="s">
        <v>254</v>
      </c>
    </row>
    <row r="129" spans="1:9" x14ac:dyDescent="0.25">
      <c r="A129">
        <v>128</v>
      </c>
      <c r="B129" t="s">
        <v>516</v>
      </c>
      <c r="C129">
        <v>1538</v>
      </c>
      <c r="D129" t="s">
        <v>517</v>
      </c>
      <c r="E129" t="s">
        <v>252</v>
      </c>
      <c r="F129" t="s">
        <v>220</v>
      </c>
      <c r="G129" t="s">
        <v>465</v>
      </c>
      <c r="H129" s="4">
        <v>37494</v>
      </c>
      <c r="I129" t="s">
        <v>254</v>
      </c>
    </row>
    <row r="130" spans="1:9" x14ac:dyDescent="0.25">
      <c r="A130">
        <v>129</v>
      </c>
      <c r="B130" t="s">
        <v>518</v>
      </c>
      <c r="C130">
        <v>1539</v>
      </c>
      <c r="D130" t="s">
        <v>519</v>
      </c>
      <c r="E130" t="s">
        <v>252</v>
      </c>
      <c r="F130" t="s">
        <v>220</v>
      </c>
      <c r="G130" t="s">
        <v>465</v>
      </c>
      <c r="H130" s="4">
        <v>37558</v>
      </c>
      <c r="I130" t="s">
        <v>254</v>
      </c>
    </row>
    <row r="131" spans="1:9" x14ac:dyDescent="0.25">
      <c r="A131">
        <v>130</v>
      </c>
      <c r="B131" t="s">
        <v>520</v>
      </c>
      <c r="C131">
        <v>1540</v>
      </c>
      <c r="D131" t="s">
        <v>521</v>
      </c>
      <c r="E131" t="s">
        <v>252</v>
      </c>
      <c r="F131" t="s">
        <v>220</v>
      </c>
      <c r="G131" t="s">
        <v>465</v>
      </c>
      <c r="H131" s="4">
        <v>37494</v>
      </c>
      <c r="I131" t="s">
        <v>254</v>
      </c>
    </row>
    <row r="132" spans="1:9" x14ac:dyDescent="0.25">
      <c r="A132">
        <v>131</v>
      </c>
      <c r="B132" t="s">
        <v>522</v>
      </c>
      <c r="C132">
        <v>1541</v>
      </c>
      <c r="D132" t="s">
        <v>523</v>
      </c>
      <c r="E132" t="s">
        <v>252</v>
      </c>
      <c r="F132" t="s">
        <v>220</v>
      </c>
      <c r="G132" t="s">
        <v>465</v>
      </c>
      <c r="H132" s="4">
        <v>37699</v>
      </c>
      <c r="I132" t="s">
        <v>254</v>
      </c>
    </row>
    <row r="133" spans="1:9" x14ac:dyDescent="0.25">
      <c r="A133">
        <v>132</v>
      </c>
      <c r="B133" t="s">
        <v>524</v>
      </c>
      <c r="C133">
        <v>1558</v>
      </c>
      <c r="D133" t="s">
        <v>525</v>
      </c>
      <c r="E133" t="s">
        <v>252</v>
      </c>
      <c r="F133" t="s">
        <v>220</v>
      </c>
      <c r="G133" t="s">
        <v>465</v>
      </c>
      <c r="H133" s="4">
        <v>41996</v>
      </c>
      <c r="I133" t="s">
        <v>254</v>
      </c>
    </row>
    <row r="134" spans="1:9" x14ac:dyDescent="0.25">
      <c r="A134">
        <v>133</v>
      </c>
      <c r="B134" t="s">
        <v>526</v>
      </c>
      <c r="C134">
        <v>1560</v>
      </c>
      <c r="D134" t="s">
        <v>527</v>
      </c>
      <c r="E134" t="s">
        <v>252</v>
      </c>
      <c r="F134" t="s">
        <v>220</v>
      </c>
      <c r="G134" t="s">
        <v>465</v>
      </c>
      <c r="H134" s="4">
        <v>38383</v>
      </c>
      <c r="I134" t="s">
        <v>254</v>
      </c>
    </row>
    <row r="135" spans="1:9" x14ac:dyDescent="0.25">
      <c r="A135">
        <v>134</v>
      </c>
      <c r="B135" t="s">
        <v>528</v>
      </c>
      <c r="C135">
        <v>1568</v>
      </c>
      <c r="D135" t="s">
        <v>529</v>
      </c>
      <c r="E135" t="s">
        <v>252</v>
      </c>
      <c r="F135" t="s">
        <v>220</v>
      </c>
      <c r="G135" t="s">
        <v>338</v>
      </c>
      <c r="H135" s="4">
        <v>41773</v>
      </c>
      <c r="I135" t="s">
        <v>254</v>
      </c>
    </row>
    <row r="136" spans="1:9" x14ac:dyDescent="0.25">
      <c r="A136">
        <v>135</v>
      </c>
      <c r="B136" t="s">
        <v>530</v>
      </c>
      <c r="C136">
        <v>1582</v>
      </c>
      <c r="D136" t="s">
        <v>531</v>
      </c>
      <c r="E136" t="s">
        <v>252</v>
      </c>
      <c r="F136" t="s">
        <v>220</v>
      </c>
      <c r="G136" t="s">
        <v>450</v>
      </c>
      <c r="H136" s="4">
        <v>40164</v>
      </c>
      <c r="I136" t="s">
        <v>254</v>
      </c>
    </row>
    <row r="137" spans="1:9" x14ac:dyDescent="0.25">
      <c r="A137">
        <v>136</v>
      </c>
      <c r="B137" t="s">
        <v>532</v>
      </c>
      <c r="C137">
        <v>1583</v>
      </c>
      <c r="D137" t="s">
        <v>533</v>
      </c>
      <c r="E137" t="s">
        <v>252</v>
      </c>
      <c r="F137" t="s">
        <v>220</v>
      </c>
      <c r="G137" t="s">
        <v>465</v>
      </c>
      <c r="H137" s="4">
        <v>39471</v>
      </c>
      <c r="I137" t="s">
        <v>254</v>
      </c>
    </row>
    <row r="138" spans="1:9" x14ac:dyDescent="0.25">
      <c r="A138">
        <v>137</v>
      </c>
      <c r="B138" t="s">
        <v>534</v>
      </c>
      <c r="C138">
        <v>1587</v>
      </c>
      <c r="D138" t="s">
        <v>535</v>
      </c>
      <c r="E138" t="s">
        <v>252</v>
      </c>
      <c r="F138" t="s">
        <v>220</v>
      </c>
      <c r="G138" t="s">
        <v>338</v>
      </c>
      <c r="H138" s="4">
        <v>43206</v>
      </c>
      <c r="I138" t="s">
        <v>254</v>
      </c>
    </row>
    <row r="139" spans="1:9" x14ac:dyDescent="0.25">
      <c r="A139">
        <v>138</v>
      </c>
      <c r="B139" t="s">
        <v>536</v>
      </c>
      <c r="C139">
        <v>1589</v>
      </c>
      <c r="D139" t="s">
        <v>537</v>
      </c>
      <c r="E139" t="s">
        <v>252</v>
      </c>
      <c r="F139" t="s">
        <v>220</v>
      </c>
      <c r="G139" t="s">
        <v>465</v>
      </c>
      <c r="H139" s="4">
        <v>41026</v>
      </c>
      <c r="I139" t="s">
        <v>254</v>
      </c>
    </row>
    <row r="140" spans="1:9" x14ac:dyDescent="0.25">
      <c r="A140">
        <v>139</v>
      </c>
      <c r="B140" t="s">
        <v>538</v>
      </c>
      <c r="C140">
        <v>1590</v>
      </c>
      <c r="D140" t="s">
        <v>539</v>
      </c>
      <c r="E140" t="s">
        <v>252</v>
      </c>
      <c r="F140" t="s">
        <v>220</v>
      </c>
      <c r="G140" t="s">
        <v>465</v>
      </c>
      <c r="H140" s="4">
        <v>40525</v>
      </c>
      <c r="I140" t="s">
        <v>254</v>
      </c>
    </row>
    <row r="141" spans="1:9" x14ac:dyDescent="0.25">
      <c r="A141">
        <v>140</v>
      </c>
      <c r="B141" t="s">
        <v>540</v>
      </c>
      <c r="C141">
        <v>1592</v>
      </c>
      <c r="D141" t="s">
        <v>541</v>
      </c>
      <c r="E141" t="s">
        <v>252</v>
      </c>
      <c r="F141" t="s">
        <v>220</v>
      </c>
      <c r="G141" t="s">
        <v>338</v>
      </c>
      <c r="H141" s="4">
        <v>41928</v>
      </c>
      <c r="I141" t="s">
        <v>254</v>
      </c>
    </row>
    <row r="142" spans="1:9" x14ac:dyDescent="0.25">
      <c r="A142">
        <v>141</v>
      </c>
      <c r="B142" t="s">
        <v>542</v>
      </c>
      <c r="C142">
        <v>1597</v>
      </c>
      <c r="D142" t="s">
        <v>543</v>
      </c>
      <c r="E142" t="s">
        <v>252</v>
      </c>
      <c r="F142" t="s">
        <v>220</v>
      </c>
      <c r="G142" t="s">
        <v>465</v>
      </c>
      <c r="H142" s="4">
        <v>44188</v>
      </c>
      <c r="I142" t="s">
        <v>254</v>
      </c>
    </row>
    <row r="143" spans="1:9" x14ac:dyDescent="0.25">
      <c r="A143">
        <v>142</v>
      </c>
      <c r="B143" t="s">
        <v>544</v>
      </c>
      <c r="C143">
        <v>1598</v>
      </c>
      <c r="D143" t="s">
        <v>545</v>
      </c>
      <c r="E143" t="s">
        <v>252</v>
      </c>
      <c r="F143" t="s">
        <v>220</v>
      </c>
      <c r="G143" t="s">
        <v>546</v>
      </c>
      <c r="H143" s="4">
        <v>42633</v>
      </c>
      <c r="I143" t="s">
        <v>254</v>
      </c>
    </row>
    <row r="144" spans="1:9" x14ac:dyDescent="0.25">
      <c r="A144">
        <v>143</v>
      </c>
      <c r="B144" t="s">
        <v>547</v>
      </c>
      <c r="C144">
        <v>1603</v>
      </c>
      <c r="D144" t="s">
        <v>548</v>
      </c>
      <c r="E144" t="s">
        <v>252</v>
      </c>
      <c r="F144" t="s">
        <v>220</v>
      </c>
      <c r="G144" t="s">
        <v>549</v>
      </c>
      <c r="H144" s="4">
        <v>24992</v>
      </c>
      <c r="I144" t="s">
        <v>254</v>
      </c>
    </row>
    <row r="145" spans="1:9" x14ac:dyDescent="0.25">
      <c r="A145">
        <v>144</v>
      </c>
      <c r="B145" t="s">
        <v>550</v>
      </c>
      <c r="C145">
        <v>1604</v>
      </c>
      <c r="D145" t="s">
        <v>551</v>
      </c>
      <c r="E145" t="s">
        <v>252</v>
      </c>
      <c r="F145" t="s">
        <v>220</v>
      </c>
      <c r="G145" t="s">
        <v>549</v>
      </c>
      <c r="H145" s="4">
        <v>25916</v>
      </c>
      <c r="I145" t="s">
        <v>254</v>
      </c>
    </row>
    <row r="146" spans="1:9" x14ac:dyDescent="0.25">
      <c r="A146">
        <v>145</v>
      </c>
      <c r="B146" t="s">
        <v>552</v>
      </c>
      <c r="C146">
        <v>1605</v>
      </c>
      <c r="D146" t="s">
        <v>553</v>
      </c>
      <c r="E146" t="s">
        <v>252</v>
      </c>
      <c r="F146" t="s">
        <v>220</v>
      </c>
      <c r="G146" t="s">
        <v>549</v>
      </c>
      <c r="H146" s="4">
        <v>26606</v>
      </c>
      <c r="I146" t="s">
        <v>254</v>
      </c>
    </row>
    <row r="147" spans="1:9" x14ac:dyDescent="0.25">
      <c r="A147">
        <v>146</v>
      </c>
      <c r="B147" t="s">
        <v>554</v>
      </c>
      <c r="C147">
        <v>1608</v>
      </c>
      <c r="D147" t="s">
        <v>555</v>
      </c>
      <c r="E147" t="s">
        <v>252</v>
      </c>
      <c r="F147" t="s">
        <v>220</v>
      </c>
      <c r="G147" t="s">
        <v>549</v>
      </c>
      <c r="H147" s="4">
        <v>32335</v>
      </c>
      <c r="I147" t="s">
        <v>254</v>
      </c>
    </row>
    <row r="148" spans="1:9" x14ac:dyDescent="0.25">
      <c r="A148">
        <v>147</v>
      </c>
      <c r="B148" t="s">
        <v>556</v>
      </c>
      <c r="C148">
        <v>1609</v>
      </c>
      <c r="D148" t="s">
        <v>557</v>
      </c>
      <c r="E148" t="s">
        <v>252</v>
      </c>
      <c r="F148" t="s">
        <v>220</v>
      </c>
      <c r="G148" t="s">
        <v>549</v>
      </c>
      <c r="H148" s="4">
        <v>32489</v>
      </c>
      <c r="I148" t="s">
        <v>254</v>
      </c>
    </row>
    <row r="149" spans="1:9" x14ac:dyDescent="0.25">
      <c r="A149">
        <v>148</v>
      </c>
      <c r="B149" t="s">
        <v>558</v>
      </c>
      <c r="C149">
        <v>1611</v>
      </c>
      <c r="D149" t="s">
        <v>559</v>
      </c>
      <c r="E149" t="s">
        <v>252</v>
      </c>
      <c r="F149" t="s">
        <v>220</v>
      </c>
      <c r="G149" t="s">
        <v>549</v>
      </c>
      <c r="H149" s="4">
        <v>32889</v>
      </c>
      <c r="I149" t="s">
        <v>254</v>
      </c>
    </row>
    <row r="150" spans="1:9" x14ac:dyDescent="0.25">
      <c r="A150">
        <v>149</v>
      </c>
      <c r="B150" t="s">
        <v>560</v>
      </c>
      <c r="C150">
        <v>1612</v>
      </c>
      <c r="D150" t="s">
        <v>561</v>
      </c>
      <c r="E150" t="s">
        <v>252</v>
      </c>
      <c r="F150" t="s">
        <v>220</v>
      </c>
      <c r="G150" t="s">
        <v>549</v>
      </c>
      <c r="H150" s="4">
        <v>34097</v>
      </c>
      <c r="I150" t="s">
        <v>254</v>
      </c>
    </row>
    <row r="151" spans="1:9" x14ac:dyDescent="0.25">
      <c r="A151">
        <v>150</v>
      </c>
      <c r="B151" t="s">
        <v>562</v>
      </c>
      <c r="C151">
        <v>1614</v>
      </c>
      <c r="D151" t="s">
        <v>563</v>
      </c>
      <c r="E151" t="s">
        <v>252</v>
      </c>
      <c r="F151" t="s">
        <v>220</v>
      </c>
      <c r="G151" t="s">
        <v>549</v>
      </c>
      <c r="H151" s="4">
        <v>35691</v>
      </c>
      <c r="I151" t="s">
        <v>254</v>
      </c>
    </row>
    <row r="152" spans="1:9" x14ac:dyDescent="0.25">
      <c r="A152">
        <v>151</v>
      </c>
      <c r="B152" t="s">
        <v>564</v>
      </c>
      <c r="C152">
        <v>1615</v>
      </c>
      <c r="D152" t="s">
        <v>565</v>
      </c>
      <c r="E152" t="s">
        <v>252</v>
      </c>
      <c r="F152" t="s">
        <v>220</v>
      </c>
      <c r="G152" t="s">
        <v>549</v>
      </c>
      <c r="H152" s="4">
        <v>36615</v>
      </c>
      <c r="I152" t="s">
        <v>254</v>
      </c>
    </row>
    <row r="153" spans="1:9" x14ac:dyDescent="0.25">
      <c r="A153">
        <v>152</v>
      </c>
      <c r="B153" t="s">
        <v>566</v>
      </c>
      <c r="C153">
        <v>1616</v>
      </c>
      <c r="D153" t="s">
        <v>567</v>
      </c>
      <c r="E153" t="s">
        <v>252</v>
      </c>
      <c r="F153" t="s">
        <v>220</v>
      </c>
      <c r="G153" t="s">
        <v>549</v>
      </c>
      <c r="H153" s="4">
        <v>36780</v>
      </c>
      <c r="I153" t="s">
        <v>254</v>
      </c>
    </row>
    <row r="154" spans="1:9" x14ac:dyDescent="0.25">
      <c r="A154">
        <v>153</v>
      </c>
      <c r="B154" t="s">
        <v>568</v>
      </c>
      <c r="C154">
        <v>1617</v>
      </c>
      <c r="D154" t="s">
        <v>569</v>
      </c>
      <c r="E154" t="s">
        <v>252</v>
      </c>
      <c r="F154" t="s">
        <v>220</v>
      </c>
      <c r="G154" t="s">
        <v>549</v>
      </c>
      <c r="H154" s="4">
        <v>36780</v>
      </c>
      <c r="I154" t="s">
        <v>254</v>
      </c>
    </row>
    <row r="155" spans="1:9" x14ac:dyDescent="0.25">
      <c r="A155">
        <v>154</v>
      </c>
      <c r="B155" t="s">
        <v>570</v>
      </c>
      <c r="C155">
        <v>1618</v>
      </c>
      <c r="D155" t="s">
        <v>571</v>
      </c>
      <c r="E155" t="s">
        <v>252</v>
      </c>
      <c r="F155" t="s">
        <v>220</v>
      </c>
      <c r="G155" t="s">
        <v>549</v>
      </c>
      <c r="H155" s="4">
        <v>36780</v>
      </c>
      <c r="I155" t="s">
        <v>254</v>
      </c>
    </row>
    <row r="156" spans="1:9" x14ac:dyDescent="0.25">
      <c r="A156">
        <v>155</v>
      </c>
      <c r="B156" t="s">
        <v>572</v>
      </c>
      <c r="C156">
        <v>1626</v>
      </c>
      <c r="D156" t="s">
        <v>573</v>
      </c>
      <c r="E156" t="s">
        <v>252</v>
      </c>
      <c r="F156" t="s">
        <v>220</v>
      </c>
      <c r="G156" t="s">
        <v>549</v>
      </c>
      <c r="H156" s="4">
        <v>41354</v>
      </c>
      <c r="I156" t="s">
        <v>254</v>
      </c>
    </row>
    <row r="157" spans="1:9" x14ac:dyDescent="0.25">
      <c r="A157">
        <v>156</v>
      </c>
      <c r="B157" t="s">
        <v>574</v>
      </c>
      <c r="C157">
        <v>1701</v>
      </c>
      <c r="D157" t="s">
        <v>575</v>
      </c>
      <c r="E157" t="s">
        <v>252</v>
      </c>
      <c r="F157" t="s">
        <v>220</v>
      </c>
      <c r="G157" t="s">
        <v>546</v>
      </c>
      <c r="H157" s="4">
        <v>22686</v>
      </c>
      <c r="I157" t="s">
        <v>254</v>
      </c>
    </row>
    <row r="158" spans="1:9" x14ac:dyDescent="0.25">
      <c r="A158">
        <v>157</v>
      </c>
      <c r="B158" t="s">
        <v>576</v>
      </c>
      <c r="C158">
        <v>1702</v>
      </c>
      <c r="D158" t="s">
        <v>577</v>
      </c>
      <c r="E158" t="s">
        <v>252</v>
      </c>
      <c r="F158" t="s">
        <v>220</v>
      </c>
      <c r="G158" t="s">
        <v>269</v>
      </c>
      <c r="H158" s="4">
        <v>26814</v>
      </c>
      <c r="I158" t="s">
        <v>254</v>
      </c>
    </row>
    <row r="159" spans="1:9" x14ac:dyDescent="0.25">
      <c r="A159">
        <v>158</v>
      </c>
      <c r="B159" t="s">
        <v>578</v>
      </c>
      <c r="C159">
        <v>1707</v>
      </c>
      <c r="D159" t="s">
        <v>579</v>
      </c>
      <c r="E159" t="s">
        <v>252</v>
      </c>
      <c r="F159" t="s">
        <v>220</v>
      </c>
      <c r="G159" t="s">
        <v>546</v>
      </c>
      <c r="H159" s="4">
        <v>30305</v>
      </c>
      <c r="I159" t="s">
        <v>254</v>
      </c>
    </row>
    <row r="160" spans="1:9" x14ac:dyDescent="0.25">
      <c r="A160">
        <v>159</v>
      </c>
      <c r="B160" t="s">
        <v>580</v>
      </c>
      <c r="C160">
        <v>1708</v>
      </c>
      <c r="D160" t="s">
        <v>581</v>
      </c>
      <c r="E160" t="s">
        <v>252</v>
      </c>
      <c r="F160" t="s">
        <v>220</v>
      </c>
      <c r="G160" t="s">
        <v>582</v>
      </c>
      <c r="H160" s="4">
        <v>31579</v>
      </c>
      <c r="I160" t="s">
        <v>254</v>
      </c>
    </row>
    <row r="161" spans="1:9" x14ac:dyDescent="0.25">
      <c r="A161">
        <v>160</v>
      </c>
      <c r="B161" t="s">
        <v>583</v>
      </c>
      <c r="C161">
        <v>1709</v>
      </c>
      <c r="D161" t="s">
        <v>584</v>
      </c>
      <c r="E161" t="s">
        <v>252</v>
      </c>
      <c r="F161" t="s">
        <v>220</v>
      </c>
      <c r="G161" t="s">
        <v>582</v>
      </c>
      <c r="H161" s="4">
        <v>31596</v>
      </c>
      <c r="I161" t="s">
        <v>254</v>
      </c>
    </row>
    <row r="162" spans="1:9" x14ac:dyDescent="0.25">
      <c r="A162">
        <v>161</v>
      </c>
      <c r="B162" t="s">
        <v>585</v>
      </c>
      <c r="C162">
        <v>1710</v>
      </c>
      <c r="D162" t="s">
        <v>586</v>
      </c>
      <c r="E162" t="s">
        <v>252</v>
      </c>
      <c r="F162" t="s">
        <v>220</v>
      </c>
      <c r="G162" t="s">
        <v>582</v>
      </c>
      <c r="H162" s="4">
        <v>32071</v>
      </c>
      <c r="I162" t="s">
        <v>254</v>
      </c>
    </row>
    <row r="163" spans="1:9" x14ac:dyDescent="0.25">
      <c r="A163">
        <v>162</v>
      </c>
      <c r="B163" t="s">
        <v>587</v>
      </c>
      <c r="C163">
        <v>1711</v>
      </c>
      <c r="D163" t="s">
        <v>588</v>
      </c>
      <c r="E163" t="s">
        <v>252</v>
      </c>
      <c r="F163" t="s">
        <v>220</v>
      </c>
      <c r="G163" t="s">
        <v>582</v>
      </c>
      <c r="H163" s="4">
        <v>32504</v>
      </c>
      <c r="I163" t="s">
        <v>254</v>
      </c>
    </row>
    <row r="164" spans="1:9" x14ac:dyDescent="0.25">
      <c r="A164">
        <v>163</v>
      </c>
      <c r="B164" t="s">
        <v>589</v>
      </c>
      <c r="C164">
        <v>1712</v>
      </c>
      <c r="D164" t="s">
        <v>590</v>
      </c>
      <c r="E164" t="s">
        <v>252</v>
      </c>
      <c r="F164" t="s">
        <v>220</v>
      </c>
      <c r="G164" t="s">
        <v>582</v>
      </c>
      <c r="H164" s="4">
        <v>32856</v>
      </c>
      <c r="I164" t="s">
        <v>254</v>
      </c>
    </row>
    <row r="165" spans="1:9" x14ac:dyDescent="0.25">
      <c r="A165">
        <v>164</v>
      </c>
      <c r="B165" t="s">
        <v>591</v>
      </c>
      <c r="C165">
        <v>1713</v>
      </c>
      <c r="D165" t="s">
        <v>592</v>
      </c>
      <c r="E165" t="s">
        <v>252</v>
      </c>
      <c r="F165" t="s">
        <v>220</v>
      </c>
      <c r="G165" t="s">
        <v>582</v>
      </c>
      <c r="H165" s="4">
        <v>32904</v>
      </c>
      <c r="I165" t="s">
        <v>254</v>
      </c>
    </row>
    <row r="166" spans="1:9" x14ac:dyDescent="0.25">
      <c r="A166">
        <v>165</v>
      </c>
      <c r="B166" t="s">
        <v>593</v>
      </c>
      <c r="C166">
        <v>1714</v>
      </c>
      <c r="D166" t="s">
        <v>594</v>
      </c>
      <c r="E166" t="s">
        <v>252</v>
      </c>
      <c r="F166" t="s">
        <v>220</v>
      </c>
      <c r="G166" t="s">
        <v>582</v>
      </c>
      <c r="H166" s="4">
        <v>33480</v>
      </c>
      <c r="I166" t="s">
        <v>254</v>
      </c>
    </row>
    <row r="167" spans="1:9" x14ac:dyDescent="0.25">
      <c r="A167">
        <v>166</v>
      </c>
      <c r="B167" t="s">
        <v>595</v>
      </c>
      <c r="C167">
        <v>1717</v>
      </c>
      <c r="D167" t="s">
        <v>596</v>
      </c>
      <c r="E167" t="s">
        <v>252</v>
      </c>
      <c r="F167" t="s">
        <v>220</v>
      </c>
      <c r="G167" t="s">
        <v>582</v>
      </c>
      <c r="H167" s="4">
        <v>34424</v>
      </c>
      <c r="I167" t="s">
        <v>254</v>
      </c>
    </row>
    <row r="168" spans="1:9" x14ac:dyDescent="0.25">
      <c r="A168">
        <v>167</v>
      </c>
      <c r="B168" t="s">
        <v>597</v>
      </c>
      <c r="C168">
        <v>1718</v>
      </c>
      <c r="D168" t="s">
        <v>598</v>
      </c>
      <c r="E168" t="s">
        <v>252</v>
      </c>
      <c r="F168" t="s">
        <v>220</v>
      </c>
      <c r="G168" t="s">
        <v>582</v>
      </c>
      <c r="H168" s="4">
        <v>23347</v>
      </c>
      <c r="I168" t="s">
        <v>254</v>
      </c>
    </row>
    <row r="169" spans="1:9" x14ac:dyDescent="0.25">
      <c r="A169">
        <v>168</v>
      </c>
      <c r="B169" t="s">
        <v>599</v>
      </c>
      <c r="C169">
        <v>1720</v>
      </c>
      <c r="D169" t="s">
        <v>600</v>
      </c>
      <c r="E169" t="s">
        <v>252</v>
      </c>
      <c r="F169" t="s">
        <v>220</v>
      </c>
      <c r="G169" t="s">
        <v>546</v>
      </c>
      <c r="H169" s="4">
        <v>35045</v>
      </c>
      <c r="I169" t="s">
        <v>254</v>
      </c>
    </row>
    <row r="170" spans="1:9" x14ac:dyDescent="0.25">
      <c r="A170">
        <v>169</v>
      </c>
      <c r="B170" t="s">
        <v>601</v>
      </c>
      <c r="C170">
        <v>1721</v>
      </c>
      <c r="D170" t="s">
        <v>602</v>
      </c>
      <c r="E170" t="s">
        <v>252</v>
      </c>
      <c r="F170" t="s">
        <v>220</v>
      </c>
      <c r="G170" t="s">
        <v>582</v>
      </c>
      <c r="H170" s="4">
        <v>35201</v>
      </c>
      <c r="I170" t="s">
        <v>254</v>
      </c>
    </row>
    <row r="171" spans="1:9" x14ac:dyDescent="0.25">
      <c r="A171">
        <v>170</v>
      </c>
      <c r="B171" t="s">
        <v>603</v>
      </c>
      <c r="C171">
        <v>1722</v>
      </c>
      <c r="D171" t="s">
        <v>604</v>
      </c>
      <c r="E171" t="s">
        <v>252</v>
      </c>
      <c r="F171" t="s">
        <v>220</v>
      </c>
      <c r="G171" t="s">
        <v>582</v>
      </c>
      <c r="H171" s="4">
        <v>35878</v>
      </c>
      <c r="I171" t="s">
        <v>254</v>
      </c>
    </row>
    <row r="172" spans="1:9" x14ac:dyDescent="0.25">
      <c r="A172">
        <v>171</v>
      </c>
      <c r="B172" t="s">
        <v>605</v>
      </c>
      <c r="C172">
        <v>1723</v>
      </c>
      <c r="D172" t="s">
        <v>606</v>
      </c>
      <c r="E172" t="s">
        <v>252</v>
      </c>
      <c r="F172" t="s">
        <v>220</v>
      </c>
      <c r="G172" t="s">
        <v>582</v>
      </c>
      <c r="H172" s="4">
        <v>36126</v>
      </c>
      <c r="I172" t="s">
        <v>254</v>
      </c>
    </row>
    <row r="173" spans="1:9" x14ac:dyDescent="0.25">
      <c r="A173">
        <v>172</v>
      </c>
      <c r="B173" t="s">
        <v>607</v>
      </c>
      <c r="C173">
        <v>1724</v>
      </c>
      <c r="D173" t="s">
        <v>608</v>
      </c>
      <c r="E173" t="s">
        <v>252</v>
      </c>
      <c r="F173" t="s">
        <v>220</v>
      </c>
      <c r="G173" t="s">
        <v>582</v>
      </c>
      <c r="H173" s="4">
        <v>34788</v>
      </c>
      <c r="I173" t="s">
        <v>254</v>
      </c>
    </row>
    <row r="174" spans="1:9" x14ac:dyDescent="0.25">
      <c r="A174">
        <v>173</v>
      </c>
      <c r="B174" t="s">
        <v>609</v>
      </c>
      <c r="C174">
        <v>1725</v>
      </c>
      <c r="D174" t="s">
        <v>610</v>
      </c>
      <c r="E174" t="s">
        <v>252</v>
      </c>
      <c r="F174" t="s">
        <v>220</v>
      </c>
      <c r="G174" t="s">
        <v>582</v>
      </c>
      <c r="H174" s="4">
        <v>36780</v>
      </c>
      <c r="I174" t="s">
        <v>254</v>
      </c>
    </row>
    <row r="175" spans="1:9" x14ac:dyDescent="0.25">
      <c r="A175">
        <v>174</v>
      </c>
      <c r="B175" t="s">
        <v>611</v>
      </c>
      <c r="C175">
        <v>1726</v>
      </c>
      <c r="D175" t="s">
        <v>612</v>
      </c>
      <c r="E175" t="s">
        <v>252</v>
      </c>
      <c r="F175" t="s">
        <v>220</v>
      </c>
      <c r="G175" t="s">
        <v>582</v>
      </c>
      <c r="H175" s="4">
        <v>36780</v>
      </c>
      <c r="I175" t="s">
        <v>254</v>
      </c>
    </row>
    <row r="176" spans="1:9" x14ac:dyDescent="0.25">
      <c r="A176">
        <v>175</v>
      </c>
      <c r="B176" t="s">
        <v>613</v>
      </c>
      <c r="C176">
        <v>1727</v>
      </c>
      <c r="D176" t="s">
        <v>614</v>
      </c>
      <c r="E176" t="s">
        <v>252</v>
      </c>
      <c r="F176" t="s">
        <v>220</v>
      </c>
      <c r="G176" t="s">
        <v>582</v>
      </c>
      <c r="H176" s="4">
        <v>36780</v>
      </c>
      <c r="I176" t="s">
        <v>254</v>
      </c>
    </row>
    <row r="177" spans="1:9" x14ac:dyDescent="0.25">
      <c r="A177">
        <v>176</v>
      </c>
      <c r="B177" t="s">
        <v>615</v>
      </c>
      <c r="C177">
        <v>1730</v>
      </c>
      <c r="D177" t="s">
        <v>616</v>
      </c>
      <c r="E177" t="s">
        <v>252</v>
      </c>
      <c r="F177" t="s">
        <v>220</v>
      </c>
      <c r="G177" t="s">
        <v>582</v>
      </c>
      <c r="H177" s="4">
        <v>37151</v>
      </c>
      <c r="I177" t="s">
        <v>254</v>
      </c>
    </row>
    <row r="178" spans="1:9" x14ac:dyDescent="0.25">
      <c r="A178">
        <v>177</v>
      </c>
      <c r="B178" t="s">
        <v>617</v>
      </c>
      <c r="C178">
        <v>1731</v>
      </c>
      <c r="D178" t="s">
        <v>618</v>
      </c>
      <c r="E178" t="s">
        <v>252</v>
      </c>
      <c r="F178" t="s">
        <v>220</v>
      </c>
      <c r="G178" t="s">
        <v>546</v>
      </c>
      <c r="H178" s="4">
        <v>37151</v>
      </c>
      <c r="I178" t="s">
        <v>254</v>
      </c>
    </row>
    <row r="179" spans="1:9" x14ac:dyDescent="0.25">
      <c r="A179">
        <v>178</v>
      </c>
      <c r="B179" t="s">
        <v>619</v>
      </c>
      <c r="C179">
        <v>1732</v>
      </c>
      <c r="D179" t="s">
        <v>620</v>
      </c>
      <c r="E179" t="s">
        <v>252</v>
      </c>
      <c r="F179" t="s">
        <v>220</v>
      </c>
      <c r="G179" t="s">
        <v>582</v>
      </c>
      <c r="H179" s="4">
        <v>37151</v>
      </c>
      <c r="I179" t="s">
        <v>254</v>
      </c>
    </row>
    <row r="180" spans="1:9" x14ac:dyDescent="0.25">
      <c r="A180">
        <v>179</v>
      </c>
      <c r="B180" t="s">
        <v>621</v>
      </c>
      <c r="C180">
        <v>1733</v>
      </c>
      <c r="D180" t="s">
        <v>622</v>
      </c>
      <c r="E180" t="s">
        <v>252</v>
      </c>
      <c r="F180" t="s">
        <v>220</v>
      </c>
      <c r="G180" t="s">
        <v>546</v>
      </c>
      <c r="H180" s="4">
        <v>37151</v>
      </c>
      <c r="I180" t="s">
        <v>254</v>
      </c>
    </row>
    <row r="181" spans="1:9" x14ac:dyDescent="0.25">
      <c r="A181">
        <v>180</v>
      </c>
      <c r="B181" t="s">
        <v>623</v>
      </c>
      <c r="C181">
        <v>1734</v>
      </c>
      <c r="D181" t="s">
        <v>624</v>
      </c>
      <c r="E181" t="s">
        <v>252</v>
      </c>
      <c r="F181" t="s">
        <v>220</v>
      </c>
      <c r="G181" t="s">
        <v>546</v>
      </c>
      <c r="H181" s="4">
        <v>37494</v>
      </c>
      <c r="I181" t="s">
        <v>254</v>
      </c>
    </row>
    <row r="182" spans="1:9" x14ac:dyDescent="0.25">
      <c r="A182">
        <v>181</v>
      </c>
      <c r="B182" t="s">
        <v>625</v>
      </c>
      <c r="C182">
        <v>1735</v>
      </c>
      <c r="D182" t="s">
        <v>626</v>
      </c>
      <c r="E182" t="s">
        <v>252</v>
      </c>
      <c r="F182" t="s">
        <v>220</v>
      </c>
      <c r="G182" t="s">
        <v>582</v>
      </c>
      <c r="H182" s="4">
        <v>37494</v>
      </c>
      <c r="I182" t="s">
        <v>254</v>
      </c>
    </row>
    <row r="183" spans="1:9" x14ac:dyDescent="0.25">
      <c r="A183">
        <v>182</v>
      </c>
      <c r="B183" t="s">
        <v>627</v>
      </c>
      <c r="C183">
        <v>1736</v>
      </c>
      <c r="D183" t="s">
        <v>628</v>
      </c>
      <c r="E183" t="s">
        <v>252</v>
      </c>
      <c r="F183" t="s">
        <v>220</v>
      </c>
      <c r="G183" t="s">
        <v>546</v>
      </c>
      <c r="H183" s="4">
        <v>37630</v>
      </c>
      <c r="I183" t="s">
        <v>254</v>
      </c>
    </row>
    <row r="184" spans="1:9" x14ac:dyDescent="0.25">
      <c r="A184">
        <v>183</v>
      </c>
      <c r="B184" t="s">
        <v>629</v>
      </c>
      <c r="C184">
        <v>1737</v>
      </c>
      <c r="D184" t="s">
        <v>630</v>
      </c>
      <c r="E184" t="s">
        <v>252</v>
      </c>
      <c r="F184" t="s">
        <v>220</v>
      </c>
      <c r="G184" t="s">
        <v>269</v>
      </c>
      <c r="H184" s="4">
        <v>37943</v>
      </c>
      <c r="I184" t="s">
        <v>254</v>
      </c>
    </row>
    <row r="185" spans="1:9" x14ac:dyDescent="0.25">
      <c r="A185">
        <v>184</v>
      </c>
      <c r="B185" t="s">
        <v>631</v>
      </c>
      <c r="C185">
        <v>1760</v>
      </c>
      <c r="D185" t="s">
        <v>632</v>
      </c>
      <c r="E185" t="s">
        <v>252</v>
      </c>
      <c r="F185" t="s">
        <v>220</v>
      </c>
      <c r="G185" t="s">
        <v>546</v>
      </c>
      <c r="H185" s="4">
        <v>43123</v>
      </c>
      <c r="I185" t="s">
        <v>254</v>
      </c>
    </row>
    <row r="186" spans="1:9" x14ac:dyDescent="0.25">
      <c r="A186">
        <v>185</v>
      </c>
      <c r="B186" t="s">
        <v>633</v>
      </c>
      <c r="C186">
        <v>1762</v>
      </c>
      <c r="D186" t="s">
        <v>634</v>
      </c>
      <c r="E186" t="s">
        <v>252</v>
      </c>
      <c r="F186" t="s">
        <v>220</v>
      </c>
      <c r="G186" t="s">
        <v>546</v>
      </c>
      <c r="H186" s="4">
        <v>40532</v>
      </c>
      <c r="I186" t="s">
        <v>254</v>
      </c>
    </row>
    <row r="187" spans="1:9" x14ac:dyDescent="0.25">
      <c r="A187">
        <v>186</v>
      </c>
      <c r="B187" t="s">
        <v>635</v>
      </c>
      <c r="C187">
        <v>1773</v>
      </c>
      <c r="D187" t="s">
        <v>636</v>
      </c>
      <c r="E187" t="s">
        <v>252</v>
      </c>
      <c r="F187" t="s">
        <v>220</v>
      </c>
      <c r="G187" t="s">
        <v>582</v>
      </c>
      <c r="H187" s="4">
        <v>39871</v>
      </c>
      <c r="I187" t="s">
        <v>254</v>
      </c>
    </row>
    <row r="188" spans="1:9" x14ac:dyDescent="0.25">
      <c r="A188">
        <v>187</v>
      </c>
      <c r="B188" t="s">
        <v>637</v>
      </c>
      <c r="C188">
        <v>1776</v>
      </c>
      <c r="D188" t="s">
        <v>638</v>
      </c>
      <c r="E188" t="s">
        <v>252</v>
      </c>
      <c r="F188" t="s">
        <v>220</v>
      </c>
      <c r="G188" t="s">
        <v>582</v>
      </c>
      <c r="H188" s="4">
        <v>42499</v>
      </c>
      <c r="I188" t="s">
        <v>254</v>
      </c>
    </row>
    <row r="189" spans="1:9" x14ac:dyDescent="0.25">
      <c r="A189">
        <v>188</v>
      </c>
      <c r="B189" t="s">
        <v>639</v>
      </c>
      <c r="C189">
        <v>1783</v>
      </c>
      <c r="D189" t="s">
        <v>640</v>
      </c>
      <c r="E189" t="s">
        <v>252</v>
      </c>
      <c r="F189" t="s">
        <v>220</v>
      </c>
      <c r="G189" t="s">
        <v>546</v>
      </c>
      <c r="H189" s="4">
        <v>41628</v>
      </c>
      <c r="I189" t="s">
        <v>254</v>
      </c>
    </row>
    <row r="190" spans="1:9" x14ac:dyDescent="0.25">
      <c r="A190">
        <v>189</v>
      </c>
      <c r="B190" t="s">
        <v>641</v>
      </c>
      <c r="C190">
        <v>1786</v>
      </c>
      <c r="D190" t="s">
        <v>642</v>
      </c>
      <c r="E190" t="s">
        <v>252</v>
      </c>
      <c r="F190" t="s">
        <v>220</v>
      </c>
      <c r="G190" t="s">
        <v>546</v>
      </c>
      <c r="H190" s="4">
        <v>41590</v>
      </c>
      <c r="I190" t="s">
        <v>254</v>
      </c>
    </row>
    <row r="191" spans="1:9" x14ac:dyDescent="0.25">
      <c r="A191">
        <v>190</v>
      </c>
      <c r="B191" t="s">
        <v>643</v>
      </c>
      <c r="C191">
        <v>1789</v>
      </c>
      <c r="D191" t="s">
        <v>644</v>
      </c>
      <c r="E191" t="s">
        <v>252</v>
      </c>
      <c r="F191" t="s">
        <v>220</v>
      </c>
      <c r="G191" t="s">
        <v>546</v>
      </c>
      <c r="H191" s="4">
        <v>40815</v>
      </c>
      <c r="I191" t="s">
        <v>254</v>
      </c>
    </row>
    <row r="192" spans="1:9" x14ac:dyDescent="0.25">
      <c r="A192">
        <v>191</v>
      </c>
      <c r="B192" t="s">
        <v>645</v>
      </c>
      <c r="C192">
        <v>1795</v>
      </c>
      <c r="D192" t="s">
        <v>646</v>
      </c>
      <c r="E192" t="s">
        <v>252</v>
      </c>
      <c r="F192" t="s">
        <v>220</v>
      </c>
      <c r="G192" t="s">
        <v>546</v>
      </c>
      <c r="H192" s="4">
        <v>43815</v>
      </c>
      <c r="I192" t="s">
        <v>254</v>
      </c>
    </row>
    <row r="193" spans="1:9" x14ac:dyDescent="0.25">
      <c r="A193">
        <v>192</v>
      </c>
      <c r="B193" t="s">
        <v>647</v>
      </c>
      <c r="C193">
        <v>1802</v>
      </c>
      <c r="D193" t="s">
        <v>648</v>
      </c>
      <c r="E193" t="s">
        <v>252</v>
      </c>
      <c r="F193" t="s">
        <v>220</v>
      </c>
      <c r="G193" t="s">
        <v>649</v>
      </c>
      <c r="H193" s="4">
        <v>26865</v>
      </c>
      <c r="I193" t="s">
        <v>254</v>
      </c>
    </row>
    <row r="194" spans="1:9" x14ac:dyDescent="0.25">
      <c r="A194">
        <v>193</v>
      </c>
      <c r="B194" t="s">
        <v>650</v>
      </c>
      <c r="C194">
        <v>1805</v>
      </c>
      <c r="D194" t="s">
        <v>651</v>
      </c>
      <c r="E194" t="s">
        <v>252</v>
      </c>
      <c r="F194" t="s">
        <v>220</v>
      </c>
      <c r="G194" t="s">
        <v>335</v>
      </c>
      <c r="H194" s="4">
        <v>32801</v>
      </c>
      <c r="I194" t="s">
        <v>254</v>
      </c>
    </row>
    <row r="195" spans="1:9" x14ac:dyDescent="0.25">
      <c r="A195">
        <v>194</v>
      </c>
      <c r="B195" t="s">
        <v>652</v>
      </c>
      <c r="C195">
        <v>1806</v>
      </c>
      <c r="D195" t="s">
        <v>653</v>
      </c>
      <c r="E195" t="s">
        <v>252</v>
      </c>
      <c r="F195" t="s">
        <v>220</v>
      </c>
      <c r="G195" t="s">
        <v>649</v>
      </c>
      <c r="H195" s="4">
        <v>33876</v>
      </c>
      <c r="I195" t="s">
        <v>254</v>
      </c>
    </row>
    <row r="196" spans="1:9" x14ac:dyDescent="0.25">
      <c r="A196">
        <v>195</v>
      </c>
      <c r="B196" t="s">
        <v>654</v>
      </c>
      <c r="C196">
        <v>1808</v>
      </c>
      <c r="D196" t="s">
        <v>655</v>
      </c>
      <c r="E196" t="s">
        <v>252</v>
      </c>
      <c r="F196" t="s">
        <v>220</v>
      </c>
      <c r="G196" t="s">
        <v>335</v>
      </c>
      <c r="H196" s="4">
        <v>34633</v>
      </c>
      <c r="I196" t="s">
        <v>254</v>
      </c>
    </row>
    <row r="197" spans="1:9" x14ac:dyDescent="0.25">
      <c r="A197">
        <v>196</v>
      </c>
      <c r="B197" t="s">
        <v>656</v>
      </c>
      <c r="C197">
        <v>1809</v>
      </c>
      <c r="D197" t="s">
        <v>657</v>
      </c>
      <c r="E197" t="s">
        <v>252</v>
      </c>
      <c r="F197" t="s">
        <v>220</v>
      </c>
      <c r="G197" t="s">
        <v>649</v>
      </c>
      <c r="H197" s="4">
        <v>35185</v>
      </c>
      <c r="I197" t="s">
        <v>254</v>
      </c>
    </row>
    <row r="198" spans="1:9" x14ac:dyDescent="0.25">
      <c r="A198">
        <v>197</v>
      </c>
      <c r="B198" t="s">
        <v>658</v>
      </c>
      <c r="C198">
        <v>1810</v>
      </c>
      <c r="D198" t="s">
        <v>659</v>
      </c>
      <c r="E198" t="s">
        <v>252</v>
      </c>
      <c r="F198" t="s">
        <v>220</v>
      </c>
      <c r="G198" t="s">
        <v>649</v>
      </c>
      <c r="H198" s="4">
        <v>33525</v>
      </c>
      <c r="I198" t="s">
        <v>254</v>
      </c>
    </row>
    <row r="199" spans="1:9" x14ac:dyDescent="0.25">
      <c r="A199">
        <v>198</v>
      </c>
      <c r="B199" t="s">
        <v>660</v>
      </c>
      <c r="C199">
        <v>1817</v>
      </c>
      <c r="D199" t="s">
        <v>661</v>
      </c>
      <c r="E199" t="s">
        <v>252</v>
      </c>
      <c r="F199" t="s">
        <v>220</v>
      </c>
      <c r="G199" t="s">
        <v>649</v>
      </c>
      <c r="H199" s="4">
        <v>41571</v>
      </c>
      <c r="I199" t="s">
        <v>254</v>
      </c>
    </row>
    <row r="200" spans="1:9" x14ac:dyDescent="0.25">
      <c r="A200">
        <v>199</v>
      </c>
      <c r="B200" t="s">
        <v>662</v>
      </c>
      <c r="C200">
        <v>1903</v>
      </c>
      <c r="D200" t="s">
        <v>663</v>
      </c>
      <c r="E200" t="s">
        <v>252</v>
      </c>
      <c r="F200" t="s">
        <v>220</v>
      </c>
      <c r="G200" t="s">
        <v>664</v>
      </c>
      <c r="H200" s="4">
        <v>23354</v>
      </c>
      <c r="I200" t="s">
        <v>254</v>
      </c>
    </row>
    <row r="201" spans="1:9" x14ac:dyDescent="0.25">
      <c r="A201">
        <v>200</v>
      </c>
      <c r="B201" t="s">
        <v>665</v>
      </c>
      <c r="C201">
        <v>1904</v>
      </c>
      <c r="D201" t="s">
        <v>666</v>
      </c>
      <c r="E201" t="s">
        <v>252</v>
      </c>
      <c r="F201" t="s">
        <v>220</v>
      </c>
      <c r="G201" t="s">
        <v>664</v>
      </c>
      <c r="H201" s="4">
        <v>26186</v>
      </c>
      <c r="I201" t="s">
        <v>254</v>
      </c>
    </row>
    <row r="202" spans="1:9" x14ac:dyDescent="0.25">
      <c r="A202">
        <v>201</v>
      </c>
      <c r="B202" t="s">
        <v>667</v>
      </c>
      <c r="C202">
        <v>1905</v>
      </c>
      <c r="D202" t="s">
        <v>668</v>
      </c>
      <c r="E202" t="s">
        <v>252</v>
      </c>
      <c r="F202" t="s">
        <v>220</v>
      </c>
      <c r="G202" t="s">
        <v>664</v>
      </c>
      <c r="H202" s="4">
        <v>27432</v>
      </c>
      <c r="I202" t="s">
        <v>254</v>
      </c>
    </row>
    <row r="203" spans="1:9" x14ac:dyDescent="0.25">
      <c r="A203">
        <v>202</v>
      </c>
      <c r="B203" t="s">
        <v>669</v>
      </c>
      <c r="C203">
        <v>1906</v>
      </c>
      <c r="D203" t="s">
        <v>670</v>
      </c>
      <c r="E203" t="s">
        <v>252</v>
      </c>
      <c r="F203" t="s">
        <v>220</v>
      </c>
      <c r="G203" t="s">
        <v>664</v>
      </c>
      <c r="H203" s="4">
        <v>27876</v>
      </c>
      <c r="I203" t="s">
        <v>254</v>
      </c>
    </row>
    <row r="204" spans="1:9" x14ac:dyDescent="0.25">
      <c r="A204">
        <v>203</v>
      </c>
      <c r="B204" t="s">
        <v>671</v>
      </c>
      <c r="C204">
        <v>1907</v>
      </c>
      <c r="D204" t="s">
        <v>672</v>
      </c>
      <c r="E204" t="s">
        <v>252</v>
      </c>
      <c r="F204" t="s">
        <v>220</v>
      </c>
      <c r="G204" t="s">
        <v>664</v>
      </c>
      <c r="H204" s="4">
        <v>28178</v>
      </c>
      <c r="I204" t="s">
        <v>254</v>
      </c>
    </row>
    <row r="205" spans="1:9" x14ac:dyDescent="0.25">
      <c r="A205">
        <v>204</v>
      </c>
      <c r="B205" t="s">
        <v>673</v>
      </c>
      <c r="C205">
        <v>1909</v>
      </c>
      <c r="D205" t="s">
        <v>674</v>
      </c>
      <c r="E205" t="s">
        <v>252</v>
      </c>
      <c r="F205" t="s">
        <v>220</v>
      </c>
      <c r="G205" t="s">
        <v>664</v>
      </c>
      <c r="H205" s="4">
        <v>31370</v>
      </c>
      <c r="I205" t="s">
        <v>254</v>
      </c>
    </row>
    <row r="206" spans="1:9" x14ac:dyDescent="0.25">
      <c r="A206">
        <v>205</v>
      </c>
      <c r="B206" t="s">
        <v>675</v>
      </c>
      <c r="C206">
        <v>2002</v>
      </c>
      <c r="D206" t="s">
        <v>676</v>
      </c>
      <c r="E206" t="s">
        <v>252</v>
      </c>
      <c r="F206" t="s">
        <v>220</v>
      </c>
      <c r="G206" t="s">
        <v>677</v>
      </c>
      <c r="H206" s="4">
        <v>27389</v>
      </c>
      <c r="I206" t="s">
        <v>254</v>
      </c>
    </row>
    <row r="207" spans="1:9" x14ac:dyDescent="0.25">
      <c r="A207">
        <v>206</v>
      </c>
      <c r="B207" t="s">
        <v>678</v>
      </c>
      <c r="C207">
        <v>2006</v>
      </c>
      <c r="D207" t="s">
        <v>679</v>
      </c>
      <c r="E207" t="s">
        <v>252</v>
      </c>
      <c r="F207" t="s">
        <v>220</v>
      </c>
      <c r="G207" t="s">
        <v>677</v>
      </c>
      <c r="H207" s="4">
        <v>32337</v>
      </c>
      <c r="I207" t="s">
        <v>254</v>
      </c>
    </row>
    <row r="208" spans="1:9" x14ac:dyDescent="0.25">
      <c r="A208">
        <v>207</v>
      </c>
      <c r="B208" t="s">
        <v>680</v>
      </c>
      <c r="C208">
        <v>2007</v>
      </c>
      <c r="D208" t="s">
        <v>681</v>
      </c>
      <c r="E208" t="s">
        <v>252</v>
      </c>
      <c r="F208" t="s">
        <v>220</v>
      </c>
      <c r="G208" t="s">
        <v>677</v>
      </c>
      <c r="H208" s="4">
        <v>32420</v>
      </c>
      <c r="I208" t="s">
        <v>254</v>
      </c>
    </row>
    <row r="209" spans="1:9" x14ac:dyDescent="0.25">
      <c r="A209">
        <v>208</v>
      </c>
      <c r="B209" t="s">
        <v>682</v>
      </c>
      <c r="C209">
        <v>2008</v>
      </c>
      <c r="D209" t="s">
        <v>683</v>
      </c>
      <c r="E209" t="s">
        <v>252</v>
      </c>
      <c r="F209" t="s">
        <v>220</v>
      </c>
      <c r="G209" t="s">
        <v>677</v>
      </c>
      <c r="H209" s="4">
        <v>32505</v>
      </c>
      <c r="I209" t="s">
        <v>254</v>
      </c>
    </row>
    <row r="210" spans="1:9" x14ac:dyDescent="0.25">
      <c r="A210">
        <v>209</v>
      </c>
      <c r="B210" t="s">
        <v>684</v>
      </c>
      <c r="C210">
        <v>2009</v>
      </c>
      <c r="D210" t="s">
        <v>685</v>
      </c>
      <c r="E210" t="s">
        <v>252</v>
      </c>
      <c r="F210" t="s">
        <v>220</v>
      </c>
      <c r="G210" t="s">
        <v>677</v>
      </c>
      <c r="H210" s="4">
        <v>32801</v>
      </c>
      <c r="I210" t="s">
        <v>254</v>
      </c>
    </row>
    <row r="211" spans="1:9" x14ac:dyDescent="0.25">
      <c r="A211">
        <v>210</v>
      </c>
      <c r="B211" t="s">
        <v>686</v>
      </c>
      <c r="C211">
        <v>2010</v>
      </c>
      <c r="D211" t="s">
        <v>687</v>
      </c>
      <c r="E211" t="s">
        <v>252</v>
      </c>
      <c r="F211" t="s">
        <v>220</v>
      </c>
      <c r="G211" t="s">
        <v>677</v>
      </c>
      <c r="H211" s="4">
        <v>32864</v>
      </c>
      <c r="I211" t="s">
        <v>254</v>
      </c>
    </row>
    <row r="212" spans="1:9" x14ac:dyDescent="0.25">
      <c r="A212">
        <v>211</v>
      </c>
      <c r="B212" t="s">
        <v>688</v>
      </c>
      <c r="C212">
        <v>2012</v>
      </c>
      <c r="D212" t="s">
        <v>689</v>
      </c>
      <c r="E212" t="s">
        <v>252</v>
      </c>
      <c r="F212" t="s">
        <v>220</v>
      </c>
      <c r="G212" t="s">
        <v>677</v>
      </c>
      <c r="H212" s="4">
        <v>33528</v>
      </c>
      <c r="I212" t="s">
        <v>254</v>
      </c>
    </row>
    <row r="213" spans="1:9" x14ac:dyDescent="0.25">
      <c r="A213">
        <v>212</v>
      </c>
      <c r="B213" t="s">
        <v>690</v>
      </c>
      <c r="C213">
        <v>2013</v>
      </c>
      <c r="D213" t="s">
        <v>691</v>
      </c>
      <c r="E213" t="s">
        <v>252</v>
      </c>
      <c r="F213" t="s">
        <v>220</v>
      </c>
      <c r="G213" t="s">
        <v>677</v>
      </c>
      <c r="H213" s="4">
        <v>33624</v>
      </c>
      <c r="I213" t="s">
        <v>254</v>
      </c>
    </row>
    <row r="214" spans="1:9" x14ac:dyDescent="0.25">
      <c r="A214">
        <v>213</v>
      </c>
      <c r="B214" t="s">
        <v>692</v>
      </c>
      <c r="C214">
        <v>2014</v>
      </c>
      <c r="D214" t="s">
        <v>693</v>
      </c>
      <c r="E214" t="s">
        <v>252</v>
      </c>
      <c r="F214" t="s">
        <v>220</v>
      </c>
      <c r="G214" t="s">
        <v>677</v>
      </c>
      <c r="H214" s="4">
        <v>33654</v>
      </c>
      <c r="I214" t="s">
        <v>254</v>
      </c>
    </row>
    <row r="215" spans="1:9" x14ac:dyDescent="0.25">
      <c r="A215">
        <v>214</v>
      </c>
      <c r="B215" t="s">
        <v>694</v>
      </c>
      <c r="C215">
        <v>2015</v>
      </c>
      <c r="D215" t="s">
        <v>695</v>
      </c>
      <c r="E215" t="s">
        <v>252</v>
      </c>
      <c r="F215" t="s">
        <v>220</v>
      </c>
      <c r="G215" t="s">
        <v>677</v>
      </c>
      <c r="H215" s="4">
        <v>33749</v>
      </c>
      <c r="I215" t="s">
        <v>254</v>
      </c>
    </row>
    <row r="216" spans="1:9" x14ac:dyDescent="0.25">
      <c r="A216">
        <v>215</v>
      </c>
      <c r="B216" t="s">
        <v>696</v>
      </c>
      <c r="C216">
        <v>2017</v>
      </c>
      <c r="D216" t="s">
        <v>697</v>
      </c>
      <c r="E216" t="s">
        <v>252</v>
      </c>
      <c r="F216" t="s">
        <v>220</v>
      </c>
      <c r="G216" t="s">
        <v>677</v>
      </c>
      <c r="H216" s="4">
        <v>33910</v>
      </c>
      <c r="I216" t="s">
        <v>254</v>
      </c>
    </row>
    <row r="217" spans="1:9" x14ac:dyDescent="0.25">
      <c r="A217">
        <v>216</v>
      </c>
      <c r="B217" t="s">
        <v>698</v>
      </c>
      <c r="C217">
        <v>2020</v>
      </c>
      <c r="D217" t="s">
        <v>699</v>
      </c>
      <c r="E217" t="s">
        <v>252</v>
      </c>
      <c r="F217" t="s">
        <v>220</v>
      </c>
      <c r="G217" t="s">
        <v>677</v>
      </c>
      <c r="H217" s="4">
        <v>34086</v>
      </c>
      <c r="I217" t="s">
        <v>254</v>
      </c>
    </row>
    <row r="218" spans="1:9" x14ac:dyDescent="0.25">
      <c r="A218">
        <v>217</v>
      </c>
      <c r="B218" t="s">
        <v>700</v>
      </c>
      <c r="C218">
        <v>2022</v>
      </c>
      <c r="D218" t="s">
        <v>701</v>
      </c>
      <c r="E218" t="s">
        <v>252</v>
      </c>
      <c r="F218" t="s">
        <v>220</v>
      </c>
      <c r="G218" t="s">
        <v>677</v>
      </c>
      <c r="H218" s="4">
        <v>34785</v>
      </c>
      <c r="I218" t="s">
        <v>254</v>
      </c>
    </row>
    <row r="219" spans="1:9" x14ac:dyDescent="0.25">
      <c r="A219">
        <v>218</v>
      </c>
      <c r="B219" t="s">
        <v>702</v>
      </c>
      <c r="C219">
        <v>2023</v>
      </c>
      <c r="D219" t="s">
        <v>703</v>
      </c>
      <c r="E219" t="s">
        <v>252</v>
      </c>
      <c r="F219" t="s">
        <v>220</v>
      </c>
      <c r="G219" t="s">
        <v>677</v>
      </c>
      <c r="H219" s="4">
        <v>34908</v>
      </c>
      <c r="I219" t="s">
        <v>254</v>
      </c>
    </row>
    <row r="220" spans="1:9" x14ac:dyDescent="0.25">
      <c r="A220">
        <v>219</v>
      </c>
      <c r="B220" t="s">
        <v>704</v>
      </c>
      <c r="C220">
        <v>2024</v>
      </c>
      <c r="D220" t="s">
        <v>705</v>
      </c>
      <c r="E220" t="s">
        <v>252</v>
      </c>
      <c r="F220" t="s">
        <v>220</v>
      </c>
      <c r="G220" t="s">
        <v>677</v>
      </c>
      <c r="H220" s="4">
        <v>35063</v>
      </c>
      <c r="I220" t="s">
        <v>254</v>
      </c>
    </row>
    <row r="221" spans="1:9" x14ac:dyDescent="0.25">
      <c r="A221">
        <v>220</v>
      </c>
      <c r="B221" t="s">
        <v>706</v>
      </c>
      <c r="C221">
        <v>2025</v>
      </c>
      <c r="D221" t="s">
        <v>707</v>
      </c>
      <c r="E221" t="s">
        <v>252</v>
      </c>
      <c r="F221" t="s">
        <v>220</v>
      </c>
      <c r="G221" t="s">
        <v>677</v>
      </c>
      <c r="H221" s="4">
        <v>35103</v>
      </c>
      <c r="I221" t="s">
        <v>254</v>
      </c>
    </row>
    <row r="222" spans="1:9" x14ac:dyDescent="0.25">
      <c r="A222">
        <v>221</v>
      </c>
      <c r="B222" t="s">
        <v>708</v>
      </c>
      <c r="C222">
        <v>2027</v>
      </c>
      <c r="D222" t="s">
        <v>709</v>
      </c>
      <c r="E222" t="s">
        <v>252</v>
      </c>
      <c r="F222" t="s">
        <v>220</v>
      </c>
      <c r="G222" t="s">
        <v>677</v>
      </c>
      <c r="H222" s="4">
        <v>35362</v>
      </c>
      <c r="I222" t="s">
        <v>254</v>
      </c>
    </row>
    <row r="223" spans="1:9" x14ac:dyDescent="0.25">
      <c r="A223">
        <v>222</v>
      </c>
      <c r="B223" t="s">
        <v>710</v>
      </c>
      <c r="C223">
        <v>2028</v>
      </c>
      <c r="D223" t="s">
        <v>711</v>
      </c>
      <c r="E223" t="s">
        <v>252</v>
      </c>
      <c r="F223" t="s">
        <v>220</v>
      </c>
      <c r="G223" t="s">
        <v>677</v>
      </c>
      <c r="H223" s="4">
        <v>35412</v>
      </c>
      <c r="I223" t="s">
        <v>254</v>
      </c>
    </row>
    <row r="224" spans="1:9" x14ac:dyDescent="0.25">
      <c r="A224">
        <v>223</v>
      </c>
      <c r="B224" t="s">
        <v>712</v>
      </c>
      <c r="C224">
        <v>2029</v>
      </c>
      <c r="D224" t="s">
        <v>713</v>
      </c>
      <c r="E224" t="s">
        <v>252</v>
      </c>
      <c r="F224" t="s">
        <v>220</v>
      </c>
      <c r="G224" t="s">
        <v>677</v>
      </c>
      <c r="H224" s="4">
        <v>35441</v>
      </c>
      <c r="I224" t="s">
        <v>254</v>
      </c>
    </row>
    <row r="225" spans="1:9" x14ac:dyDescent="0.25">
      <c r="A225">
        <v>224</v>
      </c>
      <c r="B225" t="s">
        <v>714</v>
      </c>
      <c r="C225">
        <v>2030</v>
      </c>
      <c r="D225" t="s">
        <v>715</v>
      </c>
      <c r="E225" t="s">
        <v>252</v>
      </c>
      <c r="F225" t="s">
        <v>220</v>
      </c>
      <c r="G225" t="s">
        <v>677</v>
      </c>
      <c r="H225" s="4">
        <v>36153</v>
      </c>
      <c r="I225" t="s">
        <v>254</v>
      </c>
    </row>
    <row r="226" spans="1:9" x14ac:dyDescent="0.25">
      <c r="A226">
        <v>225</v>
      </c>
      <c r="B226" t="s">
        <v>716</v>
      </c>
      <c r="C226">
        <v>2031</v>
      </c>
      <c r="D226" t="s">
        <v>717</v>
      </c>
      <c r="E226" t="s">
        <v>252</v>
      </c>
      <c r="F226" t="s">
        <v>220</v>
      </c>
      <c r="G226" t="s">
        <v>677</v>
      </c>
      <c r="H226" s="4">
        <v>36780</v>
      </c>
      <c r="I226" t="s">
        <v>254</v>
      </c>
    </row>
    <row r="227" spans="1:9" x14ac:dyDescent="0.25">
      <c r="A227">
        <v>226</v>
      </c>
      <c r="B227" t="s">
        <v>718</v>
      </c>
      <c r="C227">
        <v>2032</v>
      </c>
      <c r="D227" t="s">
        <v>719</v>
      </c>
      <c r="E227" t="s">
        <v>252</v>
      </c>
      <c r="F227" t="s">
        <v>220</v>
      </c>
      <c r="G227" t="s">
        <v>677</v>
      </c>
      <c r="H227" s="4">
        <v>36780</v>
      </c>
      <c r="I227" t="s">
        <v>254</v>
      </c>
    </row>
    <row r="228" spans="1:9" x14ac:dyDescent="0.25">
      <c r="A228">
        <v>227</v>
      </c>
      <c r="B228" t="s">
        <v>720</v>
      </c>
      <c r="C228">
        <v>2033</v>
      </c>
      <c r="D228" t="s">
        <v>721</v>
      </c>
      <c r="E228" t="s">
        <v>252</v>
      </c>
      <c r="F228" t="s">
        <v>220</v>
      </c>
      <c r="G228" t="s">
        <v>677</v>
      </c>
      <c r="H228" s="4">
        <v>36780</v>
      </c>
      <c r="I228" t="s">
        <v>254</v>
      </c>
    </row>
    <row r="229" spans="1:9" x14ac:dyDescent="0.25">
      <c r="A229">
        <v>228</v>
      </c>
      <c r="B229" t="s">
        <v>722</v>
      </c>
      <c r="C229">
        <v>2034</v>
      </c>
      <c r="D229" t="s">
        <v>723</v>
      </c>
      <c r="E229" t="s">
        <v>252</v>
      </c>
      <c r="F229" t="s">
        <v>220</v>
      </c>
      <c r="G229" t="s">
        <v>677</v>
      </c>
      <c r="H229" s="4">
        <v>37151</v>
      </c>
      <c r="I229" t="s">
        <v>254</v>
      </c>
    </row>
    <row r="230" spans="1:9" x14ac:dyDescent="0.25">
      <c r="A230">
        <v>229</v>
      </c>
      <c r="B230" t="s">
        <v>724</v>
      </c>
      <c r="C230">
        <v>2038</v>
      </c>
      <c r="D230" t="s">
        <v>725</v>
      </c>
      <c r="E230" t="s">
        <v>252</v>
      </c>
      <c r="F230" t="s">
        <v>220</v>
      </c>
      <c r="G230" t="s">
        <v>677</v>
      </c>
      <c r="H230" s="4">
        <v>39812</v>
      </c>
      <c r="I230" t="s">
        <v>254</v>
      </c>
    </row>
    <row r="231" spans="1:9" x14ac:dyDescent="0.25">
      <c r="A231">
        <v>230</v>
      </c>
      <c r="B231" t="s">
        <v>726</v>
      </c>
      <c r="C231">
        <v>2049</v>
      </c>
      <c r="D231" t="s">
        <v>727</v>
      </c>
      <c r="E231" t="s">
        <v>252</v>
      </c>
      <c r="F231" t="s">
        <v>220</v>
      </c>
      <c r="G231" t="s">
        <v>465</v>
      </c>
      <c r="H231" s="4">
        <v>39990</v>
      </c>
      <c r="I231" t="s">
        <v>254</v>
      </c>
    </row>
    <row r="232" spans="1:9" x14ac:dyDescent="0.25">
      <c r="A232">
        <v>231</v>
      </c>
      <c r="B232" t="s">
        <v>728</v>
      </c>
      <c r="C232">
        <v>2059</v>
      </c>
      <c r="D232" t="s">
        <v>729</v>
      </c>
      <c r="E232" t="s">
        <v>252</v>
      </c>
      <c r="F232" t="s">
        <v>220</v>
      </c>
      <c r="G232" t="s">
        <v>450</v>
      </c>
      <c r="H232" s="4">
        <v>39624</v>
      </c>
      <c r="I232" t="s">
        <v>254</v>
      </c>
    </row>
    <row r="233" spans="1:9" x14ac:dyDescent="0.25">
      <c r="A233">
        <v>232</v>
      </c>
      <c r="B233" t="s">
        <v>730</v>
      </c>
      <c r="C233">
        <v>2062</v>
      </c>
      <c r="D233" t="s">
        <v>731</v>
      </c>
      <c r="E233" t="s">
        <v>252</v>
      </c>
      <c r="F233" t="s">
        <v>220</v>
      </c>
      <c r="G233" t="s">
        <v>361</v>
      </c>
      <c r="H233" s="4">
        <v>39402</v>
      </c>
      <c r="I233" t="s">
        <v>254</v>
      </c>
    </row>
    <row r="234" spans="1:9" x14ac:dyDescent="0.25">
      <c r="A234">
        <v>233</v>
      </c>
      <c r="B234" t="s">
        <v>732</v>
      </c>
      <c r="C234">
        <v>2069</v>
      </c>
      <c r="D234" t="s">
        <v>733</v>
      </c>
      <c r="E234" t="s">
        <v>252</v>
      </c>
      <c r="F234" t="s">
        <v>220</v>
      </c>
      <c r="G234" t="s">
        <v>677</v>
      </c>
      <c r="H234" s="4">
        <v>42451</v>
      </c>
      <c r="I234" t="s">
        <v>254</v>
      </c>
    </row>
    <row r="235" spans="1:9" x14ac:dyDescent="0.25">
      <c r="A235">
        <v>234</v>
      </c>
      <c r="B235" t="s">
        <v>734</v>
      </c>
      <c r="C235">
        <v>2101</v>
      </c>
      <c r="D235" t="s">
        <v>735</v>
      </c>
      <c r="E235" t="s">
        <v>252</v>
      </c>
      <c r="F235" t="s">
        <v>220</v>
      </c>
      <c r="G235" t="s">
        <v>736</v>
      </c>
      <c r="H235" s="4">
        <v>23316</v>
      </c>
      <c r="I235" t="s">
        <v>254</v>
      </c>
    </row>
    <row r="236" spans="1:9" x14ac:dyDescent="0.25">
      <c r="A236">
        <v>235</v>
      </c>
      <c r="B236" t="s">
        <v>737</v>
      </c>
      <c r="C236">
        <v>2102</v>
      </c>
      <c r="D236" t="s">
        <v>738</v>
      </c>
      <c r="E236" t="s">
        <v>252</v>
      </c>
      <c r="F236" t="s">
        <v>220</v>
      </c>
      <c r="G236" t="s">
        <v>736</v>
      </c>
      <c r="H236" s="4">
        <v>29052</v>
      </c>
      <c r="I236" t="s">
        <v>254</v>
      </c>
    </row>
    <row r="237" spans="1:9" x14ac:dyDescent="0.25">
      <c r="A237">
        <v>236</v>
      </c>
      <c r="B237" t="s">
        <v>739</v>
      </c>
      <c r="C237">
        <v>2103</v>
      </c>
      <c r="D237" t="s">
        <v>740</v>
      </c>
      <c r="E237" t="s">
        <v>252</v>
      </c>
      <c r="F237" t="s">
        <v>220</v>
      </c>
      <c r="G237" t="s">
        <v>736</v>
      </c>
      <c r="H237" s="4">
        <v>30219</v>
      </c>
      <c r="I237" t="s">
        <v>254</v>
      </c>
    </row>
    <row r="238" spans="1:9" x14ac:dyDescent="0.25">
      <c r="A238">
        <v>237</v>
      </c>
      <c r="B238" t="s">
        <v>741</v>
      </c>
      <c r="C238">
        <v>2104</v>
      </c>
      <c r="D238" t="s">
        <v>742</v>
      </c>
      <c r="E238" t="s">
        <v>252</v>
      </c>
      <c r="F238" t="s">
        <v>220</v>
      </c>
      <c r="G238" t="s">
        <v>736</v>
      </c>
      <c r="H238" s="4">
        <v>31608</v>
      </c>
      <c r="I238" t="s">
        <v>254</v>
      </c>
    </row>
    <row r="239" spans="1:9" x14ac:dyDescent="0.25">
      <c r="A239">
        <v>238</v>
      </c>
      <c r="B239" t="s">
        <v>743</v>
      </c>
      <c r="C239">
        <v>2105</v>
      </c>
      <c r="D239" t="s">
        <v>744</v>
      </c>
      <c r="E239" t="s">
        <v>252</v>
      </c>
      <c r="F239" t="s">
        <v>220</v>
      </c>
      <c r="G239" t="s">
        <v>736</v>
      </c>
      <c r="H239" s="4">
        <v>32118</v>
      </c>
      <c r="I239" t="s">
        <v>254</v>
      </c>
    </row>
    <row r="240" spans="1:9" x14ac:dyDescent="0.25">
      <c r="A240">
        <v>239</v>
      </c>
      <c r="B240" t="s">
        <v>745</v>
      </c>
      <c r="C240">
        <v>2106</v>
      </c>
      <c r="D240" t="s">
        <v>746</v>
      </c>
      <c r="E240" t="s">
        <v>252</v>
      </c>
      <c r="F240" t="s">
        <v>220</v>
      </c>
      <c r="G240" t="s">
        <v>736</v>
      </c>
      <c r="H240" s="4">
        <v>33227</v>
      </c>
      <c r="I240" t="s">
        <v>254</v>
      </c>
    </row>
    <row r="241" spans="1:9" x14ac:dyDescent="0.25">
      <c r="A241">
        <v>240</v>
      </c>
      <c r="B241" t="s">
        <v>747</v>
      </c>
      <c r="C241">
        <v>2107</v>
      </c>
      <c r="D241" t="s">
        <v>748</v>
      </c>
      <c r="E241" t="s">
        <v>252</v>
      </c>
      <c r="F241" t="s">
        <v>220</v>
      </c>
      <c r="G241" t="s">
        <v>736</v>
      </c>
      <c r="H241" s="4">
        <v>33666</v>
      </c>
      <c r="I241" t="s">
        <v>254</v>
      </c>
    </row>
    <row r="242" spans="1:9" x14ac:dyDescent="0.25">
      <c r="A242">
        <v>241</v>
      </c>
      <c r="B242" t="s">
        <v>749</v>
      </c>
      <c r="C242">
        <v>2108</v>
      </c>
      <c r="D242" t="s">
        <v>750</v>
      </c>
      <c r="E242" t="s">
        <v>252</v>
      </c>
      <c r="F242" t="s">
        <v>220</v>
      </c>
      <c r="G242" t="s">
        <v>736</v>
      </c>
      <c r="H242" s="4">
        <v>33904</v>
      </c>
      <c r="I242" t="s">
        <v>254</v>
      </c>
    </row>
    <row r="243" spans="1:9" x14ac:dyDescent="0.25">
      <c r="A243">
        <v>242</v>
      </c>
      <c r="B243" t="s">
        <v>751</v>
      </c>
      <c r="C243">
        <v>2109</v>
      </c>
      <c r="D243" t="s">
        <v>752</v>
      </c>
      <c r="E243" t="s">
        <v>252</v>
      </c>
      <c r="F243" t="s">
        <v>220</v>
      </c>
      <c r="G243" t="s">
        <v>736</v>
      </c>
      <c r="H243" s="4">
        <v>36654</v>
      </c>
      <c r="I243" t="s">
        <v>254</v>
      </c>
    </row>
    <row r="244" spans="1:9" x14ac:dyDescent="0.25">
      <c r="A244">
        <v>243</v>
      </c>
      <c r="B244" t="s">
        <v>753</v>
      </c>
      <c r="C244">
        <v>2114</v>
      </c>
      <c r="D244" t="s">
        <v>754</v>
      </c>
      <c r="E244" t="s">
        <v>252</v>
      </c>
      <c r="F244" t="s">
        <v>220</v>
      </c>
      <c r="G244" t="s">
        <v>736</v>
      </c>
      <c r="H244" s="4">
        <v>40541</v>
      </c>
      <c r="I244" t="s">
        <v>254</v>
      </c>
    </row>
    <row r="245" spans="1:9" x14ac:dyDescent="0.25">
      <c r="A245">
        <v>244</v>
      </c>
      <c r="B245" t="s">
        <v>755</v>
      </c>
      <c r="C245">
        <v>2115</v>
      </c>
      <c r="D245" t="s">
        <v>756</v>
      </c>
      <c r="E245" t="s">
        <v>252</v>
      </c>
      <c r="F245" t="s">
        <v>220</v>
      </c>
      <c r="G245" t="s">
        <v>338</v>
      </c>
      <c r="H245" s="4">
        <v>41633</v>
      </c>
      <c r="I245" t="s">
        <v>254</v>
      </c>
    </row>
    <row r="246" spans="1:9" x14ac:dyDescent="0.25">
      <c r="A246">
        <v>245</v>
      </c>
      <c r="B246" t="s">
        <v>757</v>
      </c>
      <c r="C246">
        <v>2201</v>
      </c>
      <c r="D246" t="s">
        <v>758</v>
      </c>
      <c r="E246" t="s">
        <v>252</v>
      </c>
      <c r="F246" t="s">
        <v>220</v>
      </c>
      <c r="G246" t="s">
        <v>338</v>
      </c>
      <c r="H246" s="4">
        <v>27949</v>
      </c>
      <c r="I246" t="s">
        <v>254</v>
      </c>
    </row>
    <row r="247" spans="1:9" x14ac:dyDescent="0.25">
      <c r="A247">
        <v>246</v>
      </c>
      <c r="B247" t="s">
        <v>759</v>
      </c>
      <c r="C247">
        <v>2204</v>
      </c>
      <c r="D247" t="s">
        <v>760</v>
      </c>
      <c r="E247" t="s">
        <v>252</v>
      </c>
      <c r="F247" t="s">
        <v>220</v>
      </c>
      <c r="G247" t="s">
        <v>338</v>
      </c>
      <c r="H247" s="4">
        <v>33309</v>
      </c>
      <c r="I247" t="s">
        <v>254</v>
      </c>
    </row>
    <row r="248" spans="1:9" x14ac:dyDescent="0.25">
      <c r="A248">
        <v>247</v>
      </c>
      <c r="B248" t="s">
        <v>761</v>
      </c>
      <c r="C248">
        <v>2206</v>
      </c>
      <c r="D248" t="s">
        <v>762</v>
      </c>
      <c r="E248" t="s">
        <v>252</v>
      </c>
      <c r="F248" t="s">
        <v>220</v>
      </c>
      <c r="G248" t="s">
        <v>338</v>
      </c>
      <c r="H248" s="4">
        <v>35275</v>
      </c>
      <c r="I248" t="s">
        <v>254</v>
      </c>
    </row>
    <row r="249" spans="1:9" x14ac:dyDescent="0.25">
      <c r="A249">
        <v>248</v>
      </c>
      <c r="B249" t="s">
        <v>763</v>
      </c>
      <c r="C249">
        <v>2207</v>
      </c>
      <c r="D249" t="s">
        <v>764</v>
      </c>
      <c r="E249" t="s">
        <v>252</v>
      </c>
      <c r="F249" t="s">
        <v>220</v>
      </c>
      <c r="G249" t="s">
        <v>338</v>
      </c>
      <c r="H249" s="4">
        <v>35486</v>
      </c>
      <c r="I249" t="s">
        <v>254</v>
      </c>
    </row>
    <row r="250" spans="1:9" x14ac:dyDescent="0.25">
      <c r="A250">
        <v>249</v>
      </c>
      <c r="B250" t="s">
        <v>765</v>
      </c>
      <c r="C250">
        <v>2208</v>
      </c>
      <c r="D250" t="s">
        <v>766</v>
      </c>
      <c r="E250" t="s">
        <v>252</v>
      </c>
      <c r="F250" t="s">
        <v>220</v>
      </c>
      <c r="G250" t="s">
        <v>767</v>
      </c>
      <c r="H250" s="4">
        <v>39804</v>
      </c>
      <c r="I250" t="s">
        <v>254</v>
      </c>
    </row>
    <row r="251" spans="1:9" x14ac:dyDescent="0.25">
      <c r="A251">
        <v>250</v>
      </c>
      <c r="B251" t="s">
        <v>768</v>
      </c>
      <c r="C251">
        <v>2211</v>
      </c>
      <c r="D251" t="s">
        <v>769</v>
      </c>
      <c r="E251" t="s">
        <v>252</v>
      </c>
      <c r="F251" t="s">
        <v>220</v>
      </c>
      <c r="G251" t="s">
        <v>677</v>
      </c>
      <c r="H251" s="4">
        <v>44298</v>
      </c>
      <c r="I251" t="s">
        <v>254</v>
      </c>
    </row>
    <row r="252" spans="1:9" x14ac:dyDescent="0.25">
      <c r="A252">
        <v>251</v>
      </c>
      <c r="B252" t="s">
        <v>770</v>
      </c>
      <c r="C252">
        <v>2227</v>
      </c>
      <c r="D252" t="s">
        <v>771</v>
      </c>
      <c r="E252" t="s">
        <v>252</v>
      </c>
      <c r="F252" t="s">
        <v>220</v>
      </c>
      <c r="G252" t="s">
        <v>338</v>
      </c>
      <c r="H252" s="4">
        <v>38342</v>
      </c>
      <c r="I252" t="s">
        <v>254</v>
      </c>
    </row>
    <row r="253" spans="1:9" x14ac:dyDescent="0.25">
      <c r="A253">
        <v>252</v>
      </c>
      <c r="B253" t="s">
        <v>772</v>
      </c>
      <c r="C253">
        <v>2228</v>
      </c>
      <c r="D253" t="s">
        <v>773</v>
      </c>
      <c r="E253" t="s">
        <v>252</v>
      </c>
      <c r="F253" t="s">
        <v>220</v>
      </c>
      <c r="G253" t="s">
        <v>338</v>
      </c>
      <c r="H253" s="4">
        <v>41603</v>
      </c>
      <c r="I253" t="s">
        <v>254</v>
      </c>
    </row>
    <row r="254" spans="1:9" x14ac:dyDescent="0.25">
      <c r="A254">
        <v>253</v>
      </c>
      <c r="B254" t="s">
        <v>774</v>
      </c>
      <c r="C254">
        <v>2231</v>
      </c>
      <c r="D254" t="s">
        <v>775</v>
      </c>
      <c r="E254" t="s">
        <v>252</v>
      </c>
      <c r="F254" t="s">
        <v>220</v>
      </c>
      <c r="G254" t="s">
        <v>338</v>
      </c>
      <c r="H254" s="4">
        <v>40501</v>
      </c>
      <c r="I254" t="s">
        <v>254</v>
      </c>
    </row>
    <row r="255" spans="1:9" x14ac:dyDescent="0.25">
      <c r="A255">
        <v>254</v>
      </c>
      <c r="B255" t="s">
        <v>776</v>
      </c>
      <c r="C255">
        <v>2233</v>
      </c>
      <c r="D255" t="s">
        <v>777</v>
      </c>
      <c r="E255" t="s">
        <v>252</v>
      </c>
      <c r="F255" t="s">
        <v>220</v>
      </c>
      <c r="G255" t="s">
        <v>338</v>
      </c>
      <c r="H255" s="4">
        <v>43725</v>
      </c>
      <c r="I255" t="s">
        <v>254</v>
      </c>
    </row>
    <row r="256" spans="1:9" x14ac:dyDescent="0.25">
      <c r="A256">
        <v>255</v>
      </c>
      <c r="B256" t="s">
        <v>778</v>
      </c>
      <c r="C256">
        <v>2236</v>
      </c>
      <c r="D256" t="s">
        <v>779</v>
      </c>
      <c r="E256" t="s">
        <v>252</v>
      </c>
      <c r="F256" t="s">
        <v>220</v>
      </c>
      <c r="G256" t="s">
        <v>338</v>
      </c>
      <c r="H256" s="4">
        <v>42158</v>
      </c>
      <c r="I256" t="s">
        <v>254</v>
      </c>
    </row>
    <row r="257" spans="1:9" x14ac:dyDescent="0.25">
      <c r="A257">
        <v>256</v>
      </c>
      <c r="B257" t="s">
        <v>780</v>
      </c>
      <c r="C257">
        <v>2239</v>
      </c>
      <c r="D257" t="s">
        <v>781</v>
      </c>
      <c r="E257" t="s">
        <v>252</v>
      </c>
      <c r="F257" t="s">
        <v>220</v>
      </c>
      <c r="G257" t="s">
        <v>338</v>
      </c>
      <c r="H257" s="4">
        <v>42396</v>
      </c>
      <c r="I257" t="s">
        <v>254</v>
      </c>
    </row>
    <row r="258" spans="1:9" x14ac:dyDescent="0.25">
      <c r="A258">
        <v>257</v>
      </c>
      <c r="B258" t="s">
        <v>782</v>
      </c>
      <c r="C258">
        <v>2241</v>
      </c>
      <c r="D258" t="s">
        <v>783</v>
      </c>
      <c r="E258" t="s">
        <v>252</v>
      </c>
      <c r="F258" t="s">
        <v>220</v>
      </c>
      <c r="G258" t="s">
        <v>338</v>
      </c>
      <c r="H258" s="4">
        <v>44069</v>
      </c>
      <c r="I258" t="s">
        <v>254</v>
      </c>
    </row>
    <row r="259" spans="1:9" x14ac:dyDescent="0.25">
      <c r="A259">
        <v>258</v>
      </c>
      <c r="B259" t="s">
        <v>784</v>
      </c>
      <c r="C259">
        <v>2243</v>
      </c>
      <c r="D259" t="s">
        <v>785</v>
      </c>
      <c r="E259" t="s">
        <v>252</v>
      </c>
      <c r="F259" t="s">
        <v>220</v>
      </c>
      <c r="G259" t="s">
        <v>338</v>
      </c>
      <c r="H259" s="4">
        <v>43005</v>
      </c>
      <c r="I259" t="s">
        <v>254</v>
      </c>
    </row>
    <row r="260" spans="1:9" x14ac:dyDescent="0.25">
      <c r="A260">
        <v>259</v>
      </c>
      <c r="B260" t="s">
        <v>786</v>
      </c>
      <c r="C260">
        <v>2247</v>
      </c>
      <c r="D260" t="s">
        <v>787</v>
      </c>
      <c r="E260" t="s">
        <v>252</v>
      </c>
      <c r="F260" t="s">
        <v>220</v>
      </c>
      <c r="G260" t="s">
        <v>338</v>
      </c>
      <c r="H260" s="4">
        <v>44116</v>
      </c>
      <c r="I260" t="s">
        <v>254</v>
      </c>
    </row>
    <row r="261" spans="1:9" x14ac:dyDescent="0.25">
      <c r="A261">
        <v>260</v>
      </c>
      <c r="B261" t="s">
        <v>788</v>
      </c>
      <c r="C261">
        <v>2250</v>
      </c>
      <c r="D261" t="s">
        <v>789</v>
      </c>
      <c r="E261" t="s">
        <v>252</v>
      </c>
      <c r="F261" t="s">
        <v>220</v>
      </c>
      <c r="G261" t="s">
        <v>338</v>
      </c>
      <c r="H261" s="4">
        <v>44347</v>
      </c>
      <c r="I261" t="s">
        <v>254</v>
      </c>
    </row>
    <row r="262" spans="1:9" x14ac:dyDescent="0.25">
      <c r="A262">
        <v>261</v>
      </c>
      <c r="B262" t="s">
        <v>790</v>
      </c>
      <c r="C262">
        <v>2301</v>
      </c>
      <c r="D262" t="s">
        <v>791</v>
      </c>
      <c r="E262" t="s">
        <v>252</v>
      </c>
      <c r="F262" t="s">
        <v>220</v>
      </c>
      <c r="G262" t="s">
        <v>792</v>
      </c>
      <c r="H262" s="4">
        <v>35020</v>
      </c>
      <c r="I262" t="s">
        <v>254</v>
      </c>
    </row>
    <row r="263" spans="1:9" x14ac:dyDescent="0.25">
      <c r="A263">
        <v>262</v>
      </c>
      <c r="B263" t="s">
        <v>793</v>
      </c>
      <c r="C263">
        <v>2302</v>
      </c>
      <c r="D263" t="s">
        <v>794</v>
      </c>
      <c r="E263" t="s">
        <v>252</v>
      </c>
      <c r="F263" t="s">
        <v>220</v>
      </c>
      <c r="G263" t="s">
        <v>795</v>
      </c>
      <c r="H263" s="4">
        <v>31062</v>
      </c>
      <c r="I263" t="s">
        <v>254</v>
      </c>
    </row>
    <row r="264" spans="1:9" x14ac:dyDescent="0.25">
      <c r="A264">
        <v>263</v>
      </c>
      <c r="B264" t="s">
        <v>796</v>
      </c>
      <c r="C264">
        <v>2303</v>
      </c>
      <c r="D264" t="s">
        <v>797</v>
      </c>
      <c r="E264" t="s">
        <v>252</v>
      </c>
      <c r="F264" t="s">
        <v>220</v>
      </c>
      <c r="G264" t="s">
        <v>795</v>
      </c>
      <c r="H264" s="4">
        <v>31244</v>
      </c>
      <c r="I264" t="s">
        <v>254</v>
      </c>
    </row>
    <row r="265" spans="1:9" x14ac:dyDescent="0.25">
      <c r="A265">
        <v>264</v>
      </c>
      <c r="B265" t="s">
        <v>798</v>
      </c>
      <c r="C265">
        <v>2305</v>
      </c>
      <c r="D265" t="s">
        <v>799</v>
      </c>
      <c r="E265" t="s">
        <v>252</v>
      </c>
      <c r="F265" t="s">
        <v>220</v>
      </c>
      <c r="G265" t="s">
        <v>792</v>
      </c>
      <c r="H265" s="4">
        <v>32437</v>
      </c>
      <c r="I265" t="s">
        <v>254</v>
      </c>
    </row>
    <row r="266" spans="1:9" x14ac:dyDescent="0.25">
      <c r="A266">
        <v>265</v>
      </c>
      <c r="B266" t="s">
        <v>800</v>
      </c>
      <c r="C266">
        <v>2308</v>
      </c>
      <c r="D266" t="s">
        <v>801</v>
      </c>
      <c r="E266" t="s">
        <v>252</v>
      </c>
      <c r="F266" t="s">
        <v>220</v>
      </c>
      <c r="G266" t="s">
        <v>450</v>
      </c>
      <c r="H266" s="4">
        <v>32496</v>
      </c>
      <c r="I266" t="s">
        <v>254</v>
      </c>
    </row>
    <row r="267" spans="1:9" x14ac:dyDescent="0.25">
      <c r="A267">
        <v>266</v>
      </c>
      <c r="B267" t="s">
        <v>802</v>
      </c>
      <c r="C267">
        <v>2312</v>
      </c>
      <c r="D267" t="s">
        <v>803</v>
      </c>
      <c r="E267" t="s">
        <v>252</v>
      </c>
      <c r="F267" t="s">
        <v>220</v>
      </c>
      <c r="G267" t="s">
        <v>804</v>
      </c>
      <c r="H267" s="4">
        <v>32819</v>
      </c>
      <c r="I267" t="s">
        <v>254</v>
      </c>
    </row>
    <row r="268" spans="1:9" x14ac:dyDescent="0.25">
      <c r="A268">
        <v>267</v>
      </c>
      <c r="B268" t="s">
        <v>805</v>
      </c>
      <c r="C268">
        <v>2313</v>
      </c>
      <c r="D268" t="s">
        <v>806</v>
      </c>
      <c r="E268" t="s">
        <v>252</v>
      </c>
      <c r="F268" t="s">
        <v>220</v>
      </c>
      <c r="G268" t="s">
        <v>450</v>
      </c>
      <c r="H268" s="4">
        <v>33078</v>
      </c>
      <c r="I268" t="s">
        <v>254</v>
      </c>
    </row>
    <row r="269" spans="1:9" x14ac:dyDescent="0.25">
      <c r="A269">
        <v>268</v>
      </c>
      <c r="B269" t="s">
        <v>807</v>
      </c>
      <c r="C269">
        <v>2314</v>
      </c>
      <c r="D269" t="s">
        <v>808</v>
      </c>
      <c r="E269" t="s">
        <v>252</v>
      </c>
      <c r="F269" t="s">
        <v>220</v>
      </c>
      <c r="G269" t="s">
        <v>809</v>
      </c>
      <c r="H269" s="4">
        <v>33093</v>
      </c>
      <c r="I269" t="s">
        <v>254</v>
      </c>
    </row>
    <row r="270" spans="1:9" x14ac:dyDescent="0.25">
      <c r="A270">
        <v>269</v>
      </c>
      <c r="B270" t="s">
        <v>810</v>
      </c>
      <c r="C270">
        <v>2316</v>
      </c>
      <c r="D270" t="s">
        <v>811</v>
      </c>
      <c r="E270" t="s">
        <v>252</v>
      </c>
      <c r="F270" t="s">
        <v>220</v>
      </c>
      <c r="G270" t="s">
        <v>450</v>
      </c>
      <c r="H270" s="4">
        <v>33274</v>
      </c>
      <c r="I270" t="s">
        <v>254</v>
      </c>
    </row>
    <row r="271" spans="1:9" x14ac:dyDescent="0.25">
      <c r="A271">
        <v>270</v>
      </c>
      <c r="B271" t="s">
        <v>812</v>
      </c>
      <c r="C271">
        <v>2317</v>
      </c>
      <c r="D271" t="s">
        <v>813</v>
      </c>
      <c r="E271" t="s">
        <v>252</v>
      </c>
      <c r="F271" t="s">
        <v>220</v>
      </c>
      <c r="G271" t="s">
        <v>804</v>
      </c>
      <c r="H271" s="4">
        <v>33407</v>
      </c>
      <c r="I271" t="s">
        <v>254</v>
      </c>
    </row>
    <row r="272" spans="1:9" x14ac:dyDescent="0.25">
      <c r="A272">
        <v>271</v>
      </c>
      <c r="B272" t="s">
        <v>814</v>
      </c>
      <c r="C272">
        <v>2321</v>
      </c>
      <c r="D272" t="s">
        <v>815</v>
      </c>
      <c r="E272" t="s">
        <v>252</v>
      </c>
      <c r="F272" t="s">
        <v>220</v>
      </c>
      <c r="G272" t="s">
        <v>809</v>
      </c>
      <c r="H272" s="4">
        <v>33550</v>
      </c>
      <c r="I272" t="s">
        <v>254</v>
      </c>
    </row>
    <row r="273" spans="1:9" x14ac:dyDescent="0.25">
      <c r="A273">
        <v>272</v>
      </c>
      <c r="B273" t="s">
        <v>816</v>
      </c>
      <c r="C273">
        <v>2323</v>
      </c>
      <c r="D273" t="s">
        <v>817</v>
      </c>
      <c r="E273" t="s">
        <v>252</v>
      </c>
      <c r="F273" t="s">
        <v>220</v>
      </c>
      <c r="G273" t="s">
        <v>818</v>
      </c>
      <c r="H273" s="4">
        <v>33651</v>
      </c>
      <c r="I273" t="s">
        <v>254</v>
      </c>
    </row>
    <row r="274" spans="1:9" x14ac:dyDescent="0.25">
      <c r="A274">
        <v>273</v>
      </c>
      <c r="B274" t="s">
        <v>819</v>
      </c>
      <c r="C274">
        <v>2324</v>
      </c>
      <c r="D274" t="s">
        <v>820</v>
      </c>
      <c r="E274" t="s">
        <v>252</v>
      </c>
      <c r="F274" t="s">
        <v>220</v>
      </c>
      <c r="G274" t="s">
        <v>792</v>
      </c>
      <c r="H274" s="4">
        <v>33652</v>
      </c>
      <c r="I274" t="s">
        <v>254</v>
      </c>
    </row>
    <row r="275" spans="1:9" x14ac:dyDescent="0.25">
      <c r="A275">
        <v>274</v>
      </c>
      <c r="B275" t="s">
        <v>821</v>
      </c>
      <c r="C275">
        <v>2327</v>
      </c>
      <c r="D275" t="s">
        <v>822</v>
      </c>
      <c r="E275" t="s">
        <v>252</v>
      </c>
      <c r="F275" t="s">
        <v>220</v>
      </c>
      <c r="G275" t="s">
        <v>450</v>
      </c>
      <c r="H275" s="4">
        <v>34264</v>
      </c>
      <c r="I275" t="s">
        <v>254</v>
      </c>
    </row>
    <row r="276" spans="1:9" x14ac:dyDescent="0.25">
      <c r="A276">
        <v>275</v>
      </c>
      <c r="B276" t="s">
        <v>823</v>
      </c>
      <c r="C276">
        <v>2328</v>
      </c>
      <c r="D276" t="s">
        <v>824</v>
      </c>
      <c r="E276" t="s">
        <v>252</v>
      </c>
      <c r="F276" t="s">
        <v>220</v>
      </c>
      <c r="G276" t="s">
        <v>450</v>
      </c>
      <c r="H276" s="4">
        <v>34282</v>
      </c>
      <c r="I276" t="s">
        <v>254</v>
      </c>
    </row>
    <row r="277" spans="1:9" x14ac:dyDescent="0.25">
      <c r="A277">
        <v>276</v>
      </c>
      <c r="B277" t="s">
        <v>825</v>
      </c>
      <c r="C277">
        <v>2329</v>
      </c>
      <c r="D277" t="s">
        <v>826</v>
      </c>
      <c r="E277" t="s">
        <v>252</v>
      </c>
      <c r="F277" t="s">
        <v>220</v>
      </c>
      <c r="G277" t="s">
        <v>795</v>
      </c>
      <c r="H277" s="4">
        <v>34444</v>
      </c>
      <c r="I277" t="s">
        <v>254</v>
      </c>
    </row>
    <row r="278" spans="1:9" x14ac:dyDescent="0.25">
      <c r="A278">
        <v>277</v>
      </c>
      <c r="B278" t="s">
        <v>827</v>
      </c>
      <c r="C278">
        <v>2330</v>
      </c>
      <c r="D278" t="s">
        <v>828</v>
      </c>
      <c r="E278" t="s">
        <v>252</v>
      </c>
      <c r="F278" t="s">
        <v>220</v>
      </c>
      <c r="G278" t="s">
        <v>795</v>
      </c>
      <c r="H278" s="4">
        <v>34582</v>
      </c>
      <c r="I278" t="s">
        <v>254</v>
      </c>
    </row>
    <row r="279" spans="1:9" x14ac:dyDescent="0.25">
      <c r="A279">
        <v>278</v>
      </c>
      <c r="B279" t="s">
        <v>829</v>
      </c>
      <c r="C279">
        <v>2331</v>
      </c>
      <c r="D279" t="s">
        <v>830</v>
      </c>
      <c r="E279" t="s">
        <v>252</v>
      </c>
      <c r="F279" t="s">
        <v>220</v>
      </c>
      <c r="G279" t="s">
        <v>792</v>
      </c>
      <c r="H279" s="4">
        <v>34598</v>
      </c>
      <c r="I279" t="s">
        <v>254</v>
      </c>
    </row>
    <row r="280" spans="1:9" x14ac:dyDescent="0.25">
      <c r="A280">
        <v>279</v>
      </c>
      <c r="B280" t="s">
        <v>831</v>
      </c>
      <c r="C280">
        <v>2332</v>
      </c>
      <c r="D280" t="s">
        <v>832</v>
      </c>
      <c r="E280" t="s">
        <v>252</v>
      </c>
      <c r="F280" t="s">
        <v>220</v>
      </c>
      <c r="G280" t="s">
        <v>809</v>
      </c>
      <c r="H280" s="4">
        <v>34624</v>
      </c>
      <c r="I280" t="s">
        <v>254</v>
      </c>
    </row>
    <row r="281" spans="1:9" x14ac:dyDescent="0.25">
      <c r="A281">
        <v>280</v>
      </c>
      <c r="B281" t="s">
        <v>833</v>
      </c>
      <c r="C281">
        <v>2337</v>
      </c>
      <c r="D281" t="s">
        <v>834</v>
      </c>
      <c r="E281" t="s">
        <v>252</v>
      </c>
      <c r="F281" t="s">
        <v>220</v>
      </c>
      <c r="G281" t="s">
        <v>795</v>
      </c>
      <c r="H281" s="4">
        <v>34773</v>
      </c>
      <c r="I281" t="s">
        <v>254</v>
      </c>
    </row>
    <row r="282" spans="1:9" x14ac:dyDescent="0.25">
      <c r="A282">
        <v>281</v>
      </c>
      <c r="B282" t="s">
        <v>835</v>
      </c>
      <c r="C282">
        <v>2338</v>
      </c>
      <c r="D282" t="s">
        <v>836</v>
      </c>
      <c r="E282" t="s">
        <v>252</v>
      </c>
      <c r="F282" t="s">
        <v>220</v>
      </c>
      <c r="G282" t="s">
        <v>795</v>
      </c>
      <c r="H282" s="4">
        <v>34806</v>
      </c>
      <c r="I282" t="s">
        <v>254</v>
      </c>
    </row>
    <row r="283" spans="1:9" x14ac:dyDescent="0.25">
      <c r="A283">
        <v>282</v>
      </c>
      <c r="B283" t="s">
        <v>837</v>
      </c>
      <c r="C283">
        <v>2340</v>
      </c>
      <c r="D283" t="s">
        <v>838</v>
      </c>
      <c r="E283" t="s">
        <v>252</v>
      </c>
      <c r="F283" t="s">
        <v>220</v>
      </c>
      <c r="G283" t="s">
        <v>818</v>
      </c>
      <c r="H283" s="4">
        <v>34821</v>
      </c>
      <c r="I283" t="s">
        <v>254</v>
      </c>
    </row>
    <row r="284" spans="1:9" x14ac:dyDescent="0.25">
      <c r="A284">
        <v>283</v>
      </c>
      <c r="B284" t="s">
        <v>839</v>
      </c>
      <c r="C284">
        <v>2342</v>
      </c>
      <c r="D284" t="s">
        <v>840</v>
      </c>
      <c r="E284" t="s">
        <v>252</v>
      </c>
      <c r="F284" t="s">
        <v>220</v>
      </c>
      <c r="G284" t="s">
        <v>795</v>
      </c>
      <c r="H284" s="4">
        <v>34961</v>
      </c>
      <c r="I284" t="s">
        <v>254</v>
      </c>
    </row>
    <row r="285" spans="1:9" x14ac:dyDescent="0.25">
      <c r="A285">
        <v>284</v>
      </c>
      <c r="B285" t="s">
        <v>841</v>
      </c>
      <c r="C285">
        <v>2344</v>
      </c>
      <c r="D285" t="s">
        <v>842</v>
      </c>
      <c r="E285" t="s">
        <v>252</v>
      </c>
      <c r="F285" t="s">
        <v>220</v>
      </c>
      <c r="G285" t="s">
        <v>795</v>
      </c>
      <c r="H285" s="4">
        <v>34990</v>
      </c>
      <c r="I285" t="s">
        <v>254</v>
      </c>
    </row>
    <row r="286" spans="1:9" x14ac:dyDescent="0.25">
      <c r="A286">
        <v>285</v>
      </c>
      <c r="B286" t="s">
        <v>843</v>
      </c>
      <c r="C286">
        <v>2345</v>
      </c>
      <c r="D286" t="s">
        <v>844</v>
      </c>
      <c r="E286" t="s">
        <v>252</v>
      </c>
      <c r="F286" t="s">
        <v>220</v>
      </c>
      <c r="G286" t="s">
        <v>809</v>
      </c>
      <c r="H286" s="4">
        <v>35018</v>
      </c>
      <c r="I286" t="s">
        <v>254</v>
      </c>
    </row>
    <row r="287" spans="1:9" x14ac:dyDescent="0.25">
      <c r="A287">
        <v>286</v>
      </c>
      <c r="B287" t="s">
        <v>845</v>
      </c>
      <c r="C287">
        <v>2347</v>
      </c>
      <c r="D287" t="s">
        <v>846</v>
      </c>
      <c r="E287" t="s">
        <v>252</v>
      </c>
      <c r="F287" t="s">
        <v>220</v>
      </c>
      <c r="G287" t="s">
        <v>847</v>
      </c>
      <c r="H287" s="4">
        <v>35046</v>
      </c>
      <c r="I287" t="s">
        <v>254</v>
      </c>
    </row>
    <row r="288" spans="1:9" x14ac:dyDescent="0.25">
      <c r="A288">
        <v>287</v>
      </c>
      <c r="B288" t="s">
        <v>848</v>
      </c>
      <c r="C288">
        <v>2348</v>
      </c>
      <c r="D288" t="s">
        <v>849</v>
      </c>
      <c r="E288" t="s">
        <v>252</v>
      </c>
      <c r="F288" t="s">
        <v>220</v>
      </c>
      <c r="G288" t="s">
        <v>361</v>
      </c>
      <c r="H288" s="4">
        <v>35069</v>
      </c>
      <c r="I288" t="s">
        <v>254</v>
      </c>
    </row>
    <row r="289" spans="1:9" x14ac:dyDescent="0.25">
      <c r="A289">
        <v>288</v>
      </c>
      <c r="B289" t="s">
        <v>850</v>
      </c>
      <c r="C289">
        <v>2349</v>
      </c>
      <c r="D289" t="s">
        <v>851</v>
      </c>
      <c r="E289" t="s">
        <v>252</v>
      </c>
      <c r="F289" t="s">
        <v>220</v>
      </c>
      <c r="G289" t="s">
        <v>818</v>
      </c>
      <c r="H289" s="4">
        <v>35178</v>
      </c>
      <c r="I289" t="s">
        <v>254</v>
      </c>
    </row>
    <row r="290" spans="1:9" x14ac:dyDescent="0.25">
      <c r="A290">
        <v>289</v>
      </c>
      <c r="B290" t="s">
        <v>852</v>
      </c>
      <c r="C290">
        <v>2351</v>
      </c>
      <c r="D290" t="s">
        <v>853</v>
      </c>
      <c r="E290" t="s">
        <v>252</v>
      </c>
      <c r="F290" t="s">
        <v>220</v>
      </c>
      <c r="G290" t="s">
        <v>795</v>
      </c>
      <c r="H290" s="4">
        <v>35180</v>
      </c>
      <c r="I290" t="s">
        <v>254</v>
      </c>
    </row>
    <row r="291" spans="1:9" x14ac:dyDescent="0.25">
      <c r="A291">
        <v>290</v>
      </c>
      <c r="B291" t="s">
        <v>854</v>
      </c>
      <c r="C291">
        <v>2352</v>
      </c>
      <c r="D291" t="s">
        <v>855</v>
      </c>
      <c r="E291" t="s">
        <v>252</v>
      </c>
      <c r="F291" t="s">
        <v>220</v>
      </c>
      <c r="G291" t="s">
        <v>792</v>
      </c>
      <c r="H291" s="4">
        <v>35268</v>
      </c>
      <c r="I291" t="s">
        <v>254</v>
      </c>
    </row>
    <row r="292" spans="1:9" x14ac:dyDescent="0.25">
      <c r="A292">
        <v>291</v>
      </c>
      <c r="B292" t="s">
        <v>856</v>
      </c>
      <c r="C292">
        <v>2353</v>
      </c>
      <c r="D292" t="s">
        <v>857</v>
      </c>
      <c r="E292" t="s">
        <v>252</v>
      </c>
      <c r="F292" t="s">
        <v>220</v>
      </c>
      <c r="G292" t="s">
        <v>792</v>
      </c>
      <c r="H292" s="4">
        <v>35326</v>
      </c>
      <c r="I292" t="s">
        <v>254</v>
      </c>
    </row>
    <row r="293" spans="1:9" x14ac:dyDescent="0.25">
      <c r="A293">
        <v>292</v>
      </c>
      <c r="B293" t="s">
        <v>858</v>
      </c>
      <c r="C293">
        <v>2354</v>
      </c>
      <c r="D293" t="s">
        <v>859</v>
      </c>
      <c r="E293" t="s">
        <v>252</v>
      </c>
      <c r="F293" t="s">
        <v>220</v>
      </c>
      <c r="G293" t="s">
        <v>804</v>
      </c>
      <c r="H293" s="4">
        <v>35346</v>
      </c>
      <c r="I293" t="s">
        <v>254</v>
      </c>
    </row>
    <row r="294" spans="1:9" x14ac:dyDescent="0.25">
      <c r="A294">
        <v>293</v>
      </c>
      <c r="B294" t="s">
        <v>860</v>
      </c>
      <c r="C294">
        <v>2355</v>
      </c>
      <c r="D294" t="s">
        <v>861</v>
      </c>
      <c r="E294" t="s">
        <v>252</v>
      </c>
      <c r="F294" t="s">
        <v>220</v>
      </c>
      <c r="G294" t="s">
        <v>450</v>
      </c>
      <c r="H294" s="4">
        <v>35352</v>
      </c>
      <c r="I294" t="s">
        <v>254</v>
      </c>
    </row>
    <row r="295" spans="1:9" x14ac:dyDescent="0.25">
      <c r="A295">
        <v>294</v>
      </c>
      <c r="B295" t="s">
        <v>862</v>
      </c>
      <c r="C295">
        <v>2356</v>
      </c>
      <c r="D295" t="s">
        <v>863</v>
      </c>
      <c r="E295" t="s">
        <v>252</v>
      </c>
      <c r="F295" t="s">
        <v>220</v>
      </c>
      <c r="G295" t="s">
        <v>792</v>
      </c>
      <c r="H295" s="4">
        <v>35382</v>
      </c>
      <c r="I295" t="s">
        <v>254</v>
      </c>
    </row>
    <row r="296" spans="1:9" x14ac:dyDescent="0.25">
      <c r="A296">
        <v>295</v>
      </c>
      <c r="B296" t="s">
        <v>864</v>
      </c>
      <c r="C296">
        <v>2357</v>
      </c>
      <c r="D296" t="s">
        <v>865</v>
      </c>
      <c r="E296" t="s">
        <v>252</v>
      </c>
      <c r="F296" t="s">
        <v>220</v>
      </c>
      <c r="G296" t="s">
        <v>792</v>
      </c>
      <c r="H296" s="4">
        <v>35383</v>
      </c>
      <c r="I296" t="s">
        <v>254</v>
      </c>
    </row>
    <row r="297" spans="1:9" x14ac:dyDescent="0.25">
      <c r="A297">
        <v>296</v>
      </c>
      <c r="B297" t="s">
        <v>866</v>
      </c>
      <c r="C297">
        <v>2358</v>
      </c>
      <c r="D297" t="s">
        <v>867</v>
      </c>
      <c r="E297" t="s">
        <v>252</v>
      </c>
      <c r="F297" t="s">
        <v>220</v>
      </c>
      <c r="G297" t="s">
        <v>361</v>
      </c>
      <c r="H297" s="4">
        <v>35417</v>
      </c>
      <c r="I297" t="s">
        <v>254</v>
      </c>
    </row>
    <row r="298" spans="1:9" x14ac:dyDescent="0.25">
      <c r="A298">
        <v>297</v>
      </c>
      <c r="B298" t="s">
        <v>868</v>
      </c>
      <c r="C298">
        <v>2359</v>
      </c>
      <c r="D298" t="s">
        <v>869</v>
      </c>
      <c r="E298" t="s">
        <v>252</v>
      </c>
      <c r="F298" t="s">
        <v>220</v>
      </c>
      <c r="G298" t="s">
        <v>804</v>
      </c>
      <c r="H298" s="4">
        <v>35418</v>
      </c>
      <c r="I298" t="s">
        <v>254</v>
      </c>
    </row>
    <row r="299" spans="1:9" x14ac:dyDescent="0.25">
      <c r="A299">
        <v>298</v>
      </c>
      <c r="B299" t="s">
        <v>870</v>
      </c>
      <c r="C299">
        <v>2360</v>
      </c>
      <c r="D299" t="s">
        <v>871</v>
      </c>
      <c r="E299" t="s">
        <v>252</v>
      </c>
      <c r="F299" t="s">
        <v>220</v>
      </c>
      <c r="G299" t="s">
        <v>804</v>
      </c>
      <c r="H299" s="4">
        <v>35420</v>
      </c>
      <c r="I299" t="s">
        <v>254</v>
      </c>
    </row>
    <row r="300" spans="1:9" x14ac:dyDescent="0.25">
      <c r="A300">
        <v>299</v>
      </c>
      <c r="B300" t="s">
        <v>872</v>
      </c>
      <c r="C300">
        <v>2362</v>
      </c>
      <c r="D300" t="s">
        <v>873</v>
      </c>
      <c r="E300" t="s">
        <v>252</v>
      </c>
      <c r="F300" t="s">
        <v>220</v>
      </c>
      <c r="G300" t="s">
        <v>792</v>
      </c>
      <c r="H300" s="4">
        <v>35522</v>
      </c>
      <c r="I300" t="s">
        <v>254</v>
      </c>
    </row>
    <row r="301" spans="1:9" x14ac:dyDescent="0.25">
      <c r="A301">
        <v>300</v>
      </c>
      <c r="B301" t="s">
        <v>874</v>
      </c>
      <c r="C301">
        <v>2363</v>
      </c>
      <c r="D301" t="s">
        <v>875</v>
      </c>
      <c r="E301" t="s">
        <v>252</v>
      </c>
      <c r="F301" t="s">
        <v>220</v>
      </c>
      <c r="G301" t="s">
        <v>795</v>
      </c>
      <c r="H301" s="4">
        <v>35643</v>
      </c>
      <c r="I301" t="s">
        <v>254</v>
      </c>
    </row>
    <row r="302" spans="1:9" x14ac:dyDescent="0.25">
      <c r="A302">
        <v>301</v>
      </c>
      <c r="B302" t="s">
        <v>876</v>
      </c>
      <c r="C302">
        <v>2364</v>
      </c>
      <c r="D302" t="s">
        <v>877</v>
      </c>
      <c r="E302" t="s">
        <v>252</v>
      </c>
      <c r="F302" t="s">
        <v>220</v>
      </c>
      <c r="G302" t="s">
        <v>792</v>
      </c>
      <c r="H302" s="4">
        <v>35653</v>
      </c>
      <c r="I302" t="s">
        <v>254</v>
      </c>
    </row>
    <row r="303" spans="1:9" x14ac:dyDescent="0.25">
      <c r="A303">
        <v>302</v>
      </c>
      <c r="B303" t="s">
        <v>878</v>
      </c>
      <c r="C303">
        <v>2365</v>
      </c>
      <c r="D303" t="s">
        <v>879</v>
      </c>
      <c r="E303" t="s">
        <v>252</v>
      </c>
      <c r="F303" t="s">
        <v>220</v>
      </c>
      <c r="G303" t="s">
        <v>792</v>
      </c>
      <c r="H303" s="4">
        <v>35737</v>
      </c>
      <c r="I303" t="s">
        <v>254</v>
      </c>
    </row>
    <row r="304" spans="1:9" x14ac:dyDescent="0.25">
      <c r="A304">
        <v>303</v>
      </c>
      <c r="B304" t="s">
        <v>880</v>
      </c>
      <c r="C304">
        <v>2367</v>
      </c>
      <c r="D304" t="s">
        <v>881</v>
      </c>
      <c r="E304" t="s">
        <v>252</v>
      </c>
      <c r="F304" t="s">
        <v>220</v>
      </c>
      <c r="G304" t="s">
        <v>450</v>
      </c>
      <c r="H304" s="4">
        <v>35777</v>
      </c>
      <c r="I304" t="s">
        <v>254</v>
      </c>
    </row>
    <row r="305" spans="1:9" x14ac:dyDescent="0.25">
      <c r="A305">
        <v>304</v>
      </c>
      <c r="B305" t="s">
        <v>882</v>
      </c>
      <c r="C305">
        <v>2368</v>
      </c>
      <c r="D305" t="s">
        <v>883</v>
      </c>
      <c r="E305" t="s">
        <v>252</v>
      </c>
      <c r="F305" t="s">
        <v>220</v>
      </c>
      <c r="G305" t="s">
        <v>450</v>
      </c>
      <c r="H305" s="4">
        <v>35863</v>
      </c>
      <c r="I305" t="s">
        <v>254</v>
      </c>
    </row>
    <row r="306" spans="1:9" x14ac:dyDescent="0.25">
      <c r="A306">
        <v>305</v>
      </c>
      <c r="B306" t="s">
        <v>884</v>
      </c>
      <c r="C306">
        <v>2369</v>
      </c>
      <c r="D306" t="s">
        <v>885</v>
      </c>
      <c r="E306" t="s">
        <v>252</v>
      </c>
      <c r="F306" t="s">
        <v>220</v>
      </c>
      <c r="G306" t="s">
        <v>795</v>
      </c>
      <c r="H306" s="4">
        <v>35895</v>
      </c>
      <c r="I306" t="s">
        <v>254</v>
      </c>
    </row>
    <row r="307" spans="1:9" x14ac:dyDescent="0.25">
      <c r="A307">
        <v>306</v>
      </c>
      <c r="B307" t="s">
        <v>886</v>
      </c>
      <c r="C307">
        <v>2371</v>
      </c>
      <c r="D307" t="s">
        <v>887</v>
      </c>
      <c r="E307" t="s">
        <v>252</v>
      </c>
      <c r="F307" t="s">
        <v>220</v>
      </c>
      <c r="G307" t="s">
        <v>465</v>
      </c>
      <c r="H307" s="4">
        <v>22686</v>
      </c>
      <c r="I307" t="s">
        <v>254</v>
      </c>
    </row>
    <row r="308" spans="1:9" x14ac:dyDescent="0.25">
      <c r="A308">
        <v>307</v>
      </c>
      <c r="B308" t="s">
        <v>888</v>
      </c>
      <c r="C308">
        <v>2373</v>
      </c>
      <c r="D308" t="s">
        <v>889</v>
      </c>
      <c r="E308" t="s">
        <v>252</v>
      </c>
      <c r="F308" t="s">
        <v>220</v>
      </c>
      <c r="G308" t="s">
        <v>804</v>
      </c>
      <c r="H308" s="4">
        <v>33451</v>
      </c>
      <c r="I308" t="s">
        <v>254</v>
      </c>
    </row>
    <row r="309" spans="1:9" x14ac:dyDescent="0.25">
      <c r="A309">
        <v>308</v>
      </c>
      <c r="B309" t="s">
        <v>890</v>
      </c>
      <c r="C309">
        <v>2374</v>
      </c>
      <c r="D309" t="s">
        <v>891</v>
      </c>
      <c r="E309" t="s">
        <v>252</v>
      </c>
      <c r="F309" t="s">
        <v>220</v>
      </c>
      <c r="G309" t="s">
        <v>818</v>
      </c>
      <c r="H309" s="4">
        <v>34715</v>
      </c>
      <c r="I309" t="s">
        <v>254</v>
      </c>
    </row>
    <row r="310" spans="1:9" x14ac:dyDescent="0.25">
      <c r="A310">
        <v>309</v>
      </c>
      <c r="B310" t="s">
        <v>892</v>
      </c>
      <c r="C310">
        <v>2375</v>
      </c>
      <c r="D310" t="s">
        <v>893</v>
      </c>
      <c r="E310" t="s">
        <v>252</v>
      </c>
      <c r="F310" t="s">
        <v>220</v>
      </c>
      <c r="G310" t="s">
        <v>450</v>
      </c>
      <c r="H310" s="4">
        <v>36036</v>
      </c>
      <c r="I310" t="s">
        <v>254</v>
      </c>
    </row>
    <row r="311" spans="1:9" x14ac:dyDescent="0.25">
      <c r="A311">
        <v>310</v>
      </c>
      <c r="B311" t="s">
        <v>894</v>
      </c>
      <c r="C311">
        <v>2376</v>
      </c>
      <c r="D311" t="s">
        <v>895</v>
      </c>
      <c r="E311" t="s">
        <v>252</v>
      </c>
      <c r="F311" t="s">
        <v>220</v>
      </c>
      <c r="G311" t="s">
        <v>792</v>
      </c>
      <c r="H311" s="4">
        <v>36062</v>
      </c>
      <c r="I311" t="s">
        <v>254</v>
      </c>
    </row>
    <row r="312" spans="1:9" x14ac:dyDescent="0.25">
      <c r="A312">
        <v>311</v>
      </c>
      <c r="B312" t="s">
        <v>896</v>
      </c>
      <c r="C312">
        <v>2377</v>
      </c>
      <c r="D312" t="s">
        <v>897</v>
      </c>
      <c r="E312" t="s">
        <v>252</v>
      </c>
      <c r="F312" t="s">
        <v>220</v>
      </c>
      <c r="G312" t="s">
        <v>792</v>
      </c>
      <c r="H312" s="4">
        <v>36099</v>
      </c>
      <c r="I312" t="s">
        <v>254</v>
      </c>
    </row>
    <row r="313" spans="1:9" x14ac:dyDescent="0.25">
      <c r="A313">
        <v>312</v>
      </c>
      <c r="B313" t="s">
        <v>898</v>
      </c>
      <c r="C313">
        <v>2379</v>
      </c>
      <c r="D313" t="s">
        <v>899</v>
      </c>
      <c r="E313" t="s">
        <v>252</v>
      </c>
      <c r="F313" t="s">
        <v>220</v>
      </c>
      <c r="G313" t="s">
        <v>795</v>
      </c>
      <c r="H313" s="4">
        <v>36094</v>
      </c>
      <c r="I313" t="s">
        <v>254</v>
      </c>
    </row>
    <row r="314" spans="1:9" x14ac:dyDescent="0.25">
      <c r="A314">
        <v>313</v>
      </c>
      <c r="B314" t="s">
        <v>900</v>
      </c>
      <c r="C314">
        <v>2380</v>
      </c>
      <c r="D314" t="s">
        <v>901</v>
      </c>
      <c r="E314" t="s">
        <v>252</v>
      </c>
      <c r="F314" t="s">
        <v>220</v>
      </c>
      <c r="G314" t="s">
        <v>792</v>
      </c>
      <c r="H314" s="4">
        <v>36132</v>
      </c>
      <c r="I314" t="s">
        <v>254</v>
      </c>
    </row>
    <row r="315" spans="1:9" x14ac:dyDescent="0.25">
      <c r="A315">
        <v>314</v>
      </c>
      <c r="B315" t="s">
        <v>902</v>
      </c>
      <c r="C315">
        <v>2382</v>
      </c>
      <c r="D315" t="s">
        <v>903</v>
      </c>
      <c r="E315" t="s">
        <v>252</v>
      </c>
      <c r="F315" t="s">
        <v>220</v>
      </c>
      <c r="G315" t="s">
        <v>792</v>
      </c>
      <c r="H315" s="4">
        <v>36168</v>
      </c>
      <c r="I315" t="s">
        <v>254</v>
      </c>
    </row>
    <row r="316" spans="1:9" x14ac:dyDescent="0.25">
      <c r="A316">
        <v>315</v>
      </c>
      <c r="B316" t="s">
        <v>904</v>
      </c>
      <c r="C316">
        <v>2383</v>
      </c>
      <c r="D316" t="s">
        <v>905</v>
      </c>
      <c r="E316" t="s">
        <v>252</v>
      </c>
      <c r="F316" t="s">
        <v>220</v>
      </c>
      <c r="G316" t="s">
        <v>450</v>
      </c>
      <c r="H316" s="4">
        <v>36126</v>
      </c>
      <c r="I316" t="s">
        <v>254</v>
      </c>
    </row>
    <row r="317" spans="1:9" x14ac:dyDescent="0.25">
      <c r="A317">
        <v>316</v>
      </c>
      <c r="B317" t="s">
        <v>906</v>
      </c>
      <c r="C317">
        <v>2385</v>
      </c>
      <c r="D317" t="s">
        <v>907</v>
      </c>
      <c r="E317" t="s">
        <v>252</v>
      </c>
      <c r="F317" t="s">
        <v>220</v>
      </c>
      <c r="G317" t="s">
        <v>450</v>
      </c>
      <c r="H317" s="4">
        <v>36165</v>
      </c>
      <c r="I317" t="s">
        <v>254</v>
      </c>
    </row>
    <row r="318" spans="1:9" x14ac:dyDescent="0.25">
      <c r="A318">
        <v>317</v>
      </c>
      <c r="B318" t="s">
        <v>908</v>
      </c>
      <c r="C318">
        <v>2387</v>
      </c>
      <c r="D318" t="s">
        <v>909</v>
      </c>
      <c r="E318" t="s">
        <v>252</v>
      </c>
      <c r="F318" t="s">
        <v>220</v>
      </c>
      <c r="G318" t="s">
        <v>792</v>
      </c>
      <c r="H318" s="4">
        <v>36185</v>
      </c>
      <c r="I318" t="s">
        <v>254</v>
      </c>
    </row>
    <row r="319" spans="1:9" x14ac:dyDescent="0.25">
      <c r="A319">
        <v>318</v>
      </c>
      <c r="B319" t="s">
        <v>910</v>
      </c>
      <c r="C319">
        <v>2388</v>
      </c>
      <c r="D319" t="s">
        <v>911</v>
      </c>
      <c r="E319" t="s">
        <v>252</v>
      </c>
      <c r="F319" t="s">
        <v>220</v>
      </c>
      <c r="G319" t="s">
        <v>795</v>
      </c>
      <c r="H319" s="4">
        <v>36224</v>
      </c>
      <c r="I319" t="s">
        <v>254</v>
      </c>
    </row>
    <row r="320" spans="1:9" x14ac:dyDescent="0.25">
      <c r="A320">
        <v>319</v>
      </c>
      <c r="B320" t="s">
        <v>912</v>
      </c>
      <c r="C320">
        <v>2390</v>
      </c>
      <c r="D320" t="s">
        <v>913</v>
      </c>
      <c r="E320" t="s">
        <v>252</v>
      </c>
      <c r="F320" t="s">
        <v>220</v>
      </c>
      <c r="G320" t="s">
        <v>804</v>
      </c>
      <c r="H320" s="4">
        <v>36326</v>
      </c>
      <c r="I320" t="s">
        <v>254</v>
      </c>
    </row>
    <row r="321" spans="1:9" x14ac:dyDescent="0.25">
      <c r="A321">
        <v>320</v>
      </c>
      <c r="B321" t="s">
        <v>914</v>
      </c>
      <c r="C321">
        <v>2392</v>
      </c>
      <c r="D321" t="s">
        <v>915</v>
      </c>
      <c r="E321" t="s">
        <v>252</v>
      </c>
      <c r="F321" t="s">
        <v>220</v>
      </c>
      <c r="G321" t="s">
        <v>450</v>
      </c>
      <c r="H321" s="4">
        <v>36423</v>
      </c>
      <c r="I321" t="s">
        <v>254</v>
      </c>
    </row>
    <row r="322" spans="1:9" x14ac:dyDescent="0.25">
      <c r="A322">
        <v>321</v>
      </c>
      <c r="B322" t="s">
        <v>916</v>
      </c>
      <c r="C322">
        <v>2393</v>
      </c>
      <c r="D322" t="s">
        <v>917</v>
      </c>
      <c r="E322" t="s">
        <v>252</v>
      </c>
      <c r="F322" t="s">
        <v>220</v>
      </c>
      <c r="G322" t="s">
        <v>818</v>
      </c>
      <c r="H322" s="4">
        <v>36468</v>
      </c>
      <c r="I322" t="s">
        <v>254</v>
      </c>
    </row>
    <row r="323" spans="1:9" x14ac:dyDescent="0.25">
      <c r="A323">
        <v>322</v>
      </c>
      <c r="B323" t="s">
        <v>918</v>
      </c>
      <c r="C323">
        <v>2395</v>
      </c>
      <c r="D323" t="s">
        <v>919</v>
      </c>
      <c r="E323" t="s">
        <v>252</v>
      </c>
      <c r="F323" t="s">
        <v>220</v>
      </c>
      <c r="G323" t="s">
        <v>792</v>
      </c>
      <c r="H323" s="4">
        <v>36507</v>
      </c>
      <c r="I323" t="s">
        <v>254</v>
      </c>
    </row>
    <row r="324" spans="1:9" x14ac:dyDescent="0.25">
      <c r="A324">
        <v>323</v>
      </c>
      <c r="B324" t="s">
        <v>920</v>
      </c>
      <c r="C324">
        <v>2397</v>
      </c>
      <c r="D324" t="s">
        <v>921</v>
      </c>
      <c r="E324" t="s">
        <v>252</v>
      </c>
      <c r="F324" t="s">
        <v>220</v>
      </c>
      <c r="G324" t="s">
        <v>792</v>
      </c>
      <c r="H324" s="4">
        <v>36540</v>
      </c>
      <c r="I324" t="s">
        <v>254</v>
      </c>
    </row>
    <row r="325" spans="1:9" x14ac:dyDescent="0.25">
      <c r="A325">
        <v>324</v>
      </c>
      <c r="B325" t="s">
        <v>922</v>
      </c>
      <c r="C325">
        <v>2399</v>
      </c>
      <c r="D325" t="s">
        <v>923</v>
      </c>
      <c r="E325" t="s">
        <v>252</v>
      </c>
      <c r="F325" t="s">
        <v>220</v>
      </c>
      <c r="G325" t="s">
        <v>792</v>
      </c>
      <c r="H325" s="4">
        <v>36510</v>
      </c>
      <c r="I325" t="s">
        <v>254</v>
      </c>
    </row>
    <row r="326" spans="1:9" x14ac:dyDescent="0.25">
      <c r="A326">
        <v>325</v>
      </c>
      <c r="B326" t="s">
        <v>924</v>
      </c>
      <c r="C326">
        <v>2401</v>
      </c>
      <c r="D326" t="s">
        <v>925</v>
      </c>
      <c r="E326" t="s">
        <v>252</v>
      </c>
      <c r="F326" t="s">
        <v>220</v>
      </c>
      <c r="G326" t="s">
        <v>795</v>
      </c>
      <c r="H326" s="4">
        <v>36552</v>
      </c>
      <c r="I326" t="s">
        <v>254</v>
      </c>
    </row>
    <row r="327" spans="1:9" x14ac:dyDescent="0.25">
      <c r="A327">
        <v>326</v>
      </c>
      <c r="B327" t="s">
        <v>926</v>
      </c>
      <c r="C327">
        <v>2402</v>
      </c>
      <c r="D327" t="s">
        <v>927</v>
      </c>
      <c r="E327" t="s">
        <v>252</v>
      </c>
      <c r="F327" t="s">
        <v>220</v>
      </c>
      <c r="G327" t="s">
        <v>450</v>
      </c>
      <c r="H327" s="4">
        <v>36539</v>
      </c>
      <c r="I327" t="s">
        <v>254</v>
      </c>
    </row>
    <row r="328" spans="1:9" x14ac:dyDescent="0.25">
      <c r="A328">
        <v>327</v>
      </c>
      <c r="B328" t="s">
        <v>928</v>
      </c>
      <c r="C328">
        <v>2404</v>
      </c>
      <c r="D328" t="s">
        <v>929</v>
      </c>
      <c r="E328" t="s">
        <v>252</v>
      </c>
      <c r="F328" t="s">
        <v>220</v>
      </c>
      <c r="G328" t="s">
        <v>804</v>
      </c>
      <c r="H328" s="4">
        <v>36599</v>
      </c>
      <c r="I328" t="s">
        <v>254</v>
      </c>
    </row>
    <row r="329" spans="1:9" x14ac:dyDescent="0.25">
      <c r="A329">
        <v>328</v>
      </c>
      <c r="B329" t="s">
        <v>930</v>
      </c>
      <c r="C329">
        <v>2405</v>
      </c>
      <c r="D329" t="s">
        <v>931</v>
      </c>
      <c r="E329" t="s">
        <v>252</v>
      </c>
      <c r="F329" t="s">
        <v>220</v>
      </c>
      <c r="G329" t="s">
        <v>792</v>
      </c>
      <c r="H329" s="4">
        <v>36602</v>
      </c>
      <c r="I329" t="s">
        <v>254</v>
      </c>
    </row>
    <row r="330" spans="1:9" x14ac:dyDescent="0.25">
      <c r="A330">
        <v>329</v>
      </c>
      <c r="B330" t="s">
        <v>932</v>
      </c>
      <c r="C330">
        <v>2406</v>
      </c>
      <c r="D330" t="s">
        <v>933</v>
      </c>
      <c r="E330" t="s">
        <v>252</v>
      </c>
      <c r="F330" t="s">
        <v>220</v>
      </c>
      <c r="G330" t="s">
        <v>818</v>
      </c>
      <c r="H330" s="4">
        <v>36645</v>
      </c>
      <c r="I330" t="s">
        <v>254</v>
      </c>
    </row>
    <row r="331" spans="1:9" x14ac:dyDescent="0.25">
      <c r="A331">
        <v>330</v>
      </c>
      <c r="B331" t="s">
        <v>934</v>
      </c>
      <c r="C331">
        <v>2408</v>
      </c>
      <c r="D331" t="s">
        <v>935</v>
      </c>
      <c r="E331" t="s">
        <v>252</v>
      </c>
      <c r="F331" t="s">
        <v>220</v>
      </c>
      <c r="G331" t="s">
        <v>795</v>
      </c>
      <c r="H331" s="4">
        <v>36755</v>
      </c>
      <c r="I331" t="s">
        <v>254</v>
      </c>
    </row>
    <row r="332" spans="1:9" x14ac:dyDescent="0.25">
      <c r="A332">
        <v>331</v>
      </c>
      <c r="B332" t="s">
        <v>936</v>
      </c>
      <c r="C332">
        <v>2409</v>
      </c>
      <c r="D332" t="s">
        <v>937</v>
      </c>
      <c r="E332" t="s">
        <v>252</v>
      </c>
      <c r="F332" t="s">
        <v>220</v>
      </c>
      <c r="G332" t="s">
        <v>818</v>
      </c>
      <c r="H332" s="4">
        <v>36777</v>
      </c>
      <c r="I332" t="s">
        <v>254</v>
      </c>
    </row>
    <row r="333" spans="1:9" x14ac:dyDescent="0.25">
      <c r="A333">
        <v>332</v>
      </c>
      <c r="B333" t="s">
        <v>938</v>
      </c>
      <c r="C333">
        <v>2412</v>
      </c>
      <c r="D333" t="s">
        <v>939</v>
      </c>
      <c r="E333" t="s">
        <v>252</v>
      </c>
      <c r="F333" t="s">
        <v>220</v>
      </c>
      <c r="G333" t="s">
        <v>809</v>
      </c>
      <c r="H333" s="4">
        <v>36826</v>
      </c>
      <c r="I333" t="s">
        <v>254</v>
      </c>
    </row>
    <row r="334" spans="1:9" x14ac:dyDescent="0.25">
      <c r="A334">
        <v>333</v>
      </c>
      <c r="B334" t="s">
        <v>940</v>
      </c>
      <c r="C334">
        <v>2413</v>
      </c>
      <c r="D334" t="s">
        <v>941</v>
      </c>
      <c r="E334" t="s">
        <v>252</v>
      </c>
      <c r="F334" t="s">
        <v>220</v>
      </c>
      <c r="G334" t="s">
        <v>450</v>
      </c>
      <c r="H334" s="4">
        <v>36780</v>
      </c>
      <c r="I334" t="s">
        <v>254</v>
      </c>
    </row>
    <row r="335" spans="1:9" x14ac:dyDescent="0.25">
      <c r="A335">
        <v>334</v>
      </c>
      <c r="B335" t="s">
        <v>942</v>
      </c>
      <c r="C335">
        <v>2414</v>
      </c>
      <c r="D335" t="s">
        <v>943</v>
      </c>
      <c r="E335" t="s">
        <v>252</v>
      </c>
      <c r="F335" t="s">
        <v>220</v>
      </c>
      <c r="G335" t="s">
        <v>847</v>
      </c>
      <c r="H335" s="4">
        <v>36780</v>
      </c>
      <c r="I335" t="s">
        <v>254</v>
      </c>
    </row>
    <row r="336" spans="1:9" x14ac:dyDescent="0.25">
      <c r="A336">
        <v>335</v>
      </c>
      <c r="B336" t="s">
        <v>944</v>
      </c>
      <c r="C336">
        <v>2415</v>
      </c>
      <c r="D336" t="s">
        <v>945</v>
      </c>
      <c r="E336" t="s">
        <v>252</v>
      </c>
      <c r="F336" t="s">
        <v>220</v>
      </c>
      <c r="G336" t="s">
        <v>450</v>
      </c>
      <c r="H336" s="4">
        <v>36780</v>
      </c>
      <c r="I336" t="s">
        <v>254</v>
      </c>
    </row>
    <row r="337" spans="1:9" x14ac:dyDescent="0.25">
      <c r="A337">
        <v>336</v>
      </c>
      <c r="B337" t="s">
        <v>946</v>
      </c>
      <c r="C337">
        <v>2417</v>
      </c>
      <c r="D337" t="s">
        <v>947</v>
      </c>
      <c r="E337" t="s">
        <v>252</v>
      </c>
      <c r="F337" t="s">
        <v>220</v>
      </c>
      <c r="G337" t="s">
        <v>792</v>
      </c>
      <c r="H337" s="4">
        <v>36780</v>
      </c>
      <c r="I337" t="s">
        <v>254</v>
      </c>
    </row>
    <row r="338" spans="1:9" x14ac:dyDescent="0.25">
      <c r="A338">
        <v>337</v>
      </c>
      <c r="B338" t="s">
        <v>948</v>
      </c>
      <c r="C338">
        <v>2419</v>
      </c>
      <c r="D338" t="s">
        <v>949</v>
      </c>
      <c r="E338" t="s">
        <v>252</v>
      </c>
      <c r="F338" t="s">
        <v>220</v>
      </c>
      <c r="G338" t="s">
        <v>809</v>
      </c>
      <c r="H338" s="4">
        <v>36780</v>
      </c>
      <c r="I338" t="s">
        <v>254</v>
      </c>
    </row>
    <row r="339" spans="1:9" x14ac:dyDescent="0.25">
      <c r="A339">
        <v>338</v>
      </c>
      <c r="B339" t="s">
        <v>950</v>
      </c>
      <c r="C339">
        <v>2420</v>
      </c>
      <c r="D339" t="s">
        <v>951</v>
      </c>
      <c r="E339" t="s">
        <v>252</v>
      </c>
      <c r="F339" t="s">
        <v>220</v>
      </c>
      <c r="G339" t="s">
        <v>450</v>
      </c>
      <c r="H339" s="4">
        <v>36780</v>
      </c>
      <c r="I339" t="s">
        <v>254</v>
      </c>
    </row>
    <row r="340" spans="1:9" x14ac:dyDescent="0.25">
      <c r="A340">
        <v>339</v>
      </c>
      <c r="B340" t="s">
        <v>952</v>
      </c>
      <c r="C340">
        <v>2421</v>
      </c>
      <c r="D340" t="s">
        <v>953</v>
      </c>
      <c r="E340" t="s">
        <v>252</v>
      </c>
      <c r="F340" t="s">
        <v>220</v>
      </c>
      <c r="G340" t="s">
        <v>450</v>
      </c>
      <c r="H340" s="4">
        <v>36780</v>
      </c>
      <c r="I340" t="s">
        <v>254</v>
      </c>
    </row>
    <row r="341" spans="1:9" x14ac:dyDescent="0.25">
      <c r="A341">
        <v>340</v>
      </c>
      <c r="B341" t="s">
        <v>954</v>
      </c>
      <c r="C341">
        <v>2423</v>
      </c>
      <c r="D341" t="s">
        <v>955</v>
      </c>
      <c r="E341" t="s">
        <v>252</v>
      </c>
      <c r="F341" t="s">
        <v>220</v>
      </c>
      <c r="G341" t="s">
        <v>804</v>
      </c>
      <c r="H341" s="4">
        <v>36780</v>
      </c>
      <c r="I341" t="s">
        <v>254</v>
      </c>
    </row>
    <row r="342" spans="1:9" x14ac:dyDescent="0.25">
      <c r="A342">
        <v>341</v>
      </c>
      <c r="B342" t="s">
        <v>956</v>
      </c>
      <c r="C342">
        <v>2424</v>
      </c>
      <c r="D342" t="s">
        <v>957</v>
      </c>
      <c r="E342" t="s">
        <v>252</v>
      </c>
      <c r="F342" t="s">
        <v>220</v>
      </c>
      <c r="G342" t="s">
        <v>792</v>
      </c>
      <c r="H342" s="4">
        <v>36780</v>
      </c>
      <c r="I342" t="s">
        <v>254</v>
      </c>
    </row>
    <row r="343" spans="1:9" x14ac:dyDescent="0.25">
      <c r="A343">
        <v>342</v>
      </c>
      <c r="B343" t="s">
        <v>958</v>
      </c>
      <c r="C343">
        <v>2425</v>
      </c>
      <c r="D343" t="s">
        <v>959</v>
      </c>
      <c r="E343" t="s">
        <v>252</v>
      </c>
      <c r="F343" t="s">
        <v>220</v>
      </c>
      <c r="G343" t="s">
        <v>792</v>
      </c>
      <c r="H343" s="4">
        <v>36780</v>
      </c>
      <c r="I343" t="s">
        <v>254</v>
      </c>
    </row>
    <row r="344" spans="1:9" x14ac:dyDescent="0.25">
      <c r="A344">
        <v>343</v>
      </c>
      <c r="B344" t="s">
        <v>960</v>
      </c>
      <c r="C344">
        <v>2426</v>
      </c>
      <c r="D344" t="s">
        <v>961</v>
      </c>
      <c r="E344" t="s">
        <v>252</v>
      </c>
      <c r="F344" t="s">
        <v>220</v>
      </c>
      <c r="G344" t="s">
        <v>818</v>
      </c>
      <c r="H344" s="4">
        <v>36780</v>
      </c>
      <c r="I344" t="s">
        <v>254</v>
      </c>
    </row>
    <row r="345" spans="1:9" x14ac:dyDescent="0.25">
      <c r="A345">
        <v>344</v>
      </c>
      <c r="B345" t="s">
        <v>962</v>
      </c>
      <c r="C345">
        <v>2427</v>
      </c>
      <c r="D345" t="s">
        <v>963</v>
      </c>
      <c r="E345" t="s">
        <v>252</v>
      </c>
      <c r="F345" t="s">
        <v>220</v>
      </c>
      <c r="G345" t="s">
        <v>964</v>
      </c>
      <c r="H345" s="4">
        <v>36780</v>
      </c>
      <c r="I345" t="s">
        <v>254</v>
      </c>
    </row>
    <row r="346" spans="1:9" x14ac:dyDescent="0.25">
      <c r="A346">
        <v>345</v>
      </c>
      <c r="B346" t="s">
        <v>965</v>
      </c>
      <c r="C346">
        <v>2428</v>
      </c>
      <c r="D346" t="s">
        <v>966</v>
      </c>
      <c r="E346" t="s">
        <v>252</v>
      </c>
      <c r="F346" t="s">
        <v>220</v>
      </c>
      <c r="G346" t="s">
        <v>450</v>
      </c>
      <c r="H346" s="4">
        <v>36780</v>
      </c>
      <c r="I346" t="s">
        <v>254</v>
      </c>
    </row>
    <row r="347" spans="1:9" x14ac:dyDescent="0.25">
      <c r="A347">
        <v>346</v>
      </c>
      <c r="B347" t="s">
        <v>967</v>
      </c>
      <c r="C347">
        <v>2429</v>
      </c>
      <c r="D347" t="s">
        <v>968</v>
      </c>
      <c r="E347" t="s">
        <v>252</v>
      </c>
      <c r="F347" t="s">
        <v>220</v>
      </c>
      <c r="G347" t="s">
        <v>818</v>
      </c>
      <c r="H347" s="4">
        <v>36780</v>
      </c>
      <c r="I347" t="s">
        <v>254</v>
      </c>
    </row>
    <row r="348" spans="1:9" x14ac:dyDescent="0.25">
      <c r="A348">
        <v>347</v>
      </c>
      <c r="B348" t="s">
        <v>969</v>
      </c>
      <c r="C348">
        <v>2430</v>
      </c>
      <c r="D348" t="s">
        <v>970</v>
      </c>
      <c r="E348" t="s">
        <v>252</v>
      </c>
      <c r="F348" t="s">
        <v>220</v>
      </c>
      <c r="G348" t="s">
        <v>847</v>
      </c>
      <c r="H348" s="4">
        <v>36780</v>
      </c>
      <c r="I348" t="s">
        <v>254</v>
      </c>
    </row>
    <row r="349" spans="1:9" x14ac:dyDescent="0.25">
      <c r="A349">
        <v>348</v>
      </c>
      <c r="B349" t="s">
        <v>971</v>
      </c>
      <c r="C349">
        <v>2431</v>
      </c>
      <c r="D349" t="s">
        <v>972</v>
      </c>
      <c r="E349" t="s">
        <v>252</v>
      </c>
      <c r="F349" t="s">
        <v>220</v>
      </c>
      <c r="G349" t="s">
        <v>450</v>
      </c>
      <c r="H349" s="4">
        <v>36780</v>
      </c>
      <c r="I349" t="s">
        <v>254</v>
      </c>
    </row>
    <row r="350" spans="1:9" x14ac:dyDescent="0.25">
      <c r="A350">
        <v>349</v>
      </c>
      <c r="B350" t="s">
        <v>973</v>
      </c>
      <c r="C350">
        <v>2433</v>
      </c>
      <c r="D350" t="s">
        <v>974</v>
      </c>
      <c r="E350" t="s">
        <v>252</v>
      </c>
      <c r="F350" t="s">
        <v>220</v>
      </c>
      <c r="G350" t="s">
        <v>804</v>
      </c>
      <c r="H350" s="4">
        <v>36780</v>
      </c>
      <c r="I350" t="s">
        <v>254</v>
      </c>
    </row>
    <row r="351" spans="1:9" x14ac:dyDescent="0.25">
      <c r="A351">
        <v>350</v>
      </c>
      <c r="B351" t="s">
        <v>975</v>
      </c>
      <c r="C351">
        <v>2434</v>
      </c>
      <c r="D351" t="s">
        <v>976</v>
      </c>
      <c r="E351" t="s">
        <v>252</v>
      </c>
      <c r="F351" t="s">
        <v>220</v>
      </c>
      <c r="G351" t="s">
        <v>795</v>
      </c>
      <c r="H351" s="4">
        <v>36780</v>
      </c>
      <c r="I351" t="s">
        <v>254</v>
      </c>
    </row>
    <row r="352" spans="1:9" x14ac:dyDescent="0.25">
      <c r="A352">
        <v>351</v>
      </c>
      <c r="B352" t="s">
        <v>977</v>
      </c>
      <c r="C352">
        <v>2436</v>
      </c>
      <c r="D352" t="s">
        <v>978</v>
      </c>
      <c r="E352" t="s">
        <v>252</v>
      </c>
      <c r="F352" t="s">
        <v>220</v>
      </c>
      <c r="G352" t="s">
        <v>795</v>
      </c>
      <c r="H352" s="4">
        <v>36780</v>
      </c>
      <c r="I352" t="s">
        <v>254</v>
      </c>
    </row>
    <row r="353" spans="1:9" x14ac:dyDescent="0.25">
      <c r="A353">
        <v>352</v>
      </c>
      <c r="B353" t="s">
        <v>979</v>
      </c>
      <c r="C353">
        <v>2438</v>
      </c>
      <c r="D353" t="s">
        <v>980</v>
      </c>
      <c r="E353" t="s">
        <v>252</v>
      </c>
      <c r="F353" t="s">
        <v>220</v>
      </c>
      <c r="G353" t="s">
        <v>818</v>
      </c>
      <c r="H353" s="4">
        <v>36780</v>
      </c>
      <c r="I353" t="s">
        <v>254</v>
      </c>
    </row>
    <row r="354" spans="1:9" x14ac:dyDescent="0.25">
      <c r="A354">
        <v>353</v>
      </c>
      <c r="B354" t="s">
        <v>981</v>
      </c>
      <c r="C354">
        <v>2439</v>
      </c>
      <c r="D354" t="s">
        <v>982</v>
      </c>
      <c r="E354" t="s">
        <v>252</v>
      </c>
      <c r="F354" t="s">
        <v>220</v>
      </c>
      <c r="G354" t="s">
        <v>809</v>
      </c>
      <c r="H354" s="4">
        <v>36780</v>
      </c>
      <c r="I354" t="s">
        <v>254</v>
      </c>
    </row>
    <row r="355" spans="1:9" x14ac:dyDescent="0.25">
      <c r="A355">
        <v>354</v>
      </c>
      <c r="B355" t="s">
        <v>983</v>
      </c>
      <c r="C355">
        <v>2440</v>
      </c>
      <c r="D355" t="s">
        <v>984</v>
      </c>
      <c r="E355" t="s">
        <v>252</v>
      </c>
      <c r="F355" t="s">
        <v>220</v>
      </c>
      <c r="G355" t="s">
        <v>450</v>
      </c>
      <c r="H355" s="4">
        <v>36840</v>
      </c>
      <c r="I355" t="s">
        <v>254</v>
      </c>
    </row>
    <row r="356" spans="1:9" x14ac:dyDescent="0.25">
      <c r="A356">
        <v>355</v>
      </c>
      <c r="B356" t="s">
        <v>985</v>
      </c>
      <c r="C356">
        <v>2441</v>
      </c>
      <c r="D356" t="s">
        <v>986</v>
      </c>
      <c r="E356" t="s">
        <v>252</v>
      </c>
      <c r="F356" t="s">
        <v>220</v>
      </c>
      <c r="G356" t="s">
        <v>795</v>
      </c>
      <c r="H356" s="4">
        <v>36825</v>
      </c>
      <c r="I356" t="s">
        <v>254</v>
      </c>
    </row>
    <row r="357" spans="1:9" x14ac:dyDescent="0.25">
      <c r="A357">
        <v>356</v>
      </c>
      <c r="B357" t="s">
        <v>987</v>
      </c>
      <c r="C357">
        <v>2442</v>
      </c>
      <c r="D357" t="s">
        <v>988</v>
      </c>
      <c r="E357" t="s">
        <v>252</v>
      </c>
      <c r="F357" t="s">
        <v>220</v>
      </c>
      <c r="G357" t="s">
        <v>792</v>
      </c>
      <c r="H357" s="4">
        <v>36852</v>
      </c>
      <c r="I357" t="s">
        <v>254</v>
      </c>
    </row>
    <row r="358" spans="1:9" x14ac:dyDescent="0.25">
      <c r="A358">
        <v>357</v>
      </c>
      <c r="B358" t="s">
        <v>989</v>
      </c>
      <c r="C358">
        <v>2443</v>
      </c>
      <c r="D358" t="s">
        <v>990</v>
      </c>
      <c r="E358" t="s">
        <v>252</v>
      </c>
      <c r="F358" t="s">
        <v>220</v>
      </c>
      <c r="G358" t="s">
        <v>361</v>
      </c>
      <c r="H358" s="4">
        <v>36894</v>
      </c>
      <c r="I358" t="s">
        <v>254</v>
      </c>
    </row>
    <row r="359" spans="1:9" x14ac:dyDescent="0.25">
      <c r="A359">
        <v>358</v>
      </c>
      <c r="B359" t="s">
        <v>991</v>
      </c>
      <c r="C359">
        <v>2444</v>
      </c>
      <c r="D359" t="s">
        <v>992</v>
      </c>
      <c r="E359" t="s">
        <v>252</v>
      </c>
      <c r="F359" t="s">
        <v>220</v>
      </c>
      <c r="G359" t="s">
        <v>809</v>
      </c>
      <c r="H359" s="4">
        <v>36868</v>
      </c>
      <c r="I359" t="s">
        <v>254</v>
      </c>
    </row>
    <row r="360" spans="1:9" x14ac:dyDescent="0.25">
      <c r="A360">
        <v>359</v>
      </c>
      <c r="B360" t="s">
        <v>993</v>
      </c>
      <c r="C360">
        <v>2449</v>
      </c>
      <c r="D360" t="s">
        <v>994</v>
      </c>
      <c r="E360" t="s">
        <v>252</v>
      </c>
      <c r="F360" t="s">
        <v>220</v>
      </c>
      <c r="G360" t="s">
        <v>795</v>
      </c>
      <c r="H360" s="4">
        <v>37020</v>
      </c>
      <c r="I360" t="s">
        <v>254</v>
      </c>
    </row>
    <row r="361" spans="1:9" x14ac:dyDescent="0.25">
      <c r="A361">
        <v>360</v>
      </c>
      <c r="B361" t="s">
        <v>995</v>
      </c>
      <c r="C361">
        <v>2450</v>
      </c>
      <c r="D361" t="s">
        <v>996</v>
      </c>
      <c r="E361" t="s">
        <v>252</v>
      </c>
      <c r="F361" t="s">
        <v>220</v>
      </c>
      <c r="G361" t="s">
        <v>809</v>
      </c>
      <c r="H361" s="4">
        <v>37035</v>
      </c>
      <c r="I361" t="s">
        <v>254</v>
      </c>
    </row>
    <row r="362" spans="1:9" x14ac:dyDescent="0.25">
      <c r="A362">
        <v>361</v>
      </c>
      <c r="B362" t="s">
        <v>997</v>
      </c>
      <c r="C362">
        <v>2451</v>
      </c>
      <c r="D362" t="s">
        <v>998</v>
      </c>
      <c r="E362" t="s">
        <v>252</v>
      </c>
      <c r="F362" t="s">
        <v>220</v>
      </c>
      <c r="G362" t="s">
        <v>795</v>
      </c>
      <c r="H362" s="4">
        <v>37014</v>
      </c>
      <c r="I362" t="s">
        <v>254</v>
      </c>
    </row>
    <row r="363" spans="1:9" x14ac:dyDescent="0.25">
      <c r="A363">
        <v>362</v>
      </c>
      <c r="B363" t="s">
        <v>999</v>
      </c>
      <c r="C363">
        <v>2453</v>
      </c>
      <c r="D363" t="s">
        <v>1000</v>
      </c>
      <c r="E363" t="s">
        <v>252</v>
      </c>
      <c r="F363" t="s">
        <v>220</v>
      </c>
      <c r="G363" t="s">
        <v>964</v>
      </c>
      <c r="H363" s="4">
        <v>37033</v>
      </c>
      <c r="I363" t="s">
        <v>254</v>
      </c>
    </row>
    <row r="364" spans="1:9" x14ac:dyDescent="0.25">
      <c r="A364">
        <v>363</v>
      </c>
      <c r="B364" t="s">
        <v>1001</v>
      </c>
      <c r="C364">
        <v>2454</v>
      </c>
      <c r="D364" t="s">
        <v>1002</v>
      </c>
      <c r="E364" t="s">
        <v>252</v>
      </c>
      <c r="F364" t="s">
        <v>220</v>
      </c>
      <c r="G364" t="s">
        <v>795</v>
      </c>
      <c r="H364" s="4">
        <v>37095</v>
      </c>
      <c r="I364" t="s">
        <v>254</v>
      </c>
    </row>
    <row r="365" spans="1:9" x14ac:dyDescent="0.25">
      <c r="A365">
        <v>364</v>
      </c>
      <c r="B365" t="s">
        <v>1003</v>
      </c>
      <c r="C365">
        <v>2455</v>
      </c>
      <c r="D365" t="s">
        <v>1004</v>
      </c>
      <c r="E365" t="s">
        <v>252</v>
      </c>
      <c r="F365" t="s">
        <v>220</v>
      </c>
      <c r="G365" t="s">
        <v>809</v>
      </c>
      <c r="H365" s="4">
        <v>37280</v>
      </c>
      <c r="I365" t="s">
        <v>254</v>
      </c>
    </row>
    <row r="366" spans="1:9" x14ac:dyDescent="0.25">
      <c r="A366">
        <v>365</v>
      </c>
      <c r="B366" t="s">
        <v>1005</v>
      </c>
      <c r="C366">
        <v>2456</v>
      </c>
      <c r="D366" t="s">
        <v>1006</v>
      </c>
      <c r="E366" t="s">
        <v>252</v>
      </c>
      <c r="F366" t="s">
        <v>220</v>
      </c>
      <c r="G366" t="s">
        <v>450</v>
      </c>
      <c r="H366" s="4">
        <v>37160</v>
      </c>
      <c r="I366" t="s">
        <v>254</v>
      </c>
    </row>
    <row r="367" spans="1:9" x14ac:dyDescent="0.25">
      <c r="A367">
        <v>366</v>
      </c>
      <c r="B367" t="s">
        <v>1007</v>
      </c>
      <c r="C367">
        <v>2457</v>
      </c>
      <c r="D367" t="s">
        <v>1008</v>
      </c>
      <c r="E367" t="s">
        <v>252</v>
      </c>
      <c r="F367" t="s">
        <v>220</v>
      </c>
      <c r="G367" t="s">
        <v>450</v>
      </c>
      <c r="H367" s="4">
        <v>37151</v>
      </c>
      <c r="I367" t="s">
        <v>254</v>
      </c>
    </row>
    <row r="368" spans="1:9" x14ac:dyDescent="0.25">
      <c r="A368">
        <v>367</v>
      </c>
      <c r="B368" t="s">
        <v>1009</v>
      </c>
      <c r="C368">
        <v>2458</v>
      </c>
      <c r="D368" t="s">
        <v>1010</v>
      </c>
      <c r="E368" t="s">
        <v>252</v>
      </c>
      <c r="F368" t="s">
        <v>220</v>
      </c>
      <c r="G368" t="s">
        <v>795</v>
      </c>
      <c r="H368" s="4">
        <v>37151</v>
      </c>
      <c r="I368" t="s">
        <v>254</v>
      </c>
    </row>
    <row r="369" spans="1:9" x14ac:dyDescent="0.25">
      <c r="A369">
        <v>368</v>
      </c>
      <c r="B369" t="s">
        <v>1011</v>
      </c>
      <c r="C369">
        <v>2459</v>
      </c>
      <c r="D369" t="s">
        <v>1012</v>
      </c>
      <c r="E369" t="s">
        <v>252</v>
      </c>
      <c r="F369" t="s">
        <v>220</v>
      </c>
      <c r="G369" t="s">
        <v>804</v>
      </c>
      <c r="H369" s="4">
        <v>37151</v>
      </c>
      <c r="I369" t="s">
        <v>254</v>
      </c>
    </row>
    <row r="370" spans="1:9" x14ac:dyDescent="0.25">
      <c r="A370">
        <v>369</v>
      </c>
      <c r="B370" t="s">
        <v>1013</v>
      </c>
      <c r="C370">
        <v>2460</v>
      </c>
      <c r="D370" t="s">
        <v>1014</v>
      </c>
      <c r="E370" t="s">
        <v>252</v>
      </c>
      <c r="F370" t="s">
        <v>220</v>
      </c>
      <c r="G370" t="s">
        <v>450</v>
      </c>
      <c r="H370" s="4">
        <v>37151</v>
      </c>
      <c r="I370" t="s">
        <v>254</v>
      </c>
    </row>
    <row r="371" spans="1:9" x14ac:dyDescent="0.25">
      <c r="A371">
        <v>370</v>
      </c>
      <c r="B371" t="s">
        <v>1015</v>
      </c>
      <c r="C371">
        <v>2461</v>
      </c>
      <c r="D371" t="s">
        <v>1016</v>
      </c>
      <c r="E371" t="s">
        <v>252</v>
      </c>
      <c r="F371" t="s">
        <v>220</v>
      </c>
      <c r="G371" t="s">
        <v>804</v>
      </c>
      <c r="H371" s="4">
        <v>37151</v>
      </c>
      <c r="I371" t="s">
        <v>254</v>
      </c>
    </row>
    <row r="372" spans="1:9" x14ac:dyDescent="0.25">
      <c r="A372">
        <v>371</v>
      </c>
      <c r="B372" t="s">
        <v>1017</v>
      </c>
      <c r="C372">
        <v>2462</v>
      </c>
      <c r="D372" t="s">
        <v>1018</v>
      </c>
      <c r="E372" t="s">
        <v>252</v>
      </c>
      <c r="F372" t="s">
        <v>220</v>
      </c>
      <c r="G372" t="s">
        <v>450</v>
      </c>
      <c r="H372" s="4">
        <v>37151</v>
      </c>
      <c r="I372" t="s">
        <v>254</v>
      </c>
    </row>
    <row r="373" spans="1:9" x14ac:dyDescent="0.25">
      <c r="A373">
        <v>372</v>
      </c>
      <c r="B373" t="s">
        <v>1019</v>
      </c>
      <c r="C373">
        <v>2464</v>
      </c>
      <c r="D373" t="s">
        <v>1020</v>
      </c>
      <c r="E373" t="s">
        <v>252</v>
      </c>
      <c r="F373" t="s">
        <v>220</v>
      </c>
      <c r="G373" t="s">
        <v>804</v>
      </c>
      <c r="H373" s="4">
        <v>37151</v>
      </c>
      <c r="I373" t="s">
        <v>254</v>
      </c>
    </row>
    <row r="374" spans="1:9" x14ac:dyDescent="0.25">
      <c r="A374">
        <v>373</v>
      </c>
      <c r="B374" t="s">
        <v>1021</v>
      </c>
      <c r="C374">
        <v>2465</v>
      </c>
      <c r="D374" t="s">
        <v>1022</v>
      </c>
      <c r="E374" t="s">
        <v>252</v>
      </c>
      <c r="F374" t="s">
        <v>220</v>
      </c>
      <c r="G374" t="s">
        <v>792</v>
      </c>
      <c r="H374" s="4">
        <v>37153</v>
      </c>
      <c r="I374" t="s">
        <v>254</v>
      </c>
    </row>
    <row r="375" spans="1:9" x14ac:dyDescent="0.25">
      <c r="A375">
        <v>374</v>
      </c>
      <c r="B375" t="s">
        <v>1023</v>
      </c>
      <c r="C375">
        <v>2466</v>
      </c>
      <c r="D375" t="s">
        <v>1024</v>
      </c>
      <c r="E375" t="s">
        <v>252</v>
      </c>
      <c r="F375" t="s">
        <v>220</v>
      </c>
      <c r="G375" t="s">
        <v>818</v>
      </c>
      <c r="H375" s="4">
        <v>37151</v>
      </c>
      <c r="I375" t="s">
        <v>254</v>
      </c>
    </row>
    <row r="376" spans="1:9" x14ac:dyDescent="0.25">
      <c r="A376">
        <v>375</v>
      </c>
      <c r="B376" t="s">
        <v>1025</v>
      </c>
      <c r="C376">
        <v>2467</v>
      </c>
      <c r="D376" t="s">
        <v>1026</v>
      </c>
      <c r="E376" t="s">
        <v>252</v>
      </c>
      <c r="F376" t="s">
        <v>220</v>
      </c>
      <c r="G376" t="s">
        <v>450</v>
      </c>
      <c r="H376" s="4">
        <v>37151</v>
      </c>
      <c r="I376" t="s">
        <v>254</v>
      </c>
    </row>
    <row r="377" spans="1:9" x14ac:dyDescent="0.25">
      <c r="A377">
        <v>376</v>
      </c>
      <c r="B377" t="s">
        <v>1027</v>
      </c>
      <c r="C377">
        <v>2468</v>
      </c>
      <c r="D377" t="s">
        <v>1028</v>
      </c>
      <c r="E377" t="s">
        <v>252</v>
      </c>
      <c r="F377" t="s">
        <v>220</v>
      </c>
      <c r="G377" t="s">
        <v>964</v>
      </c>
      <c r="H377" s="4">
        <v>37151</v>
      </c>
      <c r="I377" t="s">
        <v>254</v>
      </c>
    </row>
    <row r="378" spans="1:9" x14ac:dyDescent="0.25">
      <c r="A378">
        <v>377</v>
      </c>
      <c r="B378" t="s">
        <v>1029</v>
      </c>
      <c r="C378">
        <v>2471</v>
      </c>
      <c r="D378" t="s">
        <v>1030</v>
      </c>
      <c r="E378" t="s">
        <v>252</v>
      </c>
      <c r="F378" t="s">
        <v>220</v>
      </c>
      <c r="G378" t="s">
        <v>964</v>
      </c>
      <c r="H378" s="4">
        <v>37151</v>
      </c>
      <c r="I378" t="s">
        <v>254</v>
      </c>
    </row>
    <row r="379" spans="1:9" x14ac:dyDescent="0.25">
      <c r="A379">
        <v>378</v>
      </c>
      <c r="B379" t="s">
        <v>1031</v>
      </c>
      <c r="C379">
        <v>2472</v>
      </c>
      <c r="D379" t="s">
        <v>1032</v>
      </c>
      <c r="E379" t="s">
        <v>252</v>
      </c>
      <c r="F379" t="s">
        <v>220</v>
      </c>
      <c r="G379" t="s">
        <v>450</v>
      </c>
      <c r="H379" s="4">
        <v>37151</v>
      </c>
      <c r="I379" t="s">
        <v>254</v>
      </c>
    </row>
    <row r="380" spans="1:9" x14ac:dyDescent="0.25">
      <c r="A380">
        <v>379</v>
      </c>
      <c r="B380" t="s">
        <v>1033</v>
      </c>
      <c r="C380">
        <v>2474</v>
      </c>
      <c r="D380" t="s">
        <v>1034</v>
      </c>
      <c r="E380" t="s">
        <v>252</v>
      </c>
      <c r="F380" t="s">
        <v>220</v>
      </c>
      <c r="G380" t="s">
        <v>804</v>
      </c>
      <c r="H380" s="4">
        <v>37151</v>
      </c>
      <c r="I380" t="s">
        <v>254</v>
      </c>
    </row>
    <row r="381" spans="1:9" x14ac:dyDescent="0.25">
      <c r="A381">
        <v>380</v>
      </c>
      <c r="B381" t="s">
        <v>1035</v>
      </c>
      <c r="C381">
        <v>2476</v>
      </c>
      <c r="D381" t="s">
        <v>1036</v>
      </c>
      <c r="E381" t="s">
        <v>252</v>
      </c>
      <c r="F381" t="s">
        <v>220</v>
      </c>
      <c r="G381" t="s">
        <v>450</v>
      </c>
      <c r="H381" s="4">
        <v>37151</v>
      </c>
      <c r="I381" t="s">
        <v>254</v>
      </c>
    </row>
    <row r="382" spans="1:9" x14ac:dyDescent="0.25">
      <c r="A382">
        <v>381</v>
      </c>
      <c r="B382" t="s">
        <v>1037</v>
      </c>
      <c r="C382">
        <v>2477</v>
      </c>
      <c r="D382" t="s">
        <v>1038</v>
      </c>
      <c r="E382" t="s">
        <v>252</v>
      </c>
      <c r="F382" t="s">
        <v>220</v>
      </c>
      <c r="G382" t="s">
        <v>804</v>
      </c>
      <c r="H382" s="4">
        <v>37151</v>
      </c>
      <c r="I382" t="s">
        <v>254</v>
      </c>
    </row>
    <row r="383" spans="1:9" x14ac:dyDescent="0.25">
      <c r="A383">
        <v>382</v>
      </c>
      <c r="B383" t="s">
        <v>1039</v>
      </c>
      <c r="C383">
        <v>2478</v>
      </c>
      <c r="D383" t="s">
        <v>1040</v>
      </c>
      <c r="E383" t="s">
        <v>252</v>
      </c>
      <c r="F383" t="s">
        <v>220</v>
      </c>
      <c r="G383" t="s">
        <v>450</v>
      </c>
      <c r="H383" s="4">
        <v>37151</v>
      </c>
      <c r="I383" t="s">
        <v>254</v>
      </c>
    </row>
    <row r="384" spans="1:9" x14ac:dyDescent="0.25">
      <c r="A384">
        <v>383</v>
      </c>
      <c r="B384" t="s">
        <v>1041</v>
      </c>
      <c r="C384">
        <v>2480</v>
      </c>
      <c r="D384" t="s">
        <v>1042</v>
      </c>
      <c r="E384" t="s">
        <v>252</v>
      </c>
      <c r="F384" t="s">
        <v>220</v>
      </c>
      <c r="G384" t="s">
        <v>964</v>
      </c>
      <c r="H384" s="4">
        <v>37151</v>
      </c>
      <c r="I384" t="s">
        <v>254</v>
      </c>
    </row>
    <row r="385" spans="1:9" x14ac:dyDescent="0.25">
      <c r="A385">
        <v>384</v>
      </c>
      <c r="B385" t="s">
        <v>1043</v>
      </c>
      <c r="C385">
        <v>2481</v>
      </c>
      <c r="D385" t="s">
        <v>1044</v>
      </c>
      <c r="E385" t="s">
        <v>252</v>
      </c>
      <c r="F385" t="s">
        <v>220</v>
      </c>
      <c r="G385" t="s">
        <v>795</v>
      </c>
      <c r="H385" s="4">
        <v>37151</v>
      </c>
      <c r="I385" t="s">
        <v>254</v>
      </c>
    </row>
    <row r="386" spans="1:9" x14ac:dyDescent="0.25">
      <c r="A386">
        <v>385</v>
      </c>
      <c r="B386" t="s">
        <v>1045</v>
      </c>
      <c r="C386">
        <v>2482</v>
      </c>
      <c r="D386" t="s">
        <v>1046</v>
      </c>
      <c r="E386" t="s">
        <v>252</v>
      </c>
      <c r="F386" t="s">
        <v>220</v>
      </c>
      <c r="G386" t="s">
        <v>804</v>
      </c>
      <c r="H386" s="4">
        <v>37151</v>
      </c>
      <c r="I386" t="s">
        <v>254</v>
      </c>
    </row>
    <row r="387" spans="1:9" x14ac:dyDescent="0.25">
      <c r="A387">
        <v>386</v>
      </c>
      <c r="B387" t="s">
        <v>1047</v>
      </c>
      <c r="C387">
        <v>2483</v>
      </c>
      <c r="D387" t="s">
        <v>1048</v>
      </c>
      <c r="E387" t="s">
        <v>252</v>
      </c>
      <c r="F387" t="s">
        <v>220</v>
      </c>
      <c r="G387" t="s">
        <v>450</v>
      </c>
      <c r="H387" s="4">
        <v>37151</v>
      </c>
      <c r="I387" t="s">
        <v>254</v>
      </c>
    </row>
    <row r="388" spans="1:9" x14ac:dyDescent="0.25">
      <c r="A388">
        <v>387</v>
      </c>
      <c r="B388" t="s">
        <v>1049</v>
      </c>
      <c r="C388">
        <v>2484</v>
      </c>
      <c r="D388" t="s">
        <v>1050</v>
      </c>
      <c r="E388" t="s">
        <v>252</v>
      </c>
      <c r="F388" t="s">
        <v>220</v>
      </c>
      <c r="G388" t="s">
        <v>450</v>
      </c>
      <c r="H388" s="4">
        <v>37151</v>
      </c>
      <c r="I388" t="s">
        <v>254</v>
      </c>
    </row>
    <row r="389" spans="1:9" x14ac:dyDescent="0.25">
      <c r="A389">
        <v>388</v>
      </c>
      <c r="B389" t="s">
        <v>1051</v>
      </c>
      <c r="C389">
        <v>2485</v>
      </c>
      <c r="D389" t="s">
        <v>1052</v>
      </c>
      <c r="E389" t="s">
        <v>252</v>
      </c>
      <c r="F389" t="s">
        <v>220</v>
      </c>
      <c r="G389" t="s">
        <v>809</v>
      </c>
      <c r="H389" s="4">
        <v>37151</v>
      </c>
      <c r="I389" t="s">
        <v>254</v>
      </c>
    </row>
    <row r="390" spans="1:9" x14ac:dyDescent="0.25">
      <c r="A390">
        <v>389</v>
      </c>
      <c r="B390" t="s">
        <v>1053</v>
      </c>
      <c r="C390">
        <v>2486</v>
      </c>
      <c r="D390" t="s">
        <v>1054</v>
      </c>
      <c r="E390" t="s">
        <v>252</v>
      </c>
      <c r="F390" t="s">
        <v>220</v>
      </c>
      <c r="G390" t="s">
        <v>818</v>
      </c>
      <c r="H390" s="4">
        <v>37153</v>
      </c>
      <c r="I390" t="s">
        <v>254</v>
      </c>
    </row>
    <row r="391" spans="1:9" x14ac:dyDescent="0.25">
      <c r="A391">
        <v>390</v>
      </c>
      <c r="B391" t="s">
        <v>1055</v>
      </c>
      <c r="C391">
        <v>2488</v>
      </c>
      <c r="D391" t="s">
        <v>1056</v>
      </c>
      <c r="E391" t="s">
        <v>252</v>
      </c>
      <c r="F391" t="s">
        <v>220</v>
      </c>
      <c r="G391" t="s">
        <v>804</v>
      </c>
      <c r="H391" s="4">
        <v>37151</v>
      </c>
      <c r="I391" t="s">
        <v>254</v>
      </c>
    </row>
    <row r="392" spans="1:9" x14ac:dyDescent="0.25">
      <c r="A392">
        <v>391</v>
      </c>
      <c r="B392" t="s">
        <v>1057</v>
      </c>
      <c r="C392">
        <v>2489</v>
      </c>
      <c r="D392" t="s">
        <v>1058</v>
      </c>
      <c r="E392" t="s">
        <v>252</v>
      </c>
      <c r="F392" t="s">
        <v>220</v>
      </c>
      <c r="G392" t="s">
        <v>818</v>
      </c>
      <c r="H392" s="4">
        <v>37151</v>
      </c>
      <c r="I392" t="s">
        <v>254</v>
      </c>
    </row>
    <row r="393" spans="1:9" x14ac:dyDescent="0.25">
      <c r="A393">
        <v>392</v>
      </c>
      <c r="B393" t="s">
        <v>1059</v>
      </c>
      <c r="C393">
        <v>2491</v>
      </c>
      <c r="D393" t="s">
        <v>1060</v>
      </c>
      <c r="E393" t="s">
        <v>252</v>
      </c>
      <c r="F393" t="s">
        <v>220</v>
      </c>
      <c r="G393" t="s">
        <v>818</v>
      </c>
      <c r="H393" s="4">
        <v>37151</v>
      </c>
      <c r="I393" t="s">
        <v>254</v>
      </c>
    </row>
    <row r="394" spans="1:9" x14ac:dyDescent="0.25">
      <c r="A394">
        <v>393</v>
      </c>
      <c r="B394" t="s">
        <v>1061</v>
      </c>
      <c r="C394">
        <v>2492</v>
      </c>
      <c r="D394" t="s">
        <v>1062</v>
      </c>
      <c r="E394" t="s">
        <v>252</v>
      </c>
      <c r="F394" t="s">
        <v>220</v>
      </c>
      <c r="G394" t="s">
        <v>450</v>
      </c>
      <c r="H394" s="4">
        <v>37151</v>
      </c>
      <c r="I394" t="s">
        <v>254</v>
      </c>
    </row>
    <row r="395" spans="1:9" x14ac:dyDescent="0.25">
      <c r="A395">
        <v>394</v>
      </c>
      <c r="B395" t="s">
        <v>1063</v>
      </c>
      <c r="C395">
        <v>2493</v>
      </c>
      <c r="D395" t="s">
        <v>1064</v>
      </c>
      <c r="E395" t="s">
        <v>252</v>
      </c>
      <c r="F395" t="s">
        <v>220</v>
      </c>
      <c r="G395" t="s">
        <v>450</v>
      </c>
      <c r="H395" s="4">
        <v>37279</v>
      </c>
      <c r="I395" t="s">
        <v>254</v>
      </c>
    </row>
    <row r="396" spans="1:9" x14ac:dyDescent="0.25">
      <c r="A396">
        <v>395</v>
      </c>
      <c r="B396" t="s">
        <v>1065</v>
      </c>
      <c r="C396">
        <v>2495</v>
      </c>
      <c r="D396" t="s">
        <v>1066</v>
      </c>
      <c r="E396" t="s">
        <v>252</v>
      </c>
      <c r="F396" t="s">
        <v>220</v>
      </c>
      <c r="G396" t="s">
        <v>804</v>
      </c>
      <c r="H396" s="4">
        <v>37340</v>
      </c>
      <c r="I396" t="s">
        <v>254</v>
      </c>
    </row>
    <row r="397" spans="1:9" x14ac:dyDescent="0.25">
      <c r="A397">
        <v>396</v>
      </c>
      <c r="B397" t="s">
        <v>1067</v>
      </c>
      <c r="C397">
        <v>2496</v>
      </c>
      <c r="D397" t="s">
        <v>1068</v>
      </c>
      <c r="E397" t="s">
        <v>252</v>
      </c>
      <c r="F397" t="s">
        <v>220</v>
      </c>
      <c r="G397" t="s">
        <v>361</v>
      </c>
      <c r="H397" s="4">
        <v>37323</v>
      </c>
      <c r="I397" t="s">
        <v>254</v>
      </c>
    </row>
    <row r="398" spans="1:9" x14ac:dyDescent="0.25">
      <c r="A398">
        <v>397</v>
      </c>
      <c r="B398" t="s">
        <v>1069</v>
      </c>
      <c r="C398">
        <v>2497</v>
      </c>
      <c r="D398" t="s">
        <v>1070</v>
      </c>
      <c r="E398" t="s">
        <v>252</v>
      </c>
      <c r="F398" t="s">
        <v>220</v>
      </c>
      <c r="G398" t="s">
        <v>338</v>
      </c>
      <c r="H398" s="4">
        <v>37291</v>
      </c>
      <c r="I398" t="s">
        <v>254</v>
      </c>
    </row>
    <row r="399" spans="1:9" x14ac:dyDescent="0.25">
      <c r="A399">
        <v>398</v>
      </c>
      <c r="B399" t="s">
        <v>1071</v>
      </c>
      <c r="C399">
        <v>2498</v>
      </c>
      <c r="D399" t="s">
        <v>1072</v>
      </c>
      <c r="E399" t="s">
        <v>252</v>
      </c>
      <c r="F399" t="s">
        <v>220</v>
      </c>
      <c r="G399" t="s">
        <v>809</v>
      </c>
      <c r="H399" s="4">
        <v>37341</v>
      </c>
      <c r="I399" t="s">
        <v>254</v>
      </c>
    </row>
    <row r="400" spans="1:9" x14ac:dyDescent="0.25">
      <c r="A400">
        <v>399</v>
      </c>
      <c r="B400" t="s">
        <v>1073</v>
      </c>
      <c r="C400">
        <v>2501</v>
      </c>
      <c r="D400" t="s">
        <v>1074</v>
      </c>
      <c r="E400" t="s">
        <v>252</v>
      </c>
      <c r="F400" t="s">
        <v>220</v>
      </c>
      <c r="G400" t="s">
        <v>335</v>
      </c>
      <c r="H400" s="4">
        <v>24773</v>
      </c>
      <c r="I400" t="s">
        <v>254</v>
      </c>
    </row>
    <row r="401" spans="1:9" x14ac:dyDescent="0.25">
      <c r="A401">
        <v>400</v>
      </c>
      <c r="B401" t="s">
        <v>1075</v>
      </c>
      <c r="C401">
        <v>2504</v>
      </c>
      <c r="D401" t="s">
        <v>1076</v>
      </c>
      <c r="E401" t="s">
        <v>252</v>
      </c>
      <c r="F401" t="s">
        <v>220</v>
      </c>
      <c r="G401" t="s">
        <v>335</v>
      </c>
      <c r="H401" s="4">
        <v>28563</v>
      </c>
      <c r="I401" t="s">
        <v>254</v>
      </c>
    </row>
    <row r="402" spans="1:9" x14ac:dyDescent="0.25">
      <c r="A402">
        <v>401</v>
      </c>
      <c r="B402" t="s">
        <v>1077</v>
      </c>
      <c r="C402">
        <v>2505</v>
      </c>
      <c r="D402" t="s">
        <v>1078</v>
      </c>
      <c r="E402" t="s">
        <v>252</v>
      </c>
      <c r="F402" t="s">
        <v>220</v>
      </c>
      <c r="G402" t="s">
        <v>335</v>
      </c>
      <c r="H402" s="4">
        <v>29173</v>
      </c>
      <c r="I402" t="s">
        <v>254</v>
      </c>
    </row>
    <row r="403" spans="1:9" x14ac:dyDescent="0.25">
      <c r="A403">
        <v>402</v>
      </c>
      <c r="B403" t="s">
        <v>1079</v>
      </c>
      <c r="C403">
        <v>2506</v>
      </c>
      <c r="D403" t="s">
        <v>1080</v>
      </c>
      <c r="E403" t="s">
        <v>252</v>
      </c>
      <c r="F403" t="s">
        <v>220</v>
      </c>
      <c r="G403" t="s">
        <v>335</v>
      </c>
      <c r="H403" s="4">
        <v>29253</v>
      </c>
      <c r="I403" t="s">
        <v>254</v>
      </c>
    </row>
    <row r="404" spans="1:9" x14ac:dyDescent="0.25">
      <c r="A404">
        <v>403</v>
      </c>
      <c r="B404" t="s">
        <v>1081</v>
      </c>
      <c r="C404">
        <v>2509</v>
      </c>
      <c r="D404" t="s">
        <v>1082</v>
      </c>
      <c r="E404" t="s">
        <v>252</v>
      </c>
      <c r="F404" t="s">
        <v>220</v>
      </c>
      <c r="G404" t="s">
        <v>335</v>
      </c>
      <c r="H404" s="4">
        <v>32283</v>
      </c>
      <c r="I404" t="s">
        <v>254</v>
      </c>
    </row>
    <row r="405" spans="1:9" x14ac:dyDescent="0.25">
      <c r="A405">
        <v>404</v>
      </c>
      <c r="B405" t="s">
        <v>1083</v>
      </c>
      <c r="C405">
        <v>2511</v>
      </c>
      <c r="D405" t="s">
        <v>1084</v>
      </c>
      <c r="E405" t="s">
        <v>252</v>
      </c>
      <c r="F405" t="s">
        <v>220</v>
      </c>
      <c r="G405" t="s">
        <v>335</v>
      </c>
      <c r="H405" s="4">
        <v>33352</v>
      </c>
      <c r="I405" t="s">
        <v>254</v>
      </c>
    </row>
    <row r="406" spans="1:9" x14ac:dyDescent="0.25">
      <c r="A406">
        <v>405</v>
      </c>
      <c r="B406" t="s">
        <v>1085</v>
      </c>
      <c r="C406">
        <v>2514</v>
      </c>
      <c r="D406" t="s">
        <v>1086</v>
      </c>
      <c r="E406" t="s">
        <v>252</v>
      </c>
      <c r="F406" t="s">
        <v>220</v>
      </c>
      <c r="G406" t="s">
        <v>361</v>
      </c>
      <c r="H406" s="4">
        <v>33873</v>
      </c>
      <c r="I406" t="s">
        <v>254</v>
      </c>
    </row>
    <row r="407" spans="1:9" x14ac:dyDescent="0.25">
      <c r="A407">
        <v>406</v>
      </c>
      <c r="B407" t="s">
        <v>1087</v>
      </c>
      <c r="C407">
        <v>2515</v>
      </c>
      <c r="D407" t="s">
        <v>1088</v>
      </c>
      <c r="E407" t="s">
        <v>252</v>
      </c>
      <c r="F407" t="s">
        <v>220</v>
      </c>
      <c r="G407" t="s">
        <v>335</v>
      </c>
      <c r="H407" s="4">
        <v>34030</v>
      </c>
      <c r="I407" t="s">
        <v>254</v>
      </c>
    </row>
    <row r="408" spans="1:9" x14ac:dyDescent="0.25">
      <c r="A408">
        <v>407</v>
      </c>
      <c r="B408" t="s">
        <v>1089</v>
      </c>
      <c r="C408">
        <v>2516</v>
      </c>
      <c r="D408" t="s">
        <v>1090</v>
      </c>
      <c r="E408" t="s">
        <v>252</v>
      </c>
      <c r="F408" t="s">
        <v>220</v>
      </c>
      <c r="G408" t="s">
        <v>335</v>
      </c>
      <c r="H408" s="4">
        <v>34114</v>
      </c>
      <c r="I408" t="s">
        <v>254</v>
      </c>
    </row>
    <row r="409" spans="1:9" x14ac:dyDescent="0.25">
      <c r="A409">
        <v>408</v>
      </c>
      <c r="B409" t="s">
        <v>1091</v>
      </c>
      <c r="C409">
        <v>2520</v>
      </c>
      <c r="D409" t="s">
        <v>1092</v>
      </c>
      <c r="E409" t="s">
        <v>252</v>
      </c>
      <c r="F409" t="s">
        <v>220</v>
      </c>
      <c r="G409" t="s">
        <v>335</v>
      </c>
      <c r="H409" s="4">
        <v>34269</v>
      </c>
      <c r="I409" t="s">
        <v>254</v>
      </c>
    </row>
    <row r="410" spans="1:9" x14ac:dyDescent="0.25">
      <c r="A410">
        <v>409</v>
      </c>
      <c r="B410" t="s">
        <v>1093</v>
      </c>
      <c r="C410">
        <v>2524</v>
      </c>
      <c r="D410" t="s">
        <v>1094</v>
      </c>
      <c r="E410" t="s">
        <v>252</v>
      </c>
      <c r="F410" t="s">
        <v>220</v>
      </c>
      <c r="G410" t="s">
        <v>335</v>
      </c>
      <c r="H410" s="4">
        <v>34625</v>
      </c>
      <c r="I410" t="s">
        <v>254</v>
      </c>
    </row>
    <row r="411" spans="1:9" x14ac:dyDescent="0.25">
      <c r="A411">
        <v>410</v>
      </c>
      <c r="B411" t="s">
        <v>1095</v>
      </c>
      <c r="C411">
        <v>2527</v>
      </c>
      <c r="D411" t="s">
        <v>1096</v>
      </c>
      <c r="E411" t="s">
        <v>252</v>
      </c>
      <c r="F411" t="s">
        <v>220</v>
      </c>
      <c r="G411" t="s">
        <v>335</v>
      </c>
      <c r="H411" s="4">
        <v>34764</v>
      </c>
      <c r="I411" t="s">
        <v>254</v>
      </c>
    </row>
    <row r="412" spans="1:9" x14ac:dyDescent="0.25">
      <c r="A412">
        <v>411</v>
      </c>
      <c r="B412" t="s">
        <v>1097</v>
      </c>
      <c r="C412">
        <v>2528</v>
      </c>
      <c r="D412" t="s">
        <v>1098</v>
      </c>
      <c r="E412" t="s">
        <v>252</v>
      </c>
      <c r="F412" t="s">
        <v>220</v>
      </c>
      <c r="G412" t="s">
        <v>335</v>
      </c>
      <c r="H412" s="4">
        <v>34768</v>
      </c>
      <c r="I412" t="s">
        <v>254</v>
      </c>
    </row>
    <row r="413" spans="1:9" x14ac:dyDescent="0.25">
      <c r="A413">
        <v>412</v>
      </c>
      <c r="B413" t="s">
        <v>1099</v>
      </c>
      <c r="C413">
        <v>2530</v>
      </c>
      <c r="D413" t="s">
        <v>1100</v>
      </c>
      <c r="E413" t="s">
        <v>252</v>
      </c>
      <c r="F413" t="s">
        <v>220</v>
      </c>
      <c r="G413" t="s">
        <v>335</v>
      </c>
      <c r="H413" s="4">
        <v>34984</v>
      </c>
      <c r="I413" t="s">
        <v>254</v>
      </c>
    </row>
    <row r="414" spans="1:9" x14ac:dyDescent="0.25">
      <c r="A414">
        <v>413</v>
      </c>
      <c r="B414" t="s">
        <v>1101</v>
      </c>
      <c r="C414">
        <v>2534</v>
      </c>
      <c r="D414" t="s">
        <v>1102</v>
      </c>
      <c r="E414" t="s">
        <v>252</v>
      </c>
      <c r="F414" t="s">
        <v>220</v>
      </c>
      <c r="G414" t="s">
        <v>335</v>
      </c>
      <c r="H414" s="4">
        <v>35107</v>
      </c>
      <c r="I414" t="s">
        <v>254</v>
      </c>
    </row>
    <row r="415" spans="1:9" x14ac:dyDescent="0.25">
      <c r="A415">
        <v>414</v>
      </c>
      <c r="B415" t="s">
        <v>1103</v>
      </c>
      <c r="C415">
        <v>2535</v>
      </c>
      <c r="D415" t="s">
        <v>1104</v>
      </c>
      <c r="E415" t="s">
        <v>252</v>
      </c>
      <c r="F415" t="s">
        <v>220</v>
      </c>
      <c r="G415" t="s">
        <v>335</v>
      </c>
      <c r="H415" s="4">
        <v>35135</v>
      </c>
      <c r="I415" t="s">
        <v>254</v>
      </c>
    </row>
    <row r="416" spans="1:9" x14ac:dyDescent="0.25">
      <c r="A416">
        <v>415</v>
      </c>
      <c r="B416" t="s">
        <v>1105</v>
      </c>
      <c r="C416">
        <v>2536</v>
      </c>
      <c r="D416" t="s">
        <v>1106</v>
      </c>
      <c r="E416" t="s">
        <v>252</v>
      </c>
      <c r="F416" t="s">
        <v>220</v>
      </c>
      <c r="G416" t="s">
        <v>335</v>
      </c>
      <c r="H416" s="4">
        <v>35138</v>
      </c>
      <c r="I416" t="s">
        <v>254</v>
      </c>
    </row>
    <row r="417" spans="1:9" x14ac:dyDescent="0.25">
      <c r="A417">
        <v>416</v>
      </c>
      <c r="B417" t="s">
        <v>1107</v>
      </c>
      <c r="C417">
        <v>2537</v>
      </c>
      <c r="D417" t="s">
        <v>1108</v>
      </c>
      <c r="E417" t="s">
        <v>252</v>
      </c>
      <c r="F417" t="s">
        <v>220</v>
      </c>
      <c r="G417" t="s">
        <v>335</v>
      </c>
      <c r="H417" s="4">
        <v>35314</v>
      </c>
      <c r="I417" t="s">
        <v>254</v>
      </c>
    </row>
    <row r="418" spans="1:9" x14ac:dyDescent="0.25">
      <c r="A418">
        <v>417</v>
      </c>
      <c r="B418" t="s">
        <v>1109</v>
      </c>
      <c r="C418">
        <v>2538</v>
      </c>
      <c r="D418" t="s">
        <v>1110</v>
      </c>
      <c r="E418" t="s">
        <v>252</v>
      </c>
      <c r="F418" t="s">
        <v>220</v>
      </c>
      <c r="G418" t="s">
        <v>335</v>
      </c>
      <c r="H418" s="4">
        <v>35370</v>
      </c>
      <c r="I418" t="s">
        <v>254</v>
      </c>
    </row>
    <row r="419" spans="1:9" x14ac:dyDescent="0.25">
      <c r="A419">
        <v>418</v>
      </c>
      <c r="B419" t="s">
        <v>1111</v>
      </c>
      <c r="C419">
        <v>2539</v>
      </c>
      <c r="D419" t="s">
        <v>1112</v>
      </c>
      <c r="E419" t="s">
        <v>252</v>
      </c>
      <c r="F419" t="s">
        <v>220</v>
      </c>
      <c r="G419" t="s">
        <v>335</v>
      </c>
      <c r="H419" s="4">
        <v>35627</v>
      </c>
      <c r="I419" t="s">
        <v>254</v>
      </c>
    </row>
    <row r="420" spans="1:9" x14ac:dyDescent="0.25">
      <c r="A420">
        <v>419</v>
      </c>
      <c r="B420" t="s">
        <v>1113</v>
      </c>
      <c r="C420">
        <v>2540</v>
      </c>
      <c r="D420" t="s">
        <v>1114</v>
      </c>
      <c r="E420" t="s">
        <v>252</v>
      </c>
      <c r="F420" t="s">
        <v>220</v>
      </c>
      <c r="G420" t="s">
        <v>335</v>
      </c>
      <c r="H420" s="4">
        <v>32868</v>
      </c>
      <c r="I420" t="s">
        <v>254</v>
      </c>
    </row>
    <row r="421" spans="1:9" x14ac:dyDescent="0.25">
      <c r="A421">
        <v>420</v>
      </c>
      <c r="B421" t="s">
        <v>1115</v>
      </c>
      <c r="C421">
        <v>2542</v>
      </c>
      <c r="D421" t="s">
        <v>1116</v>
      </c>
      <c r="E421" t="s">
        <v>252</v>
      </c>
      <c r="F421" t="s">
        <v>220</v>
      </c>
      <c r="G421" t="s">
        <v>335</v>
      </c>
      <c r="H421" s="4">
        <v>36283</v>
      </c>
      <c r="I421" t="s">
        <v>254</v>
      </c>
    </row>
    <row r="422" spans="1:9" x14ac:dyDescent="0.25">
      <c r="A422">
        <v>421</v>
      </c>
      <c r="B422" t="s">
        <v>1117</v>
      </c>
      <c r="C422">
        <v>2543</v>
      </c>
      <c r="D422" t="s">
        <v>1118</v>
      </c>
      <c r="E422" t="s">
        <v>252</v>
      </c>
      <c r="F422" t="s">
        <v>220</v>
      </c>
      <c r="G422" t="s">
        <v>335</v>
      </c>
      <c r="H422" s="4">
        <v>36448</v>
      </c>
      <c r="I422" t="s">
        <v>254</v>
      </c>
    </row>
    <row r="423" spans="1:9" x14ac:dyDescent="0.25">
      <c r="A423">
        <v>422</v>
      </c>
      <c r="B423" t="s">
        <v>1119</v>
      </c>
      <c r="C423">
        <v>2545</v>
      </c>
      <c r="D423" t="s">
        <v>1120</v>
      </c>
      <c r="E423" t="s">
        <v>252</v>
      </c>
      <c r="F423" t="s">
        <v>220</v>
      </c>
      <c r="G423" t="s">
        <v>335</v>
      </c>
      <c r="H423" s="4">
        <v>36780</v>
      </c>
      <c r="I423" t="s">
        <v>254</v>
      </c>
    </row>
    <row r="424" spans="1:9" x14ac:dyDescent="0.25">
      <c r="A424">
        <v>423</v>
      </c>
      <c r="B424" t="s">
        <v>1121</v>
      </c>
      <c r="C424">
        <v>2546</v>
      </c>
      <c r="D424" t="s">
        <v>1122</v>
      </c>
      <c r="E424" t="s">
        <v>252</v>
      </c>
      <c r="F424" t="s">
        <v>220</v>
      </c>
      <c r="G424" t="s">
        <v>335</v>
      </c>
      <c r="H424" s="4">
        <v>36780</v>
      </c>
      <c r="I424" t="s">
        <v>254</v>
      </c>
    </row>
    <row r="425" spans="1:9" x14ac:dyDescent="0.25">
      <c r="A425">
        <v>424</v>
      </c>
      <c r="B425" t="s">
        <v>1123</v>
      </c>
      <c r="C425">
        <v>2547</v>
      </c>
      <c r="D425" t="s">
        <v>1124</v>
      </c>
      <c r="E425" t="s">
        <v>252</v>
      </c>
      <c r="F425" t="s">
        <v>220</v>
      </c>
      <c r="G425" t="s">
        <v>335</v>
      </c>
      <c r="H425" s="4">
        <v>36882</v>
      </c>
      <c r="I425" t="s">
        <v>254</v>
      </c>
    </row>
    <row r="426" spans="1:9" x14ac:dyDescent="0.25">
      <c r="A426">
        <v>425</v>
      </c>
      <c r="B426" t="s">
        <v>1125</v>
      </c>
      <c r="C426">
        <v>2548</v>
      </c>
      <c r="D426" t="s">
        <v>1126</v>
      </c>
      <c r="E426" t="s">
        <v>252</v>
      </c>
      <c r="F426" t="s">
        <v>220</v>
      </c>
      <c r="G426" t="s">
        <v>335</v>
      </c>
      <c r="H426" s="4">
        <v>37494</v>
      </c>
      <c r="I426" t="s">
        <v>254</v>
      </c>
    </row>
    <row r="427" spans="1:9" x14ac:dyDescent="0.25">
      <c r="A427">
        <v>426</v>
      </c>
      <c r="B427" t="s">
        <v>1127</v>
      </c>
      <c r="C427">
        <v>2597</v>
      </c>
      <c r="D427" t="s">
        <v>1128</v>
      </c>
      <c r="E427" t="s">
        <v>252</v>
      </c>
      <c r="F427" t="s">
        <v>220</v>
      </c>
      <c r="G427" t="s">
        <v>335</v>
      </c>
      <c r="H427" s="4">
        <v>40263</v>
      </c>
      <c r="I427" t="s">
        <v>254</v>
      </c>
    </row>
    <row r="428" spans="1:9" x14ac:dyDescent="0.25">
      <c r="A428">
        <v>427</v>
      </c>
      <c r="B428" t="s">
        <v>1129</v>
      </c>
      <c r="C428">
        <v>2601</v>
      </c>
      <c r="D428" t="s">
        <v>1130</v>
      </c>
      <c r="E428" t="s">
        <v>252</v>
      </c>
      <c r="F428" t="s">
        <v>220</v>
      </c>
      <c r="G428" t="s">
        <v>385</v>
      </c>
      <c r="H428" s="4">
        <v>24050</v>
      </c>
      <c r="I428" t="s">
        <v>254</v>
      </c>
    </row>
    <row r="429" spans="1:9" x14ac:dyDescent="0.25">
      <c r="A429">
        <v>428</v>
      </c>
      <c r="B429" t="s">
        <v>1131</v>
      </c>
      <c r="C429">
        <v>2603</v>
      </c>
      <c r="D429" t="s">
        <v>1132</v>
      </c>
      <c r="E429" t="s">
        <v>252</v>
      </c>
      <c r="F429" t="s">
        <v>220</v>
      </c>
      <c r="G429" t="s">
        <v>767</v>
      </c>
      <c r="H429" s="4">
        <v>32041</v>
      </c>
      <c r="I429" t="s">
        <v>254</v>
      </c>
    </row>
    <row r="430" spans="1:9" x14ac:dyDescent="0.25">
      <c r="A430">
        <v>429</v>
      </c>
      <c r="B430" t="s">
        <v>1133</v>
      </c>
      <c r="C430">
        <v>2605</v>
      </c>
      <c r="D430" t="s">
        <v>1134</v>
      </c>
      <c r="E430" t="s">
        <v>252</v>
      </c>
      <c r="F430" t="s">
        <v>220</v>
      </c>
      <c r="G430" t="s">
        <v>767</v>
      </c>
      <c r="H430" s="4">
        <v>32850</v>
      </c>
      <c r="I430" t="s">
        <v>254</v>
      </c>
    </row>
    <row r="431" spans="1:9" x14ac:dyDescent="0.25">
      <c r="A431">
        <v>430</v>
      </c>
      <c r="B431" t="s">
        <v>1135</v>
      </c>
      <c r="C431">
        <v>2606</v>
      </c>
      <c r="D431" t="s">
        <v>1136</v>
      </c>
      <c r="E431" t="s">
        <v>252</v>
      </c>
      <c r="F431" t="s">
        <v>220</v>
      </c>
      <c r="G431" t="s">
        <v>767</v>
      </c>
      <c r="H431" s="4">
        <v>33215</v>
      </c>
      <c r="I431" t="s">
        <v>254</v>
      </c>
    </row>
    <row r="432" spans="1:9" x14ac:dyDescent="0.25">
      <c r="A432">
        <v>431</v>
      </c>
      <c r="B432" t="s">
        <v>1137</v>
      </c>
      <c r="C432">
        <v>2607</v>
      </c>
      <c r="D432" t="s">
        <v>1138</v>
      </c>
      <c r="E432" t="s">
        <v>252</v>
      </c>
      <c r="F432" t="s">
        <v>220</v>
      </c>
      <c r="G432" t="s">
        <v>767</v>
      </c>
      <c r="H432" s="4">
        <v>33221</v>
      </c>
      <c r="I432" t="s">
        <v>254</v>
      </c>
    </row>
    <row r="433" spans="1:9" x14ac:dyDescent="0.25">
      <c r="A433">
        <v>432</v>
      </c>
      <c r="B433" t="s">
        <v>1139</v>
      </c>
      <c r="C433">
        <v>2608</v>
      </c>
      <c r="D433" t="s">
        <v>1140</v>
      </c>
      <c r="E433" t="s">
        <v>252</v>
      </c>
      <c r="F433" t="s">
        <v>220</v>
      </c>
      <c r="G433" t="s">
        <v>767</v>
      </c>
      <c r="H433" s="4">
        <v>33227</v>
      </c>
      <c r="I433" t="s">
        <v>254</v>
      </c>
    </row>
    <row r="434" spans="1:9" x14ac:dyDescent="0.25">
      <c r="A434">
        <v>433</v>
      </c>
      <c r="B434" t="s">
        <v>1141</v>
      </c>
      <c r="C434">
        <v>2609</v>
      </c>
      <c r="D434" t="s">
        <v>1142</v>
      </c>
      <c r="E434" t="s">
        <v>252</v>
      </c>
      <c r="F434" t="s">
        <v>220</v>
      </c>
      <c r="G434" t="s">
        <v>767</v>
      </c>
      <c r="H434" s="4">
        <v>33714</v>
      </c>
      <c r="I434" t="s">
        <v>254</v>
      </c>
    </row>
    <row r="435" spans="1:9" x14ac:dyDescent="0.25">
      <c r="A435">
        <v>434</v>
      </c>
      <c r="B435" t="s">
        <v>1143</v>
      </c>
      <c r="C435">
        <v>2610</v>
      </c>
      <c r="D435" t="s">
        <v>1144</v>
      </c>
      <c r="E435" t="s">
        <v>252</v>
      </c>
      <c r="F435" t="s">
        <v>220</v>
      </c>
      <c r="G435" t="s">
        <v>767</v>
      </c>
      <c r="H435" s="4">
        <v>34026</v>
      </c>
      <c r="I435" t="s">
        <v>254</v>
      </c>
    </row>
    <row r="436" spans="1:9" x14ac:dyDescent="0.25">
      <c r="A436">
        <v>435</v>
      </c>
      <c r="B436" t="s">
        <v>1145</v>
      </c>
      <c r="C436">
        <v>2611</v>
      </c>
      <c r="D436" t="s">
        <v>1146</v>
      </c>
      <c r="E436" t="s">
        <v>252</v>
      </c>
      <c r="F436" t="s">
        <v>220</v>
      </c>
      <c r="G436" t="s">
        <v>767</v>
      </c>
      <c r="H436" s="4">
        <v>34270</v>
      </c>
      <c r="I436" t="s">
        <v>254</v>
      </c>
    </row>
    <row r="437" spans="1:9" x14ac:dyDescent="0.25">
      <c r="A437">
        <v>436</v>
      </c>
      <c r="B437" t="s">
        <v>1147</v>
      </c>
      <c r="C437">
        <v>2612</v>
      </c>
      <c r="D437" t="s">
        <v>1148</v>
      </c>
      <c r="E437" t="s">
        <v>252</v>
      </c>
      <c r="F437" t="s">
        <v>220</v>
      </c>
      <c r="G437" t="s">
        <v>767</v>
      </c>
      <c r="H437" s="4">
        <v>34627</v>
      </c>
      <c r="I437" t="s">
        <v>254</v>
      </c>
    </row>
    <row r="438" spans="1:9" x14ac:dyDescent="0.25">
      <c r="A438">
        <v>437</v>
      </c>
      <c r="B438" t="s">
        <v>1149</v>
      </c>
      <c r="C438">
        <v>2613</v>
      </c>
      <c r="D438" t="s">
        <v>1150</v>
      </c>
      <c r="E438" t="s">
        <v>252</v>
      </c>
      <c r="F438" t="s">
        <v>220</v>
      </c>
      <c r="G438" t="s">
        <v>767</v>
      </c>
      <c r="H438" s="4">
        <v>34719</v>
      </c>
      <c r="I438" t="s">
        <v>254</v>
      </c>
    </row>
    <row r="439" spans="1:9" x14ac:dyDescent="0.25">
      <c r="A439">
        <v>438</v>
      </c>
      <c r="B439" t="s">
        <v>1151</v>
      </c>
      <c r="C439">
        <v>2614</v>
      </c>
      <c r="D439" t="s">
        <v>1152</v>
      </c>
      <c r="E439" t="s">
        <v>252</v>
      </c>
      <c r="F439" t="s">
        <v>220</v>
      </c>
      <c r="G439" t="s">
        <v>361</v>
      </c>
      <c r="H439" s="4">
        <v>34965</v>
      </c>
      <c r="I439" t="s">
        <v>254</v>
      </c>
    </row>
    <row r="440" spans="1:9" x14ac:dyDescent="0.25">
      <c r="A440">
        <v>439</v>
      </c>
      <c r="B440" t="s">
        <v>1153</v>
      </c>
      <c r="C440">
        <v>2615</v>
      </c>
      <c r="D440" t="s">
        <v>1154</v>
      </c>
      <c r="E440" t="s">
        <v>252</v>
      </c>
      <c r="F440" t="s">
        <v>220</v>
      </c>
      <c r="G440" t="s">
        <v>767</v>
      </c>
      <c r="H440" s="4">
        <v>35201</v>
      </c>
      <c r="I440" t="s">
        <v>254</v>
      </c>
    </row>
    <row r="441" spans="1:9" x14ac:dyDescent="0.25">
      <c r="A441">
        <v>440</v>
      </c>
      <c r="B441" t="s">
        <v>1155</v>
      </c>
      <c r="C441">
        <v>2616</v>
      </c>
      <c r="D441" t="s">
        <v>1156</v>
      </c>
      <c r="E441" t="s">
        <v>252</v>
      </c>
      <c r="F441" t="s">
        <v>220</v>
      </c>
      <c r="G441" t="s">
        <v>1157</v>
      </c>
      <c r="H441" s="4">
        <v>35742</v>
      </c>
      <c r="I441" t="s">
        <v>254</v>
      </c>
    </row>
    <row r="442" spans="1:9" x14ac:dyDescent="0.25">
      <c r="A442">
        <v>441</v>
      </c>
      <c r="B442" t="s">
        <v>1158</v>
      </c>
      <c r="C442">
        <v>2617</v>
      </c>
      <c r="D442" t="s">
        <v>1159</v>
      </c>
      <c r="E442" t="s">
        <v>252</v>
      </c>
      <c r="F442" t="s">
        <v>220</v>
      </c>
      <c r="G442" t="s">
        <v>767</v>
      </c>
      <c r="H442" s="4">
        <v>35970</v>
      </c>
      <c r="I442" t="s">
        <v>254</v>
      </c>
    </row>
    <row r="443" spans="1:9" x14ac:dyDescent="0.25">
      <c r="A443">
        <v>442</v>
      </c>
      <c r="B443" t="s">
        <v>1160</v>
      </c>
      <c r="C443">
        <v>2618</v>
      </c>
      <c r="D443" t="s">
        <v>1161</v>
      </c>
      <c r="E443" t="s">
        <v>252</v>
      </c>
      <c r="F443" t="s">
        <v>220</v>
      </c>
      <c r="G443" t="s">
        <v>767</v>
      </c>
      <c r="H443" s="4">
        <v>37151</v>
      </c>
      <c r="I443" t="s">
        <v>254</v>
      </c>
    </row>
    <row r="444" spans="1:9" x14ac:dyDescent="0.25">
      <c r="A444">
        <v>443</v>
      </c>
      <c r="B444" t="s">
        <v>1162</v>
      </c>
      <c r="C444">
        <v>2630</v>
      </c>
      <c r="D444" t="s">
        <v>1163</v>
      </c>
      <c r="E444" t="s">
        <v>252</v>
      </c>
      <c r="F444" t="s">
        <v>220</v>
      </c>
      <c r="G444" t="s">
        <v>767</v>
      </c>
      <c r="H444" s="4">
        <v>43153</v>
      </c>
      <c r="I444" t="s">
        <v>254</v>
      </c>
    </row>
    <row r="445" spans="1:9" x14ac:dyDescent="0.25">
      <c r="A445">
        <v>444</v>
      </c>
      <c r="B445" t="s">
        <v>1164</v>
      </c>
      <c r="C445">
        <v>2633</v>
      </c>
      <c r="D445" t="s">
        <v>1165</v>
      </c>
      <c r="E445" t="s">
        <v>252</v>
      </c>
      <c r="F445" t="s">
        <v>220</v>
      </c>
      <c r="G445" t="s">
        <v>767</v>
      </c>
      <c r="H445" s="4">
        <v>42670</v>
      </c>
      <c r="I445" t="s">
        <v>254</v>
      </c>
    </row>
    <row r="446" spans="1:9" x14ac:dyDescent="0.25">
      <c r="A446">
        <v>445</v>
      </c>
      <c r="B446" t="s">
        <v>1166</v>
      </c>
      <c r="C446">
        <v>2634</v>
      </c>
      <c r="D446" t="s">
        <v>1167</v>
      </c>
      <c r="E446" t="s">
        <v>252</v>
      </c>
      <c r="F446" t="s">
        <v>220</v>
      </c>
      <c r="G446" t="s">
        <v>767</v>
      </c>
      <c r="H446" s="4">
        <v>41876</v>
      </c>
      <c r="I446" t="s">
        <v>254</v>
      </c>
    </row>
    <row r="447" spans="1:9" x14ac:dyDescent="0.25">
      <c r="A447">
        <v>446</v>
      </c>
      <c r="B447" t="s">
        <v>1168</v>
      </c>
      <c r="C447">
        <v>2636</v>
      </c>
      <c r="D447" t="s">
        <v>1169</v>
      </c>
      <c r="E447" t="s">
        <v>252</v>
      </c>
      <c r="F447" t="s">
        <v>220</v>
      </c>
      <c r="G447" t="s">
        <v>767</v>
      </c>
      <c r="H447" s="4">
        <v>42726</v>
      </c>
      <c r="I447" t="s">
        <v>254</v>
      </c>
    </row>
    <row r="448" spans="1:9" x14ac:dyDescent="0.25">
      <c r="A448">
        <v>447</v>
      </c>
      <c r="B448" t="s">
        <v>1170</v>
      </c>
      <c r="C448">
        <v>2637</v>
      </c>
      <c r="D448" t="s">
        <v>1171</v>
      </c>
      <c r="E448" t="s">
        <v>252</v>
      </c>
      <c r="F448" t="s">
        <v>220</v>
      </c>
      <c r="G448" t="s">
        <v>767</v>
      </c>
      <c r="H448" s="4">
        <v>40513</v>
      </c>
      <c r="I448" t="s">
        <v>254</v>
      </c>
    </row>
    <row r="449" spans="1:9" x14ac:dyDescent="0.25">
      <c r="A449">
        <v>448</v>
      </c>
      <c r="B449" t="s">
        <v>1172</v>
      </c>
      <c r="C449">
        <v>2642</v>
      </c>
      <c r="D449" t="s">
        <v>1173</v>
      </c>
      <c r="E449" t="s">
        <v>252</v>
      </c>
      <c r="F449" t="s">
        <v>220</v>
      </c>
      <c r="G449" t="s">
        <v>767</v>
      </c>
      <c r="H449" s="4">
        <v>41620</v>
      </c>
      <c r="I449" t="s">
        <v>254</v>
      </c>
    </row>
    <row r="450" spans="1:9" x14ac:dyDescent="0.25">
      <c r="A450">
        <v>449</v>
      </c>
      <c r="B450" t="s">
        <v>1174</v>
      </c>
      <c r="C450">
        <v>2701</v>
      </c>
      <c r="D450" t="s">
        <v>1175</v>
      </c>
      <c r="E450" t="s">
        <v>252</v>
      </c>
      <c r="F450" t="s">
        <v>220</v>
      </c>
      <c r="G450" t="s">
        <v>1176</v>
      </c>
      <c r="H450" s="4">
        <v>23823</v>
      </c>
      <c r="I450" t="s">
        <v>254</v>
      </c>
    </row>
    <row r="451" spans="1:9" x14ac:dyDescent="0.25">
      <c r="A451">
        <v>450</v>
      </c>
      <c r="B451" t="s">
        <v>1177</v>
      </c>
      <c r="C451">
        <v>2702</v>
      </c>
      <c r="D451" t="s">
        <v>1178</v>
      </c>
      <c r="E451" t="s">
        <v>252</v>
      </c>
      <c r="F451" t="s">
        <v>220</v>
      </c>
      <c r="G451" t="s">
        <v>1176</v>
      </c>
      <c r="H451" s="4">
        <v>23787</v>
      </c>
      <c r="I451" t="s">
        <v>254</v>
      </c>
    </row>
    <row r="452" spans="1:9" x14ac:dyDescent="0.25">
      <c r="A452">
        <v>451</v>
      </c>
      <c r="B452" t="s">
        <v>1179</v>
      </c>
      <c r="C452">
        <v>2704</v>
      </c>
      <c r="D452" t="s">
        <v>1180</v>
      </c>
      <c r="E452" t="s">
        <v>252</v>
      </c>
      <c r="F452" t="s">
        <v>220</v>
      </c>
      <c r="G452" t="s">
        <v>1176</v>
      </c>
      <c r="H452" s="4">
        <v>30265</v>
      </c>
      <c r="I452" t="s">
        <v>254</v>
      </c>
    </row>
    <row r="453" spans="1:9" x14ac:dyDescent="0.25">
      <c r="A453">
        <v>452</v>
      </c>
      <c r="B453" t="s">
        <v>1181</v>
      </c>
      <c r="C453">
        <v>2705</v>
      </c>
      <c r="D453" t="s">
        <v>1182</v>
      </c>
      <c r="E453" t="s">
        <v>252</v>
      </c>
      <c r="F453" t="s">
        <v>220</v>
      </c>
      <c r="G453" t="s">
        <v>1176</v>
      </c>
      <c r="H453" s="4">
        <v>32501</v>
      </c>
      <c r="I453" t="s">
        <v>254</v>
      </c>
    </row>
    <row r="454" spans="1:9" x14ac:dyDescent="0.25">
      <c r="A454">
        <v>453</v>
      </c>
      <c r="B454" t="s">
        <v>1183</v>
      </c>
      <c r="C454">
        <v>2706</v>
      </c>
      <c r="D454" t="s">
        <v>1184</v>
      </c>
      <c r="E454" t="s">
        <v>252</v>
      </c>
      <c r="F454" t="s">
        <v>220</v>
      </c>
      <c r="G454" t="s">
        <v>1176</v>
      </c>
      <c r="H454" s="4">
        <v>33414</v>
      </c>
      <c r="I454" t="s">
        <v>254</v>
      </c>
    </row>
    <row r="455" spans="1:9" x14ac:dyDescent="0.25">
      <c r="A455">
        <v>454</v>
      </c>
      <c r="B455" t="s">
        <v>1185</v>
      </c>
      <c r="C455">
        <v>2707</v>
      </c>
      <c r="D455" t="s">
        <v>1186</v>
      </c>
      <c r="E455" t="s">
        <v>252</v>
      </c>
      <c r="F455" t="s">
        <v>220</v>
      </c>
      <c r="G455" t="s">
        <v>1176</v>
      </c>
      <c r="H455" s="4">
        <v>35863</v>
      </c>
      <c r="I455" t="s">
        <v>254</v>
      </c>
    </row>
    <row r="456" spans="1:9" x14ac:dyDescent="0.25">
      <c r="A456">
        <v>455</v>
      </c>
      <c r="B456" t="s">
        <v>1187</v>
      </c>
      <c r="C456">
        <v>2712</v>
      </c>
      <c r="D456" t="s">
        <v>1188</v>
      </c>
      <c r="E456" t="s">
        <v>252</v>
      </c>
      <c r="F456" t="s">
        <v>220</v>
      </c>
      <c r="G456" t="s">
        <v>1176</v>
      </c>
      <c r="H456" s="4">
        <v>41611</v>
      </c>
      <c r="I456" t="s">
        <v>254</v>
      </c>
    </row>
    <row r="457" spans="1:9" x14ac:dyDescent="0.25">
      <c r="A457">
        <v>456</v>
      </c>
      <c r="B457" t="s">
        <v>1189</v>
      </c>
      <c r="C457">
        <v>2722</v>
      </c>
      <c r="D457" t="s">
        <v>1190</v>
      </c>
      <c r="E457" t="s">
        <v>252</v>
      </c>
      <c r="F457" t="s">
        <v>220</v>
      </c>
      <c r="G457" t="s">
        <v>1176</v>
      </c>
      <c r="H457" s="4">
        <v>40982</v>
      </c>
      <c r="I457" t="s">
        <v>254</v>
      </c>
    </row>
    <row r="458" spans="1:9" x14ac:dyDescent="0.25">
      <c r="A458">
        <v>457</v>
      </c>
      <c r="B458" t="s">
        <v>1191</v>
      </c>
      <c r="C458">
        <v>2723</v>
      </c>
      <c r="D458" t="s">
        <v>1192</v>
      </c>
      <c r="E458" t="s">
        <v>252</v>
      </c>
      <c r="F458" t="s">
        <v>220</v>
      </c>
      <c r="G458" t="s">
        <v>1176</v>
      </c>
      <c r="H458" s="4">
        <v>40504</v>
      </c>
      <c r="I458" t="s">
        <v>254</v>
      </c>
    </row>
    <row r="459" spans="1:9" x14ac:dyDescent="0.25">
      <c r="A459">
        <v>458</v>
      </c>
      <c r="B459" t="s">
        <v>1193</v>
      </c>
      <c r="C459">
        <v>2727</v>
      </c>
      <c r="D459" t="s">
        <v>1194</v>
      </c>
      <c r="E459" t="s">
        <v>252</v>
      </c>
      <c r="F459" t="s">
        <v>220</v>
      </c>
      <c r="G459" t="s">
        <v>1176</v>
      </c>
      <c r="H459" s="4">
        <v>40974</v>
      </c>
      <c r="I459" t="s">
        <v>254</v>
      </c>
    </row>
    <row r="460" spans="1:9" x14ac:dyDescent="0.25">
      <c r="A460">
        <v>459</v>
      </c>
      <c r="B460" t="s">
        <v>1195</v>
      </c>
      <c r="C460">
        <v>2731</v>
      </c>
      <c r="D460" t="s">
        <v>1196</v>
      </c>
      <c r="E460" t="s">
        <v>252</v>
      </c>
      <c r="F460" t="s">
        <v>220</v>
      </c>
      <c r="G460" t="s">
        <v>1176</v>
      </c>
      <c r="H460" s="4">
        <v>41541</v>
      </c>
      <c r="I460" t="s">
        <v>254</v>
      </c>
    </row>
    <row r="461" spans="1:9" x14ac:dyDescent="0.25">
      <c r="A461">
        <v>460</v>
      </c>
      <c r="B461" t="s">
        <v>1197</v>
      </c>
      <c r="C461">
        <v>2739</v>
      </c>
      <c r="D461" t="s">
        <v>1198</v>
      </c>
      <c r="E461" t="s">
        <v>252</v>
      </c>
      <c r="F461" t="s">
        <v>220</v>
      </c>
      <c r="G461" t="s">
        <v>1176</v>
      </c>
      <c r="H461" s="4">
        <v>42509</v>
      </c>
      <c r="I461" t="s">
        <v>254</v>
      </c>
    </row>
    <row r="462" spans="1:9" x14ac:dyDescent="0.25">
      <c r="A462">
        <v>461</v>
      </c>
      <c r="B462" t="s">
        <v>1199</v>
      </c>
      <c r="C462">
        <v>2748</v>
      </c>
      <c r="D462" t="s">
        <v>1200</v>
      </c>
      <c r="E462" t="s">
        <v>252</v>
      </c>
      <c r="F462" t="s">
        <v>220</v>
      </c>
      <c r="G462" t="s">
        <v>1176</v>
      </c>
      <c r="H462" s="4">
        <v>42697</v>
      </c>
      <c r="I462" t="s">
        <v>254</v>
      </c>
    </row>
    <row r="463" spans="1:9" x14ac:dyDescent="0.25">
      <c r="A463">
        <v>462</v>
      </c>
      <c r="B463" t="s">
        <v>1201</v>
      </c>
      <c r="C463">
        <v>2801</v>
      </c>
      <c r="D463" t="s">
        <v>1202</v>
      </c>
      <c r="E463" t="s">
        <v>252</v>
      </c>
      <c r="F463" t="s">
        <v>220</v>
      </c>
      <c r="G463" t="s">
        <v>1203</v>
      </c>
      <c r="H463" s="4">
        <v>22692</v>
      </c>
      <c r="I463" t="s">
        <v>254</v>
      </c>
    </row>
    <row r="464" spans="1:9" x14ac:dyDescent="0.25">
      <c r="A464">
        <v>463</v>
      </c>
      <c r="B464" t="s">
        <v>1204</v>
      </c>
      <c r="C464">
        <v>2809</v>
      </c>
      <c r="D464" t="s">
        <v>1205</v>
      </c>
      <c r="E464" t="s">
        <v>252</v>
      </c>
      <c r="F464" t="s">
        <v>220</v>
      </c>
      <c r="G464" t="s">
        <v>1203</v>
      </c>
      <c r="H464" s="4">
        <v>30517</v>
      </c>
      <c r="I464" t="s">
        <v>254</v>
      </c>
    </row>
    <row r="465" spans="1:9" x14ac:dyDescent="0.25">
      <c r="A465">
        <v>464</v>
      </c>
      <c r="B465" t="s">
        <v>1206</v>
      </c>
      <c r="C465">
        <v>2812</v>
      </c>
      <c r="D465" t="s">
        <v>1207</v>
      </c>
      <c r="E465" t="s">
        <v>252</v>
      </c>
      <c r="F465" t="s">
        <v>220</v>
      </c>
      <c r="G465" t="s">
        <v>1203</v>
      </c>
      <c r="H465" s="4">
        <v>30817</v>
      </c>
      <c r="I465" t="s">
        <v>254</v>
      </c>
    </row>
    <row r="466" spans="1:9" x14ac:dyDescent="0.25">
      <c r="A466">
        <v>465</v>
      </c>
      <c r="B466" t="s">
        <v>1208</v>
      </c>
      <c r="C466">
        <v>2816</v>
      </c>
      <c r="D466" t="s">
        <v>1209</v>
      </c>
      <c r="E466" t="s">
        <v>252</v>
      </c>
      <c r="F466" t="s">
        <v>220</v>
      </c>
      <c r="G466" t="s">
        <v>1203</v>
      </c>
      <c r="H466" s="4">
        <v>33729</v>
      </c>
      <c r="I466" t="s">
        <v>254</v>
      </c>
    </row>
    <row r="467" spans="1:9" x14ac:dyDescent="0.25">
      <c r="A467">
        <v>466</v>
      </c>
      <c r="B467" t="s">
        <v>1210</v>
      </c>
      <c r="C467">
        <v>2820</v>
      </c>
      <c r="D467" t="s">
        <v>1211</v>
      </c>
      <c r="E467" t="s">
        <v>252</v>
      </c>
      <c r="F467" t="s">
        <v>220</v>
      </c>
      <c r="G467" t="s">
        <v>1203</v>
      </c>
      <c r="H467" s="4">
        <v>34633</v>
      </c>
      <c r="I467" t="s">
        <v>254</v>
      </c>
    </row>
    <row r="468" spans="1:9" x14ac:dyDescent="0.25">
      <c r="A468">
        <v>467</v>
      </c>
      <c r="B468" t="s">
        <v>1212</v>
      </c>
      <c r="C468">
        <v>2823</v>
      </c>
      <c r="D468" t="s">
        <v>1213</v>
      </c>
      <c r="E468" t="s">
        <v>252</v>
      </c>
      <c r="F468" t="s">
        <v>220</v>
      </c>
      <c r="G468" t="s">
        <v>1203</v>
      </c>
      <c r="H468" s="4">
        <v>34738</v>
      </c>
      <c r="I468" t="s">
        <v>254</v>
      </c>
    </row>
    <row r="469" spans="1:9" x14ac:dyDescent="0.25">
      <c r="A469">
        <v>468</v>
      </c>
      <c r="B469" t="s">
        <v>1214</v>
      </c>
      <c r="C469">
        <v>2832</v>
      </c>
      <c r="D469" t="s">
        <v>1215</v>
      </c>
      <c r="E469" t="s">
        <v>252</v>
      </c>
      <c r="F469" t="s">
        <v>220</v>
      </c>
      <c r="G469" t="s">
        <v>1203</v>
      </c>
      <c r="H469" s="4">
        <v>35703</v>
      </c>
      <c r="I469" t="s">
        <v>254</v>
      </c>
    </row>
    <row r="470" spans="1:9" x14ac:dyDescent="0.25">
      <c r="A470">
        <v>469</v>
      </c>
      <c r="B470" t="s">
        <v>1216</v>
      </c>
      <c r="C470">
        <v>2834</v>
      </c>
      <c r="D470" t="s">
        <v>1217</v>
      </c>
      <c r="E470" t="s">
        <v>252</v>
      </c>
      <c r="F470" t="s">
        <v>220</v>
      </c>
      <c r="G470" t="s">
        <v>1203</v>
      </c>
      <c r="H470" s="4">
        <v>35798</v>
      </c>
      <c r="I470" t="s">
        <v>254</v>
      </c>
    </row>
    <row r="471" spans="1:9" x14ac:dyDescent="0.25">
      <c r="A471">
        <v>470</v>
      </c>
      <c r="B471" t="s">
        <v>1218</v>
      </c>
      <c r="C471">
        <v>2836</v>
      </c>
      <c r="D471" t="s">
        <v>1219</v>
      </c>
      <c r="E471" t="s">
        <v>252</v>
      </c>
      <c r="F471" t="s">
        <v>220</v>
      </c>
      <c r="G471" t="s">
        <v>1203</v>
      </c>
      <c r="H471" s="4">
        <v>35933</v>
      </c>
      <c r="I471" t="s">
        <v>254</v>
      </c>
    </row>
    <row r="472" spans="1:9" x14ac:dyDescent="0.25">
      <c r="A472">
        <v>471</v>
      </c>
      <c r="B472" t="s">
        <v>1220</v>
      </c>
      <c r="C472">
        <v>2838</v>
      </c>
      <c r="D472" t="s">
        <v>1221</v>
      </c>
      <c r="E472" t="s">
        <v>252</v>
      </c>
      <c r="F472" t="s">
        <v>220</v>
      </c>
      <c r="G472" t="s">
        <v>1203</v>
      </c>
      <c r="H472" s="4">
        <v>35975</v>
      </c>
      <c r="I472" t="s">
        <v>254</v>
      </c>
    </row>
    <row r="473" spans="1:9" x14ac:dyDescent="0.25">
      <c r="A473">
        <v>472</v>
      </c>
      <c r="B473" t="s">
        <v>1222</v>
      </c>
      <c r="C473">
        <v>2841</v>
      </c>
      <c r="D473" t="s">
        <v>1223</v>
      </c>
      <c r="E473" t="s">
        <v>252</v>
      </c>
      <c r="F473" t="s">
        <v>220</v>
      </c>
      <c r="G473" t="s">
        <v>335</v>
      </c>
      <c r="H473" s="4">
        <v>36168</v>
      </c>
      <c r="I473" t="s">
        <v>254</v>
      </c>
    </row>
    <row r="474" spans="1:9" x14ac:dyDescent="0.25">
      <c r="A474">
        <v>473</v>
      </c>
      <c r="B474" t="s">
        <v>1224</v>
      </c>
      <c r="C474">
        <v>2845</v>
      </c>
      <c r="D474" t="s">
        <v>1225</v>
      </c>
      <c r="E474" t="s">
        <v>252</v>
      </c>
      <c r="F474" t="s">
        <v>220</v>
      </c>
      <c r="G474" t="s">
        <v>1203</v>
      </c>
      <c r="H474" s="4">
        <v>36126</v>
      </c>
      <c r="I474" t="s">
        <v>254</v>
      </c>
    </row>
    <row r="475" spans="1:9" x14ac:dyDescent="0.25">
      <c r="A475">
        <v>474</v>
      </c>
      <c r="B475" t="s">
        <v>1226</v>
      </c>
      <c r="C475">
        <v>2849</v>
      </c>
      <c r="D475" t="s">
        <v>1227</v>
      </c>
      <c r="E475" t="s">
        <v>252</v>
      </c>
      <c r="F475" t="s">
        <v>220</v>
      </c>
      <c r="G475" t="s">
        <v>1203</v>
      </c>
      <c r="H475" s="4">
        <v>36430</v>
      </c>
      <c r="I475" t="s">
        <v>254</v>
      </c>
    </row>
    <row r="476" spans="1:9" x14ac:dyDescent="0.25">
      <c r="A476">
        <v>475</v>
      </c>
      <c r="B476" t="s">
        <v>1228</v>
      </c>
      <c r="C476">
        <v>2850</v>
      </c>
      <c r="D476" t="s">
        <v>1229</v>
      </c>
      <c r="E476" t="s">
        <v>252</v>
      </c>
      <c r="F476" t="s">
        <v>220</v>
      </c>
      <c r="G476" t="s">
        <v>1203</v>
      </c>
      <c r="H476" s="4">
        <v>36668</v>
      </c>
      <c r="I476" t="s">
        <v>254</v>
      </c>
    </row>
    <row r="477" spans="1:9" x14ac:dyDescent="0.25">
      <c r="A477">
        <v>476</v>
      </c>
      <c r="B477" t="s">
        <v>1230</v>
      </c>
      <c r="C477">
        <v>2851</v>
      </c>
      <c r="D477" t="s">
        <v>1231</v>
      </c>
      <c r="E477" t="s">
        <v>252</v>
      </c>
      <c r="F477" t="s">
        <v>220</v>
      </c>
      <c r="G477" t="s">
        <v>1203</v>
      </c>
      <c r="H477" s="4">
        <v>36713</v>
      </c>
      <c r="I477" t="s">
        <v>254</v>
      </c>
    </row>
    <row r="478" spans="1:9" x14ac:dyDescent="0.25">
      <c r="A478">
        <v>477</v>
      </c>
      <c r="B478" t="s">
        <v>1232</v>
      </c>
      <c r="C478">
        <v>2852</v>
      </c>
      <c r="D478" t="s">
        <v>1233</v>
      </c>
      <c r="E478" t="s">
        <v>252</v>
      </c>
      <c r="F478" t="s">
        <v>220</v>
      </c>
      <c r="G478" t="s">
        <v>1203</v>
      </c>
      <c r="H478" s="4">
        <v>36858</v>
      </c>
      <c r="I478" t="s">
        <v>254</v>
      </c>
    </row>
    <row r="479" spans="1:9" x14ac:dyDescent="0.25">
      <c r="A479">
        <v>478</v>
      </c>
      <c r="B479" t="s">
        <v>1234</v>
      </c>
      <c r="C479">
        <v>2855</v>
      </c>
      <c r="D479" t="s">
        <v>1235</v>
      </c>
      <c r="E479" t="s">
        <v>252</v>
      </c>
      <c r="F479" t="s">
        <v>220</v>
      </c>
      <c r="G479" t="s">
        <v>1203</v>
      </c>
      <c r="H479" s="4">
        <v>37515</v>
      </c>
      <c r="I479" t="s">
        <v>254</v>
      </c>
    </row>
    <row r="480" spans="1:9" x14ac:dyDescent="0.25">
      <c r="A480">
        <v>479</v>
      </c>
      <c r="B480" t="s">
        <v>1236</v>
      </c>
      <c r="C480">
        <v>2867</v>
      </c>
      <c r="D480" t="s">
        <v>1237</v>
      </c>
      <c r="E480" t="s">
        <v>252</v>
      </c>
      <c r="F480" t="s">
        <v>220</v>
      </c>
      <c r="G480" t="s">
        <v>1203</v>
      </c>
      <c r="H480" s="4">
        <v>41261</v>
      </c>
      <c r="I480" t="s">
        <v>254</v>
      </c>
    </row>
    <row r="481" spans="1:9" x14ac:dyDescent="0.25">
      <c r="A481">
        <v>480</v>
      </c>
      <c r="B481" t="s">
        <v>1238</v>
      </c>
      <c r="C481">
        <v>2880</v>
      </c>
      <c r="D481" t="s">
        <v>1239</v>
      </c>
      <c r="E481" t="s">
        <v>252</v>
      </c>
      <c r="F481" t="s">
        <v>220</v>
      </c>
      <c r="G481" t="s">
        <v>1203</v>
      </c>
      <c r="H481" s="4">
        <v>37244</v>
      </c>
      <c r="I481" t="s">
        <v>254</v>
      </c>
    </row>
    <row r="482" spans="1:9" x14ac:dyDescent="0.25">
      <c r="A482">
        <v>481</v>
      </c>
      <c r="B482" t="s">
        <v>1240</v>
      </c>
      <c r="C482">
        <v>2881</v>
      </c>
      <c r="D482" t="s">
        <v>1241</v>
      </c>
      <c r="E482" t="s">
        <v>252</v>
      </c>
      <c r="F482" t="s">
        <v>220</v>
      </c>
      <c r="G482" t="s">
        <v>1203</v>
      </c>
      <c r="H482" s="4">
        <v>37244</v>
      </c>
      <c r="I482" t="s">
        <v>254</v>
      </c>
    </row>
    <row r="483" spans="1:9" x14ac:dyDescent="0.25">
      <c r="A483">
        <v>482</v>
      </c>
      <c r="B483" t="s">
        <v>1242</v>
      </c>
      <c r="C483">
        <v>2882</v>
      </c>
      <c r="D483" t="s">
        <v>1243</v>
      </c>
      <c r="E483" t="s">
        <v>252</v>
      </c>
      <c r="F483" t="s">
        <v>220</v>
      </c>
      <c r="G483" t="s">
        <v>1203</v>
      </c>
      <c r="H483" s="4">
        <v>37256</v>
      </c>
      <c r="I483" t="s">
        <v>254</v>
      </c>
    </row>
    <row r="484" spans="1:9" x14ac:dyDescent="0.25">
      <c r="A484">
        <v>483</v>
      </c>
      <c r="B484" t="s">
        <v>1244</v>
      </c>
      <c r="C484">
        <v>2883</v>
      </c>
      <c r="D484" t="s">
        <v>1245</v>
      </c>
      <c r="E484" t="s">
        <v>252</v>
      </c>
      <c r="F484" t="s">
        <v>220</v>
      </c>
      <c r="G484" t="s">
        <v>1203</v>
      </c>
      <c r="H484" s="4">
        <v>37253</v>
      </c>
      <c r="I484" t="s">
        <v>254</v>
      </c>
    </row>
    <row r="485" spans="1:9" x14ac:dyDescent="0.25">
      <c r="A485">
        <v>484</v>
      </c>
      <c r="B485" t="s">
        <v>1246</v>
      </c>
      <c r="C485">
        <v>2884</v>
      </c>
      <c r="D485" t="s">
        <v>1247</v>
      </c>
      <c r="E485" t="s">
        <v>252</v>
      </c>
      <c r="F485" t="s">
        <v>220</v>
      </c>
      <c r="G485" t="s">
        <v>1203</v>
      </c>
      <c r="H485" s="4">
        <v>37284</v>
      </c>
      <c r="I485" t="s">
        <v>254</v>
      </c>
    </row>
    <row r="486" spans="1:9" x14ac:dyDescent="0.25">
      <c r="A486">
        <v>485</v>
      </c>
      <c r="B486" t="s">
        <v>1248</v>
      </c>
      <c r="C486">
        <v>2885</v>
      </c>
      <c r="D486" t="s">
        <v>1249</v>
      </c>
      <c r="E486" t="s">
        <v>252</v>
      </c>
      <c r="F486" t="s">
        <v>220</v>
      </c>
      <c r="G486" t="s">
        <v>1203</v>
      </c>
      <c r="H486" s="4">
        <v>37291</v>
      </c>
      <c r="I486" t="s">
        <v>254</v>
      </c>
    </row>
    <row r="487" spans="1:9" x14ac:dyDescent="0.25">
      <c r="A487">
        <v>486</v>
      </c>
      <c r="B487" t="s">
        <v>1250</v>
      </c>
      <c r="C487">
        <v>2886</v>
      </c>
      <c r="D487" t="s">
        <v>1251</v>
      </c>
      <c r="E487" t="s">
        <v>252</v>
      </c>
      <c r="F487" t="s">
        <v>220</v>
      </c>
      <c r="G487" t="s">
        <v>1203</v>
      </c>
      <c r="H487" s="4">
        <v>37291</v>
      </c>
      <c r="I487" t="s">
        <v>254</v>
      </c>
    </row>
    <row r="488" spans="1:9" x14ac:dyDescent="0.25">
      <c r="A488">
        <v>487</v>
      </c>
      <c r="B488" t="s">
        <v>1252</v>
      </c>
      <c r="C488">
        <v>2887</v>
      </c>
      <c r="D488" t="s">
        <v>1253</v>
      </c>
      <c r="E488" t="s">
        <v>252</v>
      </c>
      <c r="F488" t="s">
        <v>220</v>
      </c>
      <c r="G488" t="s">
        <v>1203</v>
      </c>
      <c r="H488" s="4">
        <v>37305</v>
      </c>
      <c r="I488" t="s">
        <v>254</v>
      </c>
    </row>
    <row r="489" spans="1:9" x14ac:dyDescent="0.25">
      <c r="A489">
        <v>488</v>
      </c>
      <c r="B489" t="s">
        <v>1254</v>
      </c>
      <c r="C489">
        <v>2888</v>
      </c>
      <c r="D489" t="s">
        <v>1255</v>
      </c>
      <c r="E489" t="s">
        <v>252</v>
      </c>
      <c r="F489" t="s">
        <v>220</v>
      </c>
      <c r="G489" t="s">
        <v>1203</v>
      </c>
      <c r="H489" s="4">
        <v>37306</v>
      </c>
      <c r="I489" t="s">
        <v>254</v>
      </c>
    </row>
    <row r="490" spans="1:9" x14ac:dyDescent="0.25">
      <c r="A490">
        <v>489</v>
      </c>
      <c r="B490" t="s">
        <v>1256</v>
      </c>
      <c r="C490">
        <v>2889</v>
      </c>
      <c r="D490" t="s">
        <v>1257</v>
      </c>
      <c r="E490" t="s">
        <v>252</v>
      </c>
      <c r="F490" t="s">
        <v>220</v>
      </c>
      <c r="G490" t="s">
        <v>1203</v>
      </c>
      <c r="H490" s="4">
        <v>37341</v>
      </c>
      <c r="I490" t="s">
        <v>254</v>
      </c>
    </row>
    <row r="491" spans="1:9" x14ac:dyDescent="0.25">
      <c r="A491">
        <v>490</v>
      </c>
      <c r="B491" t="s">
        <v>1258</v>
      </c>
      <c r="C491">
        <v>2890</v>
      </c>
      <c r="D491" t="s">
        <v>1259</v>
      </c>
      <c r="E491" t="s">
        <v>252</v>
      </c>
      <c r="F491" t="s">
        <v>220</v>
      </c>
      <c r="G491" t="s">
        <v>1203</v>
      </c>
      <c r="H491" s="4">
        <v>37385</v>
      </c>
      <c r="I491" t="s">
        <v>254</v>
      </c>
    </row>
    <row r="492" spans="1:9" x14ac:dyDescent="0.25">
      <c r="A492">
        <v>491</v>
      </c>
      <c r="B492" t="s">
        <v>1260</v>
      </c>
      <c r="C492">
        <v>2891</v>
      </c>
      <c r="D492" t="s">
        <v>1261</v>
      </c>
      <c r="E492" t="s">
        <v>252</v>
      </c>
      <c r="F492" t="s">
        <v>220</v>
      </c>
      <c r="G492" t="s">
        <v>1203</v>
      </c>
      <c r="H492" s="4">
        <v>37393</v>
      </c>
      <c r="I492" t="s">
        <v>254</v>
      </c>
    </row>
    <row r="493" spans="1:9" x14ac:dyDescent="0.25">
      <c r="A493">
        <v>492</v>
      </c>
      <c r="B493" t="s">
        <v>1262</v>
      </c>
      <c r="C493">
        <v>2892</v>
      </c>
      <c r="D493" t="s">
        <v>1263</v>
      </c>
      <c r="E493" t="s">
        <v>252</v>
      </c>
      <c r="F493" t="s">
        <v>220</v>
      </c>
      <c r="G493" t="s">
        <v>1203</v>
      </c>
      <c r="H493" s="4">
        <v>37623</v>
      </c>
      <c r="I493" t="s">
        <v>254</v>
      </c>
    </row>
    <row r="494" spans="1:9" x14ac:dyDescent="0.25">
      <c r="A494">
        <v>493</v>
      </c>
      <c r="B494" t="s">
        <v>1264</v>
      </c>
      <c r="C494">
        <v>2897</v>
      </c>
      <c r="D494" t="s">
        <v>1265</v>
      </c>
      <c r="E494" t="s">
        <v>252</v>
      </c>
      <c r="F494" t="s">
        <v>220</v>
      </c>
      <c r="G494" t="s">
        <v>1203</v>
      </c>
      <c r="H494" s="4">
        <v>42860</v>
      </c>
      <c r="I494" t="s">
        <v>254</v>
      </c>
    </row>
    <row r="495" spans="1:9" x14ac:dyDescent="0.25">
      <c r="A495">
        <v>494</v>
      </c>
      <c r="B495" t="s">
        <v>1266</v>
      </c>
      <c r="C495">
        <v>2901</v>
      </c>
      <c r="D495" t="s">
        <v>1267</v>
      </c>
      <c r="E495" t="s">
        <v>252</v>
      </c>
      <c r="F495" t="s">
        <v>220</v>
      </c>
      <c r="G495" t="s">
        <v>385</v>
      </c>
      <c r="H495" s="4">
        <v>27887</v>
      </c>
      <c r="I495" t="s">
        <v>254</v>
      </c>
    </row>
    <row r="496" spans="1:9" x14ac:dyDescent="0.25">
      <c r="A496">
        <v>495</v>
      </c>
      <c r="B496" t="s">
        <v>1268</v>
      </c>
      <c r="C496">
        <v>2903</v>
      </c>
      <c r="D496" t="s">
        <v>1269</v>
      </c>
      <c r="E496" t="s">
        <v>252</v>
      </c>
      <c r="F496" t="s">
        <v>220</v>
      </c>
      <c r="G496" t="s">
        <v>385</v>
      </c>
      <c r="H496" s="4">
        <v>28774</v>
      </c>
      <c r="I496" t="s">
        <v>254</v>
      </c>
    </row>
    <row r="497" spans="1:9" x14ac:dyDescent="0.25">
      <c r="A497">
        <v>496</v>
      </c>
      <c r="B497" t="s">
        <v>1270</v>
      </c>
      <c r="C497">
        <v>2904</v>
      </c>
      <c r="D497" t="s">
        <v>1271</v>
      </c>
      <c r="E497" t="s">
        <v>252</v>
      </c>
      <c r="F497" t="s">
        <v>220</v>
      </c>
      <c r="G497" t="s">
        <v>361</v>
      </c>
      <c r="H497" s="4">
        <v>30321</v>
      </c>
      <c r="I497" t="s">
        <v>254</v>
      </c>
    </row>
    <row r="498" spans="1:9" x14ac:dyDescent="0.25">
      <c r="A498">
        <v>497</v>
      </c>
      <c r="B498" t="s">
        <v>1272</v>
      </c>
      <c r="C498">
        <v>2905</v>
      </c>
      <c r="D498" t="s">
        <v>1273</v>
      </c>
      <c r="E498" t="s">
        <v>252</v>
      </c>
      <c r="F498" t="s">
        <v>220</v>
      </c>
      <c r="G498" t="s">
        <v>385</v>
      </c>
      <c r="H498" s="4">
        <v>32405</v>
      </c>
      <c r="I498" t="s">
        <v>254</v>
      </c>
    </row>
    <row r="499" spans="1:9" x14ac:dyDescent="0.25">
      <c r="A499">
        <v>498</v>
      </c>
      <c r="B499" t="s">
        <v>1274</v>
      </c>
      <c r="C499">
        <v>2906</v>
      </c>
      <c r="D499" t="s">
        <v>1275</v>
      </c>
      <c r="E499" t="s">
        <v>252</v>
      </c>
      <c r="F499" t="s">
        <v>220</v>
      </c>
      <c r="G499" t="s">
        <v>385</v>
      </c>
      <c r="H499" s="4">
        <v>32868</v>
      </c>
      <c r="I499" t="s">
        <v>254</v>
      </c>
    </row>
    <row r="500" spans="1:9" x14ac:dyDescent="0.25">
      <c r="A500">
        <v>499</v>
      </c>
      <c r="B500" t="s">
        <v>1276</v>
      </c>
      <c r="C500">
        <v>2908</v>
      </c>
      <c r="D500" t="s">
        <v>1277</v>
      </c>
      <c r="E500" t="s">
        <v>252</v>
      </c>
      <c r="F500" t="s">
        <v>220</v>
      </c>
      <c r="G500" t="s">
        <v>385</v>
      </c>
      <c r="H500" s="4">
        <v>34018</v>
      </c>
      <c r="I500" t="s">
        <v>254</v>
      </c>
    </row>
    <row r="501" spans="1:9" x14ac:dyDescent="0.25">
      <c r="A501">
        <v>500</v>
      </c>
      <c r="B501" t="s">
        <v>1278</v>
      </c>
      <c r="C501">
        <v>2910</v>
      </c>
      <c r="D501" t="s">
        <v>1279</v>
      </c>
      <c r="E501" t="s">
        <v>252</v>
      </c>
      <c r="F501" t="s">
        <v>220</v>
      </c>
      <c r="G501" t="s">
        <v>385</v>
      </c>
      <c r="H501" s="4">
        <v>35429</v>
      </c>
      <c r="I501" t="s">
        <v>254</v>
      </c>
    </row>
    <row r="502" spans="1:9" x14ac:dyDescent="0.25">
      <c r="A502">
        <v>501</v>
      </c>
      <c r="B502" t="s">
        <v>1280</v>
      </c>
      <c r="C502">
        <v>2911</v>
      </c>
      <c r="D502" t="s">
        <v>1281</v>
      </c>
      <c r="E502" t="s">
        <v>252</v>
      </c>
      <c r="F502" t="s">
        <v>220</v>
      </c>
      <c r="G502" t="s">
        <v>385</v>
      </c>
      <c r="H502" s="4">
        <v>35448</v>
      </c>
      <c r="I502" t="s">
        <v>254</v>
      </c>
    </row>
    <row r="503" spans="1:9" x14ac:dyDescent="0.25">
      <c r="A503">
        <v>502</v>
      </c>
      <c r="B503" t="s">
        <v>1282</v>
      </c>
      <c r="C503">
        <v>2912</v>
      </c>
      <c r="D503" t="s">
        <v>1283</v>
      </c>
      <c r="E503" t="s">
        <v>252</v>
      </c>
      <c r="F503" t="s">
        <v>220</v>
      </c>
      <c r="G503" t="s">
        <v>385</v>
      </c>
      <c r="H503" s="4">
        <v>35664</v>
      </c>
      <c r="I503" t="s">
        <v>254</v>
      </c>
    </row>
    <row r="504" spans="1:9" x14ac:dyDescent="0.25">
      <c r="A504">
        <v>503</v>
      </c>
      <c r="B504" t="s">
        <v>1284</v>
      </c>
      <c r="C504">
        <v>2913</v>
      </c>
      <c r="D504" t="s">
        <v>1285</v>
      </c>
      <c r="E504" t="s">
        <v>252</v>
      </c>
      <c r="F504" t="s">
        <v>220</v>
      </c>
      <c r="G504" t="s">
        <v>385</v>
      </c>
      <c r="H504" s="4">
        <v>22686</v>
      </c>
      <c r="I504" t="s">
        <v>254</v>
      </c>
    </row>
    <row r="505" spans="1:9" x14ac:dyDescent="0.25">
      <c r="A505">
        <v>504</v>
      </c>
      <c r="B505" t="s">
        <v>1286</v>
      </c>
      <c r="C505">
        <v>2915</v>
      </c>
      <c r="D505" t="s">
        <v>1287</v>
      </c>
      <c r="E505" t="s">
        <v>252</v>
      </c>
      <c r="F505" t="s">
        <v>220</v>
      </c>
      <c r="G505" t="s">
        <v>385</v>
      </c>
      <c r="H505" s="4">
        <v>28326</v>
      </c>
      <c r="I505" t="s">
        <v>254</v>
      </c>
    </row>
    <row r="506" spans="1:9" x14ac:dyDescent="0.25">
      <c r="A506">
        <v>505</v>
      </c>
      <c r="B506" t="s">
        <v>1288</v>
      </c>
      <c r="C506">
        <v>2923</v>
      </c>
      <c r="D506" t="s">
        <v>1289</v>
      </c>
      <c r="E506" t="s">
        <v>252</v>
      </c>
      <c r="F506" t="s">
        <v>220</v>
      </c>
      <c r="G506" t="s">
        <v>335</v>
      </c>
      <c r="H506" s="4">
        <v>41250</v>
      </c>
      <c r="I506" t="s">
        <v>254</v>
      </c>
    </row>
    <row r="507" spans="1:9" x14ac:dyDescent="0.25">
      <c r="A507">
        <v>506</v>
      </c>
      <c r="B507" t="s">
        <v>1290</v>
      </c>
      <c r="C507">
        <v>2929</v>
      </c>
      <c r="D507" t="s">
        <v>1291</v>
      </c>
      <c r="E507" t="s">
        <v>252</v>
      </c>
      <c r="F507" t="s">
        <v>220</v>
      </c>
      <c r="G507" t="s">
        <v>385</v>
      </c>
      <c r="H507" s="4">
        <v>41638</v>
      </c>
      <c r="I507" t="s">
        <v>254</v>
      </c>
    </row>
    <row r="508" spans="1:9" x14ac:dyDescent="0.25">
      <c r="A508">
        <v>507</v>
      </c>
      <c r="B508" t="s">
        <v>1292</v>
      </c>
      <c r="C508">
        <v>2936</v>
      </c>
      <c r="D508" t="s">
        <v>1293</v>
      </c>
      <c r="E508" t="s">
        <v>252</v>
      </c>
      <c r="F508" t="s">
        <v>220</v>
      </c>
      <c r="G508" t="s">
        <v>385</v>
      </c>
      <c r="H508" s="4">
        <v>42639</v>
      </c>
      <c r="I508" t="s">
        <v>254</v>
      </c>
    </row>
    <row r="509" spans="1:9" x14ac:dyDescent="0.25">
      <c r="A509">
        <v>508</v>
      </c>
      <c r="B509" t="s">
        <v>1294</v>
      </c>
      <c r="C509">
        <v>2939</v>
      </c>
      <c r="D509" t="s">
        <v>1295</v>
      </c>
      <c r="E509" t="s">
        <v>252</v>
      </c>
      <c r="F509" t="s">
        <v>220</v>
      </c>
      <c r="G509" t="s">
        <v>385</v>
      </c>
      <c r="H509" s="4">
        <v>43111</v>
      </c>
      <c r="I509" t="s">
        <v>254</v>
      </c>
    </row>
    <row r="510" spans="1:9" x14ac:dyDescent="0.25">
      <c r="A510">
        <v>509</v>
      </c>
      <c r="B510" t="s">
        <v>1296</v>
      </c>
      <c r="C510">
        <v>3002</v>
      </c>
      <c r="D510" t="s">
        <v>1297</v>
      </c>
      <c r="E510" t="s">
        <v>252</v>
      </c>
      <c r="F510" t="s">
        <v>220</v>
      </c>
      <c r="G510" t="s">
        <v>792</v>
      </c>
      <c r="H510" s="4">
        <v>37279</v>
      </c>
      <c r="I510" t="s">
        <v>254</v>
      </c>
    </row>
    <row r="511" spans="1:9" x14ac:dyDescent="0.25">
      <c r="A511">
        <v>510</v>
      </c>
      <c r="B511" t="s">
        <v>1298</v>
      </c>
      <c r="C511">
        <v>3003</v>
      </c>
      <c r="D511" t="s">
        <v>1299</v>
      </c>
      <c r="E511" t="s">
        <v>252</v>
      </c>
      <c r="F511" t="s">
        <v>220</v>
      </c>
      <c r="G511" t="s">
        <v>450</v>
      </c>
      <c r="H511" s="4">
        <v>37306</v>
      </c>
      <c r="I511" t="s">
        <v>254</v>
      </c>
    </row>
    <row r="512" spans="1:9" x14ac:dyDescent="0.25">
      <c r="A512">
        <v>511</v>
      </c>
      <c r="B512" t="s">
        <v>1300</v>
      </c>
      <c r="C512">
        <v>3004</v>
      </c>
      <c r="D512" t="s">
        <v>1301</v>
      </c>
      <c r="E512" t="s">
        <v>252</v>
      </c>
      <c r="F512" t="s">
        <v>220</v>
      </c>
      <c r="G512" t="s">
        <v>677</v>
      </c>
      <c r="H512" s="4">
        <v>37312</v>
      </c>
      <c r="I512" t="s">
        <v>254</v>
      </c>
    </row>
    <row r="513" spans="1:9" x14ac:dyDescent="0.25">
      <c r="A513">
        <v>512</v>
      </c>
      <c r="B513" t="s">
        <v>1302</v>
      </c>
      <c r="C513">
        <v>3005</v>
      </c>
      <c r="D513" t="s">
        <v>1303</v>
      </c>
      <c r="E513" t="s">
        <v>252</v>
      </c>
      <c r="F513" t="s">
        <v>220</v>
      </c>
      <c r="G513" t="s">
        <v>792</v>
      </c>
      <c r="H513" s="4">
        <v>37312</v>
      </c>
      <c r="I513" t="s">
        <v>254</v>
      </c>
    </row>
    <row r="514" spans="1:9" x14ac:dyDescent="0.25">
      <c r="A514">
        <v>513</v>
      </c>
      <c r="B514" t="s">
        <v>1304</v>
      </c>
      <c r="C514">
        <v>3006</v>
      </c>
      <c r="D514" t="s">
        <v>1305</v>
      </c>
      <c r="E514" t="s">
        <v>252</v>
      </c>
      <c r="F514" t="s">
        <v>220</v>
      </c>
      <c r="G514" t="s">
        <v>795</v>
      </c>
      <c r="H514" s="4">
        <v>37319</v>
      </c>
      <c r="I514" t="s">
        <v>254</v>
      </c>
    </row>
    <row r="515" spans="1:9" x14ac:dyDescent="0.25">
      <c r="A515">
        <v>514</v>
      </c>
      <c r="B515" t="s">
        <v>1306</v>
      </c>
      <c r="C515">
        <v>3008</v>
      </c>
      <c r="D515" t="s">
        <v>1307</v>
      </c>
      <c r="E515" t="s">
        <v>252</v>
      </c>
      <c r="F515" t="s">
        <v>220</v>
      </c>
      <c r="G515" t="s">
        <v>818</v>
      </c>
      <c r="H515" s="4">
        <v>37326</v>
      </c>
      <c r="I515" t="s">
        <v>254</v>
      </c>
    </row>
    <row r="516" spans="1:9" x14ac:dyDescent="0.25">
      <c r="A516">
        <v>515</v>
      </c>
      <c r="B516" t="s">
        <v>1308</v>
      </c>
      <c r="C516">
        <v>3010</v>
      </c>
      <c r="D516" t="s">
        <v>1309</v>
      </c>
      <c r="E516" t="s">
        <v>252</v>
      </c>
      <c r="F516" t="s">
        <v>220</v>
      </c>
      <c r="G516" t="s">
        <v>847</v>
      </c>
      <c r="H516" s="4">
        <v>37459</v>
      </c>
      <c r="I516" t="s">
        <v>254</v>
      </c>
    </row>
    <row r="517" spans="1:9" x14ac:dyDescent="0.25">
      <c r="A517">
        <v>516</v>
      </c>
      <c r="B517" t="s">
        <v>1310</v>
      </c>
      <c r="C517">
        <v>3011</v>
      </c>
      <c r="D517" t="s">
        <v>1311</v>
      </c>
      <c r="E517" t="s">
        <v>252</v>
      </c>
      <c r="F517" t="s">
        <v>220</v>
      </c>
      <c r="G517" t="s">
        <v>450</v>
      </c>
      <c r="H517" s="4">
        <v>37459</v>
      </c>
      <c r="I517" t="s">
        <v>254</v>
      </c>
    </row>
    <row r="518" spans="1:9" x14ac:dyDescent="0.25">
      <c r="A518">
        <v>517</v>
      </c>
      <c r="B518" t="s">
        <v>1312</v>
      </c>
      <c r="C518">
        <v>3013</v>
      </c>
      <c r="D518" t="s">
        <v>1313</v>
      </c>
      <c r="E518" t="s">
        <v>252</v>
      </c>
      <c r="F518" t="s">
        <v>220</v>
      </c>
      <c r="G518" t="s">
        <v>792</v>
      </c>
      <c r="H518" s="4">
        <v>37515</v>
      </c>
      <c r="I518" t="s">
        <v>254</v>
      </c>
    </row>
    <row r="519" spans="1:9" x14ac:dyDescent="0.25">
      <c r="A519">
        <v>518</v>
      </c>
      <c r="B519" t="s">
        <v>1314</v>
      </c>
      <c r="C519">
        <v>3014</v>
      </c>
      <c r="D519" t="s">
        <v>1315</v>
      </c>
      <c r="E519" t="s">
        <v>252</v>
      </c>
      <c r="F519" t="s">
        <v>220</v>
      </c>
      <c r="G519" t="s">
        <v>795</v>
      </c>
      <c r="H519" s="4">
        <v>37558</v>
      </c>
      <c r="I519" t="s">
        <v>254</v>
      </c>
    </row>
    <row r="520" spans="1:9" x14ac:dyDescent="0.25">
      <c r="A520">
        <v>519</v>
      </c>
      <c r="B520" t="s">
        <v>1316</v>
      </c>
      <c r="C520">
        <v>3015</v>
      </c>
      <c r="D520" t="s">
        <v>1317</v>
      </c>
      <c r="E520" t="s">
        <v>252</v>
      </c>
      <c r="F520" t="s">
        <v>220</v>
      </c>
      <c r="G520" t="s">
        <v>450</v>
      </c>
      <c r="H520" s="4">
        <v>37545</v>
      </c>
      <c r="I520" t="s">
        <v>254</v>
      </c>
    </row>
    <row r="521" spans="1:9" x14ac:dyDescent="0.25">
      <c r="A521">
        <v>520</v>
      </c>
      <c r="B521" t="s">
        <v>1318</v>
      </c>
      <c r="C521">
        <v>3016</v>
      </c>
      <c r="D521" t="s">
        <v>1319</v>
      </c>
      <c r="E521" t="s">
        <v>252</v>
      </c>
      <c r="F521" t="s">
        <v>220</v>
      </c>
      <c r="G521" t="s">
        <v>795</v>
      </c>
      <c r="H521" s="4">
        <v>37614</v>
      </c>
      <c r="I521" t="s">
        <v>254</v>
      </c>
    </row>
    <row r="522" spans="1:9" x14ac:dyDescent="0.25">
      <c r="A522">
        <v>521</v>
      </c>
      <c r="B522" t="s">
        <v>1320</v>
      </c>
      <c r="C522">
        <v>3017</v>
      </c>
      <c r="D522" t="s">
        <v>1321</v>
      </c>
      <c r="E522" t="s">
        <v>252</v>
      </c>
      <c r="F522" t="s">
        <v>220</v>
      </c>
      <c r="G522" t="s">
        <v>792</v>
      </c>
      <c r="H522" s="4">
        <v>37526</v>
      </c>
      <c r="I522" t="s">
        <v>254</v>
      </c>
    </row>
    <row r="523" spans="1:9" x14ac:dyDescent="0.25">
      <c r="A523">
        <v>522</v>
      </c>
      <c r="B523" t="s">
        <v>1322</v>
      </c>
      <c r="C523">
        <v>3018</v>
      </c>
      <c r="D523" t="s">
        <v>1323</v>
      </c>
      <c r="E523" t="s">
        <v>252</v>
      </c>
      <c r="F523" t="s">
        <v>220</v>
      </c>
      <c r="G523" t="s">
        <v>804</v>
      </c>
      <c r="H523" s="4">
        <v>37494</v>
      </c>
      <c r="I523" t="s">
        <v>254</v>
      </c>
    </row>
    <row r="524" spans="1:9" x14ac:dyDescent="0.25">
      <c r="A524">
        <v>523</v>
      </c>
      <c r="B524" t="s">
        <v>1324</v>
      </c>
      <c r="C524">
        <v>3019</v>
      </c>
      <c r="D524" t="s">
        <v>1325</v>
      </c>
      <c r="E524" t="s">
        <v>252</v>
      </c>
      <c r="F524" t="s">
        <v>220</v>
      </c>
      <c r="G524" t="s">
        <v>818</v>
      </c>
      <c r="H524" s="4">
        <v>37494</v>
      </c>
      <c r="I524" t="s">
        <v>254</v>
      </c>
    </row>
    <row r="525" spans="1:9" x14ac:dyDescent="0.25">
      <c r="A525">
        <v>524</v>
      </c>
      <c r="B525" t="s">
        <v>1326</v>
      </c>
      <c r="C525">
        <v>3021</v>
      </c>
      <c r="D525" t="s">
        <v>1327</v>
      </c>
      <c r="E525" t="s">
        <v>252</v>
      </c>
      <c r="F525" t="s">
        <v>220</v>
      </c>
      <c r="G525" t="s">
        <v>450</v>
      </c>
      <c r="H525" s="4">
        <v>37494</v>
      </c>
      <c r="I525" t="s">
        <v>254</v>
      </c>
    </row>
    <row r="526" spans="1:9" x14ac:dyDescent="0.25">
      <c r="A526">
        <v>525</v>
      </c>
      <c r="B526" t="s">
        <v>1328</v>
      </c>
      <c r="C526">
        <v>3022</v>
      </c>
      <c r="D526" t="s">
        <v>1329</v>
      </c>
      <c r="E526" t="s">
        <v>252</v>
      </c>
      <c r="F526" t="s">
        <v>220</v>
      </c>
      <c r="G526" t="s">
        <v>792</v>
      </c>
      <c r="H526" s="4">
        <v>37494</v>
      </c>
      <c r="I526" t="s">
        <v>254</v>
      </c>
    </row>
    <row r="527" spans="1:9" x14ac:dyDescent="0.25">
      <c r="A527">
        <v>526</v>
      </c>
      <c r="B527" t="s">
        <v>1330</v>
      </c>
      <c r="C527">
        <v>3023</v>
      </c>
      <c r="D527" t="s">
        <v>1331</v>
      </c>
      <c r="E527" t="s">
        <v>252</v>
      </c>
      <c r="F527" t="s">
        <v>220</v>
      </c>
      <c r="G527" t="s">
        <v>450</v>
      </c>
      <c r="H527" s="4">
        <v>37494</v>
      </c>
      <c r="I527" t="s">
        <v>254</v>
      </c>
    </row>
    <row r="528" spans="1:9" x14ac:dyDescent="0.25">
      <c r="A528">
        <v>527</v>
      </c>
      <c r="B528" t="s">
        <v>1332</v>
      </c>
      <c r="C528">
        <v>3024</v>
      </c>
      <c r="D528" t="s">
        <v>1333</v>
      </c>
      <c r="E528" t="s">
        <v>252</v>
      </c>
      <c r="F528" t="s">
        <v>220</v>
      </c>
      <c r="G528" t="s">
        <v>818</v>
      </c>
      <c r="H528" s="4">
        <v>37494</v>
      </c>
      <c r="I528" t="s">
        <v>254</v>
      </c>
    </row>
    <row r="529" spans="1:9" x14ac:dyDescent="0.25">
      <c r="A529">
        <v>528</v>
      </c>
      <c r="B529" t="s">
        <v>1334</v>
      </c>
      <c r="C529">
        <v>3025</v>
      </c>
      <c r="D529" t="s">
        <v>1335</v>
      </c>
      <c r="E529" t="s">
        <v>252</v>
      </c>
      <c r="F529" t="s">
        <v>220</v>
      </c>
      <c r="G529" t="s">
        <v>809</v>
      </c>
      <c r="H529" s="4">
        <v>37494</v>
      </c>
      <c r="I529" t="s">
        <v>254</v>
      </c>
    </row>
    <row r="530" spans="1:9" x14ac:dyDescent="0.25">
      <c r="A530">
        <v>529</v>
      </c>
      <c r="B530" t="s">
        <v>1336</v>
      </c>
      <c r="C530">
        <v>3026</v>
      </c>
      <c r="D530" t="s">
        <v>1337</v>
      </c>
      <c r="E530" t="s">
        <v>252</v>
      </c>
      <c r="F530" t="s">
        <v>220</v>
      </c>
      <c r="G530" t="s">
        <v>450</v>
      </c>
      <c r="H530" s="4">
        <v>37494</v>
      </c>
      <c r="I530" t="s">
        <v>254</v>
      </c>
    </row>
    <row r="531" spans="1:9" x14ac:dyDescent="0.25">
      <c r="A531">
        <v>530</v>
      </c>
      <c r="B531" t="s">
        <v>1338</v>
      </c>
      <c r="C531">
        <v>3027</v>
      </c>
      <c r="D531" t="s">
        <v>1339</v>
      </c>
      <c r="E531" t="s">
        <v>252</v>
      </c>
      <c r="F531" t="s">
        <v>220</v>
      </c>
      <c r="G531" t="s">
        <v>809</v>
      </c>
      <c r="H531" s="4">
        <v>37494</v>
      </c>
      <c r="I531" t="s">
        <v>254</v>
      </c>
    </row>
    <row r="532" spans="1:9" x14ac:dyDescent="0.25">
      <c r="A532">
        <v>531</v>
      </c>
      <c r="B532" t="s">
        <v>1340</v>
      </c>
      <c r="C532">
        <v>3028</v>
      </c>
      <c r="D532" t="s">
        <v>1341</v>
      </c>
      <c r="E532" t="s">
        <v>252</v>
      </c>
      <c r="F532" t="s">
        <v>220</v>
      </c>
      <c r="G532" t="s">
        <v>847</v>
      </c>
      <c r="H532" s="4">
        <v>37494</v>
      </c>
      <c r="I532" t="s">
        <v>254</v>
      </c>
    </row>
    <row r="533" spans="1:9" x14ac:dyDescent="0.25">
      <c r="A533">
        <v>532</v>
      </c>
      <c r="B533" t="s">
        <v>1342</v>
      </c>
      <c r="C533">
        <v>3029</v>
      </c>
      <c r="D533" t="s">
        <v>1343</v>
      </c>
      <c r="E533" t="s">
        <v>252</v>
      </c>
      <c r="F533" t="s">
        <v>220</v>
      </c>
      <c r="G533" t="s">
        <v>964</v>
      </c>
      <c r="H533" s="4">
        <v>37494</v>
      </c>
      <c r="I533" t="s">
        <v>254</v>
      </c>
    </row>
    <row r="534" spans="1:9" x14ac:dyDescent="0.25">
      <c r="A534">
        <v>533</v>
      </c>
      <c r="B534" t="s">
        <v>1344</v>
      </c>
      <c r="C534">
        <v>3030</v>
      </c>
      <c r="D534" t="s">
        <v>1345</v>
      </c>
      <c r="E534" t="s">
        <v>252</v>
      </c>
      <c r="F534" t="s">
        <v>220</v>
      </c>
      <c r="G534" t="s">
        <v>804</v>
      </c>
      <c r="H534" s="4">
        <v>37558</v>
      </c>
      <c r="I534" t="s">
        <v>254</v>
      </c>
    </row>
    <row r="535" spans="1:9" x14ac:dyDescent="0.25">
      <c r="A535">
        <v>534</v>
      </c>
      <c r="B535" t="s">
        <v>1346</v>
      </c>
      <c r="C535">
        <v>3031</v>
      </c>
      <c r="D535" t="s">
        <v>1347</v>
      </c>
      <c r="E535" t="s">
        <v>252</v>
      </c>
      <c r="F535" t="s">
        <v>220</v>
      </c>
      <c r="G535" t="s">
        <v>818</v>
      </c>
      <c r="H535" s="4">
        <v>37494</v>
      </c>
      <c r="I535" t="s">
        <v>254</v>
      </c>
    </row>
    <row r="536" spans="1:9" x14ac:dyDescent="0.25">
      <c r="A536">
        <v>535</v>
      </c>
      <c r="B536" t="s">
        <v>1348</v>
      </c>
      <c r="C536">
        <v>3032</v>
      </c>
      <c r="D536" t="s">
        <v>1349</v>
      </c>
      <c r="E536" t="s">
        <v>252</v>
      </c>
      <c r="F536" t="s">
        <v>220</v>
      </c>
      <c r="G536" t="s">
        <v>450</v>
      </c>
      <c r="H536" s="4">
        <v>37494</v>
      </c>
      <c r="I536" t="s">
        <v>254</v>
      </c>
    </row>
    <row r="537" spans="1:9" x14ac:dyDescent="0.25">
      <c r="A537">
        <v>536</v>
      </c>
      <c r="B537" t="s">
        <v>1350</v>
      </c>
      <c r="C537">
        <v>3033</v>
      </c>
      <c r="D537" t="s">
        <v>1351</v>
      </c>
      <c r="E537" t="s">
        <v>252</v>
      </c>
      <c r="F537" t="s">
        <v>220</v>
      </c>
      <c r="G537" t="s">
        <v>847</v>
      </c>
      <c r="H537" s="4">
        <v>37494</v>
      </c>
      <c r="I537" t="s">
        <v>254</v>
      </c>
    </row>
    <row r="538" spans="1:9" x14ac:dyDescent="0.25">
      <c r="A538">
        <v>537</v>
      </c>
      <c r="B538" t="s">
        <v>1352</v>
      </c>
      <c r="C538">
        <v>3034</v>
      </c>
      <c r="D538" t="s">
        <v>1353</v>
      </c>
      <c r="E538" t="s">
        <v>252</v>
      </c>
      <c r="F538" t="s">
        <v>220</v>
      </c>
      <c r="G538" t="s">
        <v>795</v>
      </c>
      <c r="H538" s="4">
        <v>37494</v>
      </c>
      <c r="I538" t="s">
        <v>254</v>
      </c>
    </row>
    <row r="539" spans="1:9" x14ac:dyDescent="0.25">
      <c r="A539">
        <v>538</v>
      </c>
      <c r="B539" t="s">
        <v>1354</v>
      </c>
      <c r="C539">
        <v>3035</v>
      </c>
      <c r="D539" t="s">
        <v>1355</v>
      </c>
      <c r="E539" t="s">
        <v>252</v>
      </c>
      <c r="F539" t="s">
        <v>220</v>
      </c>
      <c r="G539" t="s">
        <v>795</v>
      </c>
      <c r="H539" s="4">
        <v>37494</v>
      </c>
      <c r="I539" t="s">
        <v>254</v>
      </c>
    </row>
    <row r="540" spans="1:9" x14ac:dyDescent="0.25">
      <c r="A540">
        <v>539</v>
      </c>
      <c r="B540" t="s">
        <v>1356</v>
      </c>
      <c r="C540">
        <v>3036</v>
      </c>
      <c r="D540" t="s">
        <v>1357</v>
      </c>
      <c r="E540" t="s">
        <v>252</v>
      </c>
      <c r="F540" t="s">
        <v>220</v>
      </c>
      <c r="G540" t="s">
        <v>847</v>
      </c>
      <c r="H540" s="4">
        <v>37494</v>
      </c>
      <c r="I540" t="s">
        <v>254</v>
      </c>
    </row>
    <row r="541" spans="1:9" x14ac:dyDescent="0.25">
      <c r="A541">
        <v>540</v>
      </c>
      <c r="B541" t="s">
        <v>1358</v>
      </c>
      <c r="C541">
        <v>3037</v>
      </c>
      <c r="D541" t="s">
        <v>1359</v>
      </c>
      <c r="E541" t="s">
        <v>252</v>
      </c>
      <c r="F541" t="s">
        <v>220</v>
      </c>
      <c r="G541" t="s">
        <v>450</v>
      </c>
      <c r="H541" s="4">
        <v>37494</v>
      </c>
      <c r="I541" t="s">
        <v>254</v>
      </c>
    </row>
    <row r="542" spans="1:9" x14ac:dyDescent="0.25">
      <c r="A542">
        <v>541</v>
      </c>
      <c r="B542" t="s">
        <v>1360</v>
      </c>
      <c r="C542">
        <v>3038</v>
      </c>
      <c r="D542" t="s">
        <v>1361</v>
      </c>
      <c r="E542" t="s">
        <v>252</v>
      </c>
      <c r="F542" t="s">
        <v>220</v>
      </c>
      <c r="G542" t="s">
        <v>818</v>
      </c>
      <c r="H542" s="4">
        <v>37494</v>
      </c>
      <c r="I542" t="s">
        <v>254</v>
      </c>
    </row>
    <row r="543" spans="1:9" x14ac:dyDescent="0.25">
      <c r="A543">
        <v>542</v>
      </c>
      <c r="B543" t="s">
        <v>1362</v>
      </c>
      <c r="C543">
        <v>3040</v>
      </c>
      <c r="D543" t="s">
        <v>1363</v>
      </c>
      <c r="E543" t="s">
        <v>252</v>
      </c>
      <c r="F543" t="s">
        <v>220</v>
      </c>
      <c r="G543" t="s">
        <v>361</v>
      </c>
      <c r="H543" s="4">
        <v>37494</v>
      </c>
      <c r="I543" t="s">
        <v>254</v>
      </c>
    </row>
    <row r="544" spans="1:9" x14ac:dyDescent="0.25">
      <c r="A544">
        <v>543</v>
      </c>
      <c r="B544" t="s">
        <v>1364</v>
      </c>
      <c r="C544">
        <v>3041</v>
      </c>
      <c r="D544" t="s">
        <v>1365</v>
      </c>
      <c r="E544" t="s">
        <v>252</v>
      </c>
      <c r="F544" t="s">
        <v>220</v>
      </c>
      <c r="G544" t="s">
        <v>795</v>
      </c>
      <c r="H544" s="4">
        <v>37494</v>
      </c>
      <c r="I544" t="s">
        <v>254</v>
      </c>
    </row>
    <row r="545" spans="1:9" x14ac:dyDescent="0.25">
      <c r="A545">
        <v>544</v>
      </c>
      <c r="B545" t="s">
        <v>1366</v>
      </c>
      <c r="C545">
        <v>3042</v>
      </c>
      <c r="D545" t="s">
        <v>1367</v>
      </c>
      <c r="E545" t="s">
        <v>252</v>
      </c>
      <c r="F545" t="s">
        <v>220</v>
      </c>
      <c r="G545" t="s">
        <v>450</v>
      </c>
      <c r="H545" s="4">
        <v>37494</v>
      </c>
      <c r="I545" t="s">
        <v>254</v>
      </c>
    </row>
    <row r="546" spans="1:9" x14ac:dyDescent="0.25">
      <c r="A546">
        <v>545</v>
      </c>
      <c r="B546" t="s">
        <v>1368</v>
      </c>
      <c r="C546">
        <v>3043</v>
      </c>
      <c r="D546" t="s">
        <v>1369</v>
      </c>
      <c r="E546" t="s">
        <v>252</v>
      </c>
      <c r="F546" t="s">
        <v>220</v>
      </c>
      <c r="G546" t="s">
        <v>804</v>
      </c>
      <c r="H546" s="4">
        <v>37494</v>
      </c>
      <c r="I546" t="s">
        <v>254</v>
      </c>
    </row>
    <row r="547" spans="1:9" x14ac:dyDescent="0.25">
      <c r="A547">
        <v>546</v>
      </c>
      <c r="B547" t="s">
        <v>1370</v>
      </c>
      <c r="C547">
        <v>3044</v>
      </c>
      <c r="D547" t="s">
        <v>1371</v>
      </c>
      <c r="E547" t="s">
        <v>252</v>
      </c>
      <c r="F547" t="s">
        <v>220</v>
      </c>
      <c r="G547" t="s">
        <v>450</v>
      </c>
      <c r="H547" s="4">
        <v>37494</v>
      </c>
      <c r="I547" t="s">
        <v>254</v>
      </c>
    </row>
    <row r="548" spans="1:9" x14ac:dyDescent="0.25">
      <c r="A548">
        <v>547</v>
      </c>
      <c r="B548" t="s">
        <v>1372</v>
      </c>
      <c r="C548">
        <v>3045</v>
      </c>
      <c r="D548" t="s">
        <v>1373</v>
      </c>
      <c r="E548" t="s">
        <v>252</v>
      </c>
      <c r="F548" t="s">
        <v>220</v>
      </c>
      <c r="G548" t="s">
        <v>809</v>
      </c>
      <c r="H548" s="4">
        <v>37494</v>
      </c>
      <c r="I548" t="s">
        <v>254</v>
      </c>
    </row>
    <row r="549" spans="1:9" x14ac:dyDescent="0.25">
      <c r="A549">
        <v>548</v>
      </c>
      <c r="B549" t="s">
        <v>1374</v>
      </c>
      <c r="C549">
        <v>3046</v>
      </c>
      <c r="D549" t="s">
        <v>1375</v>
      </c>
      <c r="E549" t="s">
        <v>252</v>
      </c>
      <c r="F549" t="s">
        <v>220</v>
      </c>
      <c r="G549" t="s">
        <v>792</v>
      </c>
      <c r="H549" s="4">
        <v>37494</v>
      </c>
      <c r="I549" t="s">
        <v>254</v>
      </c>
    </row>
    <row r="550" spans="1:9" x14ac:dyDescent="0.25">
      <c r="A550">
        <v>549</v>
      </c>
      <c r="B550" t="s">
        <v>1376</v>
      </c>
      <c r="C550">
        <v>3047</v>
      </c>
      <c r="D550" t="s">
        <v>1377</v>
      </c>
      <c r="E550" t="s">
        <v>252</v>
      </c>
      <c r="F550" t="s">
        <v>220</v>
      </c>
      <c r="G550" t="s">
        <v>809</v>
      </c>
      <c r="H550" s="4">
        <v>37494</v>
      </c>
      <c r="I550" t="s">
        <v>254</v>
      </c>
    </row>
    <row r="551" spans="1:9" x14ac:dyDescent="0.25">
      <c r="A551">
        <v>550</v>
      </c>
      <c r="B551" t="s">
        <v>1378</v>
      </c>
      <c r="C551">
        <v>3048</v>
      </c>
      <c r="D551" t="s">
        <v>1379</v>
      </c>
      <c r="E551" t="s">
        <v>252</v>
      </c>
      <c r="F551" t="s">
        <v>220</v>
      </c>
      <c r="G551" t="s">
        <v>847</v>
      </c>
      <c r="H551" s="4">
        <v>37530</v>
      </c>
      <c r="I551" t="s">
        <v>254</v>
      </c>
    </row>
    <row r="552" spans="1:9" x14ac:dyDescent="0.25">
      <c r="A552">
        <v>551</v>
      </c>
      <c r="B552" t="s">
        <v>1380</v>
      </c>
      <c r="C552">
        <v>3049</v>
      </c>
      <c r="D552" t="s">
        <v>1381</v>
      </c>
      <c r="E552" t="s">
        <v>252</v>
      </c>
      <c r="F552" t="s">
        <v>220</v>
      </c>
      <c r="G552" t="s">
        <v>818</v>
      </c>
      <c r="H552" s="4">
        <v>37526</v>
      </c>
      <c r="I552" t="s">
        <v>254</v>
      </c>
    </row>
    <row r="553" spans="1:9" x14ac:dyDescent="0.25">
      <c r="A553">
        <v>552</v>
      </c>
      <c r="B553" t="s">
        <v>1382</v>
      </c>
      <c r="C553">
        <v>3050</v>
      </c>
      <c r="D553" t="s">
        <v>1383</v>
      </c>
      <c r="E553" t="s">
        <v>252</v>
      </c>
      <c r="F553" t="s">
        <v>220</v>
      </c>
      <c r="G553" t="s">
        <v>818</v>
      </c>
      <c r="H553" s="4">
        <v>37558</v>
      </c>
      <c r="I553" t="s">
        <v>254</v>
      </c>
    </row>
    <row r="554" spans="1:9" x14ac:dyDescent="0.25">
      <c r="A554">
        <v>553</v>
      </c>
      <c r="B554" t="s">
        <v>1384</v>
      </c>
      <c r="C554">
        <v>3051</v>
      </c>
      <c r="D554" t="s">
        <v>1385</v>
      </c>
      <c r="E554" t="s">
        <v>252</v>
      </c>
      <c r="F554" t="s">
        <v>220</v>
      </c>
      <c r="G554" t="s">
        <v>818</v>
      </c>
      <c r="H554" s="4">
        <v>37557</v>
      </c>
      <c r="I554" t="s">
        <v>254</v>
      </c>
    </row>
    <row r="555" spans="1:9" x14ac:dyDescent="0.25">
      <c r="A555">
        <v>554</v>
      </c>
      <c r="B555" t="s">
        <v>1386</v>
      </c>
      <c r="C555">
        <v>3052</v>
      </c>
      <c r="D555" t="s">
        <v>1387</v>
      </c>
      <c r="E555" t="s">
        <v>252</v>
      </c>
      <c r="F555" t="s">
        <v>220</v>
      </c>
      <c r="G555" t="s">
        <v>335</v>
      </c>
      <c r="H555" s="4">
        <v>35028</v>
      </c>
      <c r="I555" t="s">
        <v>254</v>
      </c>
    </row>
    <row r="556" spans="1:9" x14ac:dyDescent="0.25">
      <c r="A556">
        <v>555</v>
      </c>
      <c r="B556" t="s">
        <v>1388</v>
      </c>
      <c r="C556">
        <v>3054</v>
      </c>
      <c r="D556" t="s">
        <v>1389</v>
      </c>
      <c r="E556" t="s">
        <v>252</v>
      </c>
      <c r="F556" t="s">
        <v>220</v>
      </c>
      <c r="G556" t="s">
        <v>795</v>
      </c>
      <c r="H556" s="4">
        <v>37578</v>
      </c>
      <c r="I556" t="s">
        <v>254</v>
      </c>
    </row>
    <row r="557" spans="1:9" x14ac:dyDescent="0.25">
      <c r="A557">
        <v>556</v>
      </c>
      <c r="B557" t="s">
        <v>1390</v>
      </c>
      <c r="C557">
        <v>3055</v>
      </c>
      <c r="D557" t="s">
        <v>1391</v>
      </c>
      <c r="E557" t="s">
        <v>252</v>
      </c>
      <c r="F557" t="s">
        <v>220</v>
      </c>
      <c r="G557" t="s">
        <v>847</v>
      </c>
      <c r="H557" s="4">
        <v>37602</v>
      </c>
      <c r="I557" t="s">
        <v>254</v>
      </c>
    </row>
    <row r="558" spans="1:9" x14ac:dyDescent="0.25">
      <c r="A558">
        <v>557</v>
      </c>
      <c r="B558" t="s">
        <v>1392</v>
      </c>
      <c r="C558">
        <v>3056</v>
      </c>
      <c r="D558" t="s">
        <v>1393</v>
      </c>
      <c r="E558" t="s">
        <v>252</v>
      </c>
      <c r="F558" t="s">
        <v>220</v>
      </c>
      <c r="G558" t="s">
        <v>335</v>
      </c>
      <c r="H558" s="4">
        <v>37683</v>
      </c>
      <c r="I558" t="s">
        <v>254</v>
      </c>
    </row>
    <row r="559" spans="1:9" x14ac:dyDescent="0.25">
      <c r="A559">
        <v>558</v>
      </c>
      <c r="B559" t="s">
        <v>1394</v>
      </c>
      <c r="C559">
        <v>3057</v>
      </c>
      <c r="D559" t="s">
        <v>1395</v>
      </c>
      <c r="E559" t="s">
        <v>252</v>
      </c>
      <c r="F559" t="s">
        <v>220</v>
      </c>
      <c r="G559" t="s">
        <v>792</v>
      </c>
      <c r="H559" s="4">
        <v>37608</v>
      </c>
      <c r="I559" t="s">
        <v>254</v>
      </c>
    </row>
    <row r="560" spans="1:9" x14ac:dyDescent="0.25">
      <c r="A560">
        <v>559</v>
      </c>
      <c r="B560" t="s">
        <v>1396</v>
      </c>
      <c r="C560">
        <v>3058</v>
      </c>
      <c r="D560" t="s">
        <v>1397</v>
      </c>
      <c r="E560" t="s">
        <v>252</v>
      </c>
      <c r="F560" t="s">
        <v>220</v>
      </c>
      <c r="G560" t="s">
        <v>450</v>
      </c>
      <c r="H560" s="4">
        <v>37599</v>
      </c>
      <c r="I560" t="s">
        <v>254</v>
      </c>
    </row>
    <row r="561" spans="1:9" x14ac:dyDescent="0.25">
      <c r="A561">
        <v>560</v>
      </c>
      <c r="B561" t="s">
        <v>1398</v>
      </c>
      <c r="C561">
        <v>3059</v>
      </c>
      <c r="D561" t="s">
        <v>1399</v>
      </c>
      <c r="E561" t="s">
        <v>252</v>
      </c>
      <c r="F561" t="s">
        <v>220</v>
      </c>
      <c r="G561" t="s">
        <v>818</v>
      </c>
      <c r="H561" s="4">
        <v>37614</v>
      </c>
      <c r="I561" t="s">
        <v>254</v>
      </c>
    </row>
    <row r="562" spans="1:9" x14ac:dyDescent="0.25">
      <c r="A562">
        <v>561</v>
      </c>
      <c r="B562" t="s">
        <v>1400</v>
      </c>
      <c r="C562">
        <v>3060</v>
      </c>
      <c r="D562" t="s">
        <v>1401</v>
      </c>
      <c r="E562" t="s">
        <v>252</v>
      </c>
      <c r="F562" t="s">
        <v>220</v>
      </c>
      <c r="G562" t="s">
        <v>792</v>
      </c>
      <c r="H562" s="4">
        <v>37732</v>
      </c>
      <c r="I562" t="s">
        <v>254</v>
      </c>
    </row>
    <row r="563" spans="1:9" x14ac:dyDescent="0.25">
      <c r="A563">
        <v>562</v>
      </c>
      <c r="B563" t="s">
        <v>1402</v>
      </c>
      <c r="C563">
        <v>3062</v>
      </c>
      <c r="D563" t="s">
        <v>1403</v>
      </c>
      <c r="E563" t="s">
        <v>252</v>
      </c>
      <c r="F563" t="s">
        <v>220</v>
      </c>
      <c r="G563" t="s">
        <v>809</v>
      </c>
      <c r="H563" s="4">
        <v>37830</v>
      </c>
      <c r="I563" t="s">
        <v>254</v>
      </c>
    </row>
    <row r="564" spans="1:9" x14ac:dyDescent="0.25">
      <c r="A564">
        <v>563</v>
      </c>
      <c r="B564" t="s">
        <v>1404</v>
      </c>
      <c r="C564">
        <v>3090</v>
      </c>
      <c r="D564" t="s">
        <v>1405</v>
      </c>
      <c r="E564" t="s">
        <v>252</v>
      </c>
      <c r="F564" t="s">
        <v>220</v>
      </c>
      <c r="G564" t="s">
        <v>450</v>
      </c>
      <c r="H564" s="4">
        <v>39447</v>
      </c>
      <c r="I564" t="s">
        <v>254</v>
      </c>
    </row>
    <row r="565" spans="1:9" x14ac:dyDescent="0.25">
      <c r="A565">
        <v>564</v>
      </c>
      <c r="B565" t="s">
        <v>1406</v>
      </c>
      <c r="C565">
        <v>3092</v>
      </c>
      <c r="D565" t="s">
        <v>1407</v>
      </c>
      <c r="E565" t="s">
        <v>252</v>
      </c>
      <c r="F565" t="s">
        <v>220</v>
      </c>
      <c r="G565" t="s">
        <v>450</v>
      </c>
      <c r="H565" s="4">
        <v>44329</v>
      </c>
      <c r="I565" t="s">
        <v>254</v>
      </c>
    </row>
    <row r="566" spans="1:9" x14ac:dyDescent="0.25">
      <c r="A566">
        <v>565</v>
      </c>
      <c r="B566" t="s">
        <v>1408</v>
      </c>
      <c r="C566">
        <v>3094</v>
      </c>
      <c r="D566" t="s">
        <v>1409</v>
      </c>
      <c r="E566" t="s">
        <v>252</v>
      </c>
      <c r="F566" t="s">
        <v>220</v>
      </c>
      <c r="G566" t="s">
        <v>795</v>
      </c>
      <c r="H566" s="4">
        <v>39300</v>
      </c>
      <c r="I566" t="s">
        <v>254</v>
      </c>
    </row>
    <row r="567" spans="1:9" x14ac:dyDescent="0.25">
      <c r="A567">
        <v>566</v>
      </c>
      <c r="B567" t="s">
        <v>1410</v>
      </c>
      <c r="C567">
        <v>3130</v>
      </c>
      <c r="D567" t="s">
        <v>1411</v>
      </c>
      <c r="E567" t="s">
        <v>252</v>
      </c>
      <c r="F567" t="s">
        <v>220</v>
      </c>
      <c r="G567" t="s">
        <v>964</v>
      </c>
      <c r="H567" s="4">
        <v>38765</v>
      </c>
      <c r="I567" t="s">
        <v>254</v>
      </c>
    </row>
    <row r="568" spans="1:9" x14ac:dyDescent="0.25">
      <c r="A568">
        <v>567</v>
      </c>
      <c r="B568" t="s">
        <v>1412</v>
      </c>
      <c r="C568">
        <v>3138</v>
      </c>
      <c r="D568" t="s">
        <v>1413</v>
      </c>
      <c r="E568" t="s">
        <v>252</v>
      </c>
      <c r="F568" t="s">
        <v>220</v>
      </c>
      <c r="G568" t="s">
        <v>809</v>
      </c>
      <c r="H568" s="4">
        <v>44176</v>
      </c>
      <c r="I568" t="s">
        <v>254</v>
      </c>
    </row>
    <row r="569" spans="1:9" x14ac:dyDescent="0.25">
      <c r="A569">
        <v>568</v>
      </c>
      <c r="B569" t="s">
        <v>1414</v>
      </c>
      <c r="C569">
        <v>3149</v>
      </c>
      <c r="D569" t="s">
        <v>1415</v>
      </c>
      <c r="E569" t="s">
        <v>252</v>
      </c>
      <c r="F569" t="s">
        <v>220</v>
      </c>
      <c r="G569" t="s">
        <v>818</v>
      </c>
      <c r="H569" s="4">
        <v>40870</v>
      </c>
      <c r="I569" t="s">
        <v>254</v>
      </c>
    </row>
    <row r="570" spans="1:9" x14ac:dyDescent="0.25">
      <c r="A570">
        <v>569</v>
      </c>
      <c r="B570" t="s">
        <v>1416</v>
      </c>
      <c r="C570">
        <v>3164</v>
      </c>
      <c r="D570" t="s">
        <v>1417</v>
      </c>
      <c r="E570" t="s">
        <v>252</v>
      </c>
      <c r="F570" t="s">
        <v>220</v>
      </c>
      <c r="G570" t="s">
        <v>546</v>
      </c>
      <c r="H570" s="4">
        <v>40259</v>
      </c>
      <c r="I570" t="s">
        <v>254</v>
      </c>
    </row>
    <row r="571" spans="1:9" x14ac:dyDescent="0.25">
      <c r="A571">
        <v>570</v>
      </c>
      <c r="B571" t="s">
        <v>1418</v>
      </c>
      <c r="C571">
        <v>3167</v>
      </c>
      <c r="D571" t="s">
        <v>1419</v>
      </c>
      <c r="E571" t="s">
        <v>252</v>
      </c>
      <c r="F571" t="s">
        <v>220</v>
      </c>
      <c r="G571" t="s">
        <v>465</v>
      </c>
      <c r="H571" s="4">
        <v>41568</v>
      </c>
      <c r="I571" t="s">
        <v>254</v>
      </c>
    </row>
    <row r="572" spans="1:9" x14ac:dyDescent="0.25">
      <c r="A572">
        <v>571</v>
      </c>
      <c r="B572" t="s">
        <v>1420</v>
      </c>
      <c r="C572">
        <v>3189</v>
      </c>
      <c r="D572" t="s">
        <v>1421</v>
      </c>
      <c r="E572" t="s">
        <v>252</v>
      </c>
      <c r="F572" t="s">
        <v>220</v>
      </c>
      <c r="G572" t="s">
        <v>795</v>
      </c>
      <c r="H572" s="4">
        <v>38292</v>
      </c>
      <c r="I572" t="s">
        <v>254</v>
      </c>
    </row>
    <row r="573" spans="1:9" x14ac:dyDescent="0.25">
      <c r="A573">
        <v>572</v>
      </c>
      <c r="B573" t="s">
        <v>1422</v>
      </c>
      <c r="C573">
        <v>3209</v>
      </c>
      <c r="D573" t="s">
        <v>1423</v>
      </c>
      <c r="E573" t="s">
        <v>252</v>
      </c>
      <c r="F573" t="s">
        <v>220</v>
      </c>
      <c r="G573" t="s">
        <v>847</v>
      </c>
      <c r="H573" s="4">
        <v>39778</v>
      </c>
      <c r="I573" t="s">
        <v>254</v>
      </c>
    </row>
    <row r="574" spans="1:9" x14ac:dyDescent="0.25">
      <c r="A574">
        <v>573</v>
      </c>
      <c r="B574" t="s">
        <v>1424</v>
      </c>
      <c r="C574">
        <v>3229</v>
      </c>
      <c r="D574" t="s">
        <v>1425</v>
      </c>
      <c r="E574" t="s">
        <v>252</v>
      </c>
      <c r="F574" t="s">
        <v>220</v>
      </c>
      <c r="G574" t="s">
        <v>450</v>
      </c>
      <c r="H574" s="4">
        <v>40178</v>
      </c>
      <c r="I574" t="s">
        <v>254</v>
      </c>
    </row>
    <row r="575" spans="1:9" x14ac:dyDescent="0.25">
      <c r="A575">
        <v>574</v>
      </c>
      <c r="B575" t="s">
        <v>1426</v>
      </c>
      <c r="C575">
        <v>3231</v>
      </c>
      <c r="D575" t="s">
        <v>1427</v>
      </c>
      <c r="E575" t="s">
        <v>252</v>
      </c>
      <c r="F575" t="s">
        <v>220</v>
      </c>
      <c r="G575" t="s">
        <v>792</v>
      </c>
      <c r="H575" s="4">
        <v>37852</v>
      </c>
      <c r="I575" t="s">
        <v>254</v>
      </c>
    </row>
    <row r="576" spans="1:9" x14ac:dyDescent="0.25">
      <c r="A576">
        <v>575</v>
      </c>
      <c r="B576" t="s">
        <v>1428</v>
      </c>
      <c r="C576">
        <v>3257</v>
      </c>
      <c r="D576" t="s">
        <v>1429</v>
      </c>
      <c r="E576" t="s">
        <v>252</v>
      </c>
      <c r="F576" t="s">
        <v>220</v>
      </c>
      <c r="G576" t="s">
        <v>795</v>
      </c>
      <c r="H576" s="4">
        <v>40623</v>
      </c>
      <c r="I576" t="s">
        <v>254</v>
      </c>
    </row>
    <row r="577" spans="1:9" x14ac:dyDescent="0.25">
      <c r="A577">
        <v>576</v>
      </c>
      <c r="B577" t="s">
        <v>1430</v>
      </c>
      <c r="C577">
        <v>3266</v>
      </c>
      <c r="D577" t="s">
        <v>1431</v>
      </c>
      <c r="E577" t="s">
        <v>252</v>
      </c>
      <c r="F577" t="s">
        <v>220</v>
      </c>
      <c r="G577" t="s">
        <v>335</v>
      </c>
      <c r="H577" s="4">
        <v>41997</v>
      </c>
      <c r="I577" t="s">
        <v>254</v>
      </c>
    </row>
    <row r="578" spans="1:9" x14ac:dyDescent="0.25">
      <c r="A578">
        <v>577</v>
      </c>
      <c r="B578" t="s">
        <v>1432</v>
      </c>
      <c r="C578">
        <v>3296</v>
      </c>
      <c r="D578" t="s">
        <v>1433</v>
      </c>
      <c r="E578" t="s">
        <v>252</v>
      </c>
      <c r="F578" t="s">
        <v>220</v>
      </c>
      <c r="G578" t="s">
        <v>450</v>
      </c>
      <c r="H578" s="4">
        <v>39447</v>
      </c>
      <c r="I578" t="s">
        <v>254</v>
      </c>
    </row>
    <row r="579" spans="1:9" x14ac:dyDescent="0.25">
      <c r="A579">
        <v>578</v>
      </c>
      <c r="B579" t="s">
        <v>1434</v>
      </c>
      <c r="C579">
        <v>3305</v>
      </c>
      <c r="D579" t="s">
        <v>1435</v>
      </c>
      <c r="E579" t="s">
        <v>252</v>
      </c>
      <c r="F579" t="s">
        <v>220</v>
      </c>
      <c r="G579" t="s">
        <v>804</v>
      </c>
      <c r="H579" s="4">
        <v>39639</v>
      </c>
      <c r="I579" t="s">
        <v>254</v>
      </c>
    </row>
    <row r="580" spans="1:9" x14ac:dyDescent="0.25">
      <c r="A580">
        <v>579</v>
      </c>
      <c r="B580" t="s">
        <v>1436</v>
      </c>
      <c r="C580">
        <v>3308</v>
      </c>
      <c r="D580" t="s">
        <v>1437</v>
      </c>
      <c r="E580" t="s">
        <v>252</v>
      </c>
      <c r="F580" t="s">
        <v>220</v>
      </c>
      <c r="G580" t="s">
        <v>450</v>
      </c>
      <c r="H580" s="4">
        <v>39519</v>
      </c>
      <c r="I580" t="s">
        <v>254</v>
      </c>
    </row>
    <row r="581" spans="1:9" x14ac:dyDescent="0.25">
      <c r="A581">
        <v>580</v>
      </c>
      <c r="B581" t="s">
        <v>1438</v>
      </c>
      <c r="C581">
        <v>3311</v>
      </c>
      <c r="D581" t="s">
        <v>1439</v>
      </c>
      <c r="E581" t="s">
        <v>252</v>
      </c>
      <c r="F581" t="s">
        <v>220</v>
      </c>
      <c r="G581" t="s">
        <v>809</v>
      </c>
      <c r="H581" s="4">
        <v>38054</v>
      </c>
      <c r="I581" t="s">
        <v>254</v>
      </c>
    </row>
    <row r="582" spans="1:9" x14ac:dyDescent="0.25">
      <c r="A582">
        <v>581</v>
      </c>
      <c r="B582" t="s">
        <v>1440</v>
      </c>
      <c r="C582">
        <v>3312</v>
      </c>
      <c r="D582" t="s">
        <v>1441</v>
      </c>
      <c r="E582" t="s">
        <v>252</v>
      </c>
      <c r="F582" t="s">
        <v>220</v>
      </c>
      <c r="G582" t="s">
        <v>847</v>
      </c>
      <c r="H582" s="4">
        <v>40541</v>
      </c>
      <c r="I582" t="s">
        <v>254</v>
      </c>
    </row>
    <row r="583" spans="1:9" x14ac:dyDescent="0.25">
      <c r="A583">
        <v>582</v>
      </c>
      <c r="B583" t="s">
        <v>1442</v>
      </c>
      <c r="C583">
        <v>3321</v>
      </c>
      <c r="D583" t="s">
        <v>1443</v>
      </c>
      <c r="E583" t="s">
        <v>252</v>
      </c>
      <c r="F583" t="s">
        <v>220</v>
      </c>
      <c r="G583" t="s">
        <v>450</v>
      </c>
      <c r="H583" s="4">
        <v>42353</v>
      </c>
      <c r="I583" t="s">
        <v>254</v>
      </c>
    </row>
    <row r="584" spans="1:9" x14ac:dyDescent="0.25">
      <c r="A584">
        <v>583</v>
      </c>
      <c r="B584" t="s">
        <v>1444</v>
      </c>
      <c r="C584">
        <v>3338</v>
      </c>
      <c r="D584" t="s">
        <v>1445</v>
      </c>
      <c r="E584" t="s">
        <v>252</v>
      </c>
      <c r="F584" t="s">
        <v>220</v>
      </c>
      <c r="G584" t="s">
        <v>450</v>
      </c>
      <c r="H584" s="4">
        <v>41621</v>
      </c>
      <c r="I584" t="s">
        <v>254</v>
      </c>
    </row>
    <row r="585" spans="1:9" x14ac:dyDescent="0.25">
      <c r="A585">
        <v>584</v>
      </c>
      <c r="B585" t="s">
        <v>1446</v>
      </c>
      <c r="C585">
        <v>3346</v>
      </c>
      <c r="D585" t="s">
        <v>1447</v>
      </c>
      <c r="E585" t="s">
        <v>252</v>
      </c>
      <c r="F585" t="s">
        <v>220</v>
      </c>
      <c r="G585" t="s">
        <v>338</v>
      </c>
      <c r="H585" s="4">
        <v>42723</v>
      </c>
      <c r="I585" t="s">
        <v>254</v>
      </c>
    </row>
    <row r="586" spans="1:9" x14ac:dyDescent="0.25">
      <c r="A586">
        <v>585</v>
      </c>
      <c r="B586" t="s">
        <v>1448</v>
      </c>
      <c r="C586">
        <v>3356</v>
      </c>
      <c r="D586" t="s">
        <v>1449</v>
      </c>
      <c r="E586" t="s">
        <v>252</v>
      </c>
      <c r="F586" t="s">
        <v>220</v>
      </c>
      <c r="G586" t="s">
        <v>818</v>
      </c>
      <c r="H586" s="4">
        <v>38439</v>
      </c>
      <c r="I586" t="s">
        <v>254</v>
      </c>
    </row>
    <row r="587" spans="1:9" x14ac:dyDescent="0.25">
      <c r="A587">
        <v>586</v>
      </c>
      <c r="B587" t="s">
        <v>1450</v>
      </c>
      <c r="C587">
        <v>3376</v>
      </c>
      <c r="D587" t="s">
        <v>1451</v>
      </c>
      <c r="E587" t="s">
        <v>252</v>
      </c>
      <c r="F587" t="s">
        <v>220</v>
      </c>
      <c r="G587" t="s">
        <v>450</v>
      </c>
      <c r="H587" s="4">
        <v>39447</v>
      </c>
      <c r="I587" t="s">
        <v>254</v>
      </c>
    </row>
    <row r="588" spans="1:9" x14ac:dyDescent="0.25">
      <c r="A588">
        <v>587</v>
      </c>
      <c r="B588" t="s">
        <v>1452</v>
      </c>
      <c r="C588">
        <v>3380</v>
      </c>
      <c r="D588" t="s">
        <v>1453</v>
      </c>
      <c r="E588" t="s">
        <v>252</v>
      </c>
      <c r="F588" t="s">
        <v>220</v>
      </c>
      <c r="G588" t="s">
        <v>809</v>
      </c>
      <c r="H588" s="4">
        <v>38341</v>
      </c>
      <c r="I588" t="s">
        <v>254</v>
      </c>
    </row>
    <row r="589" spans="1:9" x14ac:dyDescent="0.25">
      <c r="A589">
        <v>588</v>
      </c>
      <c r="B589" t="s">
        <v>1454</v>
      </c>
      <c r="C589">
        <v>3383</v>
      </c>
      <c r="D589" t="s">
        <v>1455</v>
      </c>
      <c r="E589" t="s">
        <v>252</v>
      </c>
      <c r="F589" t="s">
        <v>220</v>
      </c>
      <c r="G589" t="s">
        <v>818</v>
      </c>
      <c r="H589" s="4">
        <v>39426</v>
      </c>
      <c r="I589" t="s">
        <v>254</v>
      </c>
    </row>
    <row r="590" spans="1:9" x14ac:dyDescent="0.25">
      <c r="A590">
        <v>589</v>
      </c>
      <c r="B590" t="s">
        <v>1456</v>
      </c>
      <c r="C590">
        <v>3406</v>
      </c>
      <c r="D590" t="s">
        <v>1457</v>
      </c>
      <c r="E590" t="s">
        <v>252</v>
      </c>
      <c r="F590" t="s">
        <v>220</v>
      </c>
      <c r="G590" t="s">
        <v>818</v>
      </c>
      <c r="H590" s="4">
        <v>38706</v>
      </c>
      <c r="I590" t="s">
        <v>254</v>
      </c>
    </row>
    <row r="591" spans="1:9" x14ac:dyDescent="0.25">
      <c r="A591">
        <v>590</v>
      </c>
      <c r="B591" t="s">
        <v>1458</v>
      </c>
      <c r="C591">
        <v>3413</v>
      </c>
      <c r="D591" t="s">
        <v>1459</v>
      </c>
      <c r="E591" t="s">
        <v>252</v>
      </c>
      <c r="F591" t="s">
        <v>220</v>
      </c>
      <c r="G591" t="s">
        <v>795</v>
      </c>
      <c r="H591" s="4">
        <v>42213</v>
      </c>
      <c r="I591" t="s">
        <v>254</v>
      </c>
    </row>
    <row r="592" spans="1:9" x14ac:dyDescent="0.25">
      <c r="A592">
        <v>591</v>
      </c>
      <c r="B592" t="s">
        <v>1460</v>
      </c>
      <c r="C592">
        <v>3416</v>
      </c>
      <c r="D592" t="s">
        <v>1461</v>
      </c>
      <c r="E592" t="s">
        <v>252</v>
      </c>
      <c r="F592" t="s">
        <v>220</v>
      </c>
      <c r="G592" t="s">
        <v>792</v>
      </c>
      <c r="H592" s="4">
        <v>42027</v>
      </c>
      <c r="I592" t="s">
        <v>254</v>
      </c>
    </row>
    <row r="593" spans="1:9" x14ac:dyDescent="0.25">
      <c r="A593">
        <v>592</v>
      </c>
      <c r="B593" t="s">
        <v>1462</v>
      </c>
      <c r="C593">
        <v>3419</v>
      </c>
      <c r="D593" t="s">
        <v>1463</v>
      </c>
      <c r="E593" t="s">
        <v>252</v>
      </c>
      <c r="F593" t="s">
        <v>220</v>
      </c>
      <c r="G593" t="s">
        <v>809</v>
      </c>
      <c r="H593" s="4">
        <v>39468</v>
      </c>
      <c r="I593" t="s">
        <v>254</v>
      </c>
    </row>
    <row r="594" spans="1:9" x14ac:dyDescent="0.25">
      <c r="A594">
        <v>593</v>
      </c>
      <c r="B594" t="s">
        <v>1464</v>
      </c>
      <c r="C594">
        <v>3432</v>
      </c>
      <c r="D594" t="s">
        <v>1465</v>
      </c>
      <c r="E594" t="s">
        <v>252</v>
      </c>
      <c r="F594" t="s">
        <v>220</v>
      </c>
      <c r="G594" t="s">
        <v>450</v>
      </c>
      <c r="H594" s="4">
        <v>40542</v>
      </c>
      <c r="I594" t="s">
        <v>254</v>
      </c>
    </row>
    <row r="595" spans="1:9" x14ac:dyDescent="0.25">
      <c r="A595">
        <v>594</v>
      </c>
      <c r="B595" t="s">
        <v>1466</v>
      </c>
      <c r="C595">
        <v>3437</v>
      </c>
      <c r="D595" t="s">
        <v>1467</v>
      </c>
      <c r="E595" t="s">
        <v>252</v>
      </c>
      <c r="F595" t="s">
        <v>220</v>
      </c>
      <c r="G595" t="s">
        <v>818</v>
      </c>
      <c r="H595" s="4">
        <v>41829</v>
      </c>
      <c r="I595" t="s">
        <v>254</v>
      </c>
    </row>
    <row r="596" spans="1:9" x14ac:dyDescent="0.25">
      <c r="A596">
        <v>595</v>
      </c>
      <c r="B596" t="s">
        <v>1468</v>
      </c>
      <c r="C596">
        <v>3443</v>
      </c>
      <c r="D596" t="s">
        <v>1469</v>
      </c>
      <c r="E596" t="s">
        <v>252</v>
      </c>
      <c r="F596" t="s">
        <v>220</v>
      </c>
      <c r="G596" t="s">
        <v>795</v>
      </c>
      <c r="H596" s="4">
        <v>39024</v>
      </c>
      <c r="I596" t="s">
        <v>254</v>
      </c>
    </row>
    <row r="597" spans="1:9" x14ac:dyDescent="0.25">
      <c r="A597">
        <v>596</v>
      </c>
      <c r="B597" t="s">
        <v>1470</v>
      </c>
      <c r="C597">
        <v>3450</v>
      </c>
      <c r="D597" t="s">
        <v>1471</v>
      </c>
      <c r="E597" t="s">
        <v>252</v>
      </c>
      <c r="F597" t="s">
        <v>220</v>
      </c>
      <c r="G597" t="s">
        <v>795</v>
      </c>
      <c r="H597" s="4">
        <v>38819</v>
      </c>
      <c r="I597" t="s">
        <v>254</v>
      </c>
    </row>
    <row r="598" spans="1:9" x14ac:dyDescent="0.25">
      <c r="A598">
        <v>597</v>
      </c>
      <c r="B598" t="s">
        <v>1472</v>
      </c>
      <c r="C598">
        <v>3454</v>
      </c>
      <c r="D598" t="s">
        <v>1473</v>
      </c>
      <c r="E598" t="s">
        <v>252</v>
      </c>
      <c r="F598" t="s">
        <v>220</v>
      </c>
      <c r="G598" t="s">
        <v>818</v>
      </c>
      <c r="H598" s="4">
        <v>40746</v>
      </c>
      <c r="I598" t="s">
        <v>254</v>
      </c>
    </row>
    <row r="599" spans="1:9" x14ac:dyDescent="0.25">
      <c r="A599">
        <v>598</v>
      </c>
      <c r="B599" t="s">
        <v>1474</v>
      </c>
      <c r="C599">
        <v>3481</v>
      </c>
      <c r="D599" t="s">
        <v>1475</v>
      </c>
      <c r="E599" t="s">
        <v>252</v>
      </c>
      <c r="F599" t="s">
        <v>220</v>
      </c>
      <c r="G599" t="s">
        <v>818</v>
      </c>
      <c r="H599" s="4">
        <v>39014</v>
      </c>
      <c r="I599" t="s">
        <v>254</v>
      </c>
    </row>
    <row r="600" spans="1:9" x14ac:dyDescent="0.25">
      <c r="A600">
        <v>599</v>
      </c>
      <c r="B600" t="s">
        <v>1476</v>
      </c>
      <c r="C600">
        <v>3494</v>
      </c>
      <c r="D600" t="s">
        <v>1477</v>
      </c>
      <c r="E600" t="s">
        <v>252</v>
      </c>
      <c r="F600" t="s">
        <v>220</v>
      </c>
      <c r="G600" t="s">
        <v>792</v>
      </c>
      <c r="H600" s="4">
        <v>39429</v>
      </c>
      <c r="I600" t="s">
        <v>254</v>
      </c>
    </row>
    <row r="601" spans="1:9" x14ac:dyDescent="0.25">
      <c r="A601">
        <v>600</v>
      </c>
      <c r="B601" t="s">
        <v>1478</v>
      </c>
      <c r="C601">
        <v>3501</v>
      </c>
      <c r="D601" t="s">
        <v>1479</v>
      </c>
      <c r="E601" t="s">
        <v>252</v>
      </c>
      <c r="F601" t="s">
        <v>220</v>
      </c>
      <c r="G601" t="s">
        <v>450</v>
      </c>
      <c r="H601" s="4">
        <v>39345</v>
      </c>
      <c r="I601" t="s">
        <v>254</v>
      </c>
    </row>
    <row r="602" spans="1:9" x14ac:dyDescent="0.25">
      <c r="A602">
        <v>601</v>
      </c>
      <c r="B602" t="s">
        <v>1480</v>
      </c>
      <c r="C602">
        <v>3504</v>
      </c>
      <c r="D602" t="s">
        <v>1481</v>
      </c>
      <c r="E602" t="s">
        <v>252</v>
      </c>
      <c r="F602" t="s">
        <v>220</v>
      </c>
      <c r="G602" t="s">
        <v>818</v>
      </c>
      <c r="H602" s="4">
        <v>39108</v>
      </c>
      <c r="I602" t="s">
        <v>254</v>
      </c>
    </row>
    <row r="603" spans="1:9" x14ac:dyDescent="0.25">
      <c r="A603">
        <v>602</v>
      </c>
      <c r="B603" t="s">
        <v>1482</v>
      </c>
      <c r="C603">
        <v>3515</v>
      </c>
      <c r="D603" t="s">
        <v>1483</v>
      </c>
      <c r="E603" t="s">
        <v>252</v>
      </c>
      <c r="F603" t="s">
        <v>220</v>
      </c>
      <c r="G603" t="s">
        <v>792</v>
      </c>
      <c r="H603" s="4">
        <v>39394</v>
      </c>
      <c r="I603" t="s">
        <v>254</v>
      </c>
    </row>
    <row r="604" spans="1:9" x14ac:dyDescent="0.25">
      <c r="A604">
        <v>603</v>
      </c>
      <c r="B604" t="s">
        <v>1484</v>
      </c>
      <c r="C604">
        <v>3518</v>
      </c>
      <c r="D604" t="s">
        <v>1485</v>
      </c>
      <c r="E604" t="s">
        <v>252</v>
      </c>
      <c r="F604" t="s">
        <v>220</v>
      </c>
      <c r="G604" t="s">
        <v>804</v>
      </c>
      <c r="H604" s="4">
        <v>39414</v>
      </c>
      <c r="I604" t="s">
        <v>254</v>
      </c>
    </row>
    <row r="605" spans="1:9" x14ac:dyDescent="0.25">
      <c r="A605">
        <v>604</v>
      </c>
      <c r="B605" t="s">
        <v>1486</v>
      </c>
      <c r="C605">
        <v>3528</v>
      </c>
      <c r="D605" t="s">
        <v>1487</v>
      </c>
      <c r="E605" t="s">
        <v>252</v>
      </c>
      <c r="F605" t="s">
        <v>220</v>
      </c>
      <c r="G605" t="s">
        <v>847</v>
      </c>
      <c r="H605" s="4">
        <v>42508</v>
      </c>
      <c r="I605" t="s">
        <v>254</v>
      </c>
    </row>
    <row r="606" spans="1:9" x14ac:dyDescent="0.25">
      <c r="A606">
        <v>605</v>
      </c>
      <c r="B606" t="s">
        <v>1488</v>
      </c>
      <c r="C606">
        <v>3530</v>
      </c>
      <c r="D606" t="s">
        <v>1489</v>
      </c>
      <c r="E606" t="s">
        <v>252</v>
      </c>
      <c r="F606" t="s">
        <v>220</v>
      </c>
      <c r="G606" t="s">
        <v>795</v>
      </c>
      <c r="H606" s="4">
        <v>43297</v>
      </c>
      <c r="I606" t="s">
        <v>254</v>
      </c>
    </row>
    <row r="607" spans="1:9" x14ac:dyDescent="0.25">
      <c r="A607">
        <v>606</v>
      </c>
      <c r="B607" t="s">
        <v>1490</v>
      </c>
      <c r="C607">
        <v>3532</v>
      </c>
      <c r="D607" t="s">
        <v>1491</v>
      </c>
      <c r="E607" t="s">
        <v>252</v>
      </c>
      <c r="F607" t="s">
        <v>220</v>
      </c>
      <c r="G607" t="s">
        <v>795</v>
      </c>
      <c r="H607" s="4">
        <v>39426</v>
      </c>
      <c r="I607" t="s">
        <v>254</v>
      </c>
    </row>
    <row r="608" spans="1:9" x14ac:dyDescent="0.25">
      <c r="A608">
        <v>607</v>
      </c>
      <c r="B608" t="s">
        <v>1492</v>
      </c>
      <c r="C608">
        <v>3533</v>
      </c>
      <c r="D608" t="s">
        <v>1493</v>
      </c>
      <c r="E608" t="s">
        <v>252</v>
      </c>
      <c r="F608" t="s">
        <v>220</v>
      </c>
      <c r="G608" t="s">
        <v>450</v>
      </c>
      <c r="H608" s="4">
        <v>39426</v>
      </c>
      <c r="I608" t="s">
        <v>254</v>
      </c>
    </row>
    <row r="609" spans="1:9" x14ac:dyDescent="0.25">
      <c r="A609">
        <v>608</v>
      </c>
      <c r="B609" t="s">
        <v>1494</v>
      </c>
      <c r="C609">
        <v>3535</v>
      </c>
      <c r="D609" t="s">
        <v>1495</v>
      </c>
      <c r="E609" t="s">
        <v>252</v>
      </c>
      <c r="F609" t="s">
        <v>220</v>
      </c>
      <c r="G609" t="s">
        <v>818</v>
      </c>
      <c r="H609" s="4">
        <v>39478</v>
      </c>
      <c r="I609" t="s">
        <v>254</v>
      </c>
    </row>
    <row r="610" spans="1:9" x14ac:dyDescent="0.25">
      <c r="A610">
        <v>609</v>
      </c>
      <c r="B610" t="s">
        <v>1496</v>
      </c>
      <c r="C610">
        <v>3536</v>
      </c>
      <c r="D610" t="s">
        <v>1497</v>
      </c>
      <c r="E610" t="s">
        <v>252</v>
      </c>
      <c r="F610" t="s">
        <v>220</v>
      </c>
      <c r="G610" t="s">
        <v>795</v>
      </c>
      <c r="H610" s="4">
        <v>39568</v>
      </c>
      <c r="I610" t="s">
        <v>254</v>
      </c>
    </row>
    <row r="611" spans="1:9" x14ac:dyDescent="0.25">
      <c r="A611">
        <v>610</v>
      </c>
      <c r="B611" t="s">
        <v>1498</v>
      </c>
      <c r="C611">
        <v>3543</v>
      </c>
      <c r="D611" t="s">
        <v>1499</v>
      </c>
      <c r="E611" t="s">
        <v>252</v>
      </c>
      <c r="F611" t="s">
        <v>220</v>
      </c>
      <c r="G611" t="s">
        <v>818</v>
      </c>
      <c r="H611" s="4">
        <v>43936</v>
      </c>
      <c r="I611" t="s">
        <v>254</v>
      </c>
    </row>
    <row r="612" spans="1:9" x14ac:dyDescent="0.25">
      <c r="A612">
        <v>611</v>
      </c>
      <c r="B612" t="s">
        <v>1500</v>
      </c>
      <c r="C612">
        <v>3545</v>
      </c>
      <c r="D612" t="s">
        <v>1501</v>
      </c>
      <c r="E612" t="s">
        <v>252</v>
      </c>
      <c r="F612" t="s">
        <v>220</v>
      </c>
      <c r="G612" t="s">
        <v>795</v>
      </c>
      <c r="H612" s="4">
        <v>39266</v>
      </c>
      <c r="I612" t="s">
        <v>254</v>
      </c>
    </row>
    <row r="613" spans="1:9" x14ac:dyDescent="0.25">
      <c r="A613">
        <v>612</v>
      </c>
      <c r="B613" t="s">
        <v>1502</v>
      </c>
      <c r="C613">
        <v>3550</v>
      </c>
      <c r="D613" t="s">
        <v>1503</v>
      </c>
      <c r="E613" t="s">
        <v>252</v>
      </c>
      <c r="F613" t="s">
        <v>220</v>
      </c>
      <c r="G613" t="s">
        <v>450</v>
      </c>
      <c r="H613" s="4">
        <v>40492</v>
      </c>
      <c r="I613" t="s">
        <v>254</v>
      </c>
    </row>
    <row r="614" spans="1:9" x14ac:dyDescent="0.25">
      <c r="A614">
        <v>613</v>
      </c>
      <c r="B614" t="s">
        <v>1504</v>
      </c>
      <c r="C614">
        <v>3557</v>
      </c>
      <c r="D614" t="s">
        <v>1505</v>
      </c>
      <c r="E614" t="s">
        <v>252</v>
      </c>
      <c r="F614" t="s">
        <v>220</v>
      </c>
      <c r="G614" t="s">
        <v>361</v>
      </c>
      <c r="H614" s="4">
        <v>39505</v>
      </c>
      <c r="I614" t="s">
        <v>254</v>
      </c>
    </row>
    <row r="615" spans="1:9" x14ac:dyDescent="0.25">
      <c r="A615">
        <v>614</v>
      </c>
      <c r="B615" t="s">
        <v>1506</v>
      </c>
      <c r="C615">
        <v>3563</v>
      </c>
      <c r="D615" t="s">
        <v>1507</v>
      </c>
      <c r="E615" t="s">
        <v>252</v>
      </c>
      <c r="F615" t="s">
        <v>220</v>
      </c>
      <c r="G615" t="s">
        <v>818</v>
      </c>
      <c r="H615" s="4">
        <v>43557</v>
      </c>
      <c r="I615" t="s">
        <v>254</v>
      </c>
    </row>
    <row r="616" spans="1:9" x14ac:dyDescent="0.25">
      <c r="A616">
        <v>615</v>
      </c>
      <c r="B616" t="s">
        <v>1508</v>
      </c>
      <c r="C616">
        <v>3576</v>
      </c>
      <c r="D616" t="s">
        <v>1509</v>
      </c>
      <c r="E616" t="s">
        <v>252</v>
      </c>
      <c r="F616" t="s">
        <v>220</v>
      </c>
      <c r="G616" t="s">
        <v>818</v>
      </c>
      <c r="H616" s="4">
        <v>39825</v>
      </c>
      <c r="I616" t="s">
        <v>254</v>
      </c>
    </row>
    <row r="617" spans="1:9" x14ac:dyDescent="0.25">
      <c r="A617">
        <v>616</v>
      </c>
      <c r="B617" t="s">
        <v>1510</v>
      </c>
      <c r="C617">
        <v>3583</v>
      </c>
      <c r="D617" t="s">
        <v>1511</v>
      </c>
      <c r="E617" t="s">
        <v>252</v>
      </c>
      <c r="F617" t="s">
        <v>220</v>
      </c>
      <c r="G617" t="s">
        <v>795</v>
      </c>
      <c r="H617" s="4">
        <v>41345</v>
      </c>
      <c r="I617" t="s">
        <v>254</v>
      </c>
    </row>
    <row r="618" spans="1:9" x14ac:dyDescent="0.25">
      <c r="A618">
        <v>617</v>
      </c>
      <c r="B618" t="s">
        <v>1512</v>
      </c>
      <c r="C618">
        <v>3588</v>
      </c>
      <c r="D618" t="s">
        <v>1513</v>
      </c>
      <c r="E618" t="s">
        <v>252</v>
      </c>
      <c r="F618" t="s">
        <v>220</v>
      </c>
      <c r="G618" t="s">
        <v>795</v>
      </c>
      <c r="H618" s="4">
        <v>40039</v>
      </c>
      <c r="I618" t="s">
        <v>254</v>
      </c>
    </row>
    <row r="619" spans="1:9" x14ac:dyDescent="0.25">
      <c r="A619">
        <v>618</v>
      </c>
      <c r="B619" t="s">
        <v>1514</v>
      </c>
      <c r="C619">
        <v>3591</v>
      </c>
      <c r="D619" t="s">
        <v>1515</v>
      </c>
      <c r="E619" t="s">
        <v>252</v>
      </c>
      <c r="F619" t="s">
        <v>220</v>
      </c>
      <c r="G619" t="s">
        <v>818</v>
      </c>
      <c r="H619" s="4">
        <v>40494</v>
      </c>
      <c r="I619" t="s">
        <v>254</v>
      </c>
    </row>
    <row r="620" spans="1:9" x14ac:dyDescent="0.25">
      <c r="A620">
        <v>619</v>
      </c>
      <c r="B620" t="s">
        <v>1516</v>
      </c>
      <c r="C620">
        <v>3593</v>
      </c>
      <c r="D620" t="s">
        <v>1517</v>
      </c>
      <c r="E620" t="s">
        <v>252</v>
      </c>
      <c r="F620" t="s">
        <v>220</v>
      </c>
      <c r="G620" t="s">
        <v>450</v>
      </c>
      <c r="H620" s="4">
        <v>39888</v>
      </c>
      <c r="I620" t="s">
        <v>254</v>
      </c>
    </row>
    <row r="621" spans="1:9" x14ac:dyDescent="0.25">
      <c r="A621">
        <v>620</v>
      </c>
      <c r="B621" t="s">
        <v>1518</v>
      </c>
      <c r="C621">
        <v>3596</v>
      </c>
      <c r="D621" t="s">
        <v>1519</v>
      </c>
      <c r="E621" t="s">
        <v>252</v>
      </c>
      <c r="F621" t="s">
        <v>220</v>
      </c>
      <c r="G621" t="s">
        <v>809</v>
      </c>
      <c r="H621" s="4">
        <v>39883</v>
      </c>
      <c r="I621" t="s">
        <v>254</v>
      </c>
    </row>
    <row r="622" spans="1:9" x14ac:dyDescent="0.25">
      <c r="A622">
        <v>621</v>
      </c>
      <c r="B622" t="s">
        <v>1520</v>
      </c>
      <c r="C622">
        <v>3605</v>
      </c>
      <c r="D622" t="s">
        <v>1521</v>
      </c>
      <c r="E622" t="s">
        <v>252</v>
      </c>
      <c r="F622" t="s">
        <v>220</v>
      </c>
      <c r="G622" t="s">
        <v>450</v>
      </c>
      <c r="H622" s="4">
        <v>39898</v>
      </c>
      <c r="I622" t="s">
        <v>254</v>
      </c>
    </row>
    <row r="623" spans="1:9" x14ac:dyDescent="0.25">
      <c r="A623">
        <v>622</v>
      </c>
      <c r="B623" t="s">
        <v>1522</v>
      </c>
      <c r="C623">
        <v>3607</v>
      </c>
      <c r="D623" t="s">
        <v>1523</v>
      </c>
      <c r="E623" t="s">
        <v>252</v>
      </c>
      <c r="F623" t="s">
        <v>220</v>
      </c>
      <c r="G623" t="s">
        <v>450</v>
      </c>
      <c r="H623" s="4">
        <v>40114</v>
      </c>
      <c r="I623" t="s">
        <v>254</v>
      </c>
    </row>
    <row r="624" spans="1:9" x14ac:dyDescent="0.25">
      <c r="A624">
        <v>623</v>
      </c>
      <c r="B624" t="s">
        <v>1524</v>
      </c>
      <c r="C624">
        <v>3617</v>
      </c>
      <c r="D624" t="s">
        <v>1525</v>
      </c>
      <c r="E624" t="s">
        <v>252</v>
      </c>
      <c r="F624" t="s">
        <v>220</v>
      </c>
      <c r="G624" t="s">
        <v>804</v>
      </c>
      <c r="H624" s="4">
        <v>40170</v>
      </c>
      <c r="I624" t="s">
        <v>254</v>
      </c>
    </row>
    <row r="625" spans="1:9" x14ac:dyDescent="0.25">
      <c r="A625">
        <v>624</v>
      </c>
      <c r="B625" t="s">
        <v>1526</v>
      </c>
      <c r="C625">
        <v>3622</v>
      </c>
      <c r="D625" t="s">
        <v>1527</v>
      </c>
      <c r="E625" t="s">
        <v>252</v>
      </c>
      <c r="F625" t="s">
        <v>220</v>
      </c>
      <c r="G625" t="s">
        <v>818</v>
      </c>
      <c r="H625" s="4">
        <v>39897</v>
      </c>
      <c r="I625" t="s">
        <v>254</v>
      </c>
    </row>
    <row r="626" spans="1:9" x14ac:dyDescent="0.25">
      <c r="A626">
        <v>625</v>
      </c>
      <c r="B626" t="s">
        <v>1528</v>
      </c>
      <c r="C626">
        <v>3645</v>
      </c>
      <c r="D626" t="s">
        <v>1529</v>
      </c>
      <c r="E626" t="s">
        <v>252</v>
      </c>
      <c r="F626" t="s">
        <v>220</v>
      </c>
      <c r="G626" t="s">
        <v>450</v>
      </c>
      <c r="H626" s="4">
        <v>40821</v>
      </c>
      <c r="I626" t="s">
        <v>254</v>
      </c>
    </row>
    <row r="627" spans="1:9" x14ac:dyDescent="0.25">
      <c r="A627">
        <v>626</v>
      </c>
      <c r="B627" t="s">
        <v>1530</v>
      </c>
      <c r="C627">
        <v>3653</v>
      </c>
      <c r="D627" t="s">
        <v>1531</v>
      </c>
      <c r="E627" t="s">
        <v>252</v>
      </c>
      <c r="F627" t="s">
        <v>220</v>
      </c>
      <c r="G627" t="s">
        <v>450</v>
      </c>
      <c r="H627" s="4">
        <v>40135</v>
      </c>
      <c r="I627" t="s">
        <v>254</v>
      </c>
    </row>
    <row r="628" spans="1:9" x14ac:dyDescent="0.25">
      <c r="A628">
        <v>627</v>
      </c>
      <c r="B628" t="s">
        <v>1532</v>
      </c>
      <c r="C628">
        <v>3661</v>
      </c>
      <c r="D628" t="s">
        <v>1533</v>
      </c>
      <c r="E628" t="s">
        <v>252</v>
      </c>
      <c r="F628" t="s">
        <v>220</v>
      </c>
      <c r="G628" t="s">
        <v>795</v>
      </c>
      <c r="H628" s="4">
        <v>41940</v>
      </c>
      <c r="I628" t="s">
        <v>254</v>
      </c>
    </row>
    <row r="629" spans="1:9" x14ac:dyDescent="0.25">
      <c r="A629">
        <v>628</v>
      </c>
      <c r="B629" t="s">
        <v>1534</v>
      </c>
      <c r="C629">
        <v>3665</v>
      </c>
      <c r="D629" t="s">
        <v>1535</v>
      </c>
      <c r="E629" t="s">
        <v>252</v>
      </c>
      <c r="F629" t="s">
        <v>220</v>
      </c>
      <c r="G629" t="s">
        <v>804</v>
      </c>
      <c r="H629" s="4">
        <v>40654</v>
      </c>
      <c r="I629" t="s">
        <v>254</v>
      </c>
    </row>
    <row r="630" spans="1:9" x14ac:dyDescent="0.25">
      <c r="A630">
        <v>629</v>
      </c>
      <c r="B630" t="s">
        <v>1536</v>
      </c>
      <c r="C630">
        <v>3669</v>
      </c>
      <c r="D630" t="s">
        <v>1537</v>
      </c>
      <c r="E630" t="s">
        <v>252</v>
      </c>
      <c r="F630" t="s">
        <v>220</v>
      </c>
      <c r="G630" t="s">
        <v>809</v>
      </c>
      <c r="H630" s="4">
        <v>40780</v>
      </c>
      <c r="I630" t="s">
        <v>254</v>
      </c>
    </row>
    <row r="631" spans="1:9" x14ac:dyDescent="0.25">
      <c r="A631">
        <v>630</v>
      </c>
      <c r="B631" t="s">
        <v>1538</v>
      </c>
      <c r="C631">
        <v>3673</v>
      </c>
      <c r="D631" t="s">
        <v>1539</v>
      </c>
      <c r="E631" t="s">
        <v>252</v>
      </c>
      <c r="F631" t="s">
        <v>220</v>
      </c>
      <c r="G631" t="s">
        <v>818</v>
      </c>
      <c r="H631" s="4">
        <v>40480</v>
      </c>
      <c r="I631" t="s">
        <v>1540</v>
      </c>
    </row>
    <row r="632" spans="1:9" x14ac:dyDescent="0.25">
      <c r="A632">
        <v>631</v>
      </c>
      <c r="B632" t="s">
        <v>1541</v>
      </c>
      <c r="C632">
        <v>3679</v>
      </c>
      <c r="D632" t="s">
        <v>1542</v>
      </c>
      <c r="E632" t="s">
        <v>252</v>
      </c>
      <c r="F632" t="s">
        <v>220</v>
      </c>
      <c r="G632" t="s">
        <v>450</v>
      </c>
      <c r="H632" s="4">
        <v>40821</v>
      </c>
      <c r="I632" t="s">
        <v>254</v>
      </c>
    </row>
    <row r="633" spans="1:9" x14ac:dyDescent="0.25">
      <c r="A633">
        <v>632</v>
      </c>
      <c r="B633" t="s">
        <v>1543</v>
      </c>
      <c r="C633">
        <v>3682</v>
      </c>
      <c r="D633" t="s">
        <v>1544</v>
      </c>
      <c r="E633" t="s">
        <v>252</v>
      </c>
      <c r="F633" t="s">
        <v>220</v>
      </c>
      <c r="G633" t="s">
        <v>809</v>
      </c>
      <c r="H633" s="4">
        <v>41491</v>
      </c>
      <c r="I633" t="s">
        <v>254</v>
      </c>
    </row>
    <row r="634" spans="1:9" x14ac:dyDescent="0.25">
      <c r="A634">
        <v>633</v>
      </c>
      <c r="B634" t="s">
        <v>1545</v>
      </c>
      <c r="C634">
        <v>3686</v>
      </c>
      <c r="D634" t="s">
        <v>1546</v>
      </c>
      <c r="E634" t="s">
        <v>252</v>
      </c>
      <c r="F634" t="s">
        <v>220</v>
      </c>
      <c r="G634" t="s">
        <v>795</v>
      </c>
      <c r="H634" s="4">
        <v>40379</v>
      </c>
      <c r="I634" t="s">
        <v>254</v>
      </c>
    </row>
    <row r="635" spans="1:9" x14ac:dyDescent="0.25">
      <c r="A635">
        <v>634</v>
      </c>
      <c r="B635" t="s">
        <v>1547</v>
      </c>
      <c r="C635">
        <v>3694</v>
      </c>
      <c r="D635" t="s">
        <v>1548</v>
      </c>
      <c r="E635" t="s">
        <v>252</v>
      </c>
      <c r="F635" t="s">
        <v>220</v>
      </c>
      <c r="G635" t="s">
        <v>809</v>
      </c>
      <c r="H635" s="4">
        <v>40666</v>
      </c>
      <c r="I635" t="s">
        <v>254</v>
      </c>
    </row>
    <row r="636" spans="1:9" x14ac:dyDescent="0.25">
      <c r="A636">
        <v>635</v>
      </c>
      <c r="B636" t="s">
        <v>1549</v>
      </c>
      <c r="C636">
        <v>3701</v>
      </c>
      <c r="D636" t="s">
        <v>1550</v>
      </c>
      <c r="E636" t="s">
        <v>252</v>
      </c>
      <c r="F636" t="s">
        <v>220</v>
      </c>
      <c r="G636" t="s">
        <v>792</v>
      </c>
      <c r="H636" s="4">
        <v>38229</v>
      </c>
      <c r="I636" t="s">
        <v>254</v>
      </c>
    </row>
    <row r="637" spans="1:9" x14ac:dyDescent="0.25">
      <c r="A637">
        <v>636</v>
      </c>
      <c r="B637" t="s">
        <v>1551</v>
      </c>
      <c r="C637">
        <v>3702</v>
      </c>
      <c r="D637" t="s">
        <v>1552</v>
      </c>
      <c r="E637" t="s">
        <v>252</v>
      </c>
      <c r="F637" t="s">
        <v>220</v>
      </c>
      <c r="G637" t="s">
        <v>847</v>
      </c>
      <c r="H637" s="4">
        <v>38665</v>
      </c>
      <c r="I637" t="s">
        <v>254</v>
      </c>
    </row>
    <row r="638" spans="1:9" x14ac:dyDescent="0.25">
      <c r="A638">
        <v>637</v>
      </c>
      <c r="B638" t="s">
        <v>1553</v>
      </c>
      <c r="C638">
        <v>3703</v>
      </c>
      <c r="D638" t="s">
        <v>1554</v>
      </c>
      <c r="E638" t="s">
        <v>252</v>
      </c>
      <c r="F638" t="s">
        <v>220</v>
      </c>
      <c r="G638" t="s">
        <v>335</v>
      </c>
      <c r="H638" s="4">
        <v>40276</v>
      </c>
      <c r="I638" t="s">
        <v>254</v>
      </c>
    </row>
    <row r="639" spans="1:9" x14ac:dyDescent="0.25">
      <c r="A639">
        <v>638</v>
      </c>
      <c r="B639" t="s">
        <v>1555</v>
      </c>
      <c r="C639">
        <v>3704</v>
      </c>
      <c r="D639" t="s">
        <v>1556</v>
      </c>
      <c r="E639" t="s">
        <v>252</v>
      </c>
      <c r="F639" t="s">
        <v>220</v>
      </c>
      <c r="G639" t="s">
        <v>809</v>
      </c>
      <c r="H639" s="4">
        <v>40406</v>
      </c>
      <c r="I639" t="s">
        <v>254</v>
      </c>
    </row>
    <row r="640" spans="1:9" x14ac:dyDescent="0.25">
      <c r="A640">
        <v>639</v>
      </c>
      <c r="B640" t="s">
        <v>1557</v>
      </c>
      <c r="C640">
        <v>3705</v>
      </c>
      <c r="D640" t="s">
        <v>1558</v>
      </c>
      <c r="E640" t="s">
        <v>252</v>
      </c>
      <c r="F640" t="s">
        <v>220</v>
      </c>
      <c r="G640" t="s">
        <v>546</v>
      </c>
      <c r="H640" s="4">
        <v>40546</v>
      </c>
      <c r="I640" t="s">
        <v>254</v>
      </c>
    </row>
    <row r="641" spans="1:9" x14ac:dyDescent="0.25">
      <c r="A641">
        <v>640</v>
      </c>
      <c r="B641" t="s">
        <v>1559</v>
      </c>
      <c r="C641">
        <v>3706</v>
      </c>
      <c r="D641" t="s">
        <v>1560</v>
      </c>
      <c r="E641" t="s">
        <v>252</v>
      </c>
      <c r="F641" t="s">
        <v>220</v>
      </c>
      <c r="G641" t="s">
        <v>792</v>
      </c>
      <c r="H641" s="4">
        <v>41529</v>
      </c>
      <c r="I641" t="s">
        <v>254</v>
      </c>
    </row>
    <row r="642" spans="1:9" x14ac:dyDescent="0.25">
      <c r="A642">
        <v>641</v>
      </c>
      <c r="B642" t="s">
        <v>1561</v>
      </c>
      <c r="C642">
        <v>3708</v>
      </c>
      <c r="D642" t="s">
        <v>1562</v>
      </c>
      <c r="E642" t="s">
        <v>252</v>
      </c>
      <c r="F642" t="s">
        <v>220</v>
      </c>
      <c r="G642" t="s">
        <v>582</v>
      </c>
      <c r="H642" s="4">
        <v>42613</v>
      </c>
      <c r="I642" t="s">
        <v>254</v>
      </c>
    </row>
    <row r="643" spans="1:9" x14ac:dyDescent="0.25">
      <c r="A643">
        <v>642</v>
      </c>
      <c r="B643" t="s">
        <v>1563</v>
      </c>
      <c r="C643">
        <v>3711</v>
      </c>
      <c r="D643" t="s">
        <v>1564</v>
      </c>
      <c r="E643" t="s">
        <v>252</v>
      </c>
      <c r="F643" t="s">
        <v>220</v>
      </c>
      <c r="G643" t="s">
        <v>795</v>
      </c>
      <c r="H643" s="4">
        <v>43220</v>
      </c>
      <c r="I643" t="s">
        <v>254</v>
      </c>
    </row>
    <row r="644" spans="1:9" x14ac:dyDescent="0.25">
      <c r="A644">
        <v>643</v>
      </c>
      <c r="B644" t="s">
        <v>1565</v>
      </c>
      <c r="C644">
        <v>3712</v>
      </c>
      <c r="D644" t="s">
        <v>1566</v>
      </c>
      <c r="E644" t="s">
        <v>252</v>
      </c>
      <c r="F644" t="s">
        <v>220</v>
      </c>
      <c r="G644" t="s">
        <v>792</v>
      </c>
      <c r="H644" s="4">
        <v>43374</v>
      </c>
      <c r="I644" t="s">
        <v>254</v>
      </c>
    </row>
    <row r="645" spans="1:9" x14ac:dyDescent="0.25">
      <c r="A645">
        <v>644</v>
      </c>
      <c r="B645" t="s">
        <v>1567</v>
      </c>
      <c r="C645">
        <v>3714</v>
      </c>
      <c r="D645" t="s">
        <v>1568</v>
      </c>
      <c r="E645" t="s">
        <v>252</v>
      </c>
      <c r="F645" t="s">
        <v>220</v>
      </c>
      <c r="G645" t="s">
        <v>818</v>
      </c>
      <c r="H645" s="4">
        <v>44202</v>
      </c>
      <c r="I645" t="s">
        <v>254</v>
      </c>
    </row>
    <row r="646" spans="1:9" x14ac:dyDescent="0.25">
      <c r="A646">
        <v>645</v>
      </c>
      <c r="B646" t="s">
        <v>1569</v>
      </c>
      <c r="C646">
        <v>4104</v>
      </c>
      <c r="D646" t="s">
        <v>1570</v>
      </c>
      <c r="E646" t="s">
        <v>252</v>
      </c>
      <c r="F646" t="s">
        <v>220</v>
      </c>
      <c r="G646" t="s">
        <v>546</v>
      </c>
      <c r="H646" s="4">
        <v>39447</v>
      </c>
      <c r="I646" t="s">
        <v>254</v>
      </c>
    </row>
    <row r="647" spans="1:9" x14ac:dyDescent="0.25">
      <c r="A647">
        <v>646</v>
      </c>
      <c r="B647" t="s">
        <v>1571</v>
      </c>
      <c r="C647">
        <v>4106</v>
      </c>
      <c r="D647" t="s">
        <v>1572</v>
      </c>
      <c r="E647" t="s">
        <v>252</v>
      </c>
      <c r="F647" t="s">
        <v>220</v>
      </c>
      <c r="G647" t="s">
        <v>546</v>
      </c>
      <c r="H647" s="4">
        <v>38299</v>
      </c>
      <c r="I647" t="s">
        <v>254</v>
      </c>
    </row>
    <row r="648" spans="1:9" x14ac:dyDescent="0.25">
      <c r="A648">
        <v>647</v>
      </c>
      <c r="B648" t="s">
        <v>1573</v>
      </c>
      <c r="C648">
        <v>4108</v>
      </c>
      <c r="D648" t="s">
        <v>1574</v>
      </c>
      <c r="E648" t="s">
        <v>252</v>
      </c>
      <c r="F648" t="s">
        <v>220</v>
      </c>
      <c r="G648" t="s">
        <v>546</v>
      </c>
      <c r="H648" s="4">
        <v>39645</v>
      </c>
      <c r="I648" t="s">
        <v>254</v>
      </c>
    </row>
    <row r="649" spans="1:9" x14ac:dyDescent="0.25">
      <c r="A649">
        <v>648</v>
      </c>
      <c r="B649" t="s">
        <v>1575</v>
      </c>
      <c r="C649">
        <v>4119</v>
      </c>
      <c r="D649" t="s">
        <v>1576</v>
      </c>
      <c r="E649" t="s">
        <v>252</v>
      </c>
      <c r="F649" t="s">
        <v>220</v>
      </c>
      <c r="G649" t="s">
        <v>546</v>
      </c>
      <c r="H649" s="4">
        <v>37993</v>
      </c>
      <c r="I649" t="s">
        <v>254</v>
      </c>
    </row>
    <row r="650" spans="1:9" x14ac:dyDescent="0.25">
      <c r="A650">
        <v>649</v>
      </c>
      <c r="B650" t="s">
        <v>1577</v>
      </c>
      <c r="C650">
        <v>4133</v>
      </c>
      <c r="D650" t="s">
        <v>1578</v>
      </c>
      <c r="E650" t="s">
        <v>252</v>
      </c>
      <c r="F650" t="s">
        <v>220</v>
      </c>
      <c r="G650" t="s">
        <v>546</v>
      </c>
      <c r="H650" s="4">
        <v>40175</v>
      </c>
      <c r="I650" t="s">
        <v>254</v>
      </c>
    </row>
    <row r="651" spans="1:9" x14ac:dyDescent="0.25">
      <c r="A651">
        <v>650</v>
      </c>
      <c r="B651" t="s">
        <v>1579</v>
      </c>
      <c r="C651">
        <v>4137</v>
      </c>
      <c r="D651" t="s">
        <v>1580</v>
      </c>
      <c r="E651" t="s">
        <v>252</v>
      </c>
      <c r="F651" t="s">
        <v>220</v>
      </c>
      <c r="G651" t="s">
        <v>546</v>
      </c>
      <c r="H651" s="4">
        <v>41605</v>
      </c>
      <c r="I651" t="s">
        <v>254</v>
      </c>
    </row>
    <row r="652" spans="1:9" x14ac:dyDescent="0.25">
      <c r="A652">
        <v>651</v>
      </c>
      <c r="B652" t="s">
        <v>1581</v>
      </c>
      <c r="C652">
        <v>4141</v>
      </c>
      <c r="D652" t="s">
        <v>1582</v>
      </c>
      <c r="E652" t="s">
        <v>252</v>
      </c>
      <c r="F652" t="s">
        <v>220</v>
      </c>
      <c r="G652" t="s">
        <v>546</v>
      </c>
      <c r="H652" s="4">
        <v>41024</v>
      </c>
      <c r="I652" t="s">
        <v>254</v>
      </c>
    </row>
    <row r="653" spans="1:9" x14ac:dyDescent="0.25">
      <c r="A653">
        <v>652</v>
      </c>
      <c r="B653" t="s">
        <v>1583</v>
      </c>
      <c r="C653">
        <v>4142</v>
      </c>
      <c r="D653" t="s">
        <v>1584</v>
      </c>
      <c r="E653" t="s">
        <v>252</v>
      </c>
      <c r="F653" t="s">
        <v>220</v>
      </c>
      <c r="G653" t="s">
        <v>546</v>
      </c>
      <c r="H653" s="4">
        <v>41032</v>
      </c>
      <c r="I653" t="s">
        <v>254</v>
      </c>
    </row>
    <row r="654" spans="1:9" x14ac:dyDescent="0.25">
      <c r="A654">
        <v>653</v>
      </c>
      <c r="B654" t="s">
        <v>1585</v>
      </c>
      <c r="C654">
        <v>4148</v>
      </c>
      <c r="D654" t="s">
        <v>1586</v>
      </c>
      <c r="E654" t="s">
        <v>252</v>
      </c>
      <c r="F654" t="s">
        <v>220</v>
      </c>
      <c r="G654" t="s">
        <v>546</v>
      </c>
      <c r="H654" s="4">
        <v>42894</v>
      </c>
      <c r="I654" t="s">
        <v>254</v>
      </c>
    </row>
    <row r="655" spans="1:9" x14ac:dyDescent="0.25">
      <c r="A655">
        <v>654</v>
      </c>
      <c r="B655" t="s">
        <v>1587</v>
      </c>
      <c r="C655">
        <v>4155</v>
      </c>
      <c r="D655" t="s">
        <v>1588</v>
      </c>
      <c r="E655" t="s">
        <v>252</v>
      </c>
      <c r="F655" t="s">
        <v>220</v>
      </c>
      <c r="G655" t="s">
        <v>546</v>
      </c>
      <c r="H655" s="4">
        <v>43074</v>
      </c>
      <c r="I655" t="s">
        <v>254</v>
      </c>
    </row>
    <row r="656" spans="1:9" x14ac:dyDescent="0.25">
      <c r="A656">
        <v>655</v>
      </c>
      <c r="B656" t="s">
        <v>1589</v>
      </c>
      <c r="C656">
        <v>4164</v>
      </c>
      <c r="D656" t="s">
        <v>1590</v>
      </c>
      <c r="E656" t="s">
        <v>252</v>
      </c>
      <c r="F656" t="s">
        <v>220</v>
      </c>
      <c r="G656" t="s">
        <v>546</v>
      </c>
      <c r="H656" s="4">
        <v>41206</v>
      </c>
      <c r="I656" t="s">
        <v>254</v>
      </c>
    </row>
    <row r="657" spans="1:9" x14ac:dyDescent="0.25">
      <c r="A657">
        <v>656</v>
      </c>
      <c r="B657" t="s">
        <v>1591</v>
      </c>
      <c r="C657">
        <v>4190</v>
      </c>
      <c r="D657" t="s">
        <v>1592</v>
      </c>
      <c r="E657" t="s">
        <v>252</v>
      </c>
      <c r="F657" t="s">
        <v>220</v>
      </c>
      <c r="G657" t="s">
        <v>546</v>
      </c>
      <c r="H657" s="4">
        <v>42298</v>
      </c>
      <c r="I657" t="s">
        <v>254</v>
      </c>
    </row>
    <row r="658" spans="1:9" x14ac:dyDescent="0.25">
      <c r="A658">
        <v>657</v>
      </c>
      <c r="B658" t="s">
        <v>1593</v>
      </c>
      <c r="C658">
        <v>4306</v>
      </c>
      <c r="D658" t="s">
        <v>1594</v>
      </c>
      <c r="E658" t="s">
        <v>252</v>
      </c>
      <c r="F658" t="s">
        <v>220</v>
      </c>
      <c r="G658" t="s">
        <v>310</v>
      </c>
      <c r="H658" s="4">
        <v>39468</v>
      </c>
      <c r="I658" t="s">
        <v>254</v>
      </c>
    </row>
    <row r="659" spans="1:9" x14ac:dyDescent="0.25">
      <c r="A659">
        <v>658</v>
      </c>
      <c r="B659" t="s">
        <v>1595</v>
      </c>
      <c r="C659">
        <v>4414</v>
      </c>
      <c r="D659" t="s">
        <v>1596</v>
      </c>
      <c r="E659" t="s">
        <v>252</v>
      </c>
      <c r="F659" t="s">
        <v>220</v>
      </c>
      <c r="G659" t="s">
        <v>364</v>
      </c>
      <c r="H659" s="4">
        <v>38236</v>
      </c>
      <c r="I659" t="s">
        <v>254</v>
      </c>
    </row>
    <row r="660" spans="1:9" x14ac:dyDescent="0.25">
      <c r="A660">
        <v>659</v>
      </c>
      <c r="B660" t="s">
        <v>1597</v>
      </c>
      <c r="C660">
        <v>4426</v>
      </c>
      <c r="D660" t="s">
        <v>1598</v>
      </c>
      <c r="E660" t="s">
        <v>252</v>
      </c>
      <c r="F660" t="s">
        <v>220</v>
      </c>
      <c r="G660" t="s">
        <v>364</v>
      </c>
      <c r="H660" s="4">
        <v>40893</v>
      </c>
      <c r="I660" t="s">
        <v>254</v>
      </c>
    </row>
    <row r="661" spans="1:9" x14ac:dyDescent="0.25">
      <c r="A661">
        <v>660</v>
      </c>
      <c r="B661" t="s">
        <v>1599</v>
      </c>
      <c r="C661">
        <v>4438</v>
      </c>
      <c r="D661" t="s">
        <v>1600</v>
      </c>
      <c r="E661" t="s">
        <v>252</v>
      </c>
      <c r="F661" t="s">
        <v>220</v>
      </c>
      <c r="G661" t="s">
        <v>364</v>
      </c>
      <c r="H661" s="4">
        <v>42661</v>
      </c>
      <c r="I661" t="s">
        <v>254</v>
      </c>
    </row>
    <row r="662" spans="1:9" x14ac:dyDescent="0.25">
      <c r="A662">
        <v>661</v>
      </c>
      <c r="B662" t="s">
        <v>1601</v>
      </c>
      <c r="C662">
        <v>4439</v>
      </c>
      <c r="D662" t="s">
        <v>1602</v>
      </c>
      <c r="E662" t="s">
        <v>252</v>
      </c>
      <c r="F662" t="s">
        <v>220</v>
      </c>
      <c r="G662" t="s">
        <v>364</v>
      </c>
      <c r="H662" s="4">
        <v>43804</v>
      </c>
      <c r="I662" t="s">
        <v>254</v>
      </c>
    </row>
    <row r="663" spans="1:9" x14ac:dyDescent="0.25">
      <c r="A663">
        <v>662</v>
      </c>
      <c r="B663" t="s">
        <v>1603</v>
      </c>
      <c r="C663">
        <v>4526</v>
      </c>
      <c r="D663" t="s">
        <v>1604</v>
      </c>
      <c r="E663" t="s">
        <v>252</v>
      </c>
      <c r="F663" t="s">
        <v>220</v>
      </c>
      <c r="G663" t="s">
        <v>465</v>
      </c>
      <c r="H663" s="4">
        <v>37879</v>
      </c>
      <c r="I663" t="s">
        <v>254</v>
      </c>
    </row>
    <row r="664" spans="1:9" x14ac:dyDescent="0.25">
      <c r="A664">
        <v>663</v>
      </c>
      <c r="B664" t="s">
        <v>1605</v>
      </c>
      <c r="C664">
        <v>4532</v>
      </c>
      <c r="D664" t="s">
        <v>1606</v>
      </c>
      <c r="E664" t="s">
        <v>252</v>
      </c>
      <c r="F664" t="s">
        <v>220</v>
      </c>
      <c r="G664" t="s">
        <v>465</v>
      </c>
      <c r="H664" s="4">
        <v>37837</v>
      </c>
      <c r="I664" t="s">
        <v>254</v>
      </c>
    </row>
    <row r="665" spans="1:9" x14ac:dyDescent="0.25">
      <c r="A665">
        <v>664</v>
      </c>
      <c r="B665" t="s">
        <v>1607</v>
      </c>
      <c r="C665">
        <v>4536</v>
      </c>
      <c r="D665" t="s">
        <v>1608</v>
      </c>
      <c r="E665" t="s">
        <v>252</v>
      </c>
      <c r="F665" t="s">
        <v>220</v>
      </c>
      <c r="G665" t="s">
        <v>361</v>
      </c>
      <c r="H665" s="4">
        <v>41556</v>
      </c>
      <c r="I665" t="s">
        <v>254</v>
      </c>
    </row>
    <row r="666" spans="1:9" x14ac:dyDescent="0.25">
      <c r="A666">
        <v>665</v>
      </c>
      <c r="B666" t="s">
        <v>1609</v>
      </c>
      <c r="C666">
        <v>4540</v>
      </c>
      <c r="D666" t="s">
        <v>1610</v>
      </c>
      <c r="E666" t="s">
        <v>252</v>
      </c>
      <c r="F666" t="s">
        <v>220</v>
      </c>
      <c r="G666" t="s">
        <v>465</v>
      </c>
      <c r="H666" s="4">
        <v>43327</v>
      </c>
      <c r="I666" t="s">
        <v>254</v>
      </c>
    </row>
    <row r="667" spans="1:9" x14ac:dyDescent="0.25">
      <c r="A667">
        <v>666</v>
      </c>
      <c r="B667" t="s">
        <v>1611</v>
      </c>
      <c r="C667">
        <v>4545</v>
      </c>
      <c r="D667" t="s">
        <v>1612</v>
      </c>
      <c r="E667" t="s">
        <v>252</v>
      </c>
      <c r="F667" t="s">
        <v>220</v>
      </c>
      <c r="G667" t="s">
        <v>450</v>
      </c>
      <c r="H667" s="4">
        <v>42375</v>
      </c>
      <c r="I667" t="s">
        <v>254</v>
      </c>
    </row>
    <row r="668" spans="1:9" x14ac:dyDescent="0.25">
      <c r="A668">
        <v>667</v>
      </c>
      <c r="B668" t="s">
        <v>1613</v>
      </c>
      <c r="C668">
        <v>4551</v>
      </c>
      <c r="D668" t="s">
        <v>1614</v>
      </c>
      <c r="E668" t="s">
        <v>252</v>
      </c>
      <c r="F668" t="s">
        <v>220</v>
      </c>
      <c r="G668" t="s">
        <v>338</v>
      </c>
      <c r="H668" s="4">
        <v>42226</v>
      </c>
      <c r="I668" t="s">
        <v>254</v>
      </c>
    </row>
    <row r="669" spans="1:9" x14ac:dyDescent="0.25">
      <c r="A669">
        <v>668</v>
      </c>
      <c r="B669" t="s">
        <v>1615</v>
      </c>
      <c r="C669">
        <v>4552</v>
      </c>
      <c r="D669" t="s">
        <v>1616</v>
      </c>
      <c r="E669" t="s">
        <v>252</v>
      </c>
      <c r="F669" t="s">
        <v>220</v>
      </c>
      <c r="G669" t="s">
        <v>465</v>
      </c>
      <c r="H669" s="4">
        <v>42571</v>
      </c>
      <c r="I669" t="s">
        <v>254</v>
      </c>
    </row>
    <row r="670" spans="1:9" x14ac:dyDescent="0.25">
      <c r="A670">
        <v>669</v>
      </c>
      <c r="B670" t="s">
        <v>1617</v>
      </c>
      <c r="C670">
        <v>4555</v>
      </c>
      <c r="D670" t="s">
        <v>1618</v>
      </c>
      <c r="E670" t="s">
        <v>252</v>
      </c>
      <c r="F670" t="s">
        <v>220</v>
      </c>
      <c r="G670" t="s">
        <v>465</v>
      </c>
      <c r="H670" s="4">
        <v>42304</v>
      </c>
      <c r="I670" t="s">
        <v>254</v>
      </c>
    </row>
    <row r="671" spans="1:9" x14ac:dyDescent="0.25">
      <c r="A671">
        <v>670</v>
      </c>
      <c r="B671" t="s">
        <v>1619</v>
      </c>
      <c r="C671">
        <v>4557</v>
      </c>
      <c r="D671" t="s">
        <v>1620</v>
      </c>
      <c r="E671" t="s">
        <v>252</v>
      </c>
      <c r="F671" t="s">
        <v>220</v>
      </c>
      <c r="G671" t="s">
        <v>338</v>
      </c>
      <c r="H671" s="4">
        <v>42289</v>
      </c>
      <c r="I671" t="s">
        <v>254</v>
      </c>
    </row>
    <row r="672" spans="1:9" x14ac:dyDescent="0.25">
      <c r="A672">
        <v>671</v>
      </c>
      <c r="B672" t="s">
        <v>1621</v>
      </c>
      <c r="C672">
        <v>4560</v>
      </c>
      <c r="D672" t="s">
        <v>1622</v>
      </c>
      <c r="E672" t="s">
        <v>252</v>
      </c>
      <c r="F672" t="s">
        <v>220</v>
      </c>
      <c r="G672" t="s">
        <v>465</v>
      </c>
      <c r="H672" s="4">
        <v>42881</v>
      </c>
      <c r="I672" t="s">
        <v>254</v>
      </c>
    </row>
    <row r="673" spans="1:9" x14ac:dyDescent="0.25">
      <c r="A673">
        <v>672</v>
      </c>
      <c r="B673" t="s">
        <v>1623</v>
      </c>
      <c r="C673">
        <v>4562</v>
      </c>
      <c r="D673" t="s">
        <v>1624</v>
      </c>
      <c r="E673" t="s">
        <v>252</v>
      </c>
      <c r="F673" t="s">
        <v>220</v>
      </c>
      <c r="G673" t="s">
        <v>465</v>
      </c>
      <c r="H673" s="4">
        <v>42968</v>
      </c>
      <c r="I673" t="s">
        <v>254</v>
      </c>
    </row>
    <row r="674" spans="1:9" x14ac:dyDescent="0.25">
      <c r="A674">
        <v>673</v>
      </c>
      <c r="B674" t="s">
        <v>1625</v>
      </c>
      <c r="C674">
        <v>4564</v>
      </c>
      <c r="D674" t="s">
        <v>1626</v>
      </c>
      <c r="E674" t="s">
        <v>252</v>
      </c>
      <c r="F674" t="s">
        <v>220</v>
      </c>
      <c r="G674" t="s">
        <v>465</v>
      </c>
      <c r="H674" s="4">
        <v>43531</v>
      </c>
      <c r="I674" t="s">
        <v>254</v>
      </c>
    </row>
    <row r="675" spans="1:9" x14ac:dyDescent="0.25">
      <c r="A675">
        <v>674</v>
      </c>
      <c r="B675" t="s">
        <v>1627</v>
      </c>
      <c r="C675">
        <v>4566</v>
      </c>
      <c r="D675" t="s">
        <v>1628</v>
      </c>
      <c r="E675" t="s">
        <v>252</v>
      </c>
      <c r="F675" t="s">
        <v>220</v>
      </c>
      <c r="G675" t="s">
        <v>465</v>
      </c>
      <c r="H675" s="4">
        <v>43136</v>
      </c>
      <c r="I675" t="s">
        <v>254</v>
      </c>
    </row>
    <row r="676" spans="1:9" x14ac:dyDescent="0.25">
      <c r="A676">
        <v>675</v>
      </c>
      <c r="B676" t="s">
        <v>1629</v>
      </c>
      <c r="C676">
        <v>4571</v>
      </c>
      <c r="D676" t="s">
        <v>1630</v>
      </c>
      <c r="E676" t="s">
        <v>252</v>
      </c>
      <c r="F676" t="s">
        <v>220</v>
      </c>
      <c r="G676" t="s">
        <v>465</v>
      </c>
      <c r="H676" s="4">
        <v>43725</v>
      </c>
      <c r="I676" t="s">
        <v>254</v>
      </c>
    </row>
    <row r="677" spans="1:9" x14ac:dyDescent="0.25">
      <c r="A677">
        <v>676</v>
      </c>
      <c r="B677" t="s">
        <v>1631</v>
      </c>
      <c r="C677">
        <v>4572</v>
      </c>
      <c r="D677" t="s">
        <v>1632</v>
      </c>
      <c r="E677" t="s">
        <v>252</v>
      </c>
      <c r="F677" t="s">
        <v>220</v>
      </c>
      <c r="G677" t="s">
        <v>465</v>
      </c>
      <c r="H677" s="4">
        <v>43718</v>
      </c>
      <c r="I677" t="s">
        <v>254</v>
      </c>
    </row>
    <row r="678" spans="1:9" x14ac:dyDescent="0.25">
      <c r="A678">
        <v>677</v>
      </c>
      <c r="B678" t="s">
        <v>1633</v>
      </c>
      <c r="C678">
        <v>4576</v>
      </c>
      <c r="D678" t="s">
        <v>1634</v>
      </c>
      <c r="E678" t="s">
        <v>252</v>
      </c>
      <c r="F678" t="s">
        <v>220</v>
      </c>
      <c r="G678" t="s">
        <v>465</v>
      </c>
      <c r="H678" s="4">
        <v>43712</v>
      </c>
      <c r="I678" t="s">
        <v>254</v>
      </c>
    </row>
    <row r="679" spans="1:9" x14ac:dyDescent="0.25">
      <c r="A679">
        <v>678</v>
      </c>
      <c r="B679" t="s">
        <v>1635</v>
      </c>
      <c r="C679">
        <v>4581</v>
      </c>
      <c r="D679" t="s">
        <v>1636</v>
      </c>
      <c r="E679" t="s">
        <v>252</v>
      </c>
      <c r="F679" t="s">
        <v>220</v>
      </c>
      <c r="G679" t="s">
        <v>338</v>
      </c>
      <c r="H679" s="4">
        <v>43899</v>
      </c>
      <c r="I679" t="s">
        <v>254</v>
      </c>
    </row>
    <row r="680" spans="1:9" x14ac:dyDescent="0.25">
      <c r="A680">
        <v>679</v>
      </c>
      <c r="B680" t="s">
        <v>1637</v>
      </c>
      <c r="C680">
        <v>4720</v>
      </c>
      <c r="D680" t="s">
        <v>1638</v>
      </c>
      <c r="E680" t="s">
        <v>252</v>
      </c>
      <c r="F680" t="s">
        <v>220</v>
      </c>
      <c r="G680" t="s">
        <v>582</v>
      </c>
      <c r="H680" s="4">
        <v>42179</v>
      </c>
      <c r="I680" t="s">
        <v>254</v>
      </c>
    </row>
    <row r="681" spans="1:9" x14ac:dyDescent="0.25">
      <c r="A681">
        <v>680</v>
      </c>
      <c r="B681" t="s">
        <v>1639</v>
      </c>
      <c r="C681">
        <v>4722</v>
      </c>
      <c r="D681" t="s">
        <v>1640</v>
      </c>
      <c r="E681" t="s">
        <v>252</v>
      </c>
      <c r="F681" t="s">
        <v>220</v>
      </c>
      <c r="G681" t="s">
        <v>582</v>
      </c>
      <c r="H681" s="4">
        <v>41136</v>
      </c>
      <c r="I681" t="s">
        <v>254</v>
      </c>
    </row>
    <row r="682" spans="1:9" x14ac:dyDescent="0.25">
      <c r="A682">
        <v>681</v>
      </c>
      <c r="B682" t="s">
        <v>1641</v>
      </c>
      <c r="C682">
        <v>4737</v>
      </c>
      <c r="D682" t="s">
        <v>1642</v>
      </c>
      <c r="E682" t="s">
        <v>252</v>
      </c>
      <c r="F682" t="s">
        <v>220</v>
      </c>
      <c r="G682" t="s">
        <v>546</v>
      </c>
      <c r="H682" s="4">
        <v>40535</v>
      </c>
      <c r="I682" t="s">
        <v>254</v>
      </c>
    </row>
    <row r="683" spans="1:9" x14ac:dyDescent="0.25">
      <c r="A683">
        <v>682</v>
      </c>
      <c r="B683" t="s">
        <v>1643</v>
      </c>
      <c r="C683">
        <v>4739</v>
      </c>
      <c r="D683" t="s">
        <v>1644</v>
      </c>
      <c r="E683" t="s">
        <v>252</v>
      </c>
      <c r="F683" t="s">
        <v>220</v>
      </c>
      <c r="G683" t="s">
        <v>582</v>
      </c>
      <c r="H683" s="4">
        <v>42986</v>
      </c>
      <c r="I683" t="s">
        <v>254</v>
      </c>
    </row>
    <row r="684" spans="1:9" x14ac:dyDescent="0.25">
      <c r="A684">
        <v>683</v>
      </c>
      <c r="B684" t="s">
        <v>1645</v>
      </c>
      <c r="C684">
        <v>4746</v>
      </c>
      <c r="D684" t="s">
        <v>1646</v>
      </c>
      <c r="E684" t="s">
        <v>252</v>
      </c>
      <c r="F684" t="s">
        <v>220</v>
      </c>
      <c r="G684" t="s">
        <v>546</v>
      </c>
      <c r="H684" s="4">
        <v>40603</v>
      </c>
      <c r="I684" t="s">
        <v>254</v>
      </c>
    </row>
    <row r="685" spans="1:9" x14ac:dyDescent="0.25">
      <c r="A685">
        <v>684</v>
      </c>
      <c r="B685" t="s">
        <v>1647</v>
      </c>
      <c r="C685">
        <v>4755</v>
      </c>
      <c r="D685" t="s">
        <v>1648</v>
      </c>
      <c r="E685" t="s">
        <v>252</v>
      </c>
      <c r="F685" t="s">
        <v>220</v>
      </c>
      <c r="G685" t="s">
        <v>582</v>
      </c>
      <c r="H685" s="4">
        <v>41605</v>
      </c>
      <c r="I685" t="s">
        <v>254</v>
      </c>
    </row>
    <row r="686" spans="1:9" x14ac:dyDescent="0.25">
      <c r="A686">
        <v>685</v>
      </c>
      <c r="B686" t="s">
        <v>1649</v>
      </c>
      <c r="C686">
        <v>4763</v>
      </c>
      <c r="D686" t="s">
        <v>1650</v>
      </c>
      <c r="E686" t="s">
        <v>252</v>
      </c>
      <c r="F686" t="s">
        <v>220</v>
      </c>
      <c r="G686" t="s">
        <v>582</v>
      </c>
      <c r="H686" s="4">
        <v>42317</v>
      </c>
      <c r="I686" t="s">
        <v>254</v>
      </c>
    </row>
    <row r="687" spans="1:9" x14ac:dyDescent="0.25">
      <c r="A687">
        <v>686</v>
      </c>
      <c r="B687" t="s">
        <v>1651</v>
      </c>
      <c r="C687">
        <v>4764</v>
      </c>
      <c r="D687" t="s">
        <v>1652</v>
      </c>
      <c r="E687" t="s">
        <v>252</v>
      </c>
      <c r="F687" t="s">
        <v>220</v>
      </c>
      <c r="G687" t="s">
        <v>582</v>
      </c>
      <c r="H687" s="4">
        <v>43104</v>
      </c>
      <c r="I687" t="s">
        <v>254</v>
      </c>
    </row>
    <row r="688" spans="1:9" x14ac:dyDescent="0.25">
      <c r="A688">
        <v>687</v>
      </c>
      <c r="B688" t="s">
        <v>1653</v>
      </c>
      <c r="C688">
        <v>4766</v>
      </c>
      <c r="D688" t="s">
        <v>1654</v>
      </c>
      <c r="E688" t="s">
        <v>252</v>
      </c>
      <c r="F688" t="s">
        <v>220</v>
      </c>
      <c r="G688" t="s">
        <v>582</v>
      </c>
      <c r="H688" s="4">
        <v>43432</v>
      </c>
      <c r="I688" t="s">
        <v>254</v>
      </c>
    </row>
    <row r="689" spans="1:9" x14ac:dyDescent="0.25">
      <c r="A689">
        <v>688</v>
      </c>
      <c r="B689" t="s">
        <v>1655</v>
      </c>
      <c r="C689">
        <v>4807</v>
      </c>
      <c r="D689" t="s">
        <v>1656</v>
      </c>
      <c r="E689" t="s">
        <v>252</v>
      </c>
      <c r="F689" t="s">
        <v>220</v>
      </c>
      <c r="G689" t="s">
        <v>385</v>
      </c>
      <c r="H689" s="4">
        <v>42912</v>
      </c>
      <c r="I689" t="s">
        <v>254</v>
      </c>
    </row>
    <row r="690" spans="1:9" x14ac:dyDescent="0.25">
      <c r="A690">
        <v>689</v>
      </c>
      <c r="B690" t="s">
        <v>1657</v>
      </c>
      <c r="C690">
        <v>4904</v>
      </c>
      <c r="D690" t="s">
        <v>1658</v>
      </c>
      <c r="E690" t="s">
        <v>252</v>
      </c>
      <c r="F690" t="s">
        <v>220</v>
      </c>
      <c r="G690" t="s">
        <v>809</v>
      </c>
      <c r="H690" s="4">
        <v>38588</v>
      </c>
      <c r="I690" t="s">
        <v>254</v>
      </c>
    </row>
    <row r="691" spans="1:9" x14ac:dyDescent="0.25">
      <c r="A691">
        <v>690</v>
      </c>
      <c r="B691" t="s">
        <v>1659</v>
      </c>
      <c r="C691">
        <v>4906</v>
      </c>
      <c r="D691" t="s">
        <v>1660</v>
      </c>
      <c r="E691" t="s">
        <v>252</v>
      </c>
      <c r="F691" t="s">
        <v>220</v>
      </c>
      <c r="G691" t="s">
        <v>809</v>
      </c>
      <c r="H691" s="4">
        <v>37802</v>
      </c>
      <c r="I691" t="s">
        <v>254</v>
      </c>
    </row>
    <row r="692" spans="1:9" x14ac:dyDescent="0.25">
      <c r="A692">
        <v>691</v>
      </c>
      <c r="B692" t="s">
        <v>1661</v>
      </c>
      <c r="C692">
        <v>4912</v>
      </c>
      <c r="D692" t="s">
        <v>1662</v>
      </c>
      <c r="E692" t="s">
        <v>252</v>
      </c>
      <c r="F692" t="s">
        <v>220</v>
      </c>
      <c r="G692" t="s">
        <v>450</v>
      </c>
      <c r="H692" s="4">
        <v>42145</v>
      </c>
      <c r="I692" t="s">
        <v>254</v>
      </c>
    </row>
    <row r="693" spans="1:9" x14ac:dyDescent="0.25">
      <c r="A693">
        <v>692</v>
      </c>
      <c r="B693" t="s">
        <v>1663</v>
      </c>
      <c r="C693">
        <v>4915</v>
      </c>
      <c r="D693" t="s">
        <v>1664</v>
      </c>
      <c r="E693" t="s">
        <v>252</v>
      </c>
      <c r="F693" t="s">
        <v>220</v>
      </c>
      <c r="G693" t="s">
        <v>450</v>
      </c>
      <c r="H693" s="4">
        <v>41187</v>
      </c>
      <c r="I693" t="s">
        <v>254</v>
      </c>
    </row>
    <row r="694" spans="1:9" x14ac:dyDescent="0.25">
      <c r="A694">
        <v>693</v>
      </c>
      <c r="B694" t="s">
        <v>1665</v>
      </c>
      <c r="C694">
        <v>4916</v>
      </c>
      <c r="D694" t="s">
        <v>1666</v>
      </c>
      <c r="E694" t="s">
        <v>252</v>
      </c>
      <c r="F694" t="s">
        <v>220</v>
      </c>
      <c r="G694" t="s">
        <v>792</v>
      </c>
      <c r="H694" s="4">
        <v>41599</v>
      </c>
      <c r="I694" t="s">
        <v>254</v>
      </c>
    </row>
    <row r="695" spans="1:9" x14ac:dyDescent="0.25">
      <c r="A695">
        <v>694</v>
      </c>
      <c r="B695" t="s">
        <v>1667</v>
      </c>
      <c r="C695">
        <v>4919</v>
      </c>
      <c r="D695" t="s">
        <v>1668</v>
      </c>
      <c r="E695" t="s">
        <v>252</v>
      </c>
      <c r="F695" t="s">
        <v>220</v>
      </c>
      <c r="G695" t="s">
        <v>795</v>
      </c>
      <c r="H695" s="4">
        <v>40448</v>
      </c>
      <c r="I695" t="s">
        <v>254</v>
      </c>
    </row>
    <row r="696" spans="1:9" x14ac:dyDescent="0.25">
      <c r="A696">
        <v>695</v>
      </c>
      <c r="B696" t="s">
        <v>1669</v>
      </c>
      <c r="C696">
        <v>4927</v>
      </c>
      <c r="D696" t="s">
        <v>1670</v>
      </c>
      <c r="E696" t="s">
        <v>252</v>
      </c>
      <c r="F696" t="s">
        <v>220</v>
      </c>
      <c r="G696" t="s">
        <v>450</v>
      </c>
      <c r="H696" s="4">
        <v>42255</v>
      </c>
      <c r="I696" t="s">
        <v>254</v>
      </c>
    </row>
    <row r="697" spans="1:9" x14ac:dyDescent="0.25">
      <c r="A697">
        <v>696</v>
      </c>
      <c r="B697" t="s">
        <v>1671</v>
      </c>
      <c r="C697">
        <v>4930</v>
      </c>
      <c r="D697" t="s">
        <v>1672</v>
      </c>
      <c r="E697" t="s">
        <v>252</v>
      </c>
      <c r="F697" t="s">
        <v>220</v>
      </c>
      <c r="G697" t="s">
        <v>549</v>
      </c>
      <c r="H697" s="4">
        <v>40350</v>
      </c>
      <c r="I697" t="s">
        <v>254</v>
      </c>
    </row>
    <row r="698" spans="1:9" x14ac:dyDescent="0.25">
      <c r="A698">
        <v>697</v>
      </c>
      <c r="B698" t="s">
        <v>1673</v>
      </c>
      <c r="C698">
        <v>4934</v>
      </c>
      <c r="D698" t="s">
        <v>1674</v>
      </c>
      <c r="E698" t="s">
        <v>252</v>
      </c>
      <c r="F698" t="s">
        <v>220</v>
      </c>
      <c r="G698" t="s">
        <v>818</v>
      </c>
      <c r="H698" s="4">
        <v>40247</v>
      </c>
      <c r="I698" t="s">
        <v>254</v>
      </c>
    </row>
    <row r="699" spans="1:9" x14ac:dyDescent="0.25">
      <c r="A699">
        <v>698</v>
      </c>
      <c r="B699" t="s">
        <v>1675</v>
      </c>
      <c r="C699">
        <v>4935</v>
      </c>
      <c r="D699" t="s">
        <v>1676</v>
      </c>
      <c r="E699" t="s">
        <v>252</v>
      </c>
      <c r="F699" t="s">
        <v>220</v>
      </c>
      <c r="G699" t="s">
        <v>818</v>
      </c>
      <c r="H699" s="4">
        <v>40752</v>
      </c>
      <c r="I699" t="s">
        <v>254</v>
      </c>
    </row>
    <row r="700" spans="1:9" x14ac:dyDescent="0.25">
      <c r="A700">
        <v>699</v>
      </c>
      <c r="B700" t="s">
        <v>1677</v>
      </c>
      <c r="C700">
        <v>4938</v>
      </c>
      <c r="D700" t="s">
        <v>1678</v>
      </c>
      <c r="E700" t="s">
        <v>252</v>
      </c>
      <c r="F700" t="s">
        <v>220</v>
      </c>
      <c r="G700" t="s">
        <v>792</v>
      </c>
      <c r="H700" s="4">
        <v>40353</v>
      </c>
      <c r="I700" t="s">
        <v>254</v>
      </c>
    </row>
    <row r="701" spans="1:9" x14ac:dyDescent="0.25">
      <c r="A701">
        <v>700</v>
      </c>
      <c r="B701" t="s">
        <v>1679</v>
      </c>
      <c r="C701">
        <v>4942</v>
      </c>
      <c r="D701" t="s">
        <v>1680</v>
      </c>
      <c r="E701" t="s">
        <v>252</v>
      </c>
      <c r="F701" t="s">
        <v>220</v>
      </c>
      <c r="G701" t="s">
        <v>818</v>
      </c>
      <c r="H701" s="4">
        <v>40721</v>
      </c>
      <c r="I701" t="s">
        <v>254</v>
      </c>
    </row>
    <row r="702" spans="1:9" x14ac:dyDescent="0.25">
      <c r="A702">
        <v>701</v>
      </c>
      <c r="B702" t="s">
        <v>1681</v>
      </c>
      <c r="C702">
        <v>4943</v>
      </c>
      <c r="D702" t="s">
        <v>1682</v>
      </c>
      <c r="E702" t="s">
        <v>252</v>
      </c>
      <c r="F702" t="s">
        <v>220</v>
      </c>
      <c r="G702" t="s">
        <v>450</v>
      </c>
      <c r="H702" s="4">
        <v>42685</v>
      </c>
      <c r="I702" t="s">
        <v>254</v>
      </c>
    </row>
    <row r="703" spans="1:9" x14ac:dyDescent="0.25">
      <c r="A703">
        <v>702</v>
      </c>
      <c r="B703" t="s">
        <v>1683</v>
      </c>
      <c r="C703">
        <v>4952</v>
      </c>
      <c r="D703" t="s">
        <v>1684</v>
      </c>
      <c r="E703" t="s">
        <v>252</v>
      </c>
      <c r="F703" t="s">
        <v>220</v>
      </c>
      <c r="G703" t="s">
        <v>795</v>
      </c>
      <c r="H703" s="4">
        <v>40848</v>
      </c>
      <c r="I703" t="s">
        <v>254</v>
      </c>
    </row>
    <row r="704" spans="1:9" x14ac:dyDescent="0.25">
      <c r="A704">
        <v>703</v>
      </c>
      <c r="B704" t="s">
        <v>1685</v>
      </c>
      <c r="C704">
        <v>4956</v>
      </c>
      <c r="D704" t="s">
        <v>1686</v>
      </c>
      <c r="E704" t="s">
        <v>252</v>
      </c>
      <c r="F704" t="s">
        <v>220</v>
      </c>
      <c r="G704" t="s">
        <v>818</v>
      </c>
      <c r="H704" s="4">
        <v>40840</v>
      </c>
      <c r="I704" t="s">
        <v>254</v>
      </c>
    </row>
    <row r="705" spans="1:9" x14ac:dyDescent="0.25">
      <c r="A705">
        <v>704</v>
      </c>
      <c r="B705" t="s">
        <v>1687</v>
      </c>
      <c r="C705">
        <v>4958</v>
      </c>
      <c r="D705" t="s">
        <v>1688</v>
      </c>
      <c r="E705" t="s">
        <v>252</v>
      </c>
      <c r="F705" t="s">
        <v>220</v>
      </c>
      <c r="G705" t="s">
        <v>450</v>
      </c>
      <c r="H705" s="4">
        <v>40903</v>
      </c>
      <c r="I705" t="s">
        <v>254</v>
      </c>
    </row>
    <row r="706" spans="1:9" x14ac:dyDescent="0.25">
      <c r="A706">
        <v>705</v>
      </c>
      <c r="B706" t="s">
        <v>1689</v>
      </c>
      <c r="C706">
        <v>4960</v>
      </c>
      <c r="D706" t="s">
        <v>1690</v>
      </c>
      <c r="E706" t="s">
        <v>252</v>
      </c>
      <c r="F706" t="s">
        <v>220</v>
      </c>
      <c r="G706" t="s">
        <v>818</v>
      </c>
      <c r="H706" s="4">
        <v>40840</v>
      </c>
      <c r="I706" t="s">
        <v>254</v>
      </c>
    </row>
    <row r="707" spans="1:9" x14ac:dyDescent="0.25">
      <c r="A707">
        <v>706</v>
      </c>
      <c r="B707" t="s">
        <v>1691</v>
      </c>
      <c r="C707">
        <v>4961</v>
      </c>
      <c r="D707" t="s">
        <v>1692</v>
      </c>
      <c r="E707" t="s">
        <v>252</v>
      </c>
      <c r="F707" t="s">
        <v>220</v>
      </c>
      <c r="G707" t="s">
        <v>795</v>
      </c>
      <c r="H707" s="4">
        <v>43390</v>
      </c>
      <c r="I707" t="s">
        <v>254</v>
      </c>
    </row>
    <row r="708" spans="1:9" x14ac:dyDescent="0.25">
      <c r="A708">
        <v>707</v>
      </c>
      <c r="B708" t="s">
        <v>1693</v>
      </c>
      <c r="C708">
        <v>4967</v>
      </c>
      <c r="D708" t="s">
        <v>1694</v>
      </c>
      <c r="E708" t="s">
        <v>252</v>
      </c>
      <c r="F708" t="s">
        <v>220</v>
      </c>
      <c r="G708" t="s">
        <v>795</v>
      </c>
      <c r="H708" s="4">
        <v>43479</v>
      </c>
      <c r="I708" t="s">
        <v>254</v>
      </c>
    </row>
    <row r="709" spans="1:9" x14ac:dyDescent="0.25">
      <c r="A709">
        <v>708</v>
      </c>
      <c r="B709" t="s">
        <v>1695</v>
      </c>
      <c r="C709">
        <v>4968</v>
      </c>
      <c r="D709" t="s">
        <v>1696</v>
      </c>
      <c r="E709" t="s">
        <v>252</v>
      </c>
      <c r="F709" t="s">
        <v>220</v>
      </c>
      <c r="G709" t="s">
        <v>795</v>
      </c>
      <c r="H709" s="4">
        <v>42321</v>
      </c>
      <c r="I709" t="s">
        <v>254</v>
      </c>
    </row>
    <row r="710" spans="1:9" x14ac:dyDescent="0.25">
      <c r="A710">
        <v>709</v>
      </c>
      <c r="B710" t="s">
        <v>1697</v>
      </c>
      <c r="C710">
        <v>4976</v>
      </c>
      <c r="D710" t="s">
        <v>1698</v>
      </c>
      <c r="E710" t="s">
        <v>252</v>
      </c>
      <c r="F710" t="s">
        <v>220</v>
      </c>
      <c r="G710" t="s">
        <v>818</v>
      </c>
      <c r="H710" s="4">
        <v>41233</v>
      </c>
      <c r="I710" t="s">
        <v>254</v>
      </c>
    </row>
    <row r="711" spans="1:9" x14ac:dyDescent="0.25">
      <c r="A711">
        <v>710</v>
      </c>
      <c r="B711" t="s">
        <v>1699</v>
      </c>
      <c r="C711">
        <v>4977</v>
      </c>
      <c r="D711" t="s">
        <v>1700</v>
      </c>
      <c r="E711" t="s">
        <v>252</v>
      </c>
      <c r="F711" t="s">
        <v>220</v>
      </c>
      <c r="G711" t="s">
        <v>809</v>
      </c>
      <c r="H711" s="4">
        <v>41598</v>
      </c>
      <c r="I711" t="s">
        <v>254</v>
      </c>
    </row>
    <row r="712" spans="1:9" x14ac:dyDescent="0.25">
      <c r="A712">
        <v>711</v>
      </c>
      <c r="B712" t="s">
        <v>1701</v>
      </c>
      <c r="C712">
        <v>4989</v>
      </c>
      <c r="D712" t="s">
        <v>1702</v>
      </c>
      <c r="E712" t="s">
        <v>252</v>
      </c>
      <c r="F712" t="s">
        <v>220</v>
      </c>
      <c r="G712" t="s">
        <v>450</v>
      </c>
      <c r="H712" s="4">
        <v>43279</v>
      </c>
      <c r="I712" t="s">
        <v>254</v>
      </c>
    </row>
    <row r="713" spans="1:9" x14ac:dyDescent="0.25">
      <c r="A713">
        <v>712</v>
      </c>
      <c r="B713" t="s">
        <v>1703</v>
      </c>
      <c r="C713">
        <v>4994</v>
      </c>
      <c r="D713" t="s">
        <v>1704</v>
      </c>
      <c r="E713" t="s">
        <v>252</v>
      </c>
      <c r="F713" t="s">
        <v>220</v>
      </c>
      <c r="G713" t="s">
        <v>964</v>
      </c>
      <c r="H713" s="4">
        <v>41633</v>
      </c>
      <c r="I713" t="s">
        <v>254</v>
      </c>
    </row>
    <row r="714" spans="1:9" x14ac:dyDescent="0.25">
      <c r="A714">
        <v>713</v>
      </c>
      <c r="B714" t="s">
        <v>1705</v>
      </c>
      <c r="C714">
        <v>4999</v>
      </c>
      <c r="D714" t="s">
        <v>1706</v>
      </c>
      <c r="E714" t="s">
        <v>252</v>
      </c>
      <c r="F714" t="s">
        <v>220</v>
      </c>
      <c r="G714" t="s">
        <v>450</v>
      </c>
      <c r="H714" s="4">
        <v>41428</v>
      </c>
      <c r="I714" t="s">
        <v>254</v>
      </c>
    </row>
    <row r="715" spans="1:9" x14ac:dyDescent="0.25">
      <c r="A715">
        <v>714</v>
      </c>
      <c r="B715" t="s">
        <v>1707</v>
      </c>
      <c r="C715">
        <v>5007</v>
      </c>
      <c r="D715" t="s">
        <v>1708</v>
      </c>
      <c r="E715" t="s">
        <v>252</v>
      </c>
      <c r="F715" t="s">
        <v>220</v>
      </c>
      <c r="G715" t="s">
        <v>677</v>
      </c>
      <c r="H715" s="4">
        <v>40802</v>
      </c>
      <c r="I715" t="s">
        <v>254</v>
      </c>
    </row>
    <row r="716" spans="1:9" x14ac:dyDescent="0.25">
      <c r="A716">
        <v>715</v>
      </c>
      <c r="B716" t="s">
        <v>1709</v>
      </c>
      <c r="C716">
        <v>5203</v>
      </c>
      <c r="D716" t="s">
        <v>1710</v>
      </c>
      <c r="E716" t="s">
        <v>252</v>
      </c>
      <c r="F716" t="s">
        <v>220</v>
      </c>
      <c r="G716" t="s">
        <v>964</v>
      </c>
      <c r="H716" s="4">
        <v>38257</v>
      </c>
      <c r="I716" t="s">
        <v>254</v>
      </c>
    </row>
    <row r="717" spans="1:9" x14ac:dyDescent="0.25">
      <c r="A717">
        <v>716</v>
      </c>
      <c r="B717" t="s">
        <v>1711</v>
      </c>
      <c r="C717">
        <v>5215</v>
      </c>
      <c r="D717" t="s">
        <v>1712</v>
      </c>
      <c r="E717" t="s">
        <v>252</v>
      </c>
      <c r="F717" t="s">
        <v>220</v>
      </c>
      <c r="G717" t="s">
        <v>792</v>
      </c>
      <c r="H717" s="4">
        <v>40903</v>
      </c>
      <c r="I717" t="s">
        <v>254</v>
      </c>
    </row>
    <row r="718" spans="1:9" x14ac:dyDescent="0.25">
      <c r="A718">
        <v>717</v>
      </c>
      <c r="B718" t="s">
        <v>1713</v>
      </c>
      <c r="C718">
        <v>5225</v>
      </c>
      <c r="D718" t="s">
        <v>1714</v>
      </c>
      <c r="E718" t="s">
        <v>252</v>
      </c>
      <c r="F718" t="s">
        <v>220</v>
      </c>
      <c r="G718" t="s">
        <v>804</v>
      </c>
      <c r="H718" s="4">
        <v>41218</v>
      </c>
      <c r="I718" t="s">
        <v>254</v>
      </c>
    </row>
    <row r="719" spans="1:9" x14ac:dyDescent="0.25">
      <c r="A719">
        <v>718</v>
      </c>
      <c r="B719" t="s">
        <v>1715</v>
      </c>
      <c r="C719">
        <v>5234</v>
      </c>
      <c r="D719" t="s">
        <v>1716</v>
      </c>
      <c r="E719" t="s">
        <v>252</v>
      </c>
      <c r="F719" t="s">
        <v>220</v>
      </c>
      <c r="G719" t="s">
        <v>818</v>
      </c>
      <c r="H719" s="4">
        <v>41106</v>
      </c>
      <c r="I719" t="s">
        <v>254</v>
      </c>
    </row>
    <row r="720" spans="1:9" x14ac:dyDescent="0.25">
      <c r="A720">
        <v>719</v>
      </c>
      <c r="B720" t="s">
        <v>1717</v>
      </c>
      <c r="C720">
        <v>5243</v>
      </c>
      <c r="D720" t="s">
        <v>1718</v>
      </c>
      <c r="E720" t="s">
        <v>252</v>
      </c>
      <c r="F720" t="s">
        <v>220</v>
      </c>
      <c r="G720" t="s">
        <v>818</v>
      </c>
      <c r="H720" s="4">
        <v>41603</v>
      </c>
      <c r="I720" t="s">
        <v>254</v>
      </c>
    </row>
    <row r="721" spans="1:9" x14ac:dyDescent="0.25">
      <c r="A721">
        <v>720</v>
      </c>
      <c r="B721" t="s">
        <v>1719</v>
      </c>
      <c r="C721">
        <v>5258</v>
      </c>
      <c r="D721" t="s">
        <v>1720</v>
      </c>
      <c r="E721" t="s">
        <v>252</v>
      </c>
      <c r="F721" t="s">
        <v>220</v>
      </c>
      <c r="G721" t="s">
        <v>792</v>
      </c>
      <c r="H721" s="4">
        <v>42734</v>
      </c>
      <c r="I721" t="s">
        <v>254</v>
      </c>
    </row>
    <row r="722" spans="1:9" x14ac:dyDescent="0.25">
      <c r="A722">
        <v>721</v>
      </c>
      <c r="B722" t="s">
        <v>1721</v>
      </c>
      <c r="C722">
        <v>5269</v>
      </c>
      <c r="D722" t="s">
        <v>1722</v>
      </c>
      <c r="E722" t="s">
        <v>252</v>
      </c>
      <c r="F722" t="s">
        <v>220</v>
      </c>
      <c r="G722" t="s">
        <v>795</v>
      </c>
      <c r="H722" s="4">
        <v>41255</v>
      </c>
      <c r="I722" t="s">
        <v>254</v>
      </c>
    </row>
    <row r="723" spans="1:9" x14ac:dyDescent="0.25">
      <c r="A723">
        <v>722</v>
      </c>
      <c r="B723" t="s">
        <v>1723</v>
      </c>
      <c r="C723">
        <v>5283</v>
      </c>
      <c r="D723" t="s">
        <v>1724</v>
      </c>
      <c r="E723" t="s">
        <v>252</v>
      </c>
      <c r="F723" t="s">
        <v>220</v>
      </c>
      <c r="G723" t="s">
        <v>549</v>
      </c>
      <c r="H723" s="4">
        <v>43609</v>
      </c>
      <c r="I723" t="s">
        <v>254</v>
      </c>
    </row>
    <row r="724" spans="1:9" x14ac:dyDescent="0.25">
      <c r="A724">
        <v>723</v>
      </c>
      <c r="B724" t="s">
        <v>1725</v>
      </c>
      <c r="C724">
        <v>5284</v>
      </c>
      <c r="D724" t="s">
        <v>1726</v>
      </c>
      <c r="E724" t="s">
        <v>252</v>
      </c>
      <c r="F724" t="s">
        <v>220</v>
      </c>
      <c r="G724" t="s">
        <v>361</v>
      </c>
      <c r="H724" s="4">
        <v>42803</v>
      </c>
      <c r="I724" t="s">
        <v>254</v>
      </c>
    </row>
    <row r="725" spans="1:9" x14ac:dyDescent="0.25">
      <c r="A725">
        <v>724</v>
      </c>
      <c r="B725" t="s">
        <v>1727</v>
      </c>
      <c r="C725">
        <v>5285</v>
      </c>
      <c r="D725" t="s">
        <v>1728</v>
      </c>
      <c r="E725" t="s">
        <v>252</v>
      </c>
      <c r="F725" t="s">
        <v>220</v>
      </c>
      <c r="G725" t="s">
        <v>795</v>
      </c>
      <c r="H725" s="4">
        <v>41695</v>
      </c>
      <c r="I725" t="s">
        <v>254</v>
      </c>
    </row>
    <row r="726" spans="1:9" x14ac:dyDescent="0.25">
      <c r="A726">
        <v>725</v>
      </c>
      <c r="B726" t="s">
        <v>1729</v>
      </c>
      <c r="C726">
        <v>5288</v>
      </c>
      <c r="D726" t="s">
        <v>1730</v>
      </c>
      <c r="E726" t="s">
        <v>252</v>
      </c>
      <c r="F726" t="s">
        <v>220</v>
      </c>
      <c r="G726" t="s">
        <v>465</v>
      </c>
      <c r="H726" s="4">
        <v>41907</v>
      </c>
      <c r="I726" t="s">
        <v>254</v>
      </c>
    </row>
    <row r="727" spans="1:9" x14ac:dyDescent="0.25">
      <c r="A727">
        <v>726</v>
      </c>
      <c r="B727" t="s">
        <v>1731</v>
      </c>
      <c r="C727">
        <v>5388</v>
      </c>
      <c r="D727" t="s">
        <v>1732</v>
      </c>
      <c r="E727" t="s">
        <v>252</v>
      </c>
      <c r="F727" t="s">
        <v>220</v>
      </c>
      <c r="G727" t="s">
        <v>809</v>
      </c>
      <c r="H727" s="4">
        <v>39419</v>
      </c>
      <c r="I727" t="s">
        <v>254</v>
      </c>
    </row>
    <row r="728" spans="1:9" x14ac:dyDescent="0.25">
      <c r="A728">
        <v>727</v>
      </c>
      <c r="B728" t="s">
        <v>1733</v>
      </c>
      <c r="C728">
        <v>5434</v>
      </c>
      <c r="D728" t="s">
        <v>1734</v>
      </c>
      <c r="E728" t="s">
        <v>252</v>
      </c>
      <c r="F728" t="s">
        <v>220</v>
      </c>
      <c r="G728" t="s">
        <v>847</v>
      </c>
      <c r="H728" s="4">
        <v>37858</v>
      </c>
      <c r="I728" t="s">
        <v>254</v>
      </c>
    </row>
    <row r="729" spans="1:9" x14ac:dyDescent="0.25">
      <c r="A729">
        <v>728</v>
      </c>
      <c r="B729" t="s">
        <v>1735</v>
      </c>
      <c r="C729">
        <v>5469</v>
      </c>
      <c r="D729" t="s">
        <v>1736</v>
      </c>
      <c r="E729" t="s">
        <v>252</v>
      </c>
      <c r="F729" t="s">
        <v>220</v>
      </c>
      <c r="G729" t="s">
        <v>450</v>
      </c>
      <c r="H729" s="4">
        <v>37858</v>
      </c>
      <c r="I729" t="s">
        <v>254</v>
      </c>
    </row>
    <row r="730" spans="1:9" x14ac:dyDescent="0.25">
      <c r="A730">
        <v>729</v>
      </c>
      <c r="B730" t="s">
        <v>1737</v>
      </c>
      <c r="C730">
        <v>5471</v>
      </c>
      <c r="D730" t="s">
        <v>1738</v>
      </c>
      <c r="E730" t="s">
        <v>252</v>
      </c>
      <c r="F730" t="s">
        <v>220</v>
      </c>
      <c r="G730" t="s">
        <v>795</v>
      </c>
      <c r="H730" s="4">
        <v>37858</v>
      </c>
      <c r="I730" t="s">
        <v>254</v>
      </c>
    </row>
    <row r="731" spans="1:9" x14ac:dyDescent="0.25">
      <c r="A731">
        <v>730</v>
      </c>
      <c r="B731" t="s">
        <v>1739</v>
      </c>
      <c r="C731">
        <v>5484</v>
      </c>
      <c r="D731" t="s">
        <v>1740</v>
      </c>
      <c r="E731" t="s">
        <v>252</v>
      </c>
      <c r="F731" t="s">
        <v>220</v>
      </c>
      <c r="G731" t="s">
        <v>818</v>
      </c>
      <c r="H731" s="4">
        <v>37858</v>
      </c>
      <c r="I731" t="s">
        <v>254</v>
      </c>
    </row>
    <row r="732" spans="1:9" x14ac:dyDescent="0.25">
      <c r="A732">
        <v>731</v>
      </c>
      <c r="B732" t="s">
        <v>1741</v>
      </c>
      <c r="C732">
        <v>5515</v>
      </c>
      <c r="D732" t="s">
        <v>1742</v>
      </c>
      <c r="E732" t="s">
        <v>252</v>
      </c>
      <c r="F732" t="s">
        <v>220</v>
      </c>
      <c r="G732" t="s">
        <v>335</v>
      </c>
      <c r="H732" s="4">
        <v>37900</v>
      </c>
      <c r="I732" t="s">
        <v>254</v>
      </c>
    </row>
    <row r="733" spans="1:9" x14ac:dyDescent="0.25">
      <c r="A733">
        <v>732</v>
      </c>
      <c r="B733" t="s">
        <v>1743</v>
      </c>
      <c r="C733">
        <v>5519</v>
      </c>
      <c r="D733" t="s">
        <v>1744</v>
      </c>
      <c r="E733" t="s">
        <v>252</v>
      </c>
      <c r="F733" t="s">
        <v>220</v>
      </c>
      <c r="G733" t="s">
        <v>335</v>
      </c>
      <c r="H733" s="4">
        <v>41680</v>
      </c>
      <c r="I733" t="s">
        <v>254</v>
      </c>
    </row>
    <row r="734" spans="1:9" x14ac:dyDescent="0.25">
      <c r="A734">
        <v>733</v>
      </c>
      <c r="B734" t="s">
        <v>1745</v>
      </c>
      <c r="C734">
        <v>5521</v>
      </c>
      <c r="D734" t="s">
        <v>1746</v>
      </c>
      <c r="E734" t="s">
        <v>252</v>
      </c>
      <c r="F734" t="s">
        <v>220</v>
      </c>
      <c r="G734" t="s">
        <v>335</v>
      </c>
      <c r="H734" s="4">
        <v>41261</v>
      </c>
      <c r="I734" t="s">
        <v>254</v>
      </c>
    </row>
    <row r="735" spans="1:9" x14ac:dyDescent="0.25">
      <c r="A735">
        <v>734</v>
      </c>
      <c r="B735" t="s">
        <v>1747</v>
      </c>
      <c r="C735">
        <v>5522</v>
      </c>
      <c r="D735" t="s">
        <v>1748</v>
      </c>
      <c r="E735" t="s">
        <v>252</v>
      </c>
      <c r="F735" t="s">
        <v>220</v>
      </c>
      <c r="G735" t="s">
        <v>335</v>
      </c>
      <c r="H735" s="4">
        <v>39300</v>
      </c>
      <c r="I735" t="s">
        <v>254</v>
      </c>
    </row>
    <row r="736" spans="1:9" x14ac:dyDescent="0.25">
      <c r="A736">
        <v>735</v>
      </c>
      <c r="B736" t="s">
        <v>1749</v>
      </c>
      <c r="C736">
        <v>5525</v>
      </c>
      <c r="D736" t="s">
        <v>1750</v>
      </c>
      <c r="E736" t="s">
        <v>252</v>
      </c>
      <c r="F736" t="s">
        <v>220</v>
      </c>
      <c r="G736" t="s">
        <v>335</v>
      </c>
      <c r="H736" s="4">
        <v>38317</v>
      </c>
      <c r="I736" t="s">
        <v>254</v>
      </c>
    </row>
    <row r="737" spans="1:9" x14ac:dyDescent="0.25">
      <c r="A737">
        <v>736</v>
      </c>
      <c r="B737" t="s">
        <v>1751</v>
      </c>
      <c r="C737">
        <v>5531</v>
      </c>
      <c r="D737" t="s">
        <v>1752</v>
      </c>
      <c r="E737" t="s">
        <v>252</v>
      </c>
      <c r="F737" t="s">
        <v>220</v>
      </c>
      <c r="G737" t="s">
        <v>335</v>
      </c>
      <c r="H737" s="4">
        <v>38383</v>
      </c>
      <c r="I737" t="s">
        <v>254</v>
      </c>
    </row>
    <row r="738" spans="1:9" x14ac:dyDescent="0.25">
      <c r="A738">
        <v>737</v>
      </c>
      <c r="B738" t="s">
        <v>1753</v>
      </c>
      <c r="C738">
        <v>5533</v>
      </c>
      <c r="D738" t="s">
        <v>1754</v>
      </c>
      <c r="E738" t="s">
        <v>252</v>
      </c>
      <c r="F738" t="s">
        <v>220</v>
      </c>
      <c r="G738" t="s">
        <v>335</v>
      </c>
      <c r="H738" s="4">
        <v>39568</v>
      </c>
      <c r="I738" t="s">
        <v>254</v>
      </c>
    </row>
    <row r="739" spans="1:9" x14ac:dyDescent="0.25">
      <c r="A739">
        <v>738</v>
      </c>
      <c r="B739" t="s">
        <v>1755</v>
      </c>
      <c r="C739">
        <v>5534</v>
      </c>
      <c r="D739" t="s">
        <v>1756</v>
      </c>
      <c r="E739" t="s">
        <v>252</v>
      </c>
      <c r="F739" t="s">
        <v>220</v>
      </c>
      <c r="G739" t="s">
        <v>335</v>
      </c>
      <c r="H739" s="4">
        <v>38131</v>
      </c>
      <c r="I739" t="s">
        <v>254</v>
      </c>
    </row>
    <row r="740" spans="1:9" x14ac:dyDescent="0.25">
      <c r="A740">
        <v>739</v>
      </c>
      <c r="B740" t="s">
        <v>1757</v>
      </c>
      <c r="C740">
        <v>5538</v>
      </c>
      <c r="D740" t="s">
        <v>1758</v>
      </c>
      <c r="E740" t="s">
        <v>252</v>
      </c>
      <c r="F740" t="s">
        <v>220</v>
      </c>
      <c r="G740" t="s">
        <v>677</v>
      </c>
      <c r="H740" s="4">
        <v>41624</v>
      </c>
      <c r="I740" t="s">
        <v>254</v>
      </c>
    </row>
    <row r="741" spans="1:9" x14ac:dyDescent="0.25">
      <c r="A741">
        <v>740</v>
      </c>
      <c r="B741" t="s">
        <v>1759</v>
      </c>
      <c r="C741">
        <v>5546</v>
      </c>
      <c r="D741" t="s">
        <v>1760</v>
      </c>
      <c r="E741" t="s">
        <v>252</v>
      </c>
      <c r="F741" t="s">
        <v>220</v>
      </c>
      <c r="G741" t="s">
        <v>335</v>
      </c>
      <c r="H741" s="4">
        <v>43971</v>
      </c>
      <c r="I741" t="s">
        <v>254</v>
      </c>
    </row>
    <row r="742" spans="1:9" x14ac:dyDescent="0.25">
      <c r="A742">
        <v>741</v>
      </c>
      <c r="B742" t="s">
        <v>1761</v>
      </c>
      <c r="C742">
        <v>5607</v>
      </c>
      <c r="D742" t="s">
        <v>1762</v>
      </c>
      <c r="E742" t="s">
        <v>252</v>
      </c>
      <c r="F742" t="s">
        <v>220</v>
      </c>
      <c r="G742" t="s">
        <v>767</v>
      </c>
      <c r="H742" s="4">
        <v>38323</v>
      </c>
      <c r="I742" t="s">
        <v>254</v>
      </c>
    </row>
    <row r="743" spans="1:9" x14ac:dyDescent="0.25">
      <c r="A743">
        <v>742</v>
      </c>
      <c r="B743" t="s">
        <v>1763</v>
      </c>
      <c r="C743">
        <v>5608</v>
      </c>
      <c r="D743" t="s">
        <v>1764</v>
      </c>
      <c r="E743" t="s">
        <v>252</v>
      </c>
      <c r="F743" t="s">
        <v>220</v>
      </c>
      <c r="G743" t="s">
        <v>767</v>
      </c>
      <c r="H743" s="4">
        <v>37858</v>
      </c>
      <c r="I743" t="s">
        <v>254</v>
      </c>
    </row>
    <row r="744" spans="1:9" x14ac:dyDescent="0.25">
      <c r="A744">
        <v>743</v>
      </c>
      <c r="B744" t="s">
        <v>1765</v>
      </c>
      <c r="C744">
        <v>5706</v>
      </c>
      <c r="D744" t="s">
        <v>1766</v>
      </c>
      <c r="E744" t="s">
        <v>252</v>
      </c>
      <c r="F744" t="s">
        <v>220</v>
      </c>
      <c r="G744" t="s">
        <v>1176</v>
      </c>
      <c r="H744" s="4">
        <v>40837</v>
      </c>
      <c r="I744" t="s">
        <v>254</v>
      </c>
    </row>
    <row r="745" spans="1:9" x14ac:dyDescent="0.25">
      <c r="A745">
        <v>744</v>
      </c>
      <c r="B745" t="s">
        <v>1767</v>
      </c>
      <c r="C745">
        <v>5871</v>
      </c>
      <c r="D745" t="s">
        <v>1768</v>
      </c>
      <c r="E745" t="s">
        <v>252</v>
      </c>
      <c r="F745" t="s">
        <v>220</v>
      </c>
      <c r="G745" t="s">
        <v>361</v>
      </c>
      <c r="H745" s="4">
        <v>40890</v>
      </c>
      <c r="I745" t="s">
        <v>254</v>
      </c>
    </row>
    <row r="746" spans="1:9" x14ac:dyDescent="0.25">
      <c r="A746">
        <v>745</v>
      </c>
      <c r="B746" t="s">
        <v>1769</v>
      </c>
      <c r="C746">
        <v>5876</v>
      </c>
      <c r="D746" t="s">
        <v>1770</v>
      </c>
      <c r="E746" t="s">
        <v>252</v>
      </c>
      <c r="F746" t="s">
        <v>220</v>
      </c>
      <c r="G746" t="s">
        <v>1203</v>
      </c>
      <c r="H746" s="4">
        <v>43392</v>
      </c>
      <c r="I746" t="s">
        <v>254</v>
      </c>
    </row>
    <row r="747" spans="1:9" x14ac:dyDescent="0.25">
      <c r="A747">
        <v>746</v>
      </c>
      <c r="B747" t="s">
        <v>1771</v>
      </c>
      <c r="C747">
        <v>5880</v>
      </c>
      <c r="D747" t="s">
        <v>1772</v>
      </c>
      <c r="E747" t="s">
        <v>252</v>
      </c>
      <c r="F747" t="s">
        <v>220</v>
      </c>
      <c r="G747" t="s">
        <v>1203</v>
      </c>
      <c r="H747" s="4">
        <v>40878</v>
      </c>
      <c r="I747" t="s">
        <v>254</v>
      </c>
    </row>
    <row r="748" spans="1:9" x14ac:dyDescent="0.25">
      <c r="A748">
        <v>747</v>
      </c>
      <c r="B748" t="s">
        <v>1773</v>
      </c>
      <c r="C748">
        <v>5906</v>
      </c>
      <c r="D748" t="s">
        <v>1774</v>
      </c>
      <c r="E748" t="s">
        <v>252</v>
      </c>
      <c r="F748" t="s">
        <v>220</v>
      </c>
      <c r="G748" t="s">
        <v>385</v>
      </c>
      <c r="H748" s="4">
        <v>40840</v>
      </c>
      <c r="I748" t="s">
        <v>254</v>
      </c>
    </row>
    <row r="749" spans="1:9" x14ac:dyDescent="0.25">
      <c r="A749">
        <v>748</v>
      </c>
      <c r="B749" t="s">
        <v>1775</v>
      </c>
      <c r="C749">
        <v>5907</v>
      </c>
      <c r="D749" t="s">
        <v>1776</v>
      </c>
      <c r="E749" t="s">
        <v>252</v>
      </c>
      <c r="F749" t="s">
        <v>220</v>
      </c>
      <c r="G749" t="s">
        <v>385</v>
      </c>
      <c r="H749" s="4">
        <v>41066</v>
      </c>
      <c r="I749" t="s">
        <v>254</v>
      </c>
    </row>
    <row r="750" spans="1:9" x14ac:dyDescent="0.25">
      <c r="A750">
        <v>749</v>
      </c>
      <c r="B750" t="s">
        <v>1777</v>
      </c>
      <c r="C750">
        <v>6005</v>
      </c>
      <c r="D750" t="s">
        <v>1778</v>
      </c>
      <c r="E750" t="s">
        <v>252</v>
      </c>
      <c r="F750" t="s">
        <v>220</v>
      </c>
      <c r="G750" t="s">
        <v>1203</v>
      </c>
      <c r="H750" s="4">
        <v>38677</v>
      </c>
      <c r="I750" t="s">
        <v>254</v>
      </c>
    </row>
    <row r="751" spans="1:9" x14ac:dyDescent="0.25">
      <c r="A751">
        <v>750</v>
      </c>
      <c r="B751" t="s">
        <v>1779</v>
      </c>
      <c r="C751">
        <v>6024</v>
      </c>
      <c r="D751" t="s">
        <v>1780</v>
      </c>
      <c r="E751" t="s">
        <v>252</v>
      </c>
      <c r="F751" t="s">
        <v>220</v>
      </c>
      <c r="G751" t="s">
        <v>1203</v>
      </c>
      <c r="H751" s="4">
        <v>43024</v>
      </c>
      <c r="I751" t="s">
        <v>254</v>
      </c>
    </row>
    <row r="752" spans="1:9" x14ac:dyDescent="0.25">
      <c r="A752">
        <v>751</v>
      </c>
      <c r="B752" t="s">
        <v>1781</v>
      </c>
      <c r="C752">
        <v>6108</v>
      </c>
      <c r="D752" t="s">
        <v>1782</v>
      </c>
      <c r="E752" t="s">
        <v>252</v>
      </c>
      <c r="F752" t="s">
        <v>220</v>
      </c>
      <c r="G752" t="s">
        <v>450</v>
      </c>
      <c r="H752" s="4">
        <v>39812</v>
      </c>
      <c r="I752" t="s">
        <v>254</v>
      </c>
    </row>
    <row r="753" spans="1:9" x14ac:dyDescent="0.25">
      <c r="A753">
        <v>752</v>
      </c>
      <c r="B753" t="s">
        <v>1783</v>
      </c>
      <c r="C753">
        <v>6112</v>
      </c>
      <c r="D753" t="s">
        <v>1784</v>
      </c>
      <c r="E753" t="s">
        <v>252</v>
      </c>
      <c r="F753" t="s">
        <v>220</v>
      </c>
      <c r="G753" t="s">
        <v>964</v>
      </c>
      <c r="H753" s="4">
        <v>37837</v>
      </c>
      <c r="I753" t="s">
        <v>254</v>
      </c>
    </row>
    <row r="754" spans="1:9" x14ac:dyDescent="0.25">
      <c r="A754">
        <v>753</v>
      </c>
      <c r="B754" t="s">
        <v>1785</v>
      </c>
      <c r="C754">
        <v>6115</v>
      </c>
      <c r="D754" t="s">
        <v>1786</v>
      </c>
      <c r="E754" t="s">
        <v>252</v>
      </c>
      <c r="F754" t="s">
        <v>220</v>
      </c>
      <c r="G754" t="s">
        <v>450</v>
      </c>
      <c r="H754" s="4">
        <v>38187</v>
      </c>
      <c r="I754" t="s">
        <v>254</v>
      </c>
    </row>
    <row r="755" spans="1:9" x14ac:dyDescent="0.25">
      <c r="A755">
        <v>754</v>
      </c>
      <c r="B755" t="s">
        <v>1787</v>
      </c>
      <c r="C755">
        <v>6116</v>
      </c>
      <c r="D755" t="s">
        <v>1788</v>
      </c>
      <c r="E755" t="s">
        <v>252</v>
      </c>
      <c r="F755" t="s">
        <v>220</v>
      </c>
      <c r="G755" t="s">
        <v>818</v>
      </c>
      <c r="H755" s="4">
        <v>38236</v>
      </c>
      <c r="I755" t="s">
        <v>254</v>
      </c>
    </row>
    <row r="756" spans="1:9" x14ac:dyDescent="0.25">
      <c r="A756">
        <v>755</v>
      </c>
      <c r="B756" t="s">
        <v>1789</v>
      </c>
      <c r="C756">
        <v>6117</v>
      </c>
      <c r="D756" t="s">
        <v>1790</v>
      </c>
      <c r="E756" t="s">
        <v>252</v>
      </c>
      <c r="F756" t="s">
        <v>220</v>
      </c>
      <c r="G756" t="s">
        <v>792</v>
      </c>
      <c r="H756" s="4">
        <v>37858</v>
      </c>
      <c r="I756" t="s">
        <v>254</v>
      </c>
    </row>
    <row r="757" spans="1:9" x14ac:dyDescent="0.25">
      <c r="A757">
        <v>756</v>
      </c>
      <c r="B757" t="s">
        <v>1791</v>
      </c>
      <c r="C757">
        <v>6120</v>
      </c>
      <c r="D757" t="s">
        <v>1792</v>
      </c>
      <c r="E757" t="s">
        <v>252</v>
      </c>
      <c r="F757" t="s">
        <v>220</v>
      </c>
      <c r="G757" t="s">
        <v>818</v>
      </c>
      <c r="H757" s="4">
        <v>38973</v>
      </c>
      <c r="I757" t="s">
        <v>254</v>
      </c>
    </row>
    <row r="758" spans="1:9" x14ac:dyDescent="0.25">
      <c r="A758">
        <v>757</v>
      </c>
      <c r="B758" t="s">
        <v>1793</v>
      </c>
      <c r="C758">
        <v>6128</v>
      </c>
      <c r="D758" t="s">
        <v>1794</v>
      </c>
      <c r="E758" t="s">
        <v>252</v>
      </c>
      <c r="F758" t="s">
        <v>220</v>
      </c>
      <c r="G758" t="s">
        <v>792</v>
      </c>
      <c r="H758" s="4">
        <v>37788</v>
      </c>
      <c r="I758" t="s">
        <v>254</v>
      </c>
    </row>
    <row r="759" spans="1:9" x14ac:dyDescent="0.25">
      <c r="A759">
        <v>758</v>
      </c>
      <c r="B759" t="s">
        <v>1795</v>
      </c>
      <c r="C759">
        <v>6133</v>
      </c>
      <c r="D759" t="s">
        <v>1796</v>
      </c>
      <c r="E759" t="s">
        <v>252</v>
      </c>
      <c r="F759" t="s">
        <v>220</v>
      </c>
      <c r="G759" t="s">
        <v>450</v>
      </c>
      <c r="H759" s="4">
        <v>37848</v>
      </c>
      <c r="I759" t="s">
        <v>254</v>
      </c>
    </row>
    <row r="760" spans="1:9" x14ac:dyDescent="0.25">
      <c r="A760">
        <v>759</v>
      </c>
      <c r="B760" t="s">
        <v>1797</v>
      </c>
      <c r="C760">
        <v>6136</v>
      </c>
      <c r="D760" t="s">
        <v>1798</v>
      </c>
      <c r="E760" t="s">
        <v>252</v>
      </c>
      <c r="F760" t="s">
        <v>220</v>
      </c>
      <c r="G760" t="s">
        <v>809</v>
      </c>
      <c r="H760" s="4">
        <v>37858</v>
      </c>
      <c r="I760" t="s">
        <v>254</v>
      </c>
    </row>
    <row r="761" spans="1:9" x14ac:dyDescent="0.25">
      <c r="A761">
        <v>760</v>
      </c>
      <c r="B761" t="s">
        <v>1799</v>
      </c>
      <c r="C761">
        <v>6139</v>
      </c>
      <c r="D761" t="s">
        <v>1800</v>
      </c>
      <c r="E761" t="s">
        <v>252</v>
      </c>
      <c r="F761" t="s">
        <v>220</v>
      </c>
      <c r="G761" t="s">
        <v>804</v>
      </c>
      <c r="H761" s="4">
        <v>37858</v>
      </c>
      <c r="I761" t="s">
        <v>254</v>
      </c>
    </row>
    <row r="762" spans="1:9" x14ac:dyDescent="0.25">
      <c r="A762">
        <v>761</v>
      </c>
      <c r="B762" t="s">
        <v>1801</v>
      </c>
      <c r="C762">
        <v>6141</v>
      </c>
      <c r="D762" t="s">
        <v>1802</v>
      </c>
      <c r="E762" t="s">
        <v>252</v>
      </c>
      <c r="F762" t="s">
        <v>220</v>
      </c>
      <c r="G762" t="s">
        <v>450</v>
      </c>
      <c r="H762" s="4">
        <v>37916</v>
      </c>
      <c r="I762" t="s">
        <v>254</v>
      </c>
    </row>
    <row r="763" spans="1:9" x14ac:dyDescent="0.25">
      <c r="A763">
        <v>762</v>
      </c>
      <c r="B763" t="s">
        <v>1803</v>
      </c>
      <c r="C763">
        <v>6142</v>
      </c>
      <c r="D763" t="s">
        <v>1804</v>
      </c>
      <c r="E763" t="s">
        <v>252</v>
      </c>
      <c r="F763" t="s">
        <v>220</v>
      </c>
      <c r="G763" t="s">
        <v>809</v>
      </c>
      <c r="H763" s="4">
        <v>37837</v>
      </c>
      <c r="I763" t="s">
        <v>254</v>
      </c>
    </row>
    <row r="764" spans="1:9" x14ac:dyDescent="0.25">
      <c r="A764">
        <v>763</v>
      </c>
      <c r="B764" t="s">
        <v>1805</v>
      </c>
      <c r="C764">
        <v>6152</v>
      </c>
      <c r="D764" t="s">
        <v>1806</v>
      </c>
      <c r="E764" t="s">
        <v>252</v>
      </c>
      <c r="F764" t="s">
        <v>220</v>
      </c>
      <c r="G764" t="s">
        <v>809</v>
      </c>
      <c r="H764" s="4">
        <v>40155</v>
      </c>
      <c r="I764" t="s">
        <v>254</v>
      </c>
    </row>
    <row r="765" spans="1:9" x14ac:dyDescent="0.25">
      <c r="A765">
        <v>764</v>
      </c>
      <c r="B765" t="s">
        <v>1807</v>
      </c>
      <c r="C765">
        <v>6153</v>
      </c>
      <c r="D765" t="s">
        <v>1808</v>
      </c>
      <c r="E765" t="s">
        <v>252</v>
      </c>
      <c r="F765" t="s">
        <v>220</v>
      </c>
      <c r="G765" t="s">
        <v>450</v>
      </c>
      <c r="H765" s="4">
        <v>39468</v>
      </c>
      <c r="I765" t="s">
        <v>254</v>
      </c>
    </row>
    <row r="766" spans="1:9" x14ac:dyDescent="0.25">
      <c r="A766">
        <v>765</v>
      </c>
      <c r="B766" t="s">
        <v>1809</v>
      </c>
      <c r="C766">
        <v>6155</v>
      </c>
      <c r="D766" t="s">
        <v>1810</v>
      </c>
      <c r="E766" t="s">
        <v>252</v>
      </c>
      <c r="F766" t="s">
        <v>220</v>
      </c>
      <c r="G766" t="s">
        <v>450</v>
      </c>
      <c r="H766" s="4">
        <v>38947</v>
      </c>
      <c r="I766" t="s">
        <v>254</v>
      </c>
    </row>
    <row r="767" spans="1:9" x14ac:dyDescent="0.25">
      <c r="A767">
        <v>766</v>
      </c>
      <c r="B767" t="s">
        <v>1811</v>
      </c>
      <c r="C767">
        <v>6164</v>
      </c>
      <c r="D767" t="s">
        <v>1812</v>
      </c>
      <c r="E767" t="s">
        <v>252</v>
      </c>
      <c r="F767" t="s">
        <v>220</v>
      </c>
      <c r="G767" t="s">
        <v>818</v>
      </c>
      <c r="H767" s="4">
        <v>39742</v>
      </c>
      <c r="I767" t="s">
        <v>254</v>
      </c>
    </row>
    <row r="768" spans="1:9" x14ac:dyDescent="0.25">
      <c r="A768">
        <v>767</v>
      </c>
      <c r="B768" t="s">
        <v>1813</v>
      </c>
      <c r="C768">
        <v>6165</v>
      </c>
      <c r="D768" t="s">
        <v>1814</v>
      </c>
      <c r="E768" t="s">
        <v>252</v>
      </c>
      <c r="F768" t="s">
        <v>220</v>
      </c>
      <c r="G768" t="s">
        <v>361</v>
      </c>
      <c r="H768" s="4">
        <v>37837</v>
      </c>
      <c r="I768" t="s">
        <v>254</v>
      </c>
    </row>
    <row r="769" spans="1:9" x14ac:dyDescent="0.25">
      <c r="A769">
        <v>768</v>
      </c>
      <c r="B769" t="s">
        <v>1815</v>
      </c>
      <c r="C769">
        <v>6166</v>
      </c>
      <c r="D769" t="s">
        <v>1816</v>
      </c>
      <c r="E769" t="s">
        <v>252</v>
      </c>
      <c r="F769" t="s">
        <v>220</v>
      </c>
      <c r="G769" t="s">
        <v>792</v>
      </c>
      <c r="H769" s="4">
        <v>38299</v>
      </c>
      <c r="I769" t="s">
        <v>254</v>
      </c>
    </row>
    <row r="770" spans="1:9" x14ac:dyDescent="0.25">
      <c r="A770">
        <v>769</v>
      </c>
      <c r="B770" t="s">
        <v>1817</v>
      </c>
      <c r="C770">
        <v>6168</v>
      </c>
      <c r="D770" t="s">
        <v>1818</v>
      </c>
      <c r="E770" t="s">
        <v>252</v>
      </c>
      <c r="F770" t="s">
        <v>220</v>
      </c>
      <c r="G770" t="s">
        <v>818</v>
      </c>
      <c r="H770" s="4">
        <v>37858</v>
      </c>
      <c r="I770" t="s">
        <v>254</v>
      </c>
    </row>
    <row r="771" spans="1:9" x14ac:dyDescent="0.25">
      <c r="A771">
        <v>770</v>
      </c>
      <c r="B771" t="s">
        <v>1819</v>
      </c>
      <c r="C771">
        <v>6172</v>
      </c>
      <c r="D771" t="s">
        <v>1820</v>
      </c>
      <c r="E771" t="s">
        <v>252</v>
      </c>
      <c r="F771" t="s">
        <v>220</v>
      </c>
      <c r="G771" t="s">
        <v>792</v>
      </c>
      <c r="H771" s="4">
        <v>38131</v>
      </c>
      <c r="I771" t="s">
        <v>254</v>
      </c>
    </row>
    <row r="772" spans="1:9" x14ac:dyDescent="0.25">
      <c r="A772">
        <v>771</v>
      </c>
      <c r="B772" t="s">
        <v>1821</v>
      </c>
      <c r="C772">
        <v>6176</v>
      </c>
      <c r="D772" t="s">
        <v>1822</v>
      </c>
      <c r="E772" t="s">
        <v>252</v>
      </c>
      <c r="F772" t="s">
        <v>220</v>
      </c>
      <c r="G772" t="s">
        <v>818</v>
      </c>
      <c r="H772" s="4">
        <v>39217</v>
      </c>
      <c r="I772" t="s">
        <v>254</v>
      </c>
    </row>
    <row r="773" spans="1:9" x14ac:dyDescent="0.25">
      <c r="A773">
        <v>772</v>
      </c>
      <c r="B773" t="s">
        <v>1823</v>
      </c>
      <c r="C773">
        <v>6177</v>
      </c>
      <c r="D773" t="s">
        <v>1824</v>
      </c>
      <c r="E773" t="s">
        <v>252</v>
      </c>
      <c r="F773" t="s">
        <v>220</v>
      </c>
      <c r="G773" t="s">
        <v>335</v>
      </c>
      <c r="H773" s="4">
        <v>41487</v>
      </c>
      <c r="I773" t="s">
        <v>254</v>
      </c>
    </row>
    <row r="774" spans="1:9" x14ac:dyDescent="0.25">
      <c r="A774">
        <v>773</v>
      </c>
      <c r="B774" t="s">
        <v>1825</v>
      </c>
      <c r="C774">
        <v>6183</v>
      </c>
      <c r="D774" t="s">
        <v>1826</v>
      </c>
      <c r="E774" t="s">
        <v>252</v>
      </c>
      <c r="F774" t="s">
        <v>220</v>
      </c>
      <c r="G774" t="s">
        <v>964</v>
      </c>
      <c r="H774" s="4">
        <v>40878</v>
      </c>
      <c r="I774" t="s">
        <v>254</v>
      </c>
    </row>
    <row r="775" spans="1:9" x14ac:dyDescent="0.25">
      <c r="A775">
        <v>774</v>
      </c>
      <c r="B775" t="s">
        <v>1827</v>
      </c>
      <c r="C775">
        <v>6184</v>
      </c>
      <c r="D775" t="s">
        <v>1828</v>
      </c>
      <c r="E775" t="s">
        <v>252</v>
      </c>
      <c r="F775" t="s">
        <v>220</v>
      </c>
      <c r="G775" t="s">
        <v>361</v>
      </c>
      <c r="H775" s="4">
        <v>38398</v>
      </c>
      <c r="I775" t="s">
        <v>254</v>
      </c>
    </row>
    <row r="776" spans="1:9" x14ac:dyDescent="0.25">
      <c r="A776">
        <v>775</v>
      </c>
      <c r="B776" t="s">
        <v>1829</v>
      </c>
      <c r="C776">
        <v>6189</v>
      </c>
      <c r="D776" t="s">
        <v>1830</v>
      </c>
      <c r="E776" t="s">
        <v>252</v>
      </c>
      <c r="F776" t="s">
        <v>220</v>
      </c>
      <c r="G776" t="s">
        <v>847</v>
      </c>
      <c r="H776" s="4">
        <v>38131</v>
      </c>
      <c r="I776" t="s">
        <v>254</v>
      </c>
    </row>
    <row r="777" spans="1:9" x14ac:dyDescent="0.25">
      <c r="A777">
        <v>776</v>
      </c>
      <c r="B777" t="s">
        <v>1831</v>
      </c>
      <c r="C777">
        <v>6191</v>
      </c>
      <c r="D777" t="s">
        <v>1832</v>
      </c>
      <c r="E777" t="s">
        <v>252</v>
      </c>
      <c r="F777" t="s">
        <v>220</v>
      </c>
      <c r="G777" t="s">
        <v>450</v>
      </c>
      <c r="H777" s="4">
        <v>39374</v>
      </c>
      <c r="I777" t="s">
        <v>254</v>
      </c>
    </row>
    <row r="778" spans="1:9" x14ac:dyDescent="0.25">
      <c r="A778">
        <v>777</v>
      </c>
      <c r="B778" t="s">
        <v>1833</v>
      </c>
      <c r="C778">
        <v>6192</v>
      </c>
      <c r="D778" t="s">
        <v>1834</v>
      </c>
      <c r="E778" t="s">
        <v>252</v>
      </c>
      <c r="F778" t="s">
        <v>220</v>
      </c>
      <c r="G778" t="s">
        <v>804</v>
      </c>
      <c r="H778" s="4">
        <v>38257</v>
      </c>
      <c r="I778" t="s">
        <v>254</v>
      </c>
    </row>
    <row r="779" spans="1:9" x14ac:dyDescent="0.25">
      <c r="A779">
        <v>778</v>
      </c>
      <c r="B779" t="s">
        <v>1835</v>
      </c>
      <c r="C779">
        <v>6196</v>
      </c>
      <c r="D779" t="s">
        <v>1836</v>
      </c>
      <c r="E779" t="s">
        <v>252</v>
      </c>
      <c r="F779" t="s">
        <v>220</v>
      </c>
      <c r="G779" t="s">
        <v>804</v>
      </c>
      <c r="H779" s="4">
        <v>38131</v>
      </c>
      <c r="I779" t="s">
        <v>254</v>
      </c>
    </row>
    <row r="780" spans="1:9" x14ac:dyDescent="0.25">
      <c r="A780">
        <v>779</v>
      </c>
      <c r="B780" t="s">
        <v>1837</v>
      </c>
      <c r="C780">
        <v>6197</v>
      </c>
      <c r="D780" t="s">
        <v>1838</v>
      </c>
      <c r="E780" t="s">
        <v>252</v>
      </c>
      <c r="F780" t="s">
        <v>220</v>
      </c>
      <c r="G780" t="s">
        <v>450</v>
      </c>
      <c r="H780" s="4">
        <v>38299</v>
      </c>
      <c r="I780" t="s">
        <v>254</v>
      </c>
    </row>
    <row r="781" spans="1:9" x14ac:dyDescent="0.25">
      <c r="A781">
        <v>780</v>
      </c>
      <c r="B781" t="s">
        <v>1839</v>
      </c>
      <c r="C781">
        <v>6201</v>
      </c>
      <c r="D781" t="s">
        <v>1840</v>
      </c>
      <c r="E781" t="s">
        <v>252</v>
      </c>
      <c r="F781" t="s">
        <v>220</v>
      </c>
      <c r="G781" t="s">
        <v>804</v>
      </c>
      <c r="H781" s="4">
        <v>38257</v>
      </c>
      <c r="I781" t="s">
        <v>254</v>
      </c>
    </row>
    <row r="782" spans="1:9" x14ac:dyDescent="0.25">
      <c r="A782">
        <v>781</v>
      </c>
      <c r="B782" t="s">
        <v>1841</v>
      </c>
      <c r="C782">
        <v>6202</v>
      </c>
      <c r="D782" t="s">
        <v>1842</v>
      </c>
      <c r="E782" t="s">
        <v>252</v>
      </c>
      <c r="F782" t="s">
        <v>220</v>
      </c>
      <c r="G782" t="s">
        <v>795</v>
      </c>
      <c r="H782" s="4">
        <v>38257</v>
      </c>
      <c r="I782" t="s">
        <v>254</v>
      </c>
    </row>
    <row r="783" spans="1:9" x14ac:dyDescent="0.25">
      <c r="A783">
        <v>782</v>
      </c>
      <c r="B783" t="s">
        <v>1843</v>
      </c>
      <c r="C783">
        <v>6205</v>
      </c>
      <c r="D783" t="s">
        <v>1844</v>
      </c>
      <c r="E783" t="s">
        <v>252</v>
      </c>
      <c r="F783" t="s">
        <v>220</v>
      </c>
      <c r="G783" t="s">
        <v>450</v>
      </c>
      <c r="H783" s="4">
        <v>39468</v>
      </c>
      <c r="I783" t="s">
        <v>254</v>
      </c>
    </row>
    <row r="784" spans="1:9" x14ac:dyDescent="0.25">
      <c r="A784">
        <v>783</v>
      </c>
      <c r="B784" t="s">
        <v>1845</v>
      </c>
      <c r="C784">
        <v>6206</v>
      </c>
      <c r="D784" t="s">
        <v>1846</v>
      </c>
      <c r="E784" t="s">
        <v>252</v>
      </c>
      <c r="F784" t="s">
        <v>220</v>
      </c>
      <c r="G784" t="s">
        <v>792</v>
      </c>
      <c r="H784" s="4">
        <v>38202</v>
      </c>
      <c r="I784" t="s">
        <v>254</v>
      </c>
    </row>
    <row r="785" spans="1:9" x14ac:dyDescent="0.25">
      <c r="A785">
        <v>784</v>
      </c>
      <c r="B785" t="s">
        <v>1847</v>
      </c>
      <c r="C785">
        <v>6209</v>
      </c>
      <c r="D785" t="s">
        <v>1848</v>
      </c>
      <c r="E785" t="s">
        <v>252</v>
      </c>
      <c r="F785" t="s">
        <v>220</v>
      </c>
      <c r="G785" t="s">
        <v>818</v>
      </c>
      <c r="H785" s="4">
        <v>38299</v>
      </c>
      <c r="I785" t="s">
        <v>254</v>
      </c>
    </row>
    <row r="786" spans="1:9" x14ac:dyDescent="0.25">
      <c r="A786">
        <v>785</v>
      </c>
      <c r="B786" t="s">
        <v>1849</v>
      </c>
      <c r="C786">
        <v>6213</v>
      </c>
      <c r="D786" t="s">
        <v>1850</v>
      </c>
      <c r="E786" t="s">
        <v>252</v>
      </c>
      <c r="F786" t="s">
        <v>220</v>
      </c>
      <c r="G786" t="s">
        <v>450</v>
      </c>
      <c r="H786" s="4">
        <v>39468</v>
      </c>
      <c r="I786" t="s">
        <v>254</v>
      </c>
    </row>
    <row r="787" spans="1:9" x14ac:dyDescent="0.25">
      <c r="A787">
        <v>786</v>
      </c>
      <c r="B787" t="s">
        <v>1851</v>
      </c>
      <c r="C787">
        <v>6214</v>
      </c>
      <c r="D787" t="s">
        <v>1852</v>
      </c>
      <c r="E787" t="s">
        <v>252</v>
      </c>
      <c r="F787" t="s">
        <v>220</v>
      </c>
      <c r="G787" t="s">
        <v>964</v>
      </c>
      <c r="H787" s="4">
        <v>40542</v>
      </c>
      <c r="I787" t="s">
        <v>254</v>
      </c>
    </row>
    <row r="788" spans="1:9" x14ac:dyDescent="0.25">
      <c r="A788">
        <v>787</v>
      </c>
      <c r="B788" t="s">
        <v>1853</v>
      </c>
      <c r="C788">
        <v>6215</v>
      </c>
      <c r="D788" t="s">
        <v>1854</v>
      </c>
      <c r="E788" t="s">
        <v>252</v>
      </c>
      <c r="F788" t="s">
        <v>220</v>
      </c>
      <c r="G788" t="s">
        <v>804</v>
      </c>
      <c r="H788" s="4">
        <v>39447</v>
      </c>
      <c r="I788" t="s">
        <v>254</v>
      </c>
    </row>
    <row r="789" spans="1:9" x14ac:dyDescent="0.25">
      <c r="A789">
        <v>788</v>
      </c>
      <c r="B789" t="s">
        <v>1855</v>
      </c>
      <c r="C789">
        <v>6216</v>
      </c>
      <c r="D789" t="s">
        <v>1856</v>
      </c>
      <c r="E789" t="s">
        <v>252</v>
      </c>
      <c r="F789" t="s">
        <v>220</v>
      </c>
      <c r="G789" t="s">
        <v>809</v>
      </c>
      <c r="H789" s="4">
        <v>38257</v>
      </c>
      <c r="I789" t="s">
        <v>254</v>
      </c>
    </row>
    <row r="790" spans="1:9" x14ac:dyDescent="0.25">
      <c r="A790">
        <v>789</v>
      </c>
      <c r="B790" t="s">
        <v>1857</v>
      </c>
      <c r="C790">
        <v>6224</v>
      </c>
      <c r="D790" t="s">
        <v>1858</v>
      </c>
      <c r="E790" t="s">
        <v>252</v>
      </c>
      <c r="F790" t="s">
        <v>220</v>
      </c>
      <c r="G790" t="s">
        <v>450</v>
      </c>
      <c r="H790" s="4">
        <v>40073</v>
      </c>
      <c r="I790" t="s">
        <v>254</v>
      </c>
    </row>
    <row r="791" spans="1:9" x14ac:dyDescent="0.25">
      <c r="A791">
        <v>790</v>
      </c>
      <c r="B791" t="s">
        <v>1859</v>
      </c>
      <c r="C791">
        <v>6225</v>
      </c>
      <c r="D791" t="s">
        <v>1860</v>
      </c>
      <c r="E791" t="s">
        <v>252</v>
      </c>
      <c r="F791" t="s">
        <v>220</v>
      </c>
      <c r="G791" t="s">
        <v>818</v>
      </c>
      <c r="H791" s="4">
        <v>38257</v>
      </c>
      <c r="I791" t="s">
        <v>254</v>
      </c>
    </row>
    <row r="792" spans="1:9" x14ac:dyDescent="0.25">
      <c r="A792">
        <v>791</v>
      </c>
      <c r="B792" t="s">
        <v>1861</v>
      </c>
      <c r="C792">
        <v>6226</v>
      </c>
      <c r="D792" t="s">
        <v>1862</v>
      </c>
      <c r="E792" t="s">
        <v>252</v>
      </c>
      <c r="F792" t="s">
        <v>220</v>
      </c>
      <c r="G792" t="s">
        <v>818</v>
      </c>
      <c r="H792" s="4">
        <v>39762</v>
      </c>
      <c r="I792" t="s">
        <v>254</v>
      </c>
    </row>
    <row r="793" spans="1:9" x14ac:dyDescent="0.25">
      <c r="A793">
        <v>792</v>
      </c>
      <c r="B793" t="s">
        <v>1863</v>
      </c>
      <c r="C793">
        <v>6230</v>
      </c>
      <c r="D793" t="s">
        <v>1864</v>
      </c>
      <c r="E793" t="s">
        <v>252</v>
      </c>
      <c r="F793" t="s">
        <v>220</v>
      </c>
      <c r="G793" t="s">
        <v>792</v>
      </c>
      <c r="H793" s="4">
        <v>40437</v>
      </c>
      <c r="I793" t="s">
        <v>254</v>
      </c>
    </row>
    <row r="794" spans="1:9" x14ac:dyDescent="0.25">
      <c r="A794">
        <v>793</v>
      </c>
      <c r="B794" t="s">
        <v>1865</v>
      </c>
      <c r="C794">
        <v>6235</v>
      </c>
      <c r="D794" t="s">
        <v>1866</v>
      </c>
      <c r="E794" t="s">
        <v>252</v>
      </c>
      <c r="F794" t="s">
        <v>220</v>
      </c>
      <c r="G794" t="s">
        <v>792</v>
      </c>
      <c r="H794" s="4">
        <v>38222</v>
      </c>
      <c r="I794" t="s">
        <v>254</v>
      </c>
    </row>
    <row r="795" spans="1:9" x14ac:dyDescent="0.25">
      <c r="A795">
        <v>794</v>
      </c>
      <c r="B795" t="s">
        <v>1867</v>
      </c>
      <c r="C795">
        <v>6239</v>
      </c>
      <c r="D795" t="s">
        <v>1868</v>
      </c>
      <c r="E795" t="s">
        <v>252</v>
      </c>
      <c r="F795" t="s">
        <v>220</v>
      </c>
      <c r="G795" t="s">
        <v>795</v>
      </c>
      <c r="H795" s="4">
        <v>38299</v>
      </c>
      <c r="I795" t="s">
        <v>254</v>
      </c>
    </row>
    <row r="796" spans="1:9" x14ac:dyDescent="0.25">
      <c r="A796">
        <v>795</v>
      </c>
      <c r="B796" t="s">
        <v>1869</v>
      </c>
      <c r="C796">
        <v>6243</v>
      </c>
      <c r="D796" t="s">
        <v>1870</v>
      </c>
      <c r="E796" t="s">
        <v>252</v>
      </c>
      <c r="F796" t="s">
        <v>220</v>
      </c>
      <c r="G796" t="s">
        <v>795</v>
      </c>
      <c r="H796" s="4">
        <v>40164</v>
      </c>
      <c r="I796" t="s">
        <v>254</v>
      </c>
    </row>
    <row r="797" spans="1:9" x14ac:dyDescent="0.25">
      <c r="A797">
        <v>796</v>
      </c>
      <c r="B797" t="s">
        <v>1871</v>
      </c>
      <c r="C797">
        <v>6251</v>
      </c>
      <c r="D797" t="s">
        <v>1872</v>
      </c>
      <c r="E797" t="s">
        <v>252</v>
      </c>
      <c r="F797" t="s">
        <v>220</v>
      </c>
      <c r="G797" t="s">
        <v>450</v>
      </c>
      <c r="H797" s="4">
        <v>39890</v>
      </c>
      <c r="I797" t="s">
        <v>254</v>
      </c>
    </row>
    <row r="798" spans="1:9" x14ac:dyDescent="0.25">
      <c r="A798">
        <v>797</v>
      </c>
      <c r="B798" t="s">
        <v>1873</v>
      </c>
      <c r="C798">
        <v>6257</v>
      </c>
      <c r="D798" t="s">
        <v>1874</v>
      </c>
      <c r="E798" t="s">
        <v>252</v>
      </c>
      <c r="F798" t="s">
        <v>220</v>
      </c>
      <c r="G798" t="s">
        <v>795</v>
      </c>
      <c r="H798" s="4">
        <v>37858</v>
      </c>
      <c r="I798" t="s">
        <v>254</v>
      </c>
    </row>
    <row r="799" spans="1:9" x14ac:dyDescent="0.25">
      <c r="A799">
        <v>798</v>
      </c>
      <c r="B799" t="s">
        <v>1875</v>
      </c>
      <c r="C799">
        <v>6269</v>
      </c>
      <c r="D799" t="s">
        <v>1876</v>
      </c>
      <c r="E799" t="s">
        <v>252</v>
      </c>
      <c r="F799" t="s">
        <v>220</v>
      </c>
      <c r="G799" t="s">
        <v>450</v>
      </c>
      <c r="H799" s="4">
        <v>37887</v>
      </c>
      <c r="I799" t="s">
        <v>254</v>
      </c>
    </row>
    <row r="800" spans="1:9" x14ac:dyDescent="0.25">
      <c r="A800">
        <v>799</v>
      </c>
      <c r="B800" t="s">
        <v>1877</v>
      </c>
      <c r="C800">
        <v>6271</v>
      </c>
      <c r="D800" t="s">
        <v>1878</v>
      </c>
      <c r="E800" t="s">
        <v>252</v>
      </c>
      <c r="F800" t="s">
        <v>220</v>
      </c>
      <c r="G800" t="s">
        <v>795</v>
      </c>
      <c r="H800" s="4">
        <v>39402</v>
      </c>
      <c r="I800" t="s">
        <v>254</v>
      </c>
    </row>
    <row r="801" spans="1:9" x14ac:dyDescent="0.25">
      <c r="A801">
        <v>800</v>
      </c>
      <c r="B801" t="s">
        <v>1879</v>
      </c>
      <c r="C801">
        <v>6277</v>
      </c>
      <c r="D801" t="s">
        <v>1880</v>
      </c>
      <c r="E801" t="s">
        <v>252</v>
      </c>
      <c r="F801" t="s">
        <v>220</v>
      </c>
      <c r="G801" t="s">
        <v>792</v>
      </c>
      <c r="H801" s="4">
        <v>37924</v>
      </c>
      <c r="I801" t="s">
        <v>254</v>
      </c>
    </row>
    <row r="802" spans="1:9" x14ac:dyDescent="0.25">
      <c r="A802">
        <v>801</v>
      </c>
      <c r="B802" t="s">
        <v>1881</v>
      </c>
      <c r="C802">
        <v>6278</v>
      </c>
      <c r="D802" t="s">
        <v>1882</v>
      </c>
      <c r="E802" t="s">
        <v>252</v>
      </c>
      <c r="F802" t="s">
        <v>220</v>
      </c>
      <c r="G802" t="s">
        <v>818</v>
      </c>
      <c r="H802" s="4">
        <v>40414</v>
      </c>
      <c r="I802" t="s">
        <v>254</v>
      </c>
    </row>
    <row r="803" spans="1:9" x14ac:dyDescent="0.25">
      <c r="A803">
        <v>802</v>
      </c>
      <c r="B803" t="s">
        <v>1883</v>
      </c>
      <c r="C803">
        <v>6281</v>
      </c>
      <c r="D803" t="s">
        <v>1884</v>
      </c>
      <c r="E803" t="s">
        <v>252</v>
      </c>
      <c r="F803" t="s">
        <v>220</v>
      </c>
      <c r="G803" t="s">
        <v>847</v>
      </c>
      <c r="H803" s="4">
        <v>38694</v>
      </c>
      <c r="I803" t="s">
        <v>254</v>
      </c>
    </row>
    <row r="804" spans="1:9" x14ac:dyDescent="0.25">
      <c r="A804">
        <v>803</v>
      </c>
      <c r="B804" t="s">
        <v>1885</v>
      </c>
      <c r="C804">
        <v>6282</v>
      </c>
      <c r="D804" t="s">
        <v>1886</v>
      </c>
      <c r="E804" t="s">
        <v>252</v>
      </c>
      <c r="F804" t="s">
        <v>220</v>
      </c>
      <c r="G804" t="s">
        <v>450</v>
      </c>
      <c r="H804" s="4">
        <v>37872</v>
      </c>
      <c r="I804" t="s">
        <v>254</v>
      </c>
    </row>
    <row r="805" spans="1:9" x14ac:dyDescent="0.25">
      <c r="A805">
        <v>804</v>
      </c>
      <c r="B805" t="s">
        <v>1887</v>
      </c>
      <c r="C805">
        <v>6283</v>
      </c>
      <c r="D805" t="s">
        <v>1888</v>
      </c>
      <c r="E805" t="s">
        <v>252</v>
      </c>
      <c r="F805" t="s">
        <v>220</v>
      </c>
      <c r="G805" t="s">
        <v>804</v>
      </c>
      <c r="H805" s="4">
        <v>39468</v>
      </c>
      <c r="I805" t="s">
        <v>254</v>
      </c>
    </row>
    <row r="806" spans="1:9" x14ac:dyDescent="0.25">
      <c r="A806">
        <v>805</v>
      </c>
      <c r="B806" t="s">
        <v>1889</v>
      </c>
      <c r="C806">
        <v>6285</v>
      </c>
      <c r="D806" t="s">
        <v>1890</v>
      </c>
      <c r="E806" t="s">
        <v>252</v>
      </c>
      <c r="F806" t="s">
        <v>220</v>
      </c>
      <c r="G806" t="s">
        <v>809</v>
      </c>
      <c r="H806" s="4">
        <v>37886</v>
      </c>
      <c r="I806" t="s">
        <v>254</v>
      </c>
    </row>
    <row r="807" spans="1:9" x14ac:dyDescent="0.25">
      <c r="A807">
        <v>806</v>
      </c>
      <c r="B807" t="s">
        <v>1891</v>
      </c>
      <c r="C807">
        <v>6288</v>
      </c>
      <c r="D807" t="s">
        <v>1892</v>
      </c>
      <c r="E807" t="s">
        <v>252</v>
      </c>
      <c r="F807" t="s">
        <v>220</v>
      </c>
      <c r="G807" t="s">
        <v>338</v>
      </c>
      <c r="H807" s="4">
        <v>43229</v>
      </c>
      <c r="I807" t="s">
        <v>254</v>
      </c>
    </row>
    <row r="808" spans="1:9" x14ac:dyDescent="0.25">
      <c r="A808">
        <v>807</v>
      </c>
      <c r="B808" t="s">
        <v>1893</v>
      </c>
      <c r="C808">
        <v>6289</v>
      </c>
      <c r="D808" t="s">
        <v>1894</v>
      </c>
      <c r="E808" t="s">
        <v>252</v>
      </c>
      <c r="F808" t="s">
        <v>220</v>
      </c>
      <c r="G808" t="s">
        <v>818</v>
      </c>
      <c r="H808" s="4">
        <v>37861</v>
      </c>
      <c r="I808" t="s">
        <v>254</v>
      </c>
    </row>
    <row r="809" spans="1:9" x14ac:dyDescent="0.25">
      <c r="A809">
        <v>808</v>
      </c>
      <c r="B809" t="s">
        <v>1895</v>
      </c>
      <c r="C809">
        <v>6405</v>
      </c>
      <c r="D809" t="s">
        <v>1896</v>
      </c>
      <c r="E809" t="s">
        <v>252</v>
      </c>
      <c r="F809" t="s">
        <v>220</v>
      </c>
      <c r="G809" t="s">
        <v>818</v>
      </c>
      <c r="H809" s="4">
        <v>41606</v>
      </c>
      <c r="I809" t="s">
        <v>254</v>
      </c>
    </row>
    <row r="810" spans="1:9" x14ac:dyDescent="0.25">
      <c r="A810">
        <v>809</v>
      </c>
      <c r="B810" t="s">
        <v>1897</v>
      </c>
      <c r="C810">
        <v>6409</v>
      </c>
      <c r="D810" t="s">
        <v>1898</v>
      </c>
      <c r="E810" t="s">
        <v>252</v>
      </c>
      <c r="F810" t="s">
        <v>220</v>
      </c>
      <c r="G810" t="s">
        <v>804</v>
      </c>
      <c r="H810" s="4">
        <v>41729</v>
      </c>
      <c r="I810" t="s">
        <v>254</v>
      </c>
    </row>
    <row r="811" spans="1:9" x14ac:dyDescent="0.25">
      <c r="A811">
        <v>810</v>
      </c>
      <c r="B811" t="s">
        <v>1899</v>
      </c>
      <c r="C811">
        <v>6412</v>
      </c>
      <c r="D811" t="s">
        <v>1900</v>
      </c>
      <c r="E811" t="s">
        <v>252</v>
      </c>
      <c r="F811" t="s">
        <v>220</v>
      </c>
      <c r="G811" t="s">
        <v>450</v>
      </c>
      <c r="H811" s="4">
        <v>41586</v>
      </c>
      <c r="I811" t="s">
        <v>254</v>
      </c>
    </row>
    <row r="812" spans="1:9" x14ac:dyDescent="0.25">
      <c r="A812">
        <v>811</v>
      </c>
      <c r="B812" t="s">
        <v>1901</v>
      </c>
      <c r="C812">
        <v>6414</v>
      </c>
      <c r="D812" t="s">
        <v>1902</v>
      </c>
      <c r="E812" t="s">
        <v>252</v>
      </c>
      <c r="F812" t="s">
        <v>220</v>
      </c>
      <c r="G812" t="s">
        <v>792</v>
      </c>
      <c r="H812" s="4">
        <v>41726</v>
      </c>
      <c r="I812" t="s">
        <v>254</v>
      </c>
    </row>
    <row r="813" spans="1:9" x14ac:dyDescent="0.25">
      <c r="A813">
        <v>812</v>
      </c>
      <c r="B813" t="s">
        <v>1903</v>
      </c>
      <c r="C813">
        <v>6415</v>
      </c>
      <c r="D813" t="s">
        <v>1904</v>
      </c>
      <c r="E813" t="s">
        <v>252</v>
      </c>
      <c r="F813" t="s">
        <v>220</v>
      </c>
      <c r="G813" t="s">
        <v>795</v>
      </c>
      <c r="H813" s="4">
        <v>41620</v>
      </c>
      <c r="I813" t="s">
        <v>254</v>
      </c>
    </row>
    <row r="814" spans="1:9" x14ac:dyDescent="0.25">
      <c r="A814">
        <v>813</v>
      </c>
      <c r="B814" t="s">
        <v>1905</v>
      </c>
      <c r="C814">
        <v>6416</v>
      </c>
      <c r="D814" t="s">
        <v>1906</v>
      </c>
      <c r="E814" t="s">
        <v>252</v>
      </c>
      <c r="F814" t="s">
        <v>220</v>
      </c>
      <c r="G814" t="s">
        <v>809</v>
      </c>
      <c r="H814" s="4">
        <v>43206</v>
      </c>
      <c r="I814" t="s">
        <v>254</v>
      </c>
    </row>
    <row r="815" spans="1:9" x14ac:dyDescent="0.25">
      <c r="A815">
        <v>814</v>
      </c>
      <c r="B815" t="s">
        <v>1907</v>
      </c>
      <c r="C815">
        <v>6426</v>
      </c>
      <c r="D815" t="s">
        <v>1908</v>
      </c>
      <c r="E815" t="s">
        <v>252</v>
      </c>
      <c r="F815" t="s">
        <v>220</v>
      </c>
      <c r="G815" t="s">
        <v>809</v>
      </c>
      <c r="H815" s="4">
        <v>44279</v>
      </c>
      <c r="I815" t="s">
        <v>254</v>
      </c>
    </row>
    <row r="816" spans="1:9" x14ac:dyDescent="0.25">
      <c r="A816">
        <v>815</v>
      </c>
      <c r="B816" t="s">
        <v>1909</v>
      </c>
      <c r="C816">
        <v>6431</v>
      </c>
      <c r="D816" t="s">
        <v>1910</v>
      </c>
      <c r="E816" t="s">
        <v>252</v>
      </c>
      <c r="F816" t="s">
        <v>220</v>
      </c>
      <c r="G816" t="s">
        <v>818</v>
      </c>
      <c r="H816" s="4">
        <v>41977</v>
      </c>
      <c r="I816" t="s">
        <v>254</v>
      </c>
    </row>
    <row r="817" spans="1:9" x14ac:dyDescent="0.25">
      <c r="A817">
        <v>816</v>
      </c>
      <c r="B817" t="s">
        <v>1911</v>
      </c>
      <c r="C817">
        <v>6438</v>
      </c>
      <c r="D817" t="s">
        <v>1912</v>
      </c>
      <c r="E817" t="s">
        <v>252</v>
      </c>
      <c r="F817" t="s">
        <v>220</v>
      </c>
      <c r="G817" t="s">
        <v>804</v>
      </c>
      <c r="H817" s="4">
        <v>44215</v>
      </c>
      <c r="I817" t="s">
        <v>254</v>
      </c>
    </row>
    <row r="818" spans="1:9" x14ac:dyDescent="0.25">
      <c r="A818">
        <v>817</v>
      </c>
      <c r="B818" t="s">
        <v>1913</v>
      </c>
      <c r="C818">
        <v>6442</v>
      </c>
      <c r="D818" t="s">
        <v>1914</v>
      </c>
      <c r="E818" t="s">
        <v>252</v>
      </c>
      <c r="F818" t="s">
        <v>220</v>
      </c>
      <c r="G818" t="s">
        <v>809</v>
      </c>
      <c r="H818" s="4">
        <v>42199</v>
      </c>
      <c r="I818" t="s">
        <v>254</v>
      </c>
    </row>
    <row r="819" spans="1:9" x14ac:dyDescent="0.25">
      <c r="A819">
        <v>818</v>
      </c>
      <c r="B819" t="s">
        <v>1915</v>
      </c>
      <c r="C819">
        <v>6443</v>
      </c>
      <c r="D819" t="s">
        <v>1916</v>
      </c>
      <c r="E819" t="s">
        <v>252</v>
      </c>
      <c r="F819" t="s">
        <v>220</v>
      </c>
      <c r="G819" t="s">
        <v>818</v>
      </c>
      <c r="H819" s="4">
        <v>42278</v>
      </c>
      <c r="I819" t="s">
        <v>254</v>
      </c>
    </row>
    <row r="820" spans="1:9" x14ac:dyDescent="0.25">
      <c r="A820">
        <v>819</v>
      </c>
      <c r="B820" t="s">
        <v>1917</v>
      </c>
      <c r="C820">
        <v>6449</v>
      </c>
      <c r="D820" t="s">
        <v>1918</v>
      </c>
      <c r="E820" t="s">
        <v>252</v>
      </c>
      <c r="F820" t="s">
        <v>220</v>
      </c>
      <c r="G820" t="s">
        <v>450</v>
      </c>
      <c r="H820" s="4">
        <v>41982</v>
      </c>
      <c r="I820" t="s">
        <v>254</v>
      </c>
    </row>
    <row r="821" spans="1:9" x14ac:dyDescent="0.25">
      <c r="A821">
        <v>820</v>
      </c>
      <c r="B821" t="s">
        <v>1919</v>
      </c>
      <c r="C821">
        <v>6451</v>
      </c>
      <c r="D821" t="s">
        <v>1920</v>
      </c>
      <c r="E821" t="s">
        <v>252</v>
      </c>
      <c r="F821" t="s">
        <v>220</v>
      </c>
      <c r="G821" t="s">
        <v>795</v>
      </c>
      <c r="H821" s="4">
        <v>42030</v>
      </c>
      <c r="I821" t="s">
        <v>254</v>
      </c>
    </row>
    <row r="822" spans="1:9" x14ac:dyDescent="0.25">
      <c r="A822">
        <v>821</v>
      </c>
      <c r="B822" t="s">
        <v>1921</v>
      </c>
      <c r="C822">
        <v>6456</v>
      </c>
      <c r="D822" t="s">
        <v>1922</v>
      </c>
      <c r="E822" t="s">
        <v>252</v>
      </c>
      <c r="F822" t="s">
        <v>220</v>
      </c>
      <c r="G822" t="s">
        <v>818</v>
      </c>
      <c r="H822" s="4">
        <v>42167</v>
      </c>
      <c r="I822" t="s">
        <v>254</v>
      </c>
    </row>
    <row r="823" spans="1:9" x14ac:dyDescent="0.25">
      <c r="A823">
        <v>822</v>
      </c>
      <c r="B823" t="s">
        <v>1923</v>
      </c>
      <c r="C823">
        <v>6464</v>
      </c>
      <c r="D823" t="s">
        <v>1924</v>
      </c>
      <c r="E823" t="s">
        <v>252</v>
      </c>
      <c r="F823" t="s">
        <v>220</v>
      </c>
      <c r="G823" t="s">
        <v>361</v>
      </c>
      <c r="H823" s="4">
        <v>42354</v>
      </c>
      <c r="I823" t="s">
        <v>254</v>
      </c>
    </row>
    <row r="824" spans="1:9" x14ac:dyDescent="0.25">
      <c r="A824">
        <v>823</v>
      </c>
      <c r="B824" t="s">
        <v>1925</v>
      </c>
      <c r="C824">
        <v>6477</v>
      </c>
      <c r="D824" t="s">
        <v>1926</v>
      </c>
      <c r="E824" t="s">
        <v>252</v>
      </c>
      <c r="F824" t="s">
        <v>220</v>
      </c>
      <c r="G824" t="s">
        <v>818</v>
      </c>
      <c r="H824" s="4">
        <v>42542</v>
      </c>
      <c r="I824" t="s">
        <v>254</v>
      </c>
    </row>
    <row r="825" spans="1:9" x14ac:dyDescent="0.25">
      <c r="A825">
        <v>824</v>
      </c>
      <c r="B825" t="s">
        <v>1927</v>
      </c>
      <c r="C825">
        <v>6491</v>
      </c>
      <c r="D825" t="s">
        <v>1928</v>
      </c>
      <c r="E825" t="s">
        <v>252</v>
      </c>
      <c r="F825" t="s">
        <v>220</v>
      </c>
      <c r="G825" t="s">
        <v>546</v>
      </c>
      <c r="H825" s="4">
        <v>43745</v>
      </c>
      <c r="I825" t="s">
        <v>254</v>
      </c>
    </row>
    <row r="826" spans="1:9" x14ac:dyDescent="0.25">
      <c r="A826">
        <v>825</v>
      </c>
      <c r="B826" t="s">
        <v>1929</v>
      </c>
      <c r="C826">
        <v>6504</v>
      </c>
      <c r="D826" t="s">
        <v>1930</v>
      </c>
      <c r="E826" t="s">
        <v>252</v>
      </c>
      <c r="F826" t="s">
        <v>220</v>
      </c>
      <c r="G826" t="s">
        <v>361</v>
      </c>
      <c r="H826" s="4">
        <v>41401</v>
      </c>
      <c r="I826" t="s">
        <v>254</v>
      </c>
    </row>
    <row r="827" spans="1:9" x14ac:dyDescent="0.25">
      <c r="A827">
        <v>826</v>
      </c>
      <c r="B827" t="s">
        <v>1931</v>
      </c>
      <c r="C827">
        <v>6505</v>
      </c>
      <c r="D827" t="s">
        <v>1932</v>
      </c>
      <c r="E827" t="s">
        <v>252</v>
      </c>
      <c r="F827" t="s">
        <v>220</v>
      </c>
      <c r="G827" t="s">
        <v>1157</v>
      </c>
      <c r="H827" s="4">
        <v>37981</v>
      </c>
      <c r="I827" t="s">
        <v>254</v>
      </c>
    </row>
    <row r="828" spans="1:9" x14ac:dyDescent="0.25">
      <c r="A828">
        <v>827</v>
      </c>
      <c r="B828" t="s">
        <v>1933</v>
      </c>
      <c r="C828">
        <v>6515</v>
      </c>
      <c r="D828" t="s">
        <v>1934</v>
      </c>
      <c r="E828" t="s">
        <v>252</v>
      </c>
      <c r="F828" t="s">
        <v>220</v>
      </c>
      <c r="G828" t="s">
        <v>795</v>
      </c>
      <c r="H828" s="4">
        <v>44216</v>
      </c>
      <c r="I828" t="s">
        <v>254</v>
      </c>
    </row>
    <row r="829" spans="1:9" x14ac:dyDescent="0.25">
      <c r="A829">
        <v>828</v>
      </c>
      <c r="B829" t="s">
        <v>1935</v>
      </c>
      <c r="C829">
        <v>6525</v>
      </c>
      <c r="D829" t="s">
        <v>1936</v>
      </c>
      <c r="E829" t="s">
        <v>252</v>
      </c>
      <c r="F829" t="s">
        <v>220</v>
      </c>
      <c r="G829" t="s">
        <v>795</v>
      </c>
      <c r="H829" s="4">
        <v>42472</v>
      </c>
      <c r="I829" t="s">
        <v>254</v>
      </c>
    </row>
    <row r="830" spans="1:9" x14ac:dyDescent="0.25">
      <c r="A830">
        <v>829</v>
      </c>
      <c r="B830" t="s">
        <v>1937</v>
      </c>
      <c r="C830">
        <v>6531</v>
      </c>
      <c r="D830" t="s">
        <v>1938</v>
      </c>
      <c r="E830" t="s">
        <v>252</v>
      </c>
      <c r="F830" t="s">
        <v>220</v>
      </c>
      <c r="G830" t="s">
        <v>795</v>
      </c>
      <c r="H830" s="4">
        <v>42521</v>
      </c>
      <c r="I830" t="s">
        <v>254</v>
      </c>
    </row>
    <row r="831" spans="1:9" x14ac:dyDescent="0.25">
      <c r="A831">
        <v>830</v>
      </c>
      <c r="B831" t="s">
        <v>1939</v>
      </c>
      <c r="C831">
        <v>6533</v>
      </c>
      <c r="D831" t="s">
        <v>1940</v>
      </c>
      <c r="E831" t="s">
        <v>252</v>
      </c>
      <c r="F831" t="s">
        <v>220</v>
      </c>
      <c r="G831" t="s">
        <v>795</v>
      </c>
      <c r="H831" s="4">
        <v>42808</v>
      </c>
      <c r="I831" t="s">
        <v>254</v>
      </c>
    </row>
    <row r="832" spans="1:9" x14ac:dyDescent="0.25">
      <c r="A832">
        <v>831</v>
      </c>
      <c r="B832" t="s">
        <v>1941</v>
      </c>
      <c r="C832">
        <v>6541</v>
      </c>
      <c r="D832" t="s">
        <v>1942</v>
      </c>
      <c r="E832" t="s">
        <v>252</v>
      </c>
      <c r="F832" t="s">
        <v>220</v>
      </c>
      <c r="G832" t="s">
        <v>546</v>
      </c>
      <c r="H832" s="4">
        <v>43034</v>
      </c>
      <c r="I832" t="s">
        <v>254</v>
      </c>
    </row>
    <row r="833" spans="1:9" x14ac:dyDescent="0.25">
      <c r="A833">
        <v>832</v>
      </c>
      <c r="B833" t="s">
        <v>1943</v>
      </c>
      <c r="C833">
        <v>6552</v>
      </c>
      <c r="D833" t="s">
        <v>1944</v>
      </c>
      <c r="E833" t="s">
        <v>252</v>
      </c>
      <c r="F833" t="s">
        <v>220</v>
      </c>
      <c r="G833" t="s">
        <v>795</v>
      </c>
      <c r="H833" s="4">
        <v>42745</v>
      </c>
      <c r="I833" t="s">
        <v>254</v>
      </c>
    </row>
    <row r="834" spans="1:9" x14ac:dyDescent="0.25">
      <c r="A834">
        <v>833</v>
      </c>
      <c r="B834" t="s">
        <v>1945</v>
      </c>
      <c r="C834">
        <v>6558</v>
      </c>
      <c r="D834" t="s">
        <v>1946</v>
      </c>
      <c r="E834" t="s">
        <v>252</v>
      </c>
      <c r="F834" t="s">
        <v>220</v>
      </c>
      <c r="G834" t="s">
        <v>804</v>
      </c>
      <c r="H834" s="4">
        <v>43439</v>
      </c>
      <c r="I834" t="s">
        <v>254</v>
      </c>
    </row>
    <row r="835" spans="1:9" x14ac:dyDescent="0.25">
      <c r="A835">
        <v>834</v>
      </c>
      <c r="B835" t="s">
        <v>1947</v>
      </c>
      <c r="C835">
        <v>6573</v>
      </c>
      <c r="D835" t="s">
        <v>1948</v>
      </c>
      <c r="E835" t="s">
        <v>252</v>
      </c>
      <c r="F835" t="s">
        <v>220</v>
      </c>
      <c r="G835" t="s">
        <v>795</v>
      </c>
      <c r="H835" s="4">
        <v>43004</v>
      </c>
      <c r="I835" t="s">
        <v>254</v>
      </c>
    </row>
    <row r="836" spans="1:9" x14ac:dyDescent="0.25">
      <c r="A836">
        <v>835</v>
      </c>
      <c r="B836" t="s">
        <v>1949</v>
      </c>
      <c r="C836">
        <v>6579</v>
      </c>
      <c r="D836" t="s">
        <v>1950</v>
      </c>
      <c r="E836" t="s">
        <v>252</v>
      </c>
      <c r="F836" t="s">
        <v>220</v>
      </c>
      <c r="G836" t="s">
        <v>792</v>
      </c>
      <c r="H836" s="4">
        <v>42968</v>
      </c>
      <c r="I836" t="s">
        <v>254</v>
      </c>
    </row>
    <row r="837" spans="1:9" x14ac:dyDescent="0.25">
      <c r="A837">
        <v>836</v>
      </c>
      <c r="B837" t="s">
        <v>1951</v>
      </c>
      <c r="C837">
        <v>6581</v>
      </c>
      <c r="D837" t="s">
        <v>1952</v>
      </c>
      <c r="E837" t="s">
        <v>252</v>
      </c>
      <c r="F837" t="s">
        <v>220</v>
      </c>
      <c r="G837" t="s">
        <v>361</v>
      </c>
      <c r="H837" s="4">
        <v>43130</v>
      </c>
      <c r="I837" t="s">
        <v>254</v>
      </c>
    </row>
    <row r="838" spans="1:9" x14ac:dyDescent="0.25">
      <c r="A838">
        <v>837</v>
      </c>
      <c r="B838" t="s">
        <v>1953</v>
      </c>
      <c r="C838">
        <v>6582</v>
      </c>
      <c r="D838" t="s">
        <v>1954</v>
      </c>
      <c r="E838" t="s">
        <v>252</v>
      </c>
      <c r="F838" t="s">
        <v>220</v>
      </c>
      <c r="G838" t="s">
        <v>736</v>
      </c>
      <c r="H838" s="4">
        <v>42900</v>
      </c>
      <c r="I838" t="s">
        <v>254</v>
      </c>
    </row>
    <row r="839" spans="1:9" x14ac:dyDescent="0.25">
      <c r="A839">
        <v>838</v>
      </c>
      <c r="B839" t="s">
        <v>1955</v>
      </c>
      <c r="C839">
        <v>6591</v>
      </c>
      <c r="D839" t="s">
        <v>1956</v>
      </c>
      <c r="E839" t="s">
        <v>252</v>
      </c>
      <c r="F839" t="s">
        <v>220</v>
      </c>
      <c r="G839" t="s">
        <v>792</v>
      </c>
      <c r="H839" s="4">
        <v>43097</v>
      </c>
      <c r="I839" t="s">
        <v>254</v>
      </c>
    </row>
    <row r="840" spans="1:9" x14ac:dyDescent="0.25">
      <c r="A840">
        <v>839</v>
      </c>
      <c r="B840" t="s">
        <v>1957</v>
      </c>
      <c r="C840">
        <v>6592</v>
      </c>
      <c r="D840" t="s">
        <v>1958</v>
      </c>
      <c r="E840" t="s">
        <v>252</v>
      </c>
      <c r="F840" t="s">
        <v>220</v>
      </c>
      <c r="G840" t="s">
        <v>361</v>
      </c>
      <c r="H840" s="4">
        <v>43808</v>
      </c>
      <c r="I840" t="s">
        <v>254</v>
      </c>
    </row>
    <row r="841" spans="1:9" x14ac:dyDescent="0.25">
      <c r="A841">
        <v>840</v>
      </c>
      <c r="B841" t="s">
        <v>1959</v>
      </c>
      <c r="C841">
        <v>6598</v>
      </c>
      <c r="D841" t="s">
        <v>1960</v>
      </c>
      <c r="E841" t="s">
        <v>252</v>
      </c>
      <c r="F841" t="s">
        <v>220</v>
      </c>
      <c r="G841" t="s">
        <v>546</v>
      </c>
      <c r="H841" s="4">
        <v>43991</v>
      </c>
      <c r="I841" t="s">
        <v>254</v>
      </c>
    </row>
    <row r="842" spans="1:9" x14ac:dyDescent="0.25">
      <c r="A842">
        <v>841</v>
      </c>
      <c r="B842" t="s">
        <v>1961</v>
      </c>
      <c r="C842">
        <v>6605</v>
      </c>
      <c r="D842" t="s">
        <v>1962</v>
      </c>
      <c r="E842" t="s">
        <v>252</v>
      </c>
      <c r="F842" t="s">
        <v>220</v>
      </c>
      <c r="G842" t="s">
        <v>338</v>
      </c>
      <c r="H842" s="4">
        <v>38063</v>
      </c>
      <c r="I842" t="s">
        <v>254</v>
      </c>
    </row>
    <row r="843" spans="1:9" x14ac:dyDescent="0.25">
      <c r="A843">
        <v>842</v>
      </c>
      <c r="B843" t="s">
        <v>1963</v>
      </c>
      <c r="C843">
        <v>6625</v>
      </c>
      <c r="D843" t="s">
        <v>1964</v>
      </c>
      <c r="E843" t="s">
        <v>252</v>
      </c>
      <c r="F843" t="s">
        <v>220</v>
      </c>
      <c r="G843" t="s">
        <v>361</v>
      </c>
      <c r="H843" s="4">
        <v>43138</v>
      </c>
      <c r="I843" t="s">
        <v>254</v>
      </c>
    </row>
    <row r="844" spans="1:9" x14ac:dyDescent="0.25">
      <c r="A844">
        <v>843</v>
      </c>
      <c r="B844" t="s">
        <v>1965</v>
      </c>
      <c r="C844">
        <v>6641</v>
      </c>
      <c r="D844" t="s">
        <v>1966</v>
      </c>
      <c r="E844" t="s">
        <v>252</v>
      </c>
      <c r="F844" t="s">
        <v>220</v>
      </c>
      <c r="G844" t="s">
        <v>361</v>
      </c>
      <c r="H844" s="4">
        <v>43364</v>
      </c>
      <c r="I844" t="s">
        <v>254</v>
      </c>
    </row>
    <row r="845" spans="1:9" x14ac:dyDescent="0.25">
      <c r="A845">
        <v>844</v>
      </c>
      <c r="B845" t="s">
        <v>1967</v>
      </c>
      <c r="C845">
        <v>6655</v>
      </c>
      <c r="D845" t="s">
        <v>1968</v>
      </c>
      <c r="E845" t="s">
        <v>252</v>
      </c>
      <c r="F845" t="s">
        <v>220</v>
      </c>
      <c r="G845" t="s">
        <v>361</v>
      </c>
      <c r="H845" s="4">
        <v>43432</v>
      </c>
      <c r="I845" t="s">
        <v>254</v>
      </c>
    </row>
    <row r="846" spans="1:9" x14ac:dyDescent="0.25">
      <c r="A846">
        <v>845</v>
      </c>
      <c r="B846" t="s">
        <v>1969</v>
      </c>
      <c r="C846">
        <v>6666</v>
      </c>
      <c r="D846" t="s">
        <v>1970</v>
      </c>
      <c r="E846" t="s">
        <v>252</v>
      </c>
      <c r="F846" t="s">
        <v>220</v>
      </c>
      <c r="G846" t="s">
        <v>546</v>
      </c>
      <c r="H846" s="4">
        <v>43423</v>
      </c>
      <c r="I846" t="s">
        <v>254</v>
      </c>
    </row>
    <row r="847" spans="1:9" x14ac:dyDescent="0.25">
      <c r="A847">
        <v>846</v>
      </c>
      <c r="B847" t="s">
        <v>1971</v>
      </c>
      <c r="C847">
        <v>6668</v>
      </c>
      <c r="D847" t="s">
        <v>1972</v>
      </c>
      <c r="E847" t="s">
        <v>252</v>
      </c>
      <c r="F847" t="s">
        <v>220</v>
      </c>
      <c r="G847" t="s">
        <v>818</v>
      </c>
      <c r="H847" s="4">
        <v>43446</v>
      </c>
      <c r="I847" t="s">
        <v>254</v>
      </c>
    </row>
    <row r="848" spans="1:9" x14ac:dyDescent="0.25">
      <c r="A848">
        <v>847</v>
      </c>
      <c r="B848" t="s">
        <v>1973</v>
      </c>
      <c r="C848">
        <v>6669</v>
      </c>
      <c r="D848" t="s">
        <v>1974</v>
      </c>
      <c r="E848" t="s">
        <v>252</v>
      </c>
      <c r="F848" t="s">
        <v>220</v>
      </c>
      <c r="G848" t="s">
        <v>792</v>
      </c>
      <c r="H848" s="4">
        <v>43551</v>
      </c>
      <c r="I848" t="s">
        <v>254</v>
      </c>
    </row>
    <row r="849" spans="1:9" x14ac:dyDescent="0.25">
      <c r="A849">
        <v>848</v>
      </c>
      <c r="B849" t="s">
        <v>1975</v>
      </c>
      <c r="C849">
        <v>6670</v>
      </c>
      <c r="D849" t="s">
        <v>1976</v>
      </c>
      <c r="E849" t="s">
        <v>252</v>
      </c>
      <c r="F849" t="s">
        <v>220</v>
      </c>
      <c r="G849" t="s">
        <v>361</v>
      </c>
      <c r="H849" s="4">
        <v>43452</v>
      </c>
      <c r="I849" t="s">
        <v>254</v>
      </c>
    </row>
    <row r="850" spans="1:9" x14ac:dyDescent="0.25">
      <c r="A850">
        <v>849</v>
      </c>
      <c r="B850" t="s">
        <v>1977</v>
      </c>
      <c r="C850">
        <v>6671</v>
      </c>
      <c r="D850" t="s">
        <v>1978</v>
      </c>
      <c r="E850" t="s">
        <v>252</v>
      </c>
      <c r="F850" t="s">
        <v>220</v>
      </c>
      <c r="G850" t="s">
        <v>361</v>
      </c>
      <c r="H850" s="4">
        <v>43445</v>
      </c>
      <c r="I850" t="s">
        <v>254</v>
      </c>
    </row>
    <row r="851" spans="1:9" x14ac:dyDescent="0.25">
      <c r="A851">
        <v>850</v>
      </c>
      <c r="B851" t="s">
        <v>1979</v>
      </c>
      <c r="C851">
        <v>6672</v>
      </c>
      <c r="D851" t="s">
        <v>1980</v>
      </c>
      <c r="E851" t="s">
        <v>252</v>
      </c>
      <c r="F851" t="s">
        <v>220</v>
      </c>
      <c r="G851" t="s">
        <v>450</v>
      </c>
      <c r="H851" s="4">
        <v>43572</v>
      </c>
      <c r="I851" t="s">
        <v>254</v>
      </c>
    </row>
    <row r="852" spans="1:9" x14ac:dyDescent="0.25">
      <c r="A852">
        <v>851</v>
      </c>
      <c r="B852" t="s">
        <v>1981</v>
      </c>
      <c r="C852">
        <v>6674</v>
      </c>
      <c r="D852" t="s">
        <v>1982</v>
      </c>
      <c r="E852" t="s">
        <v>252</v>
      </c>
      <c r="F852" t="s">
        <v>220</v>
      </c>
      <c r="G852" t="s">
        <v>809</v>
      </c>
      <c r="H852" s="4">
        <v>43432</v>
      </c>
      <c r="I852" t="s">
        <v>254</v>
      </c>
    </row>
    <row r="853" spans="1:9" x14ac:dyDescent="0.25">
      <c r="A853">
        <v>852</v>
      </c>
      <c r="B853" t="s">
        <v>1983</v>
      </c>
      <c r="C853">
        <v>6698</v>
      </c>
      <c r="D853" t="s">
        <v>1984</v>
      </c>
      <c r="E853" t="s">
        <v>252</v>
      </c>
      <c r="F853" t="s">
        <v>220</v>
      </c>
      <c r="G853" t="s">
        <v>804</v>
      </c>
      <c r="H853" s="4">
        <v>43794</v>
      </c>
      <c r="I853" t="s">
        <v>254</v>
      </c>
    </row>
    <row r="854" spans="1:9" x14ac:dyDescent="0.25">
      <c r="A854">
        <v>853</v>
      </c>
      <c r="B854" t="s">
        <v>1985</v>
      </c>
      <c r="C854">
        <v>6706</v>
      </c>
      <c r="D854" t="s">
        <v>1986</v>
      </c>
      <c r="E854" t="s">
        <v>252</v>
      </c>
      <c r="F854" t="s">
        <v>220</v>
      </c>
      <c r="G854" t="s">
        <v>818</v>
      </c>
      <c r="H854" s="4">
        <v>43818</v>
      </c>
      <c r="I854" t="s">
        <v>254</v>
      </c>
    </row>
    <row r="855" spans="1:9" x14ac:dyDescent="0.25">
      <c r="A855">
        <v>854</v>
      </c>
      <c r="B855" t="s">
        <v>1987</v>
      </c>
      <c r="C855">
        <v>6715</v>
      </c>
      <c r="D855" t="s">
        <v>1988</v>
      </c>
      <c r="E855" t="s">
        <v>252</v>
      </c>
      <c r="F855" t="s">
        <v>220</v>
      </c>
      <c r="G855" t="s">
        <v>450</v>
      </c>
      <c r="H855" s="4">
        <v>43811</v>
      </c>
      <c r="I855" t="s">
        <v>254</v>
      </c>
    </row>
    <row r="856" spans="1:9" x14ac:dyDescent="0.25">
      <c r="A856">
        <v>855</v>
      </c>
      <c r="B856" t="s">
        <v>1989</v>
      </c>
      <c r="C856">
        <v>6743</v>
      </c>
      <c r="D856" t="s">
        <v>1990</v>
      </c>
      <c r="E856" t="s">
        <v>252</v>
      </c>
      <c r="F856" t="s">
        <v>220</v>
      </c>
      <c r="G856" t="s">
        <v>804</v>
      </c>
      <c r="H856" s="4">
        <v>44179</v>
      </c>
      <c r="I856" t="s">
        <v>254</v>
      </c>
    </row>
    <row r="857" spans="1:9" x14ac:dyDescent="0.25">
      <c r="A857">
        <v>856</v>
      </c>
      <c r="B857" t="s">
        <v>1991</v>
      </c>
      <c r="C857">
        <v>6754</v>
      </c>
      <c r="D857" t="s">
        <v>1992</v>
      </c>
      <c r="E857" t="s">
        <v>252</v>
      </c>
      <c r="F857" t="s">
        <v>220</v>
      </c>
      <c r="G857" t="s">
        <v>361</v>
      </c>
      <c r="H857" s="4">
        <v>44068</v>
      </c>
      <c r="I857" t="s">
        <v>254</v>
      </c>
    </row>
    <row r="858" spans="1:9" x14ac:dyDescent="0.25">
      <c r="A858">
        <v>857</v>
      </c>
      <c r="B858" t="s">
        <v>1993</v>
      </c>
      <c r="C858">
        <v>6756</v>
      </c>
      <c r="D858" t="s">
        <v>1994</v>
      </c>
      <c r="E858" t="s">
        <v>252</v>
      </c>
      <c r="F858" t="s">
        <v>220</v>
      </c>
      <c r="G858" t="s">
        <v>795</v>
      </c>
      <c r="H858" s="4">
        <v>44189</v>
      </c>
      <c r="I858" t="s">
        <v>254</v>
      </c>
    </row>
    <row r="859" spans="1:9" x14ac:dyDescent="0.25">
      <c r="A859">
        <v>858</v>
      </c>
      <c r="B859" t="s">
        <v>1995</v>
      </c>
      <c r="C859">
        <v>6768</v>
      </c>
      <c r="D859" t="s">
        <v>1996</v>
      </c>
      <c r="E859" t="s">
        <v>252</v>
      </c>
      <c r="F859" t="s">
        <v>220</v>
      </c>
      <c r="G859" t="s">
        <v>361</v>
      </c>
      <c r="H859" s="4">
        <v>44308</v>
      </c>
      <c r="I859" t="s">
        <v>254</v>
      </c>
    </row>
    <row r="860" spans="1:9" x14ac:dyDescent="0.25">
      <c r="A860">
        <v>859</v>
      </c>
      <c r="B860" t="s">
        <v>1997</v>
      </c>
      <c r="C860">
        <v>6776</v>
      </c>
      <c r="D860" t="s">
        <v>1998</v>
      </c>
      <c r="E860" t="s">
        <v>252</v>
      </c>
      <c r="F860" t="s">
        <v>220</v>
      </c>
      <c r="G860" t="s">
        <v>847</v>
      </c>
      <c r="H860" s="4">
        <v>44286</v>
      </c>
      <c r="I860" t="s">
        <v>254</v>
      </c>
    </row>
    <row r="861" spans="1:9" x14ac:dyDescent="0.25">
      <c r="A861">
        <v>860</v>
      </c>
      <c r="B861" t="s">
        <v>1999</v>
      </c>
      <c r="C861">
        <v>6781</v>
      </c>
      <c r="D861" t="s">
        <v>2000</v>
      </c>
      <c r="E861" t="s">
        <v>252</v>
      </c>
      <c r="F861" t="s">
        <v>220</v>
      </c>
      <c r="G861" t="s">
        <v>450</v>
      </c>
      <c r="H861" s="4">
        <v>44277</v>
      </c>
      <c r="I861" t="s">
        <v>254</v>
      </c>
    </row>
    <row r="862" spans="1:9" x14ac:dyDescent="0.25">
      <c r="A862">
        <v>861</v>
      </c>
      <c r="B862" t="s">
        <v>2001</v>
      </c>
      <c r="C862">
        <v>8011</v>
      </c>
      <c r="D862" t="s">
        <v>2002</v>
      </c>
      <c r="E862" t="s">
        <v>252</v>
      </c>
      <c r="F862" t="s">
        <v>220</v>
      </c>
      <c r="G862" t="s">
        <v>809</v>
      </c>
      <c r="H862" s="4">
        <v>40805</v>
      </c>
      <c r="I862" t="s">
        <v>254</v>
      </c>
    </row>
    <row r="863" spans="1:9" x14ac:dyDescent="0.25">
      <c r="A863">
        <v>862</v>
      </c>
      <c r="B863" t="s">
        <v>2003</v>
      </c>
      <c r="C863">
        <v>8016</v>
      </c>
      <c r="D863" t="s">
        <v>2004</v>
      </c>
      <c r="E863" t="s">
        <v>252</v>
      </c>
      <c r="F863" t="s">
        <v>220</v>
      </c>
      <c r="G863" t="s">
        <v>795</v>
      </c>
      <c r="H863" s="4">
        <v>37980</v>
      </c>
      <c r="I863" t="s">
        <v>254</v>
      </c>
    </row>
    <row r="864" spans="1:9" x14ac:dyDescent="0.25">
      <c r="A864">
        <v>863</v>
      </c>
      <c r="B864" t="s">
        <v>2005</v>
      </c>
      <c r="C864">
        <v>8021</v>
      </c>
      <c r="D864" t="s">
        <v>2006</v>
      </c>
      <c r="E864" t="s">
        <v>252</v>
      </c>
      <c r="F864" t="s">
        <v>220</v>
      </c>
      <c r="G864" t="s">
        <v>804</v>
      </c>
      <c r="H864" s="4">
        <v>39468</v>
      </c>
      <c r="I864" t="s">
        <v>254</v>
      </c>
    </row>
    <row r="865" spans="1:9" x14ac:dyDescent="0.25">
      <c r="A865">
        <v>864</v>
      </c>
      <c r="B865" t="s">
        <v>2007</v>
      </c>
      <c r="C865">
        <v>8028</v>
      </c>
      <c r="D865" t="s">
        <v>2008</v>
      </c>
      <c r="E865" t="s">
        <v>252</v>
      </c>
      <c r="F865" t="s">
        <v>220</v>
      </c>
      <c r="G865" t="s">
        <v>795</v>
      </c>
      <c r="H865" s="4">
        <v>43291</v>
      </c>
      <c r="I865" t="s">
        <v>254</v>
      </c>
    </row>
    <row r="866" spans="1:9" x14ac:dyDescent="0.25">
      <c r="A866">
        <v>865</v>
      </c>
      <c r="B866" t="s">
        <v>2009</v>
      </c>
      <c r="C866">
        <v>8033</v>
      </c>
      <c r="D866" t="s">
        <v>2010</v>
      </c>
      <c r="E866" t="s">
        <v>252</v>
      </c>
      <c r="F866" t="s">
        <v>220</v>
      </c>
      <c r="G866" t="s">
        <v>361</v>
      </c>
      <c r="H866" s="4">
        <v>39254</v>
      </c>
      <c r="I866" t="s">
        <v>254</v>
      </c>
    </row>
    <row r="867" spans="1:9" x14ac:dyDescent="0.25">
      <c r="A867">
        <v>866</v>
      </c>
      <c r="B867" t="s">
        <v>2011</v>
      </c>
      <c r="C867">
        <v>8039</v>
      </c>
      <c r="D867" t="s">
        <v>2012</v>
      </c>
      <c r="E867" t="s">
        <v>252</v>
      </c>
      <c r="F867" t="s">
        <v>220</v>
      </c>
      <c r="G867" t="s">
        <v>450</v>
      </c>
      <c r="H867" s="4">
        <v>40164</v>
      </c>
      <c r="I867" t="s">
        <v>254</v>
      </c>
    </row>
    <row r="868" spans="1:9" x14ac:dyDescent="0.25">
      <c r="A868">
        <v>867</v>
      </c>
      <c r="B868" t="s">
        <v>2013</v>
      </c>
      <c r="C868">
        <v>8046</v>
      </c>
      <c r="D868" t="s">
        <v>2014</v>
      </c>
      <c r="E868" t="s">
        <v>252</v>
      </c>
      <c r="F868" t="s">
        <v>220</v>
      </c>
      <c r="G868" t="s">
        <v>450</v>
      </c>
      <c r="H868" s="4">
        <v>38814</v>
      </c>
      <c r="I868" t="s">
        <v>254</v>
      </c>
    </row>
    <row r="869" spans="1:9" x14ac:dyDescent="0.25">
      <c r="A869">
        <v>868</v>
      </c>
      <c r="B869" t="s">
        <v>2015</v>
      </c>
      <c r="C869">
        <v>8070</v>
      </c>
      <c r="D869" t="s">
        <v>2016</v>
      </c>
      <c r="E869" t="s">
        <v>252</v>
      </c>
      <c r="F869" t="s">
        <v>220</v>
      </c>
      <c r="G869" t="s">
        <v>847</v>
      </c>
      <c r="H869" s="4">
        <v>39447</v>
      </c>
      <c r="I869" t="s">
        <v>254</v>
      </c>
    </row>
    <row r="870" spans="1:9" x14ac:dyDescent="0.25">
      <c r="A870">
        <v>869</v>
      </c>
      <c r="B870" t="s">
        <v>2017</v>
      </c>
      <c r="C870">
        <v>8072</v>
      </c>
      <c r="D870" t="s">
        <v>2018</v>
      </c>
      <c r="E870" t="s">
        <v>252</v>
      </c>
      <c r="F870" t="s">
        <v>220</v>
      </c>
      <c r="G870" t="s">
        <v>847</v>
      </c>
      <c r="H870" s="4">
        <v>38583</v>
      </c>
      <c r="I870" t="s">
        <v>254</v>
      </c>
    </row>
    <row r="871" spans="1:9" x14ac:dyDescent="0.25">
      <c r="A871">
        <v>870</v>
      </c>
      <c r="B871" t="s">
        <v>2019</v>
      </c>
      <c r="C871">
        <v>8081</v>
      </c>
      <c r="D871" t="s">
        <v>2020</v>
      </c>
      <c r="E871" t="s">
        <v>252</v>
      </c>
      <c r="F871" t="s">
        <v>220</v>
      </c>
      <c r="G871" t="s">
        <v>795</v>
      </c>
      <c r="H871" s="4">
        <v>39812</v>
      </c>
      <c r="I871" t="s">
        <v>254</v>
      </c>
    </row>
    <row r="872" spans="1:9" x14ac:dyDescent="0.25">
      <c r="A872">
        <v>871</v>
      </c>
      <c r="B872" t="s">
        <v>2021</v>
      </c>
      <c r="C872">
        <v>8101</v>
      </c>
      <c r="D872" t="s">
        <v>2022</v>
      </c>
      <c r="E872" t="s">
        <v>252</v>
      </c>
      <c r="F872" t="s">
        <v>220</v>
      </c>
      <c r="G872" t="s">
        <v>809</v>
      </c>
      <c r="H872" s="4">
        <v>38169</v>
      </c>
      <c r="I872" t="s">
        <v>254</v>
      </c>
    </row>
    <row r="873" spans="1:9" x14ac:dyDescent="0.25">
      <c r="A873">
        <v>872</v>
      </c>
      <c r="B873" t="s">
        <v>2023</v>
      </c>
      <c r="C873">
        <v>8103</v>
      </c>
      <c r="D873" t="s">
        <v>2024</v>
      </c>
      <c r="E873" t="s">
        <v>252</v>
      </c>
      <c r="F873" t="s">
        <v>220</v>
      </c>
      <c r="G873" t="s">
        <v>450</v>
      </c>
      <c r="H873" s="4">
        <v>40085</v>
      </c>
      <c r="I873" t="s">
        <v>254</v>
      </c>
    </row>
    <row r="874" spans="1:9" x14ac:dyDescent="0.25">
      <c r="A874">
        <v>873</v>
      </c>
      <c r="B874" t="s">
        <v>2025</v>
      </c>
      <c r="C874">
        <v>8104</v>
      </c>
      <c r="D874" t="s">
        <v>2026</v>
      </c>
      <c r="E874" t="s">
        <v>252</v>
      </c>
      <c r="F874" t="s">
        <v>220</v>
      </c>
      <c r="G874" t="s">
        <v>818</v>
      </c>
      <c r="H874" s="4">
        <v>43482</v>
      </c>
      <c r="I874" t="s">
        <v>254</v>
      </c>
    </row>
    <row r="875" spans="1:9" x14ac:dyDescent="0.25">
      <c r="A875">
        <v>874</v>
      </c>
      <c r="B875" t="s">
        <v>2027</v>
      </c>
      <c r="C875">
        <v>8105</v>
      </c>
      <c r="D875" t="s">
        <v>2028</v>
      </c>
      <c r="E875" t="s">
        <v>252</v>
      </c>
      <c r="F875" t="s">
        <v>220</v>
      </c>
      <c r="G875" t="s">
        <v>818</v>
      </c>
      <c r="H875" s="4">
        <v>39078</v>
      </c>
      <c r="I875" t="s">
        <v>254</v>
      </c>
    </row>
    <row r="876" spans="1:9" x14ac:dyDescent="0.25">
      <c r="A876">
        <v>875</v>
      </c>
      <c r="B876" t="s">
        <v>2029</v>
      </c>
      <c r="C876">
        <v>8110</v>
      </c>
      <c r="D876" t="s">
        <v>2030</v>
      </c>
      <c r="E876" t="s">
        <v>252</v>
      </c>
      <c r="F876" t="s">
        <v>220</v>
      </c>
      <c r="G876" t="s">
        <v>795</v>
      </c>
      <c r="H876" s="4">
        <v>39386</v>
      </c>
      <c r="I876" t="s">
        <v>254</v>
      </c>
    </row>
    <row r="877" spans="1:9" x14ac:dyDescent="0.25">
      <c r="A877">
        <v>876</v>
      </c>
      <c r="B877" t="s">
        <v>2031</v>
      </c>
      <c r="C877">
        <v>8112</v>
      </c>
      <c r="D877" t="s">
        <v>2032</v>
      </c>
      <c r="E877" t="s">
        <v>252</v>
      </c>
      <c r="F877" t="s">
        <v>220</v>
      </c>
      <c r="G877" t="s">
        <v>847</v>
      </c>
      <c r="H877" s="4">
        <v>39447</v>
      </c>
      <c r="I877" t="s">
        <v>254</v>
      </c>
    </row>
    <row r="878" spans="1:9" x14ac:dyDescent="0.25">
      <c r="A878">
        <v>877</v>
      </c>
      <c r="B878" t="s">
        <v>2033</v>
      </c>
      <c r="C878">
        <v>8114</v>
      </c>
      <c r="D878" t="s">
        <v>2034</v>
      </c>
      <c r="E878" t="s">
        <v>252</v>
      </c>
      <c r="F878" t="s">
        <v>220</v>
      </c>
      <c r="G878" t="s">
        <v>792</v>
      </c>
      <c r="H878" s="4">
        <v>41239</v>
      </c>
      <c r="I878" t="s">
        <v>254</v>
      </c>
    </row>
    <row r="879" spans="1:9" x14ac:dyDescent="0.25">
      <c r="A879">
        <v>878</v>
      </c>
      <c r="B879" t="s">
        <v>2035</v>
      </c>
      <c r="C879">
        <v>8131</v>
      </c>
      <c r="D879" t="s">
        <v>2036</v>
      </c>
      <c r="E879" t="s">
        <v>252</v>
      </c>
      <c r="F879" t="s">
        <v>220</v>
      </c>
      <c r="G879" t="s">
        <v>795</v>
      </c>
      <c r="H879" s="4">
        <v>39415</v>
      </c>
      <c r="I879" t="s">
        <v>254</v>
      </c>
    </row>
    <row r="880" spans="1:9" x14ac:dyDescent="0.25">
      <c r="A880">
        <v>879</v>
      </c>
      <c r="B880" t="s">
        <v>2037</v>
      </c>
      <c r="C880">
        <v>8150</v>
      </c>
      <c r="D880" t="s">
        <v>2038</v>
      </c>
      <c r="E880" t="s">
        <v>252</v>
      </c>
      <c r="F880" t="s">
        <v>220</v>
      </c>
      <c r="G880" t="s">
        <v>795</v>
      </c>
      <c r="H880" s="4">
        <v>41740</v>
      </c>
      <c r="I880" t="s">
        <v>254</v>
      </c>
    </row>
    <row r="881" spans="1:9" x14ac:dyDescent="0.25">
      <c r="A881">
        <v>880</v>
      </c>
      <c r="B881" t="s">
        <v>2039</v>
      </c>
      <c r="C881">
        <v>8163</v>
      </c>
      <c r="D881" t="s">
        <v>2040</v>
      </c>
      <c r="E881" t="s">
        <v>252</v>
      </c>
      <c r="F881" t="s">
        <v>220</v>
      </c>
      <c r="G881" t="s">
        <v>792</v>
      </c>
      <c r="H881" s="4">
        <v>39414</v>
      </c>
      <c r="I881" t="s">
        <v>254</v>
      </c>
    </row>
    <row r="882" spans="1:9" x14ac:dyDescent="0.25">
      <c r="A882">
        <v>881</v>
      </c>
      <c r="B882" t="s">
        <v>2041</v>
      </c>
      <c r="C882">
        <v>8201</v>
      </c>
      <c r="D882" t="s">
        <v>2042</v>
      </c>
      <c r="E882" t="s">
        <v>252</v>
      </c>
      <c r="F882" t="s">
        <v>220</v>
      </c>
      <c r="G882" t="s">
        <v>804</v>
      </c>
      <c r="H882" s="4">
        <v>39384</v>
      </c>
      <c r="I882" t="s">
        <v>254</v>
      </c>
    </row>
    <row r="883" spans="1:9" x14ac:dyDescent="0.25">
      <c r="A883">
        <v>882</v>
      </c>
      <c r="B883" t="s">
        <v>2043</v>
      </c>
      <c r="C883">
        <v>8210</v>
      </c>
      <c r="D883" t="s">
        <v>2044</v>
      </c>
      <c r="E883" t="s">
        <v>252</v>
      </c>
      <c r="F883" t="s">
        <v>220</v>
      </c>
      <c r="G883" t="s">
        <v>792</v>
      </c>
      <c r="H883" s="4">
        <v>40878</v>
      </c>
      <c r="I883" t="s">
        <v>254</v>
      </c>
    </row>
    <row r="884" spans="1:9" x14ac:dyDescent="0.25">
      <c r="A884">
        <v>883</v>
      </c>
      <c r="B884" t="s">
        <v>2045</v>
      </c>
      <c r="C884">
        <v>8213</v>
      </c>
      <c r="D884" t="s">
        <v>2046</v>
      </c>
      <c r="E884" t="s">
        <v>252</v>
      </c>
      <c r="F884" t="s">
        <v>220</v>
      </c>
      <c r="G884" t="s">
        <v>450</v>
      </c>
      <c r="H884" s="4">
        <v>40172</v>
      </c>
      <c r="I884" t="s">
        <v>254</v>
      </c>
    </row>
    <row r="885" spans="1:9" x14ac:dyDescent="0.25">
      <c r="A885">
        <v>884</v>
      </c>
      <c r="B885" t="s">
        <v>2047</v>
      </c>
      <c r="C885">
        <v>8215</v>
      </c>
      <c r="D885" t="s">
        <v>2048</v>
      </c>
      <c r="E885" t="s">
        <v>252</v>
      </c>
      <c r="F885" t="s">
        <v>220</v>
      </c>
      <c r="G885" t="s">
        <v>818</v>
      </c>
      <c r="H885" s="4">
        <v>40494</v>
      </c>
      <c r="I885" t="s">
        <v>254</v>
      </c>
    </row>
    <row r="886" spans="1:9" x14ac:dyDescent="0.25">
      <c r="A886">
        <v>885</v>
      </c>
      <c r="B886" t="s">
        <v>2049</v>
      </c>
      <c r="C886">
        <v>8222</v>
      </c>
      <c r="D886" t="s">
        <v>2050</v>
      </c>
      <c r="E886" t="s">
        <v>252</v>
      </c>
      <c r="F886" t="s">
        <v>220</v>
      </c>
      <c r="G886" t="s">
        <v>465</v>
      </c>
      <c r="H886" s="4">
        <v>42031</v>
      </c>
      <c r="I886" t="s">
        <v>254</v>
      </c>
    </row>
    <row r="887" spans="1:9" x14ac:dyDescent="0.25">
      <c r="A887">
        <v>886</v>
      </c>
      <c r="B887" t="s">
        <v>2051</v>
      </c>
      <c r="C887">
        <v>8249</v>
      </c>
      <c r="D887" t="s">
        <v>2052</v>
      </c>
      <c r="E887" t="s">
        <v>252</v>
      </c>
      <c r="F887" t="s">
        <v>220</v>
      </c>
      <c r="G887" t="s">
        <v>450</v>
      </c>
      <c r="H887" s="4">
        <v>38489</v>
      </c>
      <c r="I887" t="s">
        <v>254</v>
      </c>
    </row>
    <row r="888" spans="1:9" x14ac:dyDescent="0.25">
      <c r="A888">
        <v>887</v>
      </c>
      <c r="B888" t="s">
        <v>2053</v>
      </c>
      <c r="C888">
        <v>8261</v>
      </c>
      <c r="D888" t="s">
        <v>2054</v>
      </c>
      <c r="E888" t="s">
        <v>252</v>
      </c>
      <c r="F888" t="s">
        <v>220</v>
      </c>
      <c r="G888" t="s">
        <v>795</v>
      </c>
      <c r="H888" s="4">
        <v>40158</v>
      </c>
      <c r="I888" t="s">
        <v>254</v>
      </c>
    </row>
    <row r="889" spans="1:9" x14ac:dyDescent="0.25">
      <c r="A889">
        <v>888</v>
      </c>
      <c r="B889" t="s">
        <v>2055</v>
      </c>
      <c r="C889">
        <v>8271</v>
      </c>
      <c r="D889" t="s">
        <v>2056</v>
      </c>
      <c r="E889" t="s">
        <v>252</v>
      </c>
      <c r="F889" t="s">
        <v>220</v>
      </c>
      <c r="G889" t="s">
        <v>795</v>
      </c>
      <c r="H889" s="4">
        <v>40541</v>
      </c>
      <c r="I889" t="s">
        <v>254</v>
      </c>
    </row>
    <row r="890" spans="1:9" x14ac:dyDescent="0.25">
      <c r="A890">
        <v>889</v>
      </c>
      <c r="B890" t="s">
        <v>2057</v>
      </c>
      <c r="C890">
        <v>8341</v>
      </c>
      <c r="D890" t="s">
        <v>2058</v>
      </c>
      <c r="E890" t="s">
        <v>252</v>
      </c>
      <c r="F890" t="s">
        <v>220</v>
      </c>
      <c r="G890" t="s">
        <v>361</v>
      </c>
      <c r="H890" s="4">
        <v>42086</v>
      </c>
      <c r="I890" t="s">
        <v>254</v>
      </c>
    </row>
    <row r="891" spans="1:9" x14ac:dyDescent="0.25">
      <c r="A891">
        <v>890</v>
      </c>
      <c r="B891" t="s">
        <v>2059</v>
      </c>
      <c r="C891">
        <v>8367</v>
      </c>
      <c r="D891" t="s">
        <v>2060</v>
      </c>
      <c r="E891" t="s">
        <v>252</v>
      </c>
      <c r="F891" t="s">
        <v>220</v>
      </c>
      <c r="G891" t="s">
        <v>767</v>
      </c>
      <c r="H891" s="4">
        <v>43355</v>
      </c>
      <c r="I891" t="s">
        <v>254</v>
      </c>
    </row>
    <row r="892" spans="1:9" x14ac:dyDescent="0.25">
      <c r="A892">
        <v>891</v>
      </c>
      <c r="B892" t="s">
        <v>2061</v>
      </c>
      <c r="C892">
        <v>8374</v>
      </c>
      <c r="D892" t="s">
        <v>2062</v>
      </c>
      <c r="E892" t="s">
        <v>252</v>
      </c>
      <c r="F892" t="s">
        <v>220</v>
      </c>
      <c r="G892" t="s">
        <v>465</v>
      </c>
      <c r="H892" s="4">
        <v>39807</v>
      </c>
      <c r="I892" t="s">
        <v>254</v>
      </c>
    </row>
    <row r="893" spans="1:9" x14ac:dyDescent="0.25">
      <c r="A893">
        <v>892</v>
      </c>
      <c r="B893" t="s">
        <v>2063</v>
      </c>
      <c r="C893">
        <v>8404</v>
      </c>
      <c r="D893" t="s">
        <v>2064</v>
      </c>
      <c r="E893" t="s">
        <v>252</v>
      </c>
      <c r="F893" t="s">
        <v>220</v>
      </c>
      <c r="G893" t="s">
        <v>361</v>
      </c>
      <c r="H893" s="4">
        <v>40681</v>
      </c>
      <c r="I893" t="s">
        <v>254</v>
      </c>
    </row>
    <row r="894" spans="1:9" x14ac:dyDescent="0.25">
      <c r="A894">
        <v>893</v>
      </c>
      <c r="B894" t="s">
        <v>2065</v>
      </c>
      <c r="C894">
        <v>8411</v>
      </c>
      <c r="D894" t="s">
        <v>2066</v>
      </c>
      <c r="E894" t="s">
        <v>252</v>
      </c>
      <c r="F894" t="s">
        <v>220</v>
      </c>
      <c r="G894" t="s">
        <v>361</v>
      </c>
      <c r="H894" s="4">
        <v>40848</v>
      </c>
      <c r="I894" t="s">
        <v>254</v>
      </c>
    </row>
    <row r="895" spans="1:9" x14ac:dyDescent="0.25">
      <c r="A895">
        <v>894</v>
      </c>
      <c r="B895" t="s">
        <v>2067</v>
      </c>
      <c r="C895">
        <v>8422</v>
      </c>
      <c r="D895" t="s">
        <v>2068</v>
      </c>
      <c r="E895" t="s">
        <v>252</v>
      </c>
      <c r="F895" t="s">
        <v>220</v>
      </c>
      <c r="G895" t="s">
        <v>361</v>
      </c>
      <c r="H895" s="4">
        <v>40821</v>
      </c>
      <c r="I895" t="s">
        <v>254</v>
      </c>
    </row>
    <row r="896" spans="1:9" x14ac:dyDescent="0.25">
      <c r="A896">
        <v>895</v>
      </c>
      <c r="B896" t="s">
        <v>2069</v>
      </c>
      <c r="C896">
        <v>8427</v>
      </c>
      <c r="D896" t="s">
        <v>2070</v>
      </c>
      <c r="E896" t="s">
        <v>252</v>
      </c>
      <c r="F896" t="s">
        <v>220</v>
      </c>
      <c r="G896" t="s">
        <v>361</v>
      </c>
      <c r="H896" s="4">
        <v>40883</v>
      </c>
      <c r="I896" t="s">
        <v>254</v>
      </c>
    </row>
    <row r="897" spans="1:9" x14ac:dyDescent="0.25">
      <c r="A897">
        <v>896</v>
      </c>
      <c r="B897" t="s">
        <v>2071</v>
      </c>
      <c r="C897">
        <v>8429</v>
      </c>
      <c r="D897" t="s">
        <v>2072</v>
      </c>
      <c r="E897" t="s">
        <v>252</v>
      </c>
      <c r="F897" t="s">
        <v>220</v>
      </c>
      <c r="G897" t="s">
        <v>385</v>
      </c>
      <c r="H897" s="4">
        <v>41263</v>
      </c>
      <c r="I897" t="s">
        <v>254</v>
      </c>
    </row>
    <row r="898" spans="1:9" x14ac:dyDescent="0.25">
      <c r="A898">
        <v>897</v>
      </c>
      <c r="B898" t="s">
        <v>2073</v>
      </c>
      <c r="C898">
        <v>8442</v>
      </c>
      <c r="D898" t="s">
        <v>2074</v>
      </c>
      <c r="E898" t="s">
        <v>252</v>
      </c>
      <c r="F898" t="s">
        <v>220</v>
      </c>
      <c r="G898" t="s">
        <v>361</v>
      </c>
      <c r="H898" s="4">
        <v>42682</v>
      </c>
      <c r="I898" t="s">
        <v>254</v>
      </c>
    </row>
    <row r="899" spans="1:9" x14ac:dyDescent="0.25">
      <c r="A899">
        <v>898</v>
      </c>
      <c r="B899" t="s">
        <v>2075</v>
      </c>
      <c r="C899">
        <v>8443</v>
      </c>
      <c r="D899" t="s">
        <v>2076</v>
      </c>
      <c r="E899" t="s">
        <v>252</v>
      </c>
      <c r="F899" t="s">
        <v>220</v>
      </c>
      <c r="G899" t="s">
        <v>385</v>
      </c>
      <c r="H899" s="4">
        <v>41897</v>
      </c>
      <c r="I899" t="s">
        <v>254</v>
      </c>
    </row>
    <row r="900" spans="1:9" x14ac:dyDescent="0.25">
      <c r="A900">
        <v>899</v>
      </c>
      <c r="B900" t="s">
        <v>2077</v>
      </c>
      <c r="C900">
        <v>8454</v>
      </c>
      <c r="D900" t="s">
        <v>2078</v>
      </c>
      <c r="E900" t="s">
        <v>252</v>
      </c>
      <c r="F900" t="s">
        <v>220</v>
      </c>
      <c r="G900" t="s">
        <v>385</v>
      </c>
      <c r="H900" s="4">
        <v>41992</v>
      </c>
      <c r="I900" t="s">
        <v>254</v>
      </c>
    </row>
    <row r="901" spans="1:9" x14ac:dyDescent="0.25">
      <c r="A901">
        <v>900</v>
      </c>
      <c r="B901" t="s">
        <v>2079</v>
      </c>
      <c r="C901">
        <v>8462</v>
      </c>
      <c r="D901" t="s">
        <v>2080</v>
      </c>
      <c r="E901" t="s">
        <v>252</v>
      </c>
      <c r="F901" t="s">
        <v>220</v>
      </c>
      <c r="G901" t="s">
        <v>1176</v>
      </c>
      <c r="H901" s="4">
        <v>43539</v>
      </c>
      <c r="I901" t="s">
        <v>254</v>
      </c>
    </row>
    <row r="902" spans="1:9" x14ac:dyDescent="0.25">
      <c r="A902">
        <v>901</v>
      </c>
      <c r="B902" t="s">
        <v>2081</v>
      </c>
      <c r="C902">
        <v>8463</v>
      </c>
      <c r="D902" t="s">
        <v>2082</v>
      </c>
      <c r="E902" t="s">
        <v>252</v>
      </c>
      <c r="F902" t="s">
        <v>220</v>
      </c>
      <c r="G902" t="s">
        <v>361</v>
      </c>
      <c r="H902" s="4">
        <v>42198</v>
      </c>
      <c r="I902" t="s">
        <v>254</v>
      </c>
    </row>
    <row r="903" spans="1:9" x14ac:dyDescent="0.25">
      <c r="A903">
        <v>902</v>
      </c>
      <c r="B903" t="s">
        <v>2083</v>
      </c>
      <c r="C903">
        <v>8464</v>
      </c>
      <c r="D903" t="s">
        <v>2084</v>
      </c>
      <c r="E903" t="s">
        <v>252</v>
      </c>
      <c r="F903" t="s">
        <v>220</v>
      </c>
      <c r="G903" t="s">
        <v>361</v>
      </c>
      <c r="H903" s="4">
        <v>42360</v>
      </c>
      <c r="I903" t="s">
        <v>254</v>
      </c>
    </row>
    <row r="904" spans="1:9" x14ac:dyDescent="0.25">
      <c r="A904">
        <v>903</v>
      </c>
      <c r="B904" t="s">
        <v>2085</v>
      </c>
      <c r="C904">
        <v>8466</v>
      </c>
      <c r="D904" t="s">
        <v>2086</v>
      </c>
      <c r="E904" t="s">
        <v>252</v>
      </c>
      <c r="F904" t="s">
        <v>220</v>
      </c>
      <c r="G904" t="s">
        <v>361</v>
      </c>
      <c r="H904" s="4">
        <v>42675</v>
      </c>
      <c r="I904" t="s">
        <v>254</v>
      </c>
    </row>
    <row r="905" spans="1:9" x14ac:dyDescent="0.25">
      <c r="A905">
        <v>904</v>
      </c>
      <c r="B905" t="s">
        <v>2087</v>
      </c>
      <c r="C905">
        <v>8467</v>
      </c>
      <c r="D905" t="s">
        <v>2088</v>
      </c>
      <c r="E905" t="s">
        <v>252</v>
      </c>
      <c r="F905" t="s">
        <v>220</v>
      </c>
      <c r="G905" t="s">
        <v>361</v>
      </c>
      <c r="H905" s="4">
        <v>42353</v>
      </c>
      <c r="I905" t="s">
        <v>254</v>
      </c>
    </row>
    <row r="906" spans="1:9" x14ac:dyDescent="0.25">
      <c r="A906">
        <v>905</v>
      </c>
      <c r="B906" t="s">
        <v>2089</v>
      </c>
      <c r="C906">
        <v>8473</v>
      </c>
      <c r="D906" t="s">
        <v>2090</v>
      </c>
      <c r="E906" t="s">
        <v>252</v>
      </c>
      <c r="F906" t="s">
        <v>220</v>
      </c>
      <c r="G906" t="s">
        <v>361</v>
      </c>
      <c r="H906" s="4">
        <v>42621</v>
      </c>
      <c r="I906" t="s">
        <v>254</v>
      </c>
    </row>
    <row r="907" spans="1:9" x14ac:dyDescent="0.25">
      <c r="A907">
        <v>906</v>
      </c>
      <c r="B907" t="s">
        <v>2091</v>
      </c>
      <c r="C907">
        <v>8478</v>
      </c>
      <c r="D907" t="s">
        <v>2092</v>
      </c>
      <c r="E907" t="s">
        <v>252</v>
      </c>
      <c r="F907" t="s">
        <v>220</v>
      </c>
      <c r="G907" t="s">
        <v>361</v>
      </c>
      <c r="H907" s="4">
        <v>43080</v>
      </c>
      <c r="I907" t="s">
        <v>254</v>
      </c>
    </row>
    <row r="908" spans="1:9" x14ac:dyDescent="0.25">
      <c r="A908">
        <v>907</v>
      </c>
      <c r="B908" t="s">
        <v>2093</v>
      </c>
      <c r="C908">
        <v>8480</v>
      </c>
      <c r="D908" t="s">
        <v>2094</v>
      </c>
      <c r="E908" t="s">
        <v>252</v>
      </c>
      <c r="F908" t="s">
        <v>220</v>
      </c>
      <c r="G908" t="s">
        <v>361</v>
      </c>
      <c r="H908" s="4">
        <v>42752</v>
      </c>
      <c r="I908" t="s">
        <v>254</v>
      </c>
    </row>
    <row r="909" spans="1:9" x14ac:dyDescent="0.25">
      <c r="A909">
        <v>908</v>
      </c>
      <c r="B909" t="s">
        <v>2095</v>
      </c>
      <c r="C909">
        <v>8481</v>
      </c>
      <c r="D909" t="s">
        <v>2096</v>
      </c>
      <c r="E909" t="s">
        <v>252</v>
      </c>
      <c r="F909" t="s">
        <v>220</v>
      </c>
      <c r="G909" t="s">
        <v>361</v>
      </c>
      <c r="H909" s="4">
        <v>42790</v>
      </c>
      <c r="I909" t="s">
        <v>254</v>
      </c>
    </row>
    <row r="910" spans="1:9" x14ac:dyDescent="0.25">
      <c r="A910">
        <v>909</v>
      </c>
      <c r="B910" t="s">
        <v>2097</v>
      </c>
      <c r="C910">
        <v>8482</v>
      </c>
      <c r="D910" t="s">
        <v>2098</v>
      </c>
      <c r="E910" t="s">
        <v>252</v>
      </c>
      <c r="F910" t="s">
        <v>220</v>
      </c>
      <c r="G910" t="s">
        <v>361</v>
      </c>
      <c r="H910" s="4">
        <v>43327</v>
      </c>
      <c r="I910" t="s">
        <v>254</v>
      </c>
    </row>
    <row r="911" spans="1:9" x14ac:dyDescent="0.25">
      <c r="A911">
        <v>910</v>
      </c>
      <c r="B911" t="s">
        <v>2099</v>
      </c>
      <c r="C911">
        <v>8488</v>
      </c>
      <c r="D911" t="s">
        <v>2100</v>
      </c>
      <c r="E911" t="s">
        <v>252</v>
      </c>
      <c r="F911" t="s">
        <v>220</v>
      </c>
      <c r="G911" t="s">
        <v>361</v>
      </c>
      <c r="H911" s="4">
        <v>42717</v>
      </c>
      <c r="I911" t="s">
        <v>254</v>
      </c>
    </row>
    <row r="912" spans="1:9" x14ac:dyDescent="0.25">
      <c r="A912">
        <v>911</v>
      </c>
      <c r="B912" t="s">
        <v>2101</v>
      </c>
      <c r="C912">
        <v>8499</v>
      </c>
      <c r="D912" t="s">
        <v>2102</v>
      </c>
      <c r="E912" t="s">
        <v>252</v>
      </c>
      <c r="F912" t="s">
        <v>220</v>
      </c>
      <c r="G912" t="s">
        <v>804</v>
      </c>
      <c r="H912" s="4">
        <v>43063</v>
      </c>
      <c r="I912" t="s">
        <v>254</v>
      </c>
    </row>
    <row r="913" spans="1:9" x14ac:dyDescent="0.25">
      <c r="A913">
        <v>912</v>
      </c>
      <c r="B913" t="s">
        <v>2103</v>
      </c>
      <c r="C913">
        <v>8926</v>
      </c>
      <c r="D913" t="s">
        <v>2104</v>
      </c>
      <c r="E913" t="s">
        <v>252</v>
      </c>
      <c r="F913" t="s">
        <v>220</v>
      </c>
      <c r="G913" t="s">
        <v>1157</v>
      </c>
      <c r="H913" s="4">
        <v>37858</v>
      </c>
      <c r="I913" t="s">
        <v>254</v>
      </c>
    </row>
    <row r="914" spans="1:9" x14ac:dyDescent="0.25">
      <c r="A914">
        <v>913</v>
      </c>
      <c r="B914" t="s">
        <v>2105</v>
      </c>
      <c r="C914">
        <v>8940</v>
      </c>
      <c r="D914" t="s">
        <v>2106</v>
      </c>
      <c r="E914" t="s">
        <v>252</v>
      </c>
      <c r="F914" t="s">
        <v>220</v>
      </c>
      <c r="G914" t="s">
        <v>1176</v>
      </c>
      <c r="H914" s="4">
        <v>39948</v>
      </c>
      <c r="I914" t="s">
        <v>254</v>
      </c>
    </row>
    <row r="915" spans="1:9" x14ac:dyDescent="0.25">
      <c r="A915">
        <v>914</v>
      </c>
      <c r="B915" t="s">
        <v>2107</v>
      </c>
      <c r="C915">
        <v>8996</v>
      </c>
      <c r="D915" t="s">
        <v>2108</v>
      </c>
      <c r="E915" t="s">
        <v>252</v>
      </c>
      <c r="F915" t="s">
        <v>220</v>
      </c>
      <c r="G915" t="s">
        <v>465</v>
      </c>
      <c r="H915" s="4">
        <v>41684</v>
      </c>
      <c r="I915" t="s">
        <v>254</v>
      </c>
    </row>
    <row r="916" spans="1:9" x14ac:dyDescent="0.25">
      <c r="A916">
        <v>915</v>
      </c>
      <c r="B916" t="s">
        <v>2109</v>
      </c>
      <c r="C916">
        <v>9802</v>
      </c>
      <c r="D916" t="s">
        <v>2110</v>
      </c>
      <c r="E916" t="s">
        <v>252</v>
      </c>
      <c r="F916" t="s">
        <v>220</v>
      </c>
      <c r="G916" t="s">
        <v>361</v>
      </c>
      <c r="H916" s="4">
        <v>41200</v>
      </c>
      <c r="I916" t="s">
        <v>254</v>
      </c>
    </row>
    <row r="917" spans="1:9" x14ac:dyDescent="0.25">
      <c r="A917">
        <v>916</v>
      </c>
      <c r="B917" t="s">
        <v>2111</v>
      </c>
      <c r="C917">
        <v>9902</v>
      </c>
      <c r="D917" t="s">
        <v>2112</v>
      </c>
      <c r="E917" t="s">
        <v>252</v>
      </c>
      <c r="F917" t="s">
        <v>220</v>
      </c>
      <c r="G917" t="s">
        <v>361</v>
      </c>
      <c r="H917" s="4">
        <v>23572</v>
      </c>
      <c r="I917" t="s">
        <v>254</v>
      </c>
    </row>
    <row r="918" spans="1:9" x14ac:dyDescent="0.25">
      <c r="A918">
        <v>917</v>
      </c>
      <c r="B918" t="s">
        <v>2113</v>
      </c>
      <c r="C918">
        <v>9904</v>
      </c>
      <c r="D918" t="s">
        <v>2114</v>
      </c>
      <c r="E918" t="s">
        <v>252</v>
      </c>
      <c r="F918" t="s">
        <v>220</v>
      </c>
      <c r="G918" t="s">
        <v>361</v>
      </c>
      <c r="H918" s="4">
        <v>32892</v>
      </c>
      <c r="I918" t="s">
        <v>254</v>
      </c>
    </row>
    <row r="919" spans="1:9" x14ac:dyDescent="0.25">
      <c r="A919">
        <v>918</v>
      </c>
      <c r="B919" t="s">
        <v>2115</v>
      </c>
      <c r="C919">
        <v>9905</v>
      </c>
      <c r="D919" t="s">
        <v>2116</v>
      </c>
      <c r="E919" t="s">
        <v>252</v>
      </c>
      <c r="F919" t="s">
        <v>220</v>
      </c>
      <c r="G919" t="s">
        <v>361</v>
      </c>
      <c r="H919" s="4">
        <v>33093</v>
      </c>
      <c r="I919" t="s">
        <v>254</v>
      </c>
    </row>
    <row r="920" spans="1:9" x14ac:dyDescent="0.25">
      <c r="A920">
        <v>919</v>
      </c>
      <c r="B920" t="s">
        <v>2117</v>
      </c>
      <c r="C920">
        <v>9906</v>
      </c>
      <c r="D920" t="s">
        <v>2118</v>
      </c>
      <c r="E920" t="s">
        <v>252</v>
      </c>
      <c r="F920" t="s">
        <v>220</v>
      </c>
      <c r="G920" t="s">
        <v>335</v>
      </c>
      <c r="H920" s="4">
        <v>33222</v>
      </c>
      <c r="I920" t="s">
        <v>254</v>
      </c>
    </row>
    <row r="921" spans="1:9" x14ac:dyDescent="0.25">
      <c r="A921">
        <v>920</v>
      </c>
      <c r="B921" t="s">
        <v>2119</v>
      </c>
      <c r="C921">
        <v>9907</v>
      </c>
      <c r="D921" t="s">
        <v>2120</v>
      </c>
      <c r="E921" t="s">
        <v>252</v>
      </c>
      <c r="F921" t="s">
        <v>220</v>
      </c>
      <c r="G921" t="s">
        <v>361</v>
      </c>
      <c r="H921" s="4">
        <v>33267</v>
      </c>
      <c r="I921" t="s">
        <v>254</v>
      </c>
    </row>
    <row r="922" spans="1:9" x14ac:dyDescent="0.25">
      <c r="A922">
        <v>921</v>
      </c>
      <c r="B922" t="s">
        <v>2121</v>
      </c>
      <c r="C922">
        <v>9908</v>
      </c>
      <c r="D922" t="s">
        <v>2122</v>
      </c>
      <c r="E922" t="s">
        <v>252</v>
      </c>
      <c r="F922" t="s">
        <v>220</v>
      </c>
      <c r="G922" t="s">
        <v>1157</v>
      </c>
      <c r="H922" s="4">
        <v>33275</v>
      </c>
      <c r="I922" t="s">
        <v>254</v>
      </c>
    </row>
    <row r="923" spans="1:9" x14ac:dyDescent="0.25">
      <c r="A923">
        <v>922</v>
      </c>
      <c r="B923" t="s">
        <v>2123</v>
      </c>
      <c r="C923">
        <v>9910</v>
      </c>
      <c r="D923" t="s">
        <v>2124</v>
      </c>
      <c r="E923" t="s">
        <v>252</v>
      </c>
      <c r="F923" t="s">
        <v>220</v>
      </c>
      <c r="G923" t="s">
        <v>361</v>
      </c>
      <c r="H923" s="4">
        <v>33652</v>
      </c>
      <c r="I923" t="s">
        <v>254</v>
      </c>
    </row>
    <row r="924" spans="1:9" x14ac:dyDescent="0.25">
      <c r="A924">
        <v>923</v>
      </c>
      <c r="B924" t="s">
        <v>2125</v>
      </c>
      <c r="C924">
        <v>9911</v>
      </c>
      <c r="D924" t="s">
        <v>2126</v>
      </c>
      <c r="E924" t="s">
        <v>252</v>
      </c>
      <c r="F924" t="s">
        <v>220</v>
      </c>
      <c r="G924" t="s">
        <v>361</v>
      </c>
      <c r="H924" s="4">
        <v>33801</v>
      </c>
      <c r="I924" t="s">
        <v>254</v>
      </c>
    </row>
    <row r="925" spans="1:9" x14ac:dyDescent="0.25">
      <c r="A925">
        <v>924</v>
      </c>
      <c r="B925" t="s">
        <v>2127</v>
      </c>
      <c r="C925">
        <v>9912</v>
      </c>
      <c r="D925" t="s">
        <v>2128</v>
      </c>
      <c r="E925" t="s">
        <v>252</v>
      </c>
      <c r="F925" t="s">
        <v>220</v>
      </c>
      <c r="G925" t="s">
        <v>792</v>
      </c>
      <c r="H925" s="4">
        <v>33824</v>
      </c>
      <c r="I925" t="s">
        <v>254</v>
      </c>
    </row>
    <row r="926" spans="1:9" x14ac:dyDescent="0.25">
      <c r="A926">
        <v>925</v>
      </c>
      <c r="B926" t="s">
        <v>2129</v>
      </c>
      <c r="C926">
        <v>9914</v>
      </c>
      <c r="D926" t="s">
        <v>2130</v>
      </c>
      <c r="E926" t="s">
        <v>252</v>
      </c>
      <c r="F926" t="s">
        <v>220</v>
      </c>
      <c r="G926" t="s">
        <v>361</v>
      </c>
      <c r="H926" s="4">
        <v>33877</v>
      </c>
      <c r="I926" t="s">
        <v>254</v>
      </c>
    </row>
    <row r="927" spans="1:9" x14ac:dyDescent="0.25">
      <c r="A927">
        <v>926</v>
      </c>
      <c r="B927" t="s">
        <v>2131</v>
      </c>
      <c r="C927">
        <v>9917</v>
      </c>
      <c r="D927" t="s">
        <v>2132</v>
      </c>
      <c r="E927" t="s">
        <v>252</v>
      </c>
      <c r="F927" t="s">
        <v>220</v>
      </c>
      <c r="G927" t="s">
        <v>361</v>
      </c>
      <c r="H927" s="4">
        <v>34311</v>
      </c>
      <c r="I927" t="s">
        <v>254</v>
      </c>
    </row>
    <row r="928" spans="1:9" x14ac:dyDescent="0.25">
      <c r="A928">
        <v>927</v>
      </c>
      <c r="B928" t="s">
        <v>2133</v>
      </c>
      <c r="C928">
        <v>9918</v>
      </c>
      <c r="D928" t="s">
        <v>2134</v>
      </c>
      <c r="E928" t="s">
        <v>252</v>
      </c>
      <c r="F928" t="s">
        <v>220</v>
      </c>
      <c r="G928" t="s">
        <v>1157</v>
      </c>
      <c r="H928" s="4">
        <v>34450</v>
      </c>
      <c r="I928" t="s">
        <v>254</v>
      </c>
    </row>
    <row r="929" spans="1:9" x14ac:dyDescent="0.25">
      <c r="A929">
        <v>928</v>
      </c>
      <c r="B929" t="s">
        <v>2135</v>
      </c>
      <c r="C929">
        <v>9919</v>
      </c>
      <c r="D929" t="s">
        <v>2136</v>
      </c>
      <c r="E929" t="s">
        <v>252</v>
      </c>
      <c r="F929" t="s">
        <v>220</v>
      </c>
      <c r="G929" t="s">
        <v>361</v>
      </c>
      <c r="H929" s="4">
        <v>34642</v>
      </c>
      <c r="I929" t="s">
        <v>254</v>
      </c>
    </row>
    <row r="930" spans="1:9" x14ac:dyDescent="0.25">
      <c r="A930">
        <v>929</v>
      </c>
      <c r="B930" t="s">
        <v>2137</v>
      </c>
      <c r="C930">
        <v>9921</v>
      </c>
      <c r="D930" t="s">
        <v>2138</v>
      </c>
      <c r="E930" t="s">
        <v>252</v>
      </c>
      <c r="F930" t="s">
        <v>220</v>
      </c>
      <c r="G930" t="s">
        <v>361</v>
      </c>
      <c r="H930" s="4">
        <v>34697</v>
      </c>
      <c r="I930" t="s">
        <v>254</v>
      </c>
    </row>
    <row r="931" spans="1:9" x14ac:dyDescent="0.25">
      <c r="A931">
        <v>930</v>
      </c>
      <c r="B931" t="s">
        <v>2139</v>
      </c>
      <c r="C931">
        <v>9924</v>
      </c>
      <c r="D931" t="s">
        <v>2140</v>
      </c>
      <c r="E931" t="s">
        <v>252</v>
      </c>
      <c r="F931" t="s">
        <v>220</v>
      </c>
      <c r="G931" t="s">
        <v>361</v>
      </c>
      <c r="H931" s="4">
        <v>34773</v>
      </c>
      <c r="I931" t="s">
        <v>254</v>
      </c>
    </row>
    <row r="932" spans="1:9" x14ac:dyDescent="0.25">
      <c r="A932">
        <v>931</v>
      </c>
      <c r="B932" t="s">
        <v>2141</v>
      </c>
      <c r="C932">
        <v>9925</v>
      </c>
      <c r="D932" t="s">
        <v>2142</v>
      </c>
      <c r="E932" t="s">
        <v>252</v>
      </c>
      <c r="F932" t="s">
        <v>220</v>
      </c>
      <c r="G932" t="s">
        <v>361</v>
      </c>
      <c r="H932" s="4">
        <v>35042</v>
      </c>
      <c r="I932" t="s">
        <v>254</v>
      </c>
    </row>
    <row r="933" spans="1:9" x14ac:dyDescent="0.25">
      <c r="A933">
        <v>932</v>
      </c>
      <c r="B933" t="s">
        <v>2143</v>
      </c>
      <c r="C933">
        <v>9926</v>
      </c>
      <c r="D933" t="s">
        <v>2144</v>
      </c>
      <c r="E933" t="s">
        <v>252</v>
      </c>
      <c r="F933" t="s">
        <v>220</v>
      </c>
      <c r="G933" t="s">
        <v>1157</v>
      </c>
      <c r="H933" s="4">
        <v>35893</v>
      </c>
      <c r="I933" t="s">
        <v>254</v>
      </c>
    </row>
    <row r="934" spans="1:9" x14ac:dyDescent="0.25">
      <c r="A934">
        <v>933</v>
      </c>
      <c r="B934" t="s">
        <v>2145</v>
      </c>
      <c r="C934">
        <v>9927</v>
      </c>
      <c r="D934" t="s">
        <v>2146</v>
      </c>
      <c r="E934" t="s">
        <v>252</v>
      </c>
      <c r="F934" t="s">
        <v>220</v>
      </c>
      <c r="G934" t="s">
        <v>361</v>
      </c>
      <c r="H934" s="4">
        <v>36231</v>
      </c>
      <c r="I934" t="s">
        <v>254</v>
      </c>
    </row>
    <row r="935" spans="1:9" x14ac:dyDescent="0.25">
      <c r="A935">
        <v>934</v>
      </c>
      <c r="B935" t="s">
        <v>2147</v>
      </c>
      <c r="C935">
        <v>9928</v>
      </c>
      <c r="D935" t="s">
        <v>2148</v>
      </c>
      <c r="E935" t="s">
        <v>252</v>
      </c>
      <c r="F935" t="s">
        <v>220</v>
      </c>
      <c r="G935" t="s">
        <v>361</v>
      </c>
      <c r="H935" s="4">
        <v>36381</v>
      </c>
      <c r="I935" t="s">
        <v>254</v>
      </c>
    </row>
    <row r="936" spans="1:9" x14ac:dyDescent="0.25">
      <c r="A936">
        <v>935</v>
      </c>
      <c r="B936" t="s">
        <v>2149</v>
      </c>
      <c r="C936">
        <v>9929</v>
      </c>
      <c r="D936" t="s">
        <v>2150</v>
      </c>
      <c r="E936" t="s">
        <v>252</v>
      </c>
      <c r="F936" t="s">
        <v>220</v>
      </c>
      <c r="G936" t="s">
        <v>361</v>
      </c>
      <c r="H936" s="4">
        <v>36339</v>
      </c>
      <c r="I936" t="s">
        <v>254</v>
      </c>
    </row>
    <row r="937" spans="1:9" x14ac:dyDescent="0.25">
      <c r="A937">
        <v>936</v>
      </c>
      <c r="B937" t="s">
        <v>2151</v>
      </c>
      <c r="C937">
        <v>9930</v>
      </c>
      <c r="D937" t="s">
        <v>2152</v>
      </c>
      <c r="E937" t="s">
        <v>252</v>
      </c>
      <c r="F937" t="s">
        <v>220</v>
      </c>
      <c r="G937" t="s">
        <v>361</v>
      </c>
      <c r="H937" s="4">
        <v>36486</v>
      </c>
      <c r="I937" t="s">
        <v>254</v>
      </c>
    </row>
    <row r="938" spans="1:9" x14ac:dyDescent="0.25">
      <c r="A938">
        <v>937</v>
      </c>
      <c r="B938" t="s">
        <v>2153</v>
      </c>
      <c r="C938">
        <v>9931</v>
      </c>
      <c r="D938" t="s">
        <v>2154</v>
      </c>
      <c r="E938" t="s">
        <v>252</v>
      </c>
      <c r="F938" t="s">
        <v>220</v>
      </c>
      <c r="G938" t="s">
        <v>1157</v>
      </c>
      <c r="H938" s="4">
        <v>36606</v>
      </c>
      <c r="I938" t="s">
        <v>254</v>
      </c>
    </row>
    <row r="939" spans="1:9" x14ac:dyDescent="0.25">
      <c r="A939">
        <v>938</v>
      </c>
      <c r="B939" t="s">
        <v>2155</v>
      </c>
      <c r="C939">
        <v>9933</v>
      </c>
      <c r="D939" t="s">
        <v>2156</v>
      </c>
      <c r="E939" t="s">
        <v>252</v>
      </c>
      <c r="F939" t="s">
        <v>220</v>
      </c>
      <c r="G939" t="s">
        <v>361</v>
      </c>
      <c r="H939" s="4">
        <v>34117</v>
      </c>
      <c r="I939" t="s">
        <v>254</v>
      </c>
    </row>
    <row r="940" spans="1:9" x14ac:dyDescent="0.25">
      <c r="A940">
        <v>939</v>
      </c>
      <c r="B940" t="s">
        <v>2157</v>
      </c>
      <c r="C940">
        <v>9934</v>
      </c>
      <c r="D940" t="s">
        <v>2158</v>
      </c>
      <c r="E940" t="s">
        <v>252</v>
      </c>
      <c r="F940" t="s">
        <v>220</v>
      </c>
      <c r="G940" t="s">
        <v>361</v>
      </c>
      <c r="H940" s="4">
        <v>36780</v>
      </c>
      <c r="I940" t="s">
        <v>254</v>
      </c>
    </row>
    <row r="941" spans="1:9" x14ac:dyDescent="0.25">
      <c r="A941">
        <v>940</v>
      </c>
      <c r="B941" t="s">
        <v>2159</v>
      </c>
      <c r="C941">
        <v>9935</v>
      </c>
      <c r="D941" t="s">
        <v>2160</v>
      </c>
      <c r="E941" t="s">
        <v>252</v>
      </c>
      <c r="F941" t="s">
        <v>220</v>
      </c>
      <c r="G941" t="s">
        <v>361</v>
      </c>
      <c r="H941" s="4">
        <v>36780</v>
      </c>
      <c r="I941" t="s">
        <v>254</v>
      </c>
    </row>
    <row r="942" spans="1:9" x14ac:dyDescent="0.25">
      <c r="A942">
        <v>941</v>
      </c>
      <c r="B942" t="s">
        <v>2161</v>
      </c>
      <c r="C942">
        <v>9937</v>
      </c>
      <c r="D942" t="s">
        <v>2162</v>
      </c>
      <c r="E942" t="s">
        <v>252</v>
      </c>
      <c r="F942" t="s">
        <v>220</v>
      </c>
      <c r="G942" t="s">
        <v>1157</v>
      </c>
      <c r="H942" s="4">
        <v>36780</v>
      </c>
      <c r="I942" t="s">
        <v>254</v>
      </c>
    </row>
    <row r="943" spans="1:9" x14ac:dyDescent="0.25">
      <c r="A943">
        <v>942</v>
      </c>
      <c r="B943" t="s">
        <v>2163</v>
      </c>
      <c r="C943">
        <v>9938</v>
      </c>
      <c r="D943" t="s">
        <v>2164</v>
      </c>
      <c r="E943" t="s">
        <v>252</v>
      </c>
      <c r="F943" t="s">
        <v>220</v>
      </c>
      <c r="G943" t="s">
        <v>361</v>
      </c>
      <c r="H943" s="4">
        <v>36903</v>
      </c>
      <c r="I943" t="s">
        <v>254</v>
      </c>
    </row>
    <row r="944" spans="1:9" x14ac:dyDescent="0.25">
      <c r="A944">
        <v>943</v>
      </c>
      <c r="B944" t="s">
        <v>2165</v>
      </c>
      <c r="C944">
        <v>9939</v>
      </c>
      <c r="D944" t="s">
        <v>2166</v>
      </c>
      <c r="E944" t="s">
        <v>252</v>
      </c>
      <c r="F944" t="s">
        <v>220</v>
      </c>
      <c r="G944" t="s">
        <v>361</v>
      </c>
      <c r="H944" s="4">
        <v>36952</v>
      </c>
      <c r="I944" t="s">
        <v>254</v>
      </c>
    </row>
    <row r="945" spans="1:10" x14ac:dyDescent="0.25">
      <c r="A945">
        <v>944</v>
      </c>
      <c r="B945" t="s">
        <v>2167</v>
      </c>
      <c r="C945">
        <v>9940</v>
      </c>
      <c r="D945" t="s">
        <v>2168</v>
      </c>
      <c r="E945" t="s">
        <v>252</v>
      </c>
      <c r="F945" t="s">
        <v>220</v>
      </c>
      <c r="G945" t="s">
        <v>361</v>
      </c>
      <c r="H945" s="4">
        <v>37151</v>
      </c>
      <c r="I945" t="s">
        <v>254</v>
      </c>
    </row>
    <row r="946" spans="1:10" x14ac:dyDescent="0.25">
      <c r="A946">
        <v>945</v>
      </c>
      <c r="B946" t="s">
        <v>2169</v>
      </c>
      <c r="C946">
        <v>9941</v>
      </c>
      <c r="D946" t="s">
        <v>2170</v>
      </c>
      <c r="E946" t="s">
        <v>252</v>
      </c>
      <c r="F946" t="s">
        <v>220</v>
      </c>
      <c r="G946" t="s">
        <v>361</v>
      </c>
      <c r="H946" s="4">
        <v>37151</v>
      </c>
      <c r="I946" t="s">
        <v>254</v>
      </c>
    </row>
    <row r="947" spans="1:10" x14ac:dyDescent="0.25">
      <c r="A947">
        <v>946</v>
      </c>
      <c r="B947" t="s">
        <v>2171</v>
      </c>
      <c r="C947">
        <v>9942</v>
      </c>
      <c r="D947" t="s">
        <v>2172</v>
      </c>
      <c r="E947" t="s">
        <v>252</v>
      </c>
      <c r="F947" t="s">
        <v>220</v>
      </c>
      <c r="G947" t="s">
        <v>361</v>
      </c>
      <c r="H947" s="4">
        <v>37284</v>
      </c>
      <c r="I947" t="s">
        <v>254</v>
      </c>
    </row>
    <row r="948" spans="1:10" x14ac:dyDescent="0.25">
      <c r="A948">
        <v>947</v>
      </c>
      <c r="B948" t="s">
        <v>2173</v>
      </c>
      <c r="C948">
        <v>9943</v>
      </c>
      <c r="D948" t="s">
        <v>2174</v>
      </c>
      <c r="E948" t="s">
        <v>252</v>
      </c>
      <c r="F948" t="s">
        <v>220</v>
      </c>
      <c r="G948" t="s">
        <v>1176</v>
      </c>
      <c r="H948" s="4">
        <v>37494</v>
      </c>
      <c r="I948" t="s">
        <v>254</v>
      </c>
    </row>
    <row r="949" spans="1:10" x14ac:dyDescent="0.25">
      <c r="A949">
        <v>948</v>
      </c>
      <c r="B949" t="s">
        <v>2175</v>
      </c>
      <c r="C949">
        <v>9944</v>
      </c>
      <c r="D949" t="s">
        <v>2176</v>
      </c>
      <c r="E949" t="s">
        <v>252</v>
      </c>
      <c r="F949" t="s">
        <v>220</v>
      </c>
      <c r="G949" t="s">
        <v>361</v>
      </c>
      <c r="H949" s="4">
        <v>37494</v>
      </c>
      <c r="I949" t="s">
        <v>254</v>
      </c>
    </row>
    <row r="950" spans="1:10" x14ac:dyDescent="0.25">
      <c r="A950">
        <v>949</v>
      </c>
      <c r="B950" t="s">
        <v>2177</v>
      </c>
      <c r="C950">
        <v>9945</v>
      </c>
      <c r="D950" t="s">
        <v>2178</v>
      </c>
      <c r="E950" t="s">
        <v>252</v>
      </c>
      <c r="F950" t="s">
        <v>220</v>
      </c>
      <c r="G950" t="s">
        <v>361</v>
      </c>
      <c r="H950" s="4">
        <v>33724</v>
      </c>
      <c r="I950" t="s">
        <v>254</v>
      </c>
    </row>
    <row r="951" spans="1:10" x14ac:dyDescent="0.25">
      <c r="A951">
        <v>950</v>
      </c>
      <c r="B951" t="s">
        <v>2179</v>
      </c>
      <c r="C951">
        <v>9946</v>
      </c>
      <c r="D951" t="s">
        <v>2180</v>
      </c>
      <c r="E951" t="s">
        <v>252</v>
      </c>
      <c r="F951" t="s">
        <v>220</v>
      </c>
      <c r="G951" t="s">
        <v>335</v>
      </c>
      <c r="H951" s="4">
        <v>41534</v>
      </c>
      <c r="I951" t="s">
        <v>254</v>
      </c>
    </row>
    <row r="952" spans="1:10" x14ac:dyDescent="0.25">
      <c r="A952">
        <v>951</v>
      </c>
      <c r="B952" t="s">
        <v>2181</v>
      </c>
      <c r="C952">
        <v>9955</v>
      </c>
      <c r="D952" t="s">
        <v>2182</v>
      </c>
      <c r="E952" t="s">
        <v>252</v>
      </c>
      <c r="F952" t="s">
        <v>220</v>
      </c>
      <c r="G952" t="s">
        <v>361</v>
      </c>
      <c r="H952" s="4">
        <v>39468</v>
      </c>
      <c r="I952" t="s">
        <v>254</v>
      </c>
    </row>
    <row r="953" spans="1:10" x14ac:dyDescent="0.25">
      <c r="A953">
        <v>952</v>
      </c>
      <c r="B953" t="s">
        <v>2183</v>
      </c>
      <c r="C953">
        <v>9958</v>
      </c>
      <c r="D953" t="s">
        <v>2184</v>
      </c>
      <c r="E953" t="s">
        <v>252</v>
      </c>
      <c r="F953" t="s">
        <v>220</v>
      </c>
      <c r="G953" t="s">
        <v>677</v>
      </c>
      <c r="H953" s="4">
        <v>39519</v>
      </c>
      <c r="I953" t="s">
        <v>254</v>
      </c>
    </row>
    <row r="954" spans="1:10" x14ac:dyDescent="0.25">
      <c r="A954" t="s">
        <v>240</v>
      </c>
      <c r="B954" t="s">
        <v>241</v>
      </c>
      <c r="C954" t="s">
        <v>242</v>
      </c>
      <c r="D954" t="s">
        <v>243</v>
      </c>
      <c r="E954" t="s">
        <v>244</v>
      </c>
      <c r="F954" t="s">
        <v>245</v>
      </c>
      <c r="G954" t="s">
        <v>246</v>
      </c>
      <c r="H954" t="s">
        <v>247</v>
      </c>
      <c r="I954" t="s">
        <v>248</v>
      </c>
      <c r="J954" t="s">
        <v>249</v>
      </c>
    </row>
    <row r="955" spans="1:10" x14ac:dyDescent="0.25">
      <c r="A955">
        <v>1</v>
      </c>
      <c r="B955" t="s">
        <v>2185</v>
      </c>
      <c r="C955">
        <v>1240</v>
      </c>
      <c r="D955" t="s">
        <v>2186</v>
      </c>
      <c r="E955" t="s">
        <v>2187</v>
      </c>
      <c r="F955" t="s">
        <v>220</v>
      </c>
      <c r="G955" t="s">
        <v>2188</v>
      </c>
      <c r="H955" s="4">
        <v>43320</v>
      </c>
      <c r="I955" t="s">
        <v>254</v>
      </c>
    </row>
    <row r="956" spans="1:10" x14ac:dyDescent="0.25">
      <c r="A956">
        <v>2</v>
      </c>
      <c r="B956" t="s">
        <v>2189</v>
      </c>
      <c r="C956">
        <v>1258</v>
      </c>
      <c r="D956" t="s">
        <v>2190</v>
      </c>
      <c r="E956" t="s">
        <v>2187</v>
      </c>
      <c r="F956" t="s">
        <v>220</v>
      </c>
      <c r="G956" t="s">
        <v>269</v>
      </c>
      <c r="H956" s="4">
        <v>40889</v>
      </c>
      <c r="I956" t="s">
        <v>254</v>
      </c>
    </row>
    <row r="957" spans="1:10" x14ac:dyDescent="0.25">
      <c r="A957">
        <v>3</v>
      </c>
      <c r="B957" t="s">
        <v>2191</v>
      </c>
      <c r="C957">
        <v>1259</v>
      </c>
      <c r="D957" t="s">
        <v>2192</v>
      </c>
      <c r="E957" t="s">
        <v>2187</v>
      </c>
      <c r="F957" t="s">
        <v>220</v>
      </c>
      <c r="G957" t="s">
        <v>1176</v>
      </c>
      <c r="H957" s="4">
        <v>40892</v>
      </c>
      <c r="I957" t="s">
        <v>254</v>
      </c>
    </row>
    <row r="958" spans="1:10" x14ac:dyDescent="0.25">
      <c r="A958">
        <v>4</v>
      </c>
      <c r="B958" t="s">
        <v>2193</v>
      </c>
      <c r="C958">
        <v>1264</v>
      </c>
      <c r="D958" t="s">
        <v>2194</v>
      </c>
      <c r="E958" t="s">
        <v>2187</v>
      </c>
      <c r="F958" t="s">
        <v>220</v>
      </c>
      <c r="G958" t="s">
        <v>269</v>
      </c>
      <c r="H958" s="4">
        <v>42103</v>
      </c>
      <c r="I958" t="s">
        <v>254</v>
      </c>
    </row>
    <row r="959" spans="1:10" x14ac:dyDescent="0.25">
      <c r="A959">
        <v>5</v>
      </c>
      <c r="B959" t="s">
        <v>2195</v>
      </c>
      <c r="C959">
        <v>1268</v>
      </c>
      <c r="D959" t="s">
        <v>2196</v>
      </c>
      <c r="E959" t="s">
        <v>2187</v>
      </c>
      <c r="F959" t="s">
        <v>220</v>
      </c>
      <c r="G959" t="s">
        <v>1176</v>
      </c>
      <c r="H959" s="4">
        <v>43005</v>
      </c>
      <c r="I959" t="s">
        <v>254</v>
      </c>
    </row>
    <row r="960" spans="1:10" x14ac:dyDescent="0.25">
      <c r="A960">
        <v>6</v>
      </c>
      <c r="B960" t="s">
        <v>2197</v>
      </c>
      <c r="C960">
        <v>1336</v>
      </c>
      <c r="D960" t="s">
        <v>2198</v>
      </c>
      <c r="E960" t="s">
        <v>2187</v>
      </c>
      <c r="F960" t="s">
        <v>220</v>
      </c>
      <c r="G960" t="s">
        <v>450</v>
      </c>
      <c r="H960" s="4">
        <v>39388</v>
      </c>
      <c r="I960" t="s">
        <v>254</v>
      </c>
    </row>
    <row r="961" spans="1:9" x14ac:dyDescent="0.25">
      <c r="A961">
        <v>7</v>
      </c>
      <c r="B961" t="s">
        <v>2199</v>
      </c>
      <c r="C961">
        <v>1565</v>
      </c>
      <c r="D961" t="s">
        <v>2200</v>
      </c>
      <c r="E961" t="s">
        <v>2187</v>
      </c>
      <c r="F961" t="s">
        <v>220</v>
      </c>
      <c r="G961" t="s">
        <v>546</v>
      </c>
      <c r="H961" s="4">
        <v>38076</v>
      </c>
      <c r="I961" t="s">
        <v>254</v>
      </c>
    </row>
    <row r="962" spans="1:9" x14ac:dyDescent="0.25">
      <c r="A962">
        <v>8</v>
      </c>
      <c r="B962" t="s">
        <v>2201</v>
      </c>
      <c r="C962">
        <v>1569</v>
      </c>
      <c r="D962" t="s">
        <v>2202</v>
      </c>
      <c r="E962" t="s">
        <v>2187</v>
      </c>
      <c r="F962" t="s">
        <v>220</v>
      </c>
      <c r="G962" t="s">
        <v>792</v>
      </c>
      <c r="H962" s="4">
        <v>38562</v>
      </c>
      <c r="I962" t="s">
        <v>254</v>
      </c>
    </row>
    <row r="963" spans="1:9" x14ac:dyDescent="0.25">
      <c r="A963">
        <v>9</v>
      </c>
      <c r="B963" t="s">
        <v>2203</v>
      </c>
      <c r="C963">
        <v>1570</v>
      </c>
      <c r="D963" t="s">
        <v>2204</v>
      </c>
      <c r="E963" t="s">
        <v>2187</v>
      </c>
      <c r="F963" t="s">
        <v>220</v>
      </c>
      <c r="G963" t="s">
        <v>465</v>
      </c>
      <c r="H963" s="4">
        <v>38533</v>
      </c>
      <c r="I963" t="s">
        <v>254</v>
      </c>
    </row>
    <row r="964" spans="1:9" x14ac:dyDescent="0.25">
      <c r="A964">
        <v>10</v>
      </c>
      <c r="B964" t="s">
        <v>2205</v>
      </c>
      <c r="C964">
        <v>1580</v>
      </c>
      <c r="D964" t="s">
        <v>2206</v>
      </c>
      <c r="E964" t="s">
        <v>2187</v>
      </c>
      <c r="F964" t="s">
        <v>220</v>
      </c>
      <c r="G964" t="s">
        <v>465</v>
      </c>
      <c r="H964" s="4">
        <v>39426</v>
      </c>
      <c r="I964" t="s">
        <v>254</v>
      </c>
    </row>
    <row r="965" spans="1:9" x14ac:dyDescent="0.25">
      <c r="A965">
        <v>11</v>
      </c>
      <c r="B965" t="s">
        <v>2207</v>
      </c>
      <c r="C965">
        <v>1584</v>
      </c>
      <c r="D965" t="s">
        <v>2208</v>
      </c>
      <c r="E965" t="s">
        <v>2187</v>
      </c>
      <c r="F965" t="s">
        <v>220</v>
      </c>
      <c r="G965" t="s">
        <v>361</v>
      </c>
      <c r="H965" s="4">
        <v>39414</v>
      </c>
      <c r="I965" t="s">
        <v>254</v>
      </c>
    </row>
    <row r="966" spans="1:9" x14ac:dyDescent="0.25">
      <c r="A966">
        <v>12</v>
      </c>
      <c r="B966" t="s">
        <v>2209</v>
      </c>
      <c r="C966">
        <v>1586</v>
      </c>
      <c r="D966" t="s">
        <v>2210</v>
      </c>
      <c r="E966" t="s">
        <v>2187</v>
      </c>
      <c r="F966" t="s">
        <v>220</v>
      </c>
      <c r="G966" t="s">
        <v>465</v>
      </c>
      <c r="H966" s="4">
        <v>40917</v>
      </c>
      <c r="I966" t="s">
        <v>254</v>
      </c>
    </row>
    <row r="967" spans="1:9" x14ac:dyDescent="0.25">
      <c r="A967">
        <v>13</v>
      </c>
      <c r="B967" t="s">
        <v>2211</v>
      </c>
      <c r="C967">
        <v>1591</v>
      </c>
      <c r="D967" t="s">
        <v>2212</v>
      </c>
      <c r="E967" t="s">
        <v>2187</v>
      </c>
      <c r="F967" t="s">
        <v>220</v>
      </c>
      <c r="G967" t="s">
        <v>465</v>
      </c>
      <c r="H967" s="4">
        <v>40991</v>
      </c>
      <c r="I967" t="s">
        <v>254</v>
      </c>
    </row>
    <row r="968" spans="1:9" x14ac:dyDescent="0.25">
      <c r="A968">
        <v>14</v>
      </c>
      <c r="B968" t="s">
        <v>2213</v>
      </c>
      <c r="C968">
        <v>1593</v>
      </c>
      <c r="D968" t="s">
        <v>2214</v>
      </c>
      <c r="E968" t="s">
        <v>2187</v>
      </c>
      <c r="F968" t="s">
        <v>220</v>
      </c>
      <c r="G968" t="s">
        <v>546</v>
      </c>
      <c r="H968" s="4">
        <v>41073</v>
      </c>
      <c r="I968" t="s">
        <v>254</v>
      </c>
    </row>
    <row r="969" spans="1:9" x14ac:dyDescent="0.25">
      <c r="A969">
        <v>15</v>
      </c>
      <c r="B969" t="s">
        <v>2215</v>
      </c>
      <c r="C969">
        <v>1595</v>
      </c>
      <c r="D969" t="s">
        <v>2216</v>
      </c>
      <c r="E969" t="s">
        <v>2187</v>
      </c>
      <c r="F969" t="s">
        <v>220</v>
      </c>
      <c r="G969" t="s">
        <v>450</v>
      </c>
      <c r="H969" s="4">
        <v>40820</v>
      </c>
      <c r="I969" t="s">
        <v>254</v>
      </c>
    </row>
    <row r="970" spans="1:9" x14ac:dyDescent="0.25">
      <c r="A970">
        <v>16</v>
      </c>
      <c r="B970" t="s">
        <v>2217</v>
      </c>
      <c r="C970">
        <v>1599</v>
      </c>
      <c r="D970" t="s">
        <v>2218</v>
      </c>
      <c r="E970" t="s">
        <v>2187</v>
      </c>
      <c r="F970" t="s">
        <v>220</v>
      </c>
      <c r="G970" t="s">
        <v>465</v>
      </c>
      <c r="H970" s="4">
        <v>41268</v>
      </c>
      <c r="I970" t="s">
        <v>254</v>
      </c>
    </row>
    <row r="971" spans="1:9" x14ac:dyDescent="0.25">
      <c r="A971">
        <v>17</v>
      </c>
      <c r="B971" t="s">
        <v>2219</v>
      </c>
      <c r="C971">
        <v>1742</v>
      </c>
      <c r="D971" t="s">
        <v>2220</v>
      </c>
      <c r="E971" t="s">
        <v>2187</v>
      </c>
      <c r="F971" t="s">
        <v>220</v>
      </c>
      <c r="G971" t="s">
        <v>582</v>
      </c>
      <c r="H971" s="4">
        <v>38121</v>
      </c>
      <c r="I971" t="s">
        <v>254</v>
      </c>
    </row>
    <row r="972" spans="1:9" x14ac:dyDescent="0.25">
      <c r="A972">
        <v>18</v>
      </c>
      <c r="B972" t="s">
        <v>2221</v>
      </c>
      <c r="C972">
        <v>1752</v>
      </c>
      <c r="D972" t="s">
        <v>2222</v>
      </c>
      <c r="E972" t="s">
        <v>2187</v>
      </c>
      <c r="F972" t="s">
        <v>220</v>
      </c>
      <c r="G972" t="s">
        <v>546</v>
      </c>
      <c r="H972" s="4">
        <v>40035</v>
      </c>
      <c r="I972" t="s">
        <v>254</v>
      </c>
    </row>
    <row r="973" spans="1:9" x14ac:dyDescent="0.25">
      <c r="A973">
        <v>19</v>
      </c>
      <c r="B973" t="s">
        <v>2223</v>
      </c>
      <c r="C973">
        <v>1777</v>
      </c>
      <c r="D973" t="s">
        <v>2224</v>
      </c>
      <c r="E973" t="s">
        <v>2187</v>
      </c>
      <c r="F973" t="s">
        <v>220</v>
      </c>
      <c r="G973" t="s">
        <v>546</v>
      </c>
      <c r="H973" s="4">
        <v>38644</v>
      </c>
      <c r="I973" t="s">
        <v>254</v>
      </c>
    </row>
    <row r="974" spans="1:9" x14ac:dyDescent="0.25">
      <c r="A974">
        <v>20</v>
      </c>
      <c r="B974" t="s">
        <v>2225</v>
      </c>
      <c r="C974">
        <v>1781</v>
      </c>
      <c r="D974" t="s">
        <v>2226</v>
      </c>
      <c r="E974" t="s">
        <v>2187</v>
      </c>
      <c r="F974" t="s">
        <v>220</v>
      </c>
      <c r="G974" t="s">
        <v>546</v>
      </c>
      <c r="H974" s="4">
        <v>38345</v>
      </c>
      <c r="I974" t="s">
        <v>254</v>
      </c>
    </row>
    <row r="975" spans="1:9" x14ac:dyDescent="0.25">
      <c r="A975">
        <v>21</v>
      </c>
      <c r="B975" t="s">
        <v>2227</v>
      </c>
      <c r="C975">
        <v>1784</v>
      </c>
      <c r="D975" t="s">
        <v>2228</v>
      </c>
      <c r="E975" t="s">
        <v>2187</v>
      </c>
      <c r="F975" t="s">
        <v>220</v>
      </c>
      <c r="G975" t="s">
        <v>546</v>
      </c>
      <c r="H975" s="4">
        <v>39289</v>
      </c>
      <c r="I975" t="s">
        <v>254</v>
      </c>
    </row>
    <row r="976" spans="1:9" x14ac:dyDescent="0.25">
      <c r="A976">
        <v>22</v>
      </c>
      <c r="B976" t="s">
        <v>2229</v>
      </c>
      <c r="C976">
        <v>1785</v>
      </c>
      <c r="D976" t="s">
        <v>2230</v>
      </c>
      <c r="E976" t="s">
        <v>2187</v>
      </c>
      <c r="F976" t="s">
        <v>220</v>
      </c>
      <c r="G976" t="s">
        <v>804</v>
      </c>
      <c r="H976" s="4">
        <v>38383</v>
      </c>
      <c r="I976" t="s">
        <v>254</v>
      </c>
    </row>
    <row r="977" spans="1:9" x14ac:dyDescent="0.25">
      <c r="A977">
        <v>23</v>
      </c>
      <c r="B977" t="s">
        <v>2231</v>
      </c>
      <c r="C977">
        <v>1788</v>
      </c>
      <c r="D977" t="s">
        <v>2232</v>
      </c>
      <c r="E977" t="s">
        <v>2187</v>
      </c>
      <c r="F977" t="s">
        <v>220</v>
      </c>
      <c r="G977" t="s">
        <v>546</v>
      </c>
      <c r="H977" s="4">
        <v>40014</v>
      </c>
      <c r="I977" t="s">
        <v>254</v>
      </c>
    </row>
    <row r="978" spans="1:9" x14ac:dyDescent="0.25">
      <c r="A978">
        <v>24</v>
      </c>
      <c r="B978" t="s">
        <v>2233</v>
      </c>
      <c r="C978">
        <v>1796</v>
      </c>
      <c r="D978" t="s">
        <v>2234</v>
      </c>
      <c r="E978" t="s">
        <v>2187</v>
      </c>
      <c r="F978" t="s">
        <v>220</v>
      </c>
      <c r="G978" t="s">
        <v>269</v>
      </c>
      <c r="H978" s="4">
        <v>43122</v>
      </c>
      <c r="I978" t="s">
        <v>254</v>
      </c>
    </row>
    <row r="979" spans="1:9" x14ac:dyDescent="0.25">
      <c r="A979">
        <v>25</v>
      </c>
      <c r="B979" t="s">
        <v>2235</v>
      </c>
      <c r="C979">
        <v>1799</v>
      </c>
      <c r="D979" t="s">
        <v>2236</v>
      </c>
      <c r="E979" t="s">
        <v>2187</v>
      </c>
      <c r="F979" t="s">
        <v>220</v>
      </c>
      <c r="G979" t="s">
        <v>546</v>
      </c>
      <c r="H979" s="4">
        <v>39762</v>
      </c>
      <c r="I979" t="s">
        <v>254</v>
      </c>
    </row>
    <row r="980" spans="1:9" x14ac:dyDescent="0.25">
      <c r="A980">
        <v>26</v>
      </c>
      <c r="B980" t="s">
        <v>2237</v>
      </c>
      <c r="C980">
        <v>1813</v>
      </c>
      <c r="D980" t="s">
        <v>2238</v>
      </c>
      <c r="E980" t="s">
        <v>2187</v>
      </c>
      <c r="F980" t="s">
        <v>220</v>
      </c>
      <c r="G980" t="s">
        <v>546</v>
      </c>
      <c r="H980" s="4">
        <v>40029</v>
      </c>
      <c r="I980" t="s">
        <v>254</v>
      </c>
    </row>
    <row r="981" spans="1:9" x14ac:dyDescent="0.25">
      <c r="A981">
        <v>27</v>
      </c>
      <c r="B981" t="s">
        <v>2239</v>
      </c>
      <c r="C981">
        <v>1815</v>
      </c>
      <c r="D981" t="s">
        <v>2240</v>
      </c>
      <c r="E981" t="s">
        <v>2187</v>
      </c>
      <c r="F981" t="s">
        <v>220</v>
      </c>
      <c r="G981" t="s">
        <v>450</v>
      </c>
      <c r="H981" s="4">
        <v>38740</v>
      </c>
      <c r="I981" t="s">
        <v>254</v>
      </c>
    </row>
    <row r="982" spans="1:9" x14ac:dyDescent="0.25">
      <c r="A982">
        <v>28</v>
      </c>
      <c r="B982" t="s">
        <v>2241</v>
      </c>
      <c r="C982">
        <v>2035</v>
      </c>
      <c r="D982" t="s">
        <v>2242</v>
      </c>
      <c r="E982" t="s">
        <v>2187</v>
      </c>
      <c r="F982" t="s">
        <v>220</v>
      </c>
      <c r="G982" t="s">
        <v>677</v>
      </c>
      <c r="H982" s="4">
        <v>38905</v>
      </c>
      <c r="I982" t="s">
        <v>254</v>
      </c>
    </row>
    <row r="983" spans="1:9" x14ac:dyDescent="0.25">
      <c r="A983">
        <v>29</v>
      </c>
      <c r="B983" t="s">
        <v>2243</v>
      </c>
      <c r="C983">
        <v>2061</v>
      </c>
      <c r="D983" t="s">
        <v>2244</v>
      </c>
      <c r="E983" t="s">
        <v>2187</v>
      </c>
      <c r="F983" t="s">
        <v>220</v>
      </c>
      <c r="G983" t="s">
        <v>549</v>
      </c>
      <c r="H983" s="4">
        <v>40521</v>
      </c>
      <c r="I983" t="s">
        <v>254</v>
      </c>
    </row>
    <row r="984" spans="1:9" x14ac:dyDescent="0.25">
      <c r="A984">
        <v>30</v>
      </c>
      <c r="B984" t="s">
        <v>2245</v>
      </c>
      <c r="C984">
        <v>2063</v>
      </c>
      <c r="D984" t="s">
        <v>2246</v>
      </c>
      <c r="E984" t="s">
        <v>2187</v>
      </c>
      <c r="F984" t="s">
        <v>220</v>
      </c>
      <c r="G984" t="s">
        <v>677</v>
      </c>
      <c r="H984" s="4">
        <v>40428</v>
      </c>
      <c r="I984" t="s">
        <v>254</v>
      </c>
    </row>
    <row r="985" spans="1:9" x14ac:dyDescent="0.25">
      <c r="A985">
        <v>31</v>
      </c>
      <c r="B985" t="s">
        <v>2247</v>
      </c>
      <c r="C985">
        <v>2064</v>
      </c>
      <c r="D985" t="s">
        <v>2248</v>
      </c>
      <c r="E985" t="s">
        <v>2187</v>
      </c>
      <c r="F985" t="s">
        <v>220</v>
      </c>
      <c r="G985" t="s">
        <v>677</v>
      </c>
      <c r="H985" s="4">
        <v>41999</v>
      </c>
      <c r="I985" t="s">
        <v>254</v>
      </c>
    </row>
    <row r="986" spans="1:9" x14ac:dyDescent="0.25">
      <c r="A986">
        <v>32</v>
      </c>
      <c r="B986" t="s">
        <v>2249</v>
      </c>
      <c r="C986">
        <v>2065</v>
      </c>
      <c r="D986" t="s">
        <v>2250</v>
      </c>
      <c r="E986" t="s">
        <v>2187</v>
      </c>
      <c r="F986" t="s">
        <v>220</v>
      </c>
      <c r="G986" t="s">
        <v>677</v>
      </c>
      <c r="H986" s="4">
        <v>42846</v>
      </c>
      <c r="I986" t="s">
        <v>254</v>
      </c>
    </row>
    <row r="987" spans="1:9" x14ac:dyDescent="0.25">
      <c r="A987">
        <v>33</v>
      </c>
      <c r="B987" t="s">
        <v>2251</v>
      </c>
      <c r="C987">
        <v>2066</v>
      </c>
      <c r="D987" t="s">
        <v>2252</v>
      </c>
      <c r="E987" t="s">
        <v>2187</v>
      </c>
      <c r="F987" t="s">
        <v>220</v>
      </c>
      <c r="G987" t="s">
        <v>465</v>
      </c>
      <c r="H987" s="4">
        <v>41541</v>
      </c>
      <c r="I987" t="s">
        <v>254</v>
      </c>
    </row>
    <row r="988" spans="1:9" x14ac:dyDescent="0.25">
      <c r="A988">
        <v>34</v>
      </c>
      <c r="B988" t="s">
        <v>2253</v>
      </c>
      <c r="C988">
        <v>2067</v>
      </c>
      <c r="D988" t="s">
        <v>2254</v>
      </c>
      <c r="E988" t="s">
        <v>2187</v>
      </c>
      <c r="F988" t="s">
        <v>220</v>
      </c>
      <c r="G988" t="s">
        <v>465</v>
      </c>
      <c r="H988" s="4">
        <v>41785</v>
      </c>
      <c r="I988" t="s">
        <v>254</v>
      </c>
    </row>
    <row r="989" spans="1:9" x14ac:dyDescent="0.25">
      <c r="A989">
        <v>35</v>
      </c>
      <c r="B989" t="s">
        <v>2255</v>
      </c>
      <c r="C989">
        <v>2070</v>
      </c>
      <c r="D989" t="s">
        <v>2256</v>
      </c>
      <c r="E989" t="s">
        <v>2187</v>
      </c>
      <c r="F989" t="s">
        <v>220</v>
      </c>
      <c r="G989" t="s">
        <v>465</v>
      </c>
      <c r="H989" s="4">
        <v>43451</v>
      </c>
      <c r="I989" t="s">
        <v>254</v>
      </c>
    </row>
    <row r="990" spans="1:9" x14ac:dyDescent="0.25">
      <c r="A990">
        <v>36</v>
      </c>
      <c r="B990" t="s">
        <v>2257</v>
      </c>
      <c r="C990">
        <v>2221</v>
      </c>
      <c r="D990" t="s">
        <v>2258</v>
      </c>
      <c r="E990" t="s">
        <v>2187</v>
      </c>
      <c r="F990" t="s">
        <v>220</v>
      </c>
      <c r="G990" t="s">
        <v>361</v>
      </c>
      <c r="H990" s="4">
        <v>39295</v>
      </c>
      <c r="I990" t="s">
        <v>254</v>
      </c>
    </row>
    <row r="991" spans="1:9" x14ac:dyDescent="0.25">
      <c r="A991">
        <v>37</v>
      </c>
      <c r="B991" t="s">
        <v>2259</v>
      </c>
      <c r="C991">
        <v>2230</v>
      </c>
      <c r="D991" t="s">
        <v>2260</v>
      </c>
      <c r="E991" t="s">
        <v>2187</v>
      </c>
      <c r="F991" t="s">
        <v>220</v>
      </c>
      <c r="G991" t="s">
        <v>465</v>
      </c>
      <c r="H991" s="4">
        <v>41382</v>
      </c>
      <c r="I991" t="s">
        <v>254</v>
      </c>
    </row>
    <row r="992" spans="1:9" x14ac:dyDescent="0.25">
      <c r="A992">
        <v>38</v>
      </c>
      <c r="B992" t="s">
        <v>2261</v>
      </c>
      <c r="C992">
        <v>2235</v>
      </c>
      <c r="D992" t="s">
        <v>2262</v>
      </c>
      <c r="E992" t="s">
        <v>2187</v>
      </c>
      <c r="F992" t="s">
        <v>220</v>
      </c>
      <c r="G992" t="s">
        <v>465</v>
      </c>
      <c r="H992" s="4">
        <v>41988</v>
      </c>
      <c r="I992" t="s">
        <v>254</v>
      </c>
    </row>
    <row r="993" spans="1:9" x14ac:dyDescent="0.25">
      <c r="A993">
        <v>39</v>
      </c>
      <c r="B993" t="s">
        <v>2263</v>
      </c>
      <c r="C993">
        <v>2596</v>
      </c>
      <c r="D993" t="s">
        <v>2264</v>
      </c>
      <c r="E993" t="s">
        <v>2187</v>
      </c>
      <c r="F993" t="s">
        <v>220</v>
      </c>
      <c r="G993" t="s">
        <v>335</v>
      </c>
      <c r="H993" s="4">
        <v>39965</v>
      </c>
      <c r="I993" t="s">
        <v>254</v>
      </c>
    </row>
    <row r="994" spans="1:9" x14ac:dyDescent="0.25">
      <c r="A994">
        <v>40</v>
      </c>
      <c r="B994" t="s">
        <v>2265</v>
      </c>
      <c r="C994">
        <v>2640</v>
      </c>
      <c r="D994" t="s">
        <v>2266</v>
      </c>
      <c r="E994" t="s">
        <v>2187</v>
      </c>
      <c r="F994" t="s">
        <v>220</v>
      </c>
      <c r="G994" t="s">
        <v>361</v>
      </c>
      <c r="H994" s="4">
        <v>41220</v>
      </c>
      <c r="I994" t="s">
        <v>254</v>
      </c>
    </row>
    <row r="995" spans="1:9" x14ac:dyDescent="0.25">
      <c r="A995">
        <v>41</v>
      </c>
      <c r="B995" t="s">
        <v>2267</v>
      </c>
      <c r="C995">
        <v>2641</v>
      </c>
      <c r="D995" t="s">
        <v>2268</v>
      </c>
      <c r="E995" t="s">
        <v>2187</v>
      </c>
      <c r="F995" t="s">
        <v>220</v>
      </c>
      <c r="G995" t="s">
        <v>767</v>
      </c>
      <c r="H995" s="4">
        <v>41921</v>
      </c>
      <c r="I995" t="s">
        <v>254</v>
      </c>
    </row>
    <row r="996" spans="1:9" x14ac:dyDescent="0.25">
      <c r="A996">
        <v>42</v>
      </c>
      <c r="B996" t="s">
        <v>2269</v>
      </c>
      <c r="C996">
        <v>2643</v>
      </c>
      <c r="D996" t="s">
        <v>2270</v>
      </c>
      <c r="E996" t="s">
        <v>2187</v>
      </c>
      <c r="F996" t="s">
        <v>220</v>
      </c>
      <c r="G996" t="s">
        <v>767</v>
      </c>
      <c r="H996" s="4">
        <v>42433</v>
      </c>
      <c r="I996" t="s">
        <v>254</v>
      </c>
    </row>
    <row r="997" spans="1:9" x14ac:dyDescent="0.25">
      <c r="A997">
        <v>43</v>
      </c>
      <c r="B997" t="s">
        <v>2271</v>
      </c>
      <c r="C997">
        <v>2718</v>
      </c>
      <c r="D997" t="s">
        <v>2272</v>
      </c>
      <c r="E997" t="s">
        <v>2187</v>
      </c>
      <c r="F997" t="s">
        <v>220</v>
      </c>
      <c r="G997" t="s">
        <v>1176</v>
      </c>
      <c r="H997" s="4">
        <v>40631</v>
      </c>
      <c r="I997" t="s">
        <v>254</v>
      </c>
    </row>
    <row r="998" spans="1:9" x14ac:dyDescent="0.25">
      <c r="A998">
        <v>44</v>
      </c>
      <c r="B998" t="s">
        <v>2273</v>
      </c>
      <c r="C998">
        <v>2719</v>
      </c>
      <c r="D998" t="s">
        <v>2274</v>
      </c>
      <c r="E998" t="s">
        <v>2187</v>
      </c>
      <c r="F998" t="s">
        <v>220</v>
      </c>
      <c r="G998" t="s">
        <v>1176</v>
      </c>
      <c r="H998" s="4">
        <v>40963</v>
      </c>
      <c r="I998" t="s">
        <v>254</v>
      </c>
    </row>
    <row r="999" spans="1:9" x14ac:dyDescent="0.25">
      <c r="A999">
        <v>45</v>
      </c>
      <c r="B999" t="s">
        <v>2275</v>
      </c>
      <c r="C999">
        <v>2724</v>
      </c>
      <c r="D999" t="s">
        <v>2276</v>
      </c>
      <c r="E999" t="s">
        <v>2187</v>
      </c>
      <c r="F999" t="s">
        <v>220</v>
      </c>
      <c r="G999" t="s">
        <v>1176</v>
      </c>
      <c r="H999" s="4">
        <v>41058</v>
      </c>
      <c r="I999" t="s">
        <v>254</v>
      </c>
    </row>
    <row r="1000" spans="1:9" x14ac:dyDescent="0.25">
      <c r="A1000">
        <v>46</v>
      </c>
      <c r="B1000" t="s">
        <v>2277</v>
      </c>
      <c r="C1000">
        <v>2726</v>
      </c>
      <c r="D1000" t="s">
        <v>2278</v>
      </c>
      <c r="E1000" t="s">
        <v>2187</v>
      </c>
      <c r="F1000" t="s">
        <v>220</v>
      </c>
      <c r="G1000" t="s">
        <v>1176</v>
      </c>
      <c r="H1000" s="4">
        <v>41997</v>
      </c>
      <c r="I1000" t="s">
        <v>254</v>
      </c>
    </row>
    <row r="1001" spans="1:9" x14ac:dyDescent="0.25">
      <c r="A1001">
        <v>47</v>
      </c>
      <c r="B1001" t="s">
        <v>2279</v>
      </c>
      <c r="C1001">
        <v>2729</v>
      </c>
      <c r="D1001" t="s">
        <v>2280</v>
      </c>
      <c r="E1001" t="s">
        <v>2187</v>
      </c>
      <c r="F1001" t="s">
        <v>220</v>
      </c>
      <c r="G1001" t="s">
        <v>1176</v>
      </c>
      <c r="H1001" s="4">
        <v>41169</v>
      </c>
      <c r="I1001" t="s">
        <v>254</v>
      </c>
    </row>
    <row r="1002" spans="1:9" x14ac:dyDescent="0.25">
      <c r="A1002">
        <v>48</v>
      </c>
      <c r="B1002" t="s">
        <v>2281</v>
      </c>
      <c r="C1002">
        <v>2732</v>
      </c>
      <c r="D1002" t="s">
        <v>2282</v>
      </c>
      <c r="E1002" t="s">
        <v>2187</v>
      </c>
      <c r="F1002" t="s">
        <v>220</v>
      </c>
      <c r="G1002" t="s">
        <v>1176</v>
      </c>
      <c r="H1002" s="4">
        <v>42024</v>
      </c>
      <c r="I1002" t="s">
        <v>254</v>
      </c>
    </row>
    <row r="1003" spans="1:9" x14ac:dyDescent="0.25">
      <c r="A1003">
        <v>49</v>
      </c>
      <c r="B1003" t="s">
        <v>2283</v>
      </c>
      <c r="C1003">
        <v>2734</v>
      </c>
      <c r="D1003" t="s">
        <v>2284</v>
      </c>
      <c r="E1003" t="s">
        <v>2187</v>
      </c>
      <c r="F1003" t="s">
        <v>220</v>
      </c>
      <c r="G1003" t="s">
        <v>1176</v>
      </c>
      <c r="H1003" s="4">
        <v>41634</v>
      </c>
      <c r="I1003" t="s">
        <v>254</v>
      </c>
    </row>
    <row r="1004" spans="1:9" x14ac:dyDescent="0.25">
      <c r="A1004">
        <v>50</v>
      </c>
      <c r="B1004" t="s">
        <v>2285</v>
      </c>
      <c r="C1004">
        <v>2736</v>
      </c>
      <c r="D1004" t="s">
        <v>2286</v>
      </c>
      <c r="E1004" t="s">
        <v>2187</v>
      </c>
      <c r="F1004" t="s">
        <v>220</v>
      </c>
      <c r="G1004" t="s">
        <v>1176</v>
      </c>
      <c r="H1004" s="4">
        <v>42375</v>
      </c>
      <c r="I1004" t="s">
        <v>254</v>
      </c>
    </row>
    <row r="1005" spans="1:9" x14ac:dyDescent="0.25">
      <c r="A1005">
        <v>51</v>
      </c>
      <c r="B1005" t="s">
        <v>2287</v>
      </c>
      <c r="C1005">
        <v>2740</v>
      </c>
      <c r="D1005" t="s">
        <v>2288</v>
      </c>
      <c r="E1005" t="s">
        <v>2187</v>
      </c>
      <c r="F1005" t="s">
        <v>220</v>
      </c>
      <c r="G1005" t="s">
        <v>1176</v>
      </c>
      <c r="H1005" s="4">
        <v>42362</v>
      </c>
      <c r="I1005" t="s">
        <v>254</v>
      </c>
    </row>
    <row r="1006" spans="1:9" x14ac:dyDescent="0.25">
      <c r="A1006">
        <v>52</v>
      </c>
      <c r="B1006" t="s">
        <v>2289</v>
      </c>
      <c r="C1006">
        <v>2743</v>
      </c>
      <c r="D1006" t="s">
        <v>2290</v>
      </c>
      <c r="E1006" t="s">
        <v>2187</v>
      </c>
      <c r="F1006" t="s">
        <v>220</v>
      </c>
      <c r="G1006" t="s">
        <v>1176</v>
      </c>
      <c r="H1006" s="4">
        <v>43899</v>
      </c>
      <c r="I1006" t="s">
        <v>254</v>
      </c>
    </row>
    <row r="1007" spans="1:9" x14ac:dyDescent="0.25">
      <c r="A1007">
        <v>53</v>
      </c>
      <c r="B1007" t="s">
        <v>2291</v>
      </c>
      <c r="C1007">
        <v>2745</v>
      </c>
      <c r="D1007" t="s">
        <v>2292</v>
      </c>
      <c r="E1007" t="s">
        <v>2187</v>
      </c>
      <c r="F1007" t="s">
        <v>220</v>
      </c>
      <c r="G1007" t="s">
        <v>1176</v>
      </c>
      <c r="H1007" s="4">
        <v>43206</v>
      </c>
      <c r="I1007" t="s">
        <v>254</v>
      </c>
    </row>
    <row r="1008" spans="1:9" x14ac:dyDescent="0.25">
      <c r="A1008">
        <v>54</v>
      </c>
      <c r="B1008" t="s">
        <v>2293</v>
      </c>
      <c r="C1008">
        <v>2752</v>
      </c>
      <c r="D1008" t="s">
        <v>2294</v>
      </c>
      <c r="E1008" t="s">
        <v>2187</v>
      </c>
      <c r="F1008" t="s">
        <v>220</v>
      </c>
      <c r="G1008" t="s">
        <v>1176</v>
      </c>
      <c r="H1008" s="4">
        <v>43733</v>
      </c>
      <c r="I1008" t="s">
        <v>254</v>
      </c>
    </row>
    <row r="1009" spans="1:9" x14ac:dyDescent="0.25">
      <c r="A1009">
        <v>55</v>
      </c>
      <c r="B1009" t="s">
        <v>2295</v>
      </c>
      <c r="C1009">
        <v>2754</v>
      </c>
      <c r="D1009" t="s">
        <v>2296</v>
      </c>
      <c r="E1009" t="s">
        <v>2187</v>
      </c>
      <c r="F1009" t="s">
        <v>220</v>
      </c>
      <c r="G1009" t="s">
        <v>1176</v>
      </c>
      <c r="H1009" s="4">
        <v>44091</v>
      </c>
      <c r="I1009" t="s">
        <v>254</v>
      </c>
    </row>
    <row r="1010" spans="1:9" x14ac:dyDescent="0.25">
      <c r="A1010">
        <v>56</v>
      </c>
      <c r="B1010" t="s">
        <v>2297</v>
      </c>
      <c r="C1010">
        <v>2755</v>
      </c>
      <c r="D1010" t="s">
        <v>2298</v>
      </c>
      <c r="E1010" t="s">
        <v>2187</v>
      </c>
      <c r="F1010" t="s">
        <v>220</v>
      </c>
      <c r="G1010" t="s">
        <v>1176</v>
      </c>
      <c r="H1010" s="4">
        <v>44181</v>
      </c>
      <c r="I1010" t="s">
        <v>254</v>
      </c>
    </row>
    <row r="1011" spans="1:9" x14ac:dyDescent="0.25">
      <c r="A1011">
        <v>57</v>
      </c>
      <c r="B1011" t="s">
        <v>2299</v>
      </c>
      <c r="C1011">
        <v>2916</v>
      </c>
      <c r="D1011" t="s">
        <v>2300</v>
      </c>
      <c r="E1011" t="s">
        <v>2187</v>
      </c>
      <c r="F1011" t="s">
        <v>220</v>
      </c>
      <c r="G1011" t="s">
        <v>385</v>
      </c>
      <c r="H1011" s="4">
        <v>38421</v>
      </c>
      <c r="I1011" t="s">
        <v>254</v>
      </c>
    </row>
    <row r="1012" spans="1:9" x14ac:dyDescent="0.25">
      <c r="A1012">
        <v>58</v>
      </c>
      <c r="B1012" t="s">
        <v>2301</v>
      </c>
      <c r="C1012">
        <v>2924</v>
      </c>
      <c r="D1012" t="s">
        <v>2302</v>
      </c>
      <c r="E1012" t="s">
        <v>2187</v>
      </c>
      <c r="F1012" t="s">
        <v>220</v>
      </c>
      <c r="G1012" t="s">
        <v>385</v>
      </c>
      <c r="H1012" s="4">
        <v>40879</v>
      </c>
      <c r="I1012" t="s">
        <v>254</v>
      </c>
    </row>
    <row r="1013" spans="1:9" x14ac:dyDescent="0.25">
      <c r="A1013">
        <v>59</v>
      </c>
      <c r="B1013" t="s">
        <v>2303</v>
      </c>
      <c r="C1013">
        <v>2926</v>
      </c>
      <c r="D1013" t="s">
        <v>2304</v>
      </c>
      <c r="E1013" t="s">
        <v>2187</v>
      </c>
      <c r="F1013" t="s">
        <v>220</v>
      </c>
      <c r="G1013" t="s">
        <v>2305</v>
      </c>
      <c r="H1013" s="4">
        <v>41304</v>
      </c>
      <c r="I1013" t="s">
        <v>254</v>
      </c>
    </row>
    <row r="1014" spans="1:9" x14ac:dyDescent="0.25">
      <c r="A1014">
        <v>60</v>
      </c>
      <c r="B1014" t="s">
        <v>2306</v>
      </c>
      <c r="C1014">
        <v>2928</v>
      </c>
      <c r="D1014" t="s">
        <v>2307</v>
      </c>
      <c r="E1014" t="s">
        <v>2187</v>
      </c>
      <c r="F1014" t="s">
        <v>220</v>
      </c>
      <c r="G1014" t="s">
        <v>1176</v>
      </c>
      <c r="H1014" s="4">
        <v>42396</v>
      </c>
      <c r="I1014" t="s">
        <v>254</v>
      </c>
    </row>
    <row r="1015" spans="1:9" x14ac:dyDescent="0.25">
      <c r="A1015">
        <v>61</v>
      </c>
      <c r="B1015" t="s">
        <v>2308</v>
      </c>
      <c r="C1015">
        <v>2937</v>
      </c>
      <c r="D1015" t="s">
        <v>2309</v>
      </c>
      <c r="E1015" t="s">
        <v>2187</v>
      </c>
      <c r="F1015" t="s">
        <v>220</v>
      </c>
      <c r="G1015" t="s">
        <v>385</v>
      </c>
      <c r="H1015" s="4">
        <v>42894</v>
      </c>
      <c r="I1015" t="s">
        <v>254</v>
      </c>
    </row>
    <row r="1016" spans="1:9" x14ac:dyDescent="0.25">
      <c r="A1016">
        <v>62</v>
      </c>
      <c r="B1016" t="s">
        <v>2310</v>
      </c>
      <c r="C1016">
        <v>3064</v>
      </c>
      <c r="D1016" t="s">
        <v>2311</v>
      </c>
      <c r="E1016" t="s">
        <v>2187</v>
      </c>
      <c r="F1016" t="s">
        <v>220</v>
      </c>
      <c r="G1016" t="s">
        <v>2305</v>
      </c>
      <c r="H1016" s="4">
        <v>38147</v>
      </c>
      <c r="I1016" t="s">
        <v>254</v>
      </c>
    </row>
    <row r="1017" spans="1:9" x14ac:dyDescent="0.25">
      <c r="A1017">
        <v>63</v>
      </c>
      <c r="B1017" t="s">
        <v>2312</v>
      </c>
      <c r="C1017">
        <v>3066</v>
      </c>
      <c r="D1017" t="s">
        <v>2313</v>
      </c>
      <c r="E1017" t="s">
        <v>2187</v>
      </c>
      <c r="F1017" t="s">
        <v>220</v>
      </c>
      <c r="G1017" t="s">
        <v>818</v>
      </c>
      <c r="H1017" s="4">
        <v>38323</v>
      </c>
      <c r="I1017" t="s">
        <v>254</v>
      </c>
    </row>
    <row r="1018" spans="1:9" x14ac:dyDescent="0.25">
      <c r="A1018">
        <v>64</v>
      </c>
      <c r="B1018" t="s">
        <v>2314</v>
      </c>
      <c r="C1018">
        <v>3067</v>
      </c>
      <c r="D1018" t="s">
        <v>2315</v>
      </c>
      <c r="E1018" t="s">
        <v>2187</v>
      </c>
      <c r="F1018" t="s">
        <v>220</v>
      </c>
      <c r="G1018" t="s">
        <v>804</v>
      </c>
      <c r="H1018" s="4">
        <v>37915</v>
      </c>
      <c r="I1018" t="s">
        <v>254</v>
      </c>
    </row>
    <row r="1019" spans="1:9" x14ac:dyDescent="0.25">
      <c r="A1019">
        <v>65</v>
      </c>
      <c r="B1019" t="s">
        <v>2316</v>
      </c>
      <c r="C1019">
        <v>3071</v>
      </c>
      <c r="D1019" t="s">
        <v>2317</v>
      </c>
      <c r="E1019" t="s">
        <v>2187</v>
      </c>
      <c r="F1019" t="s">
        <v>220</v>
      </c>
      <c r="G1019" t="s">
        <v>792</v>
      </c>
      <c r="H1019" s="4">
        <v>38351</v>
      </c>
      <c r="I1019" t="s">
        <v>254</v>
      </c>
    </row>
    <row r="1020" spans="1:9" x14ac:dyDescent="0.25">
      <c r="A1020">
        <v>66</v>
      </c>
      <c r="B1020" t="s">
        <v>2318</v>
      </c>
      <c r="C1020">
        <v>3073</v>
      </c>
      <c r="D1020" t="s">
        <v>2319</v>
      </c>
      <c r="E1020" t="s">
        <v>2187</v>
      </c>
      <c r="F1020" t="s">
        <v>220</v>
      </c>
      <c r="G1020" t="s">
        <v>795</v>
      </c>
      <c r="H1020" s="4">
        <v>39363</v>
      </c>
      <c r="I1020" t="s">
        <v>254</v>
      </c>
    </row>
    <row r="1021" spans="1:9" x14ac:dyDescent="0.25">
      <c r="A1021">
        <v>67</v>
      </c>
      <c r="B1021" t="s">
        <v>2320</v>
      </c>
      <c r="C1021">
        <v>3078</v>
      </c>
      <c r="D1021" t="s">
        <v>2321</v>
      </c>
      <c r="E1021" t="s">
        <v>2187</v>
      </c>
      <c r="F1021" t="s">
        <v>220</v>
      </c>
      <c r="G1021" t="s">
        <v>450</v>
      </c>
      <c r="H1021" s="4">
        <v>38383</v>
      </c>
      <c r="I1021" t="s">
        <v>254</v>
      </c>
    </row>
    <row r="1022" spans="1:9" x14ac:dyDescent="0.25">
      <c r="A1022">
        <v>68</v>
      </c>
      <c r="B1022" t="s">
        <v>2322</v>
      </c>
      <c r="C1022">
        <v>3081</v>
      </c>
      <c r="D1022" t="s">
        <v>2323</v>
      </c>
      <c r="E1022" t="s">
        <v>2187</v>
      </c>
      <c r="F1022" t="s">
        <v>220</v>
      </c>
      <c r="G1022" t="s">
        <v>809</v>
      </c>
      <c r="H1022" s="4">
        <v>42207</v>
      </c>
      <c r="I1022" t="s">
        <v>254</v>
      </c>
    </row>
    <row r="1023" spans="1:9" x14ac:dyDescent="0.25">
      <c r="A1023">
        <v>69</v>
      </c>
      <c r="B1023" t="s">
        <v>2324</v>
      </c>
      <c r="C1023">
        <v>3083</v>
      </c>
      <c r="D1023" t="s">
        <v>2325</v>
      </c>
      <c r="E1023" t="s">
        <v>2187</v>
      </c>
      <c r="F1023" t="s">
        <v>220</v>
      </c>
      <c r="G1023" t="s">
        <v>2305</v>
      </c>
      <c r="H1023" s="4">
        <v>37957</v>
      </c>
      <c r="I1023" t="s">
        <v>254</v>
      </c>
    </row>
    <row r="1024" spans="1:9" x14ac:dyDescent="0.25">
      <c r="A1024">
        <v>70</v>
      </c>
      <c r="B1024" t="s">
        <v>2326</v>
      </c>
      <c r="C1024">
        <v>3085</v>
      </c>
      <c r="D1024" t="s">
        <v>2327</v>
      </c>
      <c r="E1024" t="s">
        <v>2187</v>
      </c>
      <c r="F1024" t="s">
        <v>220</v>
      </c>
      <c r="G1024" t="s">
        <v>2328</v>
      </c>
      <c r="H1024" s="4">
        <v>38047</v>
      </c>
      <c r="I1024" t="s">
        <v>254</v>
      </c>
    </row>
    <row r="1025" spans="1:9" x14ac:dyDescent="0.25">
      <c r="A1025">
        <v>71</v>
      </c>
      <c r="B1025" t="s">
        <v>2329</v>
      </c>
      <c r="C1025">
        <v>3086</v>
      </c>
      <c r="D1025" t="s">
        <v>2330</v>
      </c>
      <c r="E1025" t="s">
        <v>2187</v>
      </c>
      <c r="F1025" t="s">
        <v>220</v>
      </c>
      <c r="G1025" t="s">
        <v>2305</v>
      </c>
      <c r="H1025" s="4">
        <v>38075</v>
      </c>
      <c r="I1025" t="s">
        <v>254</v>
      </c>
    </row>
    <row r="1026" spans="1:9" x14ac:dyDescent="0.25">
      <c r="A1026">
        <v>72</v>
      </c>
      <c r="B1026" t="s">
        <v>2331</v>
      </c>
      <c r="C1026">
        <v>3088</v>
      </c>
      <c r="D1026" t="s">
        <v>2332</v>
      </c>
      <c r="E1026" t="s">
        <v>2187</v>
      </c>
      <c r="F1026" t="s">
        <v>220</v>
      </c>
      <c r="G1026" t="s">
        <v>792</v>
      </c>
      <c r="H1026" s="4">
        <v>38470</v>
      </c>
      <c r="I1026" t="s">
        <v>254</v>
      </c>
    </row>
    <row r="1027" spans="1:9" x14ac:dyDescent="0.25">
      <c r="A1027">
        <v>73</v>
      </c>
      <c r="B1027" t="s">
        <v>2333</v>
      </c>
      <c r="C1027">
        <v>3089</v>
      </c>
      <c r="D1027" t="s">
        <v>2334</v>
      </c>
      <c r="E1027" t="s">
        <v>2187</v>
      </c>
      <c r="F1027" t="s">
        <v>220</v>
      </c>
      <c r="G1027" t="s">
        <v>450</v>
      </c>
      <c r="H1027" s="4">
        <v>37908</v>
      </c>
      <c r="I1027" t="s">
        <v>254</v>
      </c>
    </row>
    <row r="1028" spans="1:9" x14ac:dyDescent="0.25">
      <c r="A1028">
        <v>74</v>
      </c>
      <c r="B1028" t="s">
        <v>2335</v>
      </c>
      <c r="C1028">
        <v>3093</v>
      </c>
      <c r="D1028" t="s">
        <v>2336</v>
      </c>
      <c r="E1028" t="s">
        <v>2187</v>
      </c>
      <c r="F1028" t="s">
        <v>220</v>
      </c>
      <c r="G1028" t="s">
        <v>804</v>
      </c>
      <c r="H1028" s="4">
        <v>38520</v>
      </c>
      <c r="I1028" t="s">
        <v>254</v>
      </c>
    </row>
    <row r="1029" spans="1:9" x14ac:dyDescent="0.25">
      <c r="A1029">
        <v>75</v>
      </c>
      <c r="B1029" t="s">
        <v>2337</v>
      </c>
      <c r="C1029">
        <v>3095</v>
      </c>
      <c r="D1029" t="s">
        <v>2338</v>
      </c>
      <c r="E1029" t="s">
        <v>2187</v>
      </c>
      <c r="F1029" t="s">
        <v>220</v>
      </c>
      <c r="G1029" t="s">
        <v>809</v>
      </c>
      <c r="H1029" s="4">
        <v>38498</v>
      </c>
      <c r="I1029" t="s">
        <v>254</v>
      </c>
    </row>
    <row r="1030" spans="1:9" x14ac:dyDescent="0.25">
      <c r="A1030">
        <v>76</v>
      </c>
      <c r="B1030" t="s">
        <v>2339</v>
      </c>
      <c r="C1030">
        <v>3105</v>
      </c>
      <c r="D1030" t="s">
        <v>2340</v>
      </c>
      <c r="E1030" t="s">
        <v>2187</v>
      </c>
      <c r="F1030" t="s">
        <v>220</v>
      </c>
      <c r="G1030" t="s">
        <v>795</v>
      </c>
      <c r="H1030" s="4">
        <v>40890</v>
      </c>
      <c r="I1030" t="s">
        <v>254</v>
      </c>
    </row>
    <row r="1031" spans="1:9" x14ac:dyDescent="0.25">
      <c r="A1031">
        <v>77</v>
      </c>
      <c r="B1031" t="s">
        <v>2341</v>
      </c>
      <c r="C1031">
        <v>3114</v>
      </c>
      <c r="D1031" t="s">
        <v>2342</v>
      </c>
      <c r="E1031" t="s">
        <v>2187</v>
      </c>
      <c r="F1031" t="s">
        <v>220</v>
      </c>
      <c r="G1031" t="s">
        <v>450</v>
      </c>
      <c r="H1031" s="4">
        <v>38071</v>
      </c>
      <c r="I1031" t="s">
        <v>254</v>
      </c>
    </row>
    <row r="1032" spans="1:9" x14ac:dyDescent="0.25">
      <c r="A1032">
        <v>78</v>
      </c>
      <c r="B1032" t="s">
        <v>2343</v>
      </c>
      <c r="C1032">
        <v>3115</v>
      </c>
      <c r="D1032" t="s">
        <v>2344</v>
      </c>
      <c r="E1032" t="s">
        <v>2187</v>
      </c>
      <c r="F1032" t="s">
        <v>220</v>
      </c>
      <c r="G1032" t="s">
        <v>450</v>
      </c>
      <c r="H1032" s="4">
        <v>38450</v>
      </c>
      <c r="I1032" t="s">
        <v>254</v>
      </c>
    </row>
    <row r="1033" spans="1:9" x14ac:dyDescent="0.25">
      <c r="A1033">
        <v>79</v>
      </c>
      <c r="B1033" t="s">
        <v>2345</v>
      </c>
      <c r="C1033">
        <v>3118</v>
      </c>
      <c r="D1033" t="s">
        <v>2346</v>
      </c>
      <c r="E1033" t="s">
        <v>2187</v>
      </c>
      <c r="F1033" t="s">
        <v>220</v>
      </c>
      <c r="G1033" t="s">
        <v>546</v>
      </c>
      <c r="H1033" s="4">
        <v>39589</v>
      </c>
      <c r="I1033" t="s">
        <v>254</v>
      </c>
    </row>
    <row r="1034" spans="1:9" x14ac:dyDescent="0.25">
      <c r="A1034">
        <v>80</v>
      </c>
      <c r="B1034" t="s">
        <v>2347</v>
      </c>
      <c r="C1034">
        <v>3122</v>
      </c>
      <c r="D1034" t="s">
        <v>2348</v>
      </c>
      <c r="E1034" t="s">
        <v>2187</v>
      </c>
      <c r="F1034" t="s">
        <v>220</v>
      </c>
      <c r="G1034" t="s">
        <v>795</v>
      </c>
      <c r="H1034" s="4">
        <v>42030</v>
      </c>
      <c r="I1034" t="s">
        <v>254</v>
      </c>
    </row>
    <row r="1035" spans="1:9" x14ac:dyDescent="0.25">
      <c r="A1035">
        <v>81</v>
      </c>
      <c r="B1035" t="s">
        <v>2349</v>
      </c>
      <c r="C1035">
        <v>3128</v>
      </c>
      <c r="D1035" t="s">
        <v>2350</v>
      </c>
      <c r="E1035" t="s">
        <v>2187</v>
      </c>
      <c r="F1035" t="s">
        <v>220</v>
      </c>
      <c r="G1035" t="s">
        <v>818</v>
      </c>
      <c r="H1035" s="4">
        <v>38964</v>
      </c>
      <c r="I1035" t="s">
        <v>254</v>
      </c>
    </row>
    <row r="1036" spans="1:9" x14ac:dyDescent="0.25">
      <c r="A1036">
        <v>82</v>
      </c>
      <c r="B1036" t="s">
        <v>2351</v>
      </c>
      <c r="C1036">
        <v>3131</v>
      </c>
      <c r="D1036" t="s">
        <v>2352</v>
      </c>
      <c r="E1036" t="s">
        <v>2187</v>
      </c>
      <c r="F1036" t="s">
        <v>220</v>
      </c>
      <c r="G1036" t="s">
        <v>804</v>
      </c>
      <c r="H1036" s="4">
        <v>40560</v>
      </c>
      <c r="I1036" t="s">
        <v>254</v>
      </c>
    </row>
    <row r="1037" spans="1:9" x14ac:dyDescent="0.25">
      <c r="A1037">
        <v>83</v>
      </c>
      <c r="B1037" t="s">
        <v>2353</v>
      </c>
      <c r="C1037">
        <v>3141</v>
      </c>
      <c r="D1037" t="s">
        <v>2354</v>
      </c>
      <c r="E1037" t="s">
        <v>2187</v>
      </c>
      <c r="F1037" t="s">
        <v>220</v>
      </c>
      <c r="G1037" t="s">
        <v>795</v>
      </c>
      <c r="H1037" s="4">
        <v>41712</v>
      </c>
      <c r="I1037" t="s">
        <v>254</v>
      </c>
    </row>
    <row r="1038" spans="1:9" x14ac:dyDescent="0.25">
      <c r="A1038">
        <v>84</v>
      </c>
      <c r="B1038" t="s">
        <v>2355</v>
      </c>
      <c r="C1038">
        <v>3144</v>
      </c>
      <c r="D1038" t="s">
        <v>2356</v>
      </c>
      <c r="E1038" t="s">
        <v>2187</v>
      </c>
      <c r="F1038" t="s">
        <v>220</v>
      </c>
      <c r="G1038" t="s">
        <v>450</v>
      </c>
      <c r="H1038" s="4">
        <v>38345</v>
      </c>
      <c r="I1038" t="s">
        <v>254</v>
      </c>
    </row>
    <row r="1039" spans="1:9" x14ac:dyDescent="0.25">
      <c r="A1039">
        <v>85</v>
      </c>
      <c r="B1039" t="s">
        <v>2357</v>
      </c>
      <c r="C1039">
        <v>3147</v>
      </c>
      <c r="D1039" t="s">
        <v>2358</v>
      </c>
      <c r="E1039" t="s">
        <v>2187</v>
      </c>
      <c r="F1039" t="s">
        <v>220</v>
      </c>
      <c r="G1039" t="s">
        <v>964</v>
      </c>
      <c r="H1039" s="4">
        <v>43249</v>
      </c>
      <c r="I1039" t="s">
        <v>254</v>
      </c>
    </row>
    <row r="1040" spans="1:9" x14ac:dyDescent="0.25">
      <c r="A1040">
        <v>86</v>
      </c>
      <c r="B1040" t="s">
        <v>2359</v>
      </c>
      <c r="C1040">
        <v>3152</v>
      </c>
      <c r="D1040" t="s">
        <v>2360</v>
      </c>
      <c r="E1040" t="s">
        <v>2187</v>
      </c>
      <c r="F1040" t="s">
        <v>220</v>
      </c>
      <c r="G1040" t="s">
        <v>809</v>
      </c>
      <c r="H1040" s="4">
        <v>39531</v>
      </c>
      <c r="I1040" t="s">
        <v>254</v>
      </c>
    </row>
    <row r="1041" spans="1:9" x14ac:dyDescent="0.25">
      <c r="A1041">
        <v>87</v>
      </c>
      <c r="B1041" t="s">
        <v>2361</v>
      </c>
      <c r="C1041">
        <v>3162</v>
      </c>
      <c r="D1041" t="s">
        <v>2362</v>
      </c>
      <c r="E1041" t="s">
        <v>2187</v>
      </c>
      <c r="F1041" t="s">
        <v>220</v>
      </c>
      <c r="G1041" t="s">
        <v>465</v>
      </c>
      <c r="H1041" s="4">
        <v>38628</v>
      </c>
      <c r="I1041" t="s">
        <v>254</v>
      </c>
    </row>
    <row r="1042" spans="1:9" x14ac:dyDescent="0.25">
      <c r="A1042">
        <v>88</v>
      </c>
      <c r="B1042" t="s">
        <v>2363</v>
      </c>
      <c r="C1042">
        <v>3163</v>
      </c>
      <c r="D1042" t="s">
        <v>2364</v>
      </c>
      <c r="E1042" t="s">
        <v>2187</v>
      </c>
      <c r="F1042" t="s">
        <v>220</v>
      </c>
      <c r="G1042" t="s">
        <v>809</v>
      </c>
      <c r="H1042" s="4">
        <v>41246</v>
      </c>
      <c r="I1042" t="s">
        <v>254</v>
      </c>
    </row>
    <row r="1043" spans="1:9" x14ac:dyDescent="0.25">
      <c r="A1043">
        <v>89</v>
      </c>
      <c r="B1043" t="s">
        <v>2365</v>
      </c>
      <c r="C1043">
        <v>3169</v>
      </c>
      <c r="D1043" t="s">
        <v>2366</v>
      </c>
      <c r="E1043" t="s">
        <v>2187</v>
      </c>
      <c r="F1043" t="s">
        <v>220</v>
      </c>
      <c r="G1043" t="s">
        <v>795</v>
      </c>
      <c r="H1043" s="4">
        <v>40141</v>
      </c>
      <c r="I1043" t="s">
        <v>254</v>
      </c>
    </row>
    <row r="1044" spans="1:9" x14ac:dyDescent="0.25">
      <c r="A1044">
        <v>90</v>
      </c>
      <c r="B1044" t="s">
        <v>2367</v>
      </c>
      <c r="C1044">
        <v>3171</v>
      </c>
      <c r="D1044" t="s">
        <v>2368</v>
      </c>
      <c r="E1044" t="s">
        <v>2187</v>
      </c>
      <c r="F1044" t="s">
        <v>220</v>
      </c>
      <c r="G1044" t="s">
        <v>385</v>
      </c>
      <c r="H1044" s="4">
        <v>38247</v>
      </c>
      <c r="I1044" t="s">
        <v>254</v>
      </c>
    </row>
    <row r="1045" spans="1:9" x14ac:dyDescent="0.25">
      <c r="A1045">
        <v>91</v>
      </c>
      <c r="B1045" t="s">
        <v>2369</v>
      </c>
      <c r="C1045">
        <v>3176</v>
      </c>
      <c r="D1045" t="s">
        <v>2370</v>
      </c>
      <c r="E1045" t="s">
        <v>2187</v>
      </c>
      <c r="F1045" t="s">
        <v>220</v>
      </c>
      <c r="G1045" t="s">
        <v>546</v>
      </c>
      <c r="H1045" s="4">
        <v>40870</v>
      </c>
      <c r="I1045" t="s">
        <v>254</v>
      </c>
    </row>
    <row r="1046" spans="1:9" x14ac:dyDescent="0.25">
      <c r="A1046">
        <v>92</v>
      </c>
      <c r="B1046" t="s">
        <v>2371</v>
      </c>
      <c r="C1046">
        <v>3178</v>
      </c>
      <c r="D1046" t="s">
        <v>2372</v>
      </c>
      <c r="E1046" t="s">
        <v>2187</v>
      </c>
      <c r="F1046" t="s">
        <v>220</v>
      </c>
      <c r="G1046" t="s">
        <v>465</v>
      </c>
      <c r="H1046" s="4">
        <v>43423</v>
      </c>
      <c r="I1046" t="s">
        <v>254</v>
      </c>
    </row>
    <row r="1047" spans="1:9" x14ac:dyDescent="0.25">
      <c r="A1047">
        <v>93</v>
      </c>
      <c r="B1047" t="s">
        <v>2373</v>
      </c>
      <c r="C1047">
        <v>3188</v>
      </c>
      <c r="D1047" t="s">
        <v>2374</v>
      </c>
      <c r="E1047" t="s">
        <v>2187</v>
      </c>
      <c r="F1047" t="s">
        <v>220</v>
      </c>
      <c r="G1047" t="s">
        <v>335</v>
      </c>
      <c r="H1047" s="4">
        <v>38063</v>
      </c>
      <c r="I1047" t="s">
        <v>254</v>
      </c>
    </row>
    <row r="1048" spans="1:9" x14ac:dyDescent="0.25">
      <c r="A1048">
        <v>94</v>
      </c>
      <c r="B1048" t="s">
        <v>2375</v>
      </c>
      <c r="C1048">
        <v>3191</v>
      </c>
      <c r="D1048" t="s">
        <v>2376</v>
      </c>
      <c r="E1048" t="s">
        <v>2187</v>
      </c>
      <c r="F1048" t="s">
        <v>220</v>
      </c>
      <c r="G1048" t="s">
        <v>450</v>
      </c>
      <c r="H1048" s="4">
        <v>38454</v>
      </c>
      <c r="I1048" t="s">
        <v>254</v>
      </c>
    </row>
    <row r="1049" spans="1:9" x14ac:dyDescent="0.25">
      <c r="A1049">
        <v>95</v>
      </c>
      <c r="B1049" t="s">
        <v>2377</v>
      </c>
      <c r="C1049">
        <v>3202</v>
      </c>
      <c r="D1049" t="s">
        <v>2378</v>
      </c>
      <c r="E1049" t="s">
        <v>2187</v>
      </c>
      <c r="F1049" t="s">
        <v>220</v>
      </c>
      <c r="G1049" t="s">
        <v>450</v>
      </c>
      <c r="H1049" s="4">
        <v>38559</v>
      </c>
      <c r="I1049" t="s">
        <v>254</v>
      </c>
    </row>
    <row r="1050" spans="1:9" x14ac:dyDescent="0.25">
      <c r="A1050">
        <v>96</v>
      </c>
      <c r="B1050" t="s">
        <v>2379</v>
      </c>
      <c r="C1050">
        <v>3205</v>
      </c>
      <c r="D1050" t="s">
        <v>2380</v>
      </c>
      <c r="E1050" t="s">
        <v>2187</v>
      </c>
      <c r="F1050" t="s">
        <v>220</v>
      </c>
      <c r="G1050" t="s">
        <v>546</v>
      </c>
      <c r="H1050" s="4">
        <v>38607</v>
      </c>
      <c r="I1050" t="s">
        <v>254</v>
      </c>
    </row>
    <row r="1051" spans="1:9" x14ac:dyDescent="0.25">
      <c r="A1051">
        <v>97</v>
      </c>
      <c r="B1051" t="s">
        <v>2381</v>
      </c>
      <c r="C1051">
        <v>3206</v>
      </c>
      <c r="D1051" t="s">
        <v>2382</v>
      </c>
      <c r="E1051" t="s">
        <v>2187</v>
      </c>
      <c r="F1051" t="s">
        <v>220</v>
      </c>
      <c r="G1051" t="s">
        <v>450</v>
      </c>
      <c r="H1051" s="4">
        <v>39121</v>
      </c>
      <c r="I1051" t="s">
        <v>254</v>
      </c>
    </row>
    <row r="1052" spans="1:9" x14ac:dyDescent="0.25">
      <c r="A1052">
        <v>98</v>
      </c>
      <c r="B1052" t="s">
        <v>2383</v>
      </c>
      <c r="C1052">
        <v>3207</v>
      </c>
      <c r="D1052" t="s">
        <v>2384</v>
      </c>
      <c r="E1052" t="s">
        <v>2187</v>
      </c>
      <c r="F1052" t="s">
        <v>220</v>
      </c>
      <c r="G1052" t="s">
        <v>450</v>
      </c>
      <c r="H1052" s="4">
        <v>38295</v>
      </c>
      <c r="I1052" t="s">
        <v>254</v>
      </c>
    </row>
    <row r="1053" spans="1:9" x14ac:dyDescent="0.25">
      <c r="A1053">
        <v>99</v>
      </c>
      <c r="B1053" t="s">
        <v>2385</v>
      </c>
      <c r="C1053">
        <v>3211</v>
      </c>
      <c r="D1053" t="s">
        <v>2386</v>
      </c>
      <c r="E1053" t="s">
        <v>2187</v>
      </c>
      <c r="F1053" t="s">
        <v>220</v>
      </c>
      <c r="G1053" t="s">
        <v>792</v>
      </c>
      <c r="H1053" s="4">
        <v>38299</v>
      </c>
      <c r="I1053" t="s">
        <v>254</v>
      </c>
    </row>
    <row r="1054" spans="1:9" x14ac:dyDescent="0.25">
      <c r="A1054">
        <v>100</v>
      </c>
      <c r="B1054" t="s">
        <v>2387</v>
      </c>
      <c r="C1054">
        <v>3213</v>
      </c>
      <c r="D1054" t="s">
        <v>2388</v>
      </c>
      <c r="E1054" t="s">
        <v>2187</v>
      </c>
      <c r="F1054" t="s">
        <v>220</v>
      </c>
      <c r="G1054" t="s">
        <v>792</v>
      </c>
      <c r="H1054" s="4">
        <v>38261</v>
      </c>
      <c r="I1054" t="s">
        <v>254</v>
      </c>
    </row>
    <row r="1055" spans="1:9" x14ac:dyDescent="0.25">
      <c r="A1055">
        <v>101</v>
      </c>
      <c r="B1055" t="s">
        <v>2389</v>
      </c>
      <c r="C1055">
        <v>3217</v>
      </c>
      <c r="D1055" t="s">
        <v>2390</v>
      </c>
      <c r="E1055" t="s">
        <v>2187</v>
      </c>
      <c r="F1055" t="s">
        <v>220</v>
      </c>
      <c r="G1055" t="s">
        <v>450</v>
      </c>
      <c r="H1055" s="4">
        <v>38107</v>
      </c>
      <c r="I1055" t="s">
        <v>254</v>
      </c>
    </row>
    <row r="1056" spans="1:9" x14ac:dyDescent="0.25">
      <c r="A1056">
        <v>102</v>
      </c>
      <c r="B1056" t="s">
        <v>2391</v>
      </c>
      <c r="C1056">
        <v>3218</v>
      </c>
      <c r="D1056" t="s">
        <v>2392</v>
      </c>
      <c r="E1056" t="s">
        <v>2187</v>
      </c>
      <c r="F1056" t="s">
        <v>220</v>
      </c>
      <c r="G1056" t="s">
        <v>546</v>
      </c>
      <c r="H1056" s="4">
        <v>38320</v>
      </c>
      <c r="I1056" t="s">
        <v>254</v>
      </c>
    </row>
    <row r="1057" spans="1:9" x14ac:dyDescent="0.25">
      <c r="A1057">
        <v>103</v>
      </c>
      <c r="B1057" t="s">
        <v>2393</v>
      </c>
      <c r="C1057">
        <v>3219</v>
      </c>
      <c r="D1057" t="s">
        <v>2394</v>
      </c>
      <c r="E1057" t="s">
        <v>2187</v>
      </c>
      <c r="F1057" t="s">
        <v>220</v>
      </c>
      <c r="G1057" t="s">
        <v>804</v>
      </c>
      <c r="H1057" s="4">
        <v>38065</v>
      </c>
      <c r="I1057" t="s">
        <v>254</v>
      </c>
    </row>
    <row r="1058" spans="1:9" x14ac:dyDescent="0.25">
      <c r="A1058">
        <v>104</v>
      </c>
      <c r="B1058" t="s">
        <v>2395</v>
      </c>
      <c r="C1058">
        <v>3221</v>
      </c>
      <c r="D1058" t="s">
        <v>2396</v>
      </c>
      <c r="E1058" t="s">
        <v>2187</v>
      </c>
      <c r="F1058" t="s">
        <v>220</v>
      </c>
      <c r="G1058" t="s">
        <v>809</v>
      </c>
      <c r="H1058" s="4">
        <v>38770</v>
      </c>
      <c r="I1058" t="s">
        <v>254</v>
      </c>
    </row>
    <row r="1059" spans="1:9" x14ac:dyDescent="0.25">
      <c r="A1059">
        <v>105</v>
      </c>
      <c r="B1059" t="s">
        <v>2397</v>
      </c>
      <c r="C1059">
        <v>3224</v>
      </c>
      <c r="D1059" t="s">
        <v>2398</v>
      </c>
      <c r="E1059" t="s">
        <v>2187</v>
      </c>
      <c r="F1059" t="s">
        <v>220</v>
      </c>
      <c r="G1059" t="s">
        <v>847</v>
      </c>
      <c r="H1059" s="4">
        <v>38141</v>
      </c>
      <c r="I1059" t="s">
        <v>254</v>
      </c>
    </row>
    <row r="1060" spans="1:9" x14ac:dyDescent="0.25">
      <c r="A1060">
        <v>106</v>
      </c>
      <c r="B1060" t="s">
        <v>2399</v>
      </c>
      <c r="C1060">
        <v>3226</v>
      </c>
      <c r="D1060" t="s">
        <v>2400</v>
      </c>
      <c r="E1060" t="s">
        <v>2187</v>
      </c>
      <c r="F1060" t="s">
        <v>220</v>
      </c>
      <c r="G1060" t="s">
        <v>465</v>
      </c>
      <c r="H1060" s="4">
        <v>38154</v>
      </c>
      <c r="I1060" t="s">
        <v>254</v>
      </c>
    </row>
    <row r="1061" spans="1:9" x14ac:dyDescent="0.25">
      <c r="A1061">
        <v>107</v>
      </c>
      <c r="B1061" t="s">
        <v>2401</v>
      </c>
      <c r="C1061">
        <v>3227</v>
      </c>
      <c r="D1061" t="s">
        <v>2402</v>
      </c>
      <c r="E1061" t="s">
        <v>2187</v>
      </c>
      <c r="F1061" t="s">
        <v>220</v>
      </c>
      <c r="G1061" t="s">
        <v>795</v>
      </c>
      <c r="H1061" s="4">
        <v>38841</v>
      </c>
      <c r="I1061" t="s">
        <v>254</v>
      </c>
    </row>
    <row r="1062" spans="1:9" x14ac:dyDescent="0.25">
      <c r="A1062">
        <v>108</v>
      </c>
      <c r="B1062" t="s">
        <v>2403</v>
      </c>
      <c r="C1062">
        <v>3228</v>
      </c>
      <c r="D1062" t="s">
        <v>2404</v>
      </c>
      <c r="E1062" t="s">
        <v>2187</v>
      </c>
      <c r="F1062" t="s">
        <v>220</v>
      </c>
      <c r="G1062" t="s">
        <v>795</v>
      </c>
      <c r="H1062" s="4">
        <v>38413</v>
      </c>
      <c r="I1062" t="s">
        <v>254</v>
      </c>
    </row>
    <row r="1063" spans="1:9" x14ac:dyDescent="0.25">
      <c r="A1063">
        <v>109</v>
      </c>
      <c r="B1063" t="s">
        <v>2405</v>
      </c>
      <c r="C1063">
        <v>3230</v>
      </c>
      <c r="D1063" t="s">
        <v>2406</v>
      </c>
      <c r="E1063" t="s">
        <v>2187</v>
      </c>
      <c r="F1063" t="s">
        <v>220</v>
      </c>
      <c r="G1063" t="s">
        <v>818</v>
      </c>
      <c r="H1063" s="4">
        <v>38985</v>
      </c>
      <c r="I1063" t="s">
        <v>254</v>
      </c>
    </row>
    <row r="1064" spans="1:9" x14ac:dyDescent="0.25">
      <c r="A1064">
        <v>110</v>
      </c>
      <c r="B1064" t="s">
        <v>2407</v>
      </c>
      <c r="C1064">
        <v>3232</v>
      </c>
      <c r="D1064" t="s">
        <v>2408</v>
      </c>
      <c r="E1064" t="s">
        <v>2187</v>
      </c>
      <c r="F1064" t="s">
        <v>220</v>
      </c>
      <c r="G1064" t="s">
        <v>847</v>
      </c>
      <c r="H1064" s="4">
        <v>38292</v>
      </c>
      <c r="I1064" t="s">
        <v>254</v>
      </c>
    </row>
    <row r="1065" spans="1:9" x14ac:dyDescent="0.25">
      <c r="A1065">
        <v>111</v>
      </c>
      <c r="B1065" t="s">
        <v>2409</v>
      </c>
      <c r="C1065">
        <v>3234</v>
      </c>
      <c r="D1065" t="s">
        <v>2410</v>
      </c>
      <c r="E1065" t="s">
        <v>2187</v>
      </c>
      <c r="F1065" t="s">
        <v>220</v>
      </c>
      <c r="G1065" t="s">
        <v>809</v>
      </c>
      <c r="H1065" s="4">
        <v>40626</v>
      </c>
      <c r="I1065" t="s">
        <v>254</v>
      </c>
    </row>
    <row r="1066" spans="1:9" x14ac:dyDescent="0.25">
      <c r="A1066">
        <v>112</v>
      </c>
      <c r="B1066" t="s">
        <v>2411</v>
      </c>
      <c r="C1066">
        <v>3236</v>
      </c>
      <c r="D1066" t="s">
        <v>2412</v>
      </c>
      <c r="E1066" t="s">
        <v>2187</v>
      </c>
      <c r="F1066" t="s">
        <v>220</v>
      </c>
      <c r="G1066" t="s">
        <v>450</v>
      </c>
      <c r="H1066" s="4">
        <v>38323</v>
      </c>
      <c r="I1066" t="s">
        <v>254</v>
      </c>
    </row>
    <row r="1067" spans="1:9" x14ac:dyDescent="0.25">
      <c r="A1067">
        <v>113</v>
      </c>
      <c r="B1067" t="s">
        <v>2413</v>
      </c>
      <c r="C1067">
        <v>3252</v>
      </c>
      <c r="D1067" t="s">
        <v>2414</v>
      </c>
      <c r="E1067" t="s">
        <v>2187</v>
      </c>
      <c r="F1067" t="s">
        <v>220</v>
      </c>
      <c r="G1067" t="s">
        <v>1176</v>
      </c>
      <c r="H1067" s="4">
        <v>38253</v>
      </c>
      <c r="I1067" t="s">
        <v>254</v>
      </c>
    </row>
    <row r="1068" spans="1:9" x14ac:dyDescent="0.25">
      <c r="A1068">
        <v>114</v>
      </c>
      <c r="B1068" t="s">
        <v>2415</v>
      </c>
      <c r="C1068">
        <v>3259</v>
      </c>
      <c r="D1068" t="s">
        <v>2416</v>
      </c>
      <c r="E1068" t="s">
        <v>2187</v>
      </c>
      <c r="F1068" t="s">
        <v>220</v>
      </c>
      <c r="G1068" t="s">
        <v>795</v>
      </c>
      <c r="H1068" s="4">
        <v>39440</v>
      </c>
      <c r="I1068" t="s">
        <v>254</v>
      </c>
    </row>
    <row r="1069" spans="1:9" x14ac:dyDescent="0.25">
      <c r="A1069">
        <v>115</v>
      </c>
      <c r="B1069" t="s">
        <v>2417</v>
      </c>
      <c r="C1069">
        <v>3260</v>
      </c>
      <c r="D1069" t="s">
        <v>2418</v>
      </c>
      <c r="E1069" t="s">
        <v>2187</v>
      </c>
      <c r="F1069" t="s">
        <v>220</v>
      </c>
      <c r="G1069" t="s">
        <v>795</v>
      </c>
      <c r="H1069" s="4">
        <v>38268</v>
      </c>
      <c r="I1069" t="s">
        <v>254</v>
      </c>
    </row>
    <row r="1070" spans="1:9" x14ac:dyDescent="0.25">
      <c r="A1070">
        <v>116</v>
      </c>
      <c r="B1070" t="s">
        <v>2419</v>
      </c>
      <c r="C1070">
        <v>3264</v>
      </c>
      <c r="D1070" t="s">
        <v>2420</v>
      </c>
      <c r="E1070" t="s">
        <v>2187</v>
      </c>
      <c r="F1070" t="s">
        <v>220</v>
      </c>
      <c r="G1070" t="s">
        <v>795</v>
      </c>
      <c r="H1070" s="4">
        <v>38357</v>
      </c>
      <c r="I1070" t="s">
        <v>254</v>
      </c>
    </row>
    <row r="1071" spans="1:9" x14ac:dyDescent="0.25">
      <c r="A1071">
        <v>117</v>
      </c>
      <c r="B1071" t="s">
        <v>2421</v>
      </c>
      <c r="C1071">
        <v>3265</v>
      </c>
      <c r="D1071" t="s">
        <v>2422</v>
      </c>
      <c r="E1071" t="s">
        <v>2187</v>
      </c>
      <c r="F1071" t="s">
        <v>220</v>
      </c>
      <c r="G1071" t="s">
        <v>795</v>
      </c>
      <c r="H1071" s="4">
        <v>38566</v>
      </c>
      <c r="I1071" t="s">
        <v>254</v>
      </c>
    </row>
    <row r="1072" spans="1:9" x14ac:dyDescent="0.25">
      <c r="A1072">
        <v>118</v>
      </c>
      <c r="B1072" t="s">
        <v>2423</v>
      </c>
      <c r="C1072">
        <v>3268</v>
      </c>
      <c r="D1072" t="s">
        <v>2424</v>
      </c>
      <c r="E1072" t="s">
        <v>2187</v>
      </c>
      <c r="F1072" t="s">
        <v>220</v>
      </c>
      <c r="G1072" t="s">
        <v>795</v>
      </c>
      <c r="H1072" s="4">
        <v>38379</v>
      </c>
      <c r="I1072" t="s">
        <v>254</v>
      </c>
    </row>
    <row r="1073" spans="1:9" x14ac:dyDescent="0.25">
      <c r="A1073">
        <v>119</v>
      </c>
      <c r="B1073" t="s">
        <v>2425</v>
      </c>
      <c r="C1073">
        <v>3272</v>
      </c>
      <c r="D1073" t="s">
        <v>2426</v>
      </c>
      <c r="E1073" t="s">
        <v>2187</v>
      </c>
      <c r="F1073" t="s">
        <v>220</v>
      </c>
      <c r="G1073" t="s">
        <v>792</v>
      </c>
      <c r="H1073" s="4">
        <v>41877</v>
      </c>
      <c r="I1073" t="s">
        <v>254</v>
      </c>
    </row>
    <row r="1074" spans="1:9" x14ac:dyDescent="0.25">
      <c r="A1074">
        <v>120</v>
      </c>
      <c r="B1074" t="s">
        <v>2427</v>
      </c>
      <c r="C1074">
        <v>3276</v>
      </c>
      <c r="D1074" t="s">
        <v>2428</v>
      </c>
      <c r="E1074" t="s">
        <v>2187</v>
      </c>
      <c r="F1074" t="s">
        <v>220</v>
      </c>
      <c r="G1074" t="s">
        <v>450</v>
      </c>
      <c r="H1074" s="4">
        <v>38364</v>
      </c>
      <c r="I1074" t="s">
        <v>254</v>
      </c>
    </row>
    <row r="1075" spans="1:9" x14ac:dyDescent="0.25">
      <c r="A1075">
        <v>121</v>
      </c>
      <c r="B1075" t="s">
        <v>2429</v>
      </c>
      <c r="C1075">
        <v>3284</v>
      </c>
      <c r="D1075" t="s">
        <v>2430</v>
      </c>
      <c r="E1075" t="s">
        <v>2187</v>
      </c>
      <c r="F1075" t="s">
        <v>220</v>
      </c>
      <c r="G1075" t="s">
        <v>361</v>
      </c>
      <c r="H1075" s="4">
        <v>38433</v>
      </c>
      <c r="I1075" t="s">
        <v>254</v>
      </c>
    </row>
    <row r="1076" spans="1:9" x14ac:dyDescent="0.25">
      <c r="A1076">
        <v>122</v>
      </c>
      <c r="B1076" t="s">
        <v>2431</v>
      </c>
      <c r="C1076">
        <v>3285</v>
      </c>
      <c r="D1076" t="s">
        <v>2432</v>
      </c>
      <c r="E1076" t="s">
        <v>2187</v>
      </c>
      <c r="F1076" t="s">
        <v>220</v>
      </c>
      <c r="G1076" t="s">
        <v>804</v>
      </c>
      <c r="H1076" s="4">
        <v>41113</v>
      </c>
      <c r="I1076" t="s">
        <v>254</v>
      </c>
    </row>
    <row r="1077" spans="1:9" x14ac:dyDescent="0.25">
      <c r="A1077">
        <v>123</v>
      </c>
      <c r="B1077" t="s">
        <v>2433</v>
      </c>
      <c r="C1077">
        <v>3287</v>
      </c>
      <c r="D1077" t="s">
        <v>2434</v>
      </c>
      <c r="E1077" t="s">
        <v>2187</v>
      </c>
      <c r="F1077" t="s">
        <v>220</v>
      </c>
      <c r="G1077" t="s">
        <v>792</v>
      </c>
      <c r="H1077" s="4">
        <v>39475</v>
      </c>
      <c r="I1077" t="s">
        <v>254</v>
      </c>
    </row>
    <row r="1078" spans="1:9" x14ac:dyDescent="0.25">
      <c r="A1078">
        <v>124</v>
      </c>
      <c r="B1078" t="s">
        <v>2435</v>
      </c>
      <c r="C1078">
        <v>3288</v>
      </c>
      <c r="D1078" t="s">
        <v>2436</v>
      </c>
      <c r="E1078" t="s">
        <v>2187</v>
      </c>
      <c r="F1078" t="s">
        <v>220</v>
      </c>
      <c r="G1078" t="s">
        <v>450</v>
      </c>
      <c r="H1078" s="4">
        <v>38457</v>
      </c>
      <c r="I1078" t="s">
        <v>254</v>
      </c>
    </row>
    <row r="1079" spans="1:9" x14ac:dyDescent="0.25">
      <c r="A1079">
        <v>125</v>
      </c>
      <c r="B1079" t="s">
        <v>2437</v>
      </c>
      <c r="C1079">
        <v>3289</v>
      </c>
      <c r="D1079" t="s">
        <v>2438</v>
      </c>
      <c r="E1079" t="s">
        <v>2187</v>
      </c>
      <c r="F1079" t="s">
        <v>220</v>
      </c>
      <c r="G1079" t="s">
        <v>804</v>
      </c>
      <c r="H1079" s="4">
        <v>38349</v>
      </c>
      <c r="I1079" t="s">
        <v>254</v>
      </c>
    </row>
    <row r="1080" spans="1:9" x14ac:dyDescent="0.25">
      <c r="A1080">
        <v>126</v>
      </c>
      <c r="B1080" t="s">
        <v>2439</v>
      </c>
      <c r="C1080">
        <v>3290</v>
      </c>
      <c r="D1080" t="s">
        <v>2440</v>
      </c>
      <c r="E1080" t="s">
        <v>2187</v>
      </c>
      <c r="F1080" t="s">
        <v>220</v>
      </c>
      <c r="G1080" t="s">
        <v>450</v>
      </c>
      <c r="H1080" s="4">
        <v>38491</v>
      </c>
      <c r="I1080" t="s">
        <v>254</v>
      </c>
    </row>
    <row r="1081" spans="1:9" x14ac:dyDescent="0.25">
      <c r="A1081">
        <v>127</v>
      </c>
      <c r="B1081" t="s">
        <v>2441</v>
      </c>
      <c r="C1081">
        <v>3293</v>
      </c>
      <c r="D1081" t="s">
        <v>2442</v>
      </c>
      <c r="E1081" t="s">
        <v>2187</v>
      </c>
      <c r="F1081" t="s">
        <v>220</v>
      </c>
      <c r="G1081" t="s">
        <v>2305</v>
      </c>
      <c r="H1081" s="4">
        <v>38910</v>
      </c>
      <c r="I1081" t="s">
        <v>254</v>
      </c>
    </row>
    <row r="1082" spans="1:9" x14ac:dyDescent="0.25">
      <c r="A1082">
        <v>128</v>
      </c>
      <c r="B1082" t="s">
        <v>2443</v>
      </c>
      <c r="C1082">
        <v>3294</v>
      </c>
      <c r="D1082" t="s">
        <v>2444</v>
      </c>
      <c r="E1082" t="s">
        <v>2187</v>
      </c>
      <c r="F1082" t="s">
        <v>220</v>
      </c>
      <c r="G1082" t="s">
        <v>450</v>
      </c>
      <c r="H1082" s="4">
        <v>39199</v>
      </c>
      <c r="I1082" t="s">
        <v>254</v>
      </c>
    </row>
    <row r="1083" spans="1:9" x14ac:dyDescent="0.25">
      <c r="A1083">
        <v>129</v>
      </c>
      <c r="B1083" t="s">
        <v>2445</v>
      </c>
      <c r="C1083">
        <v>3297</v>
      </c>
      <c r="D1083" t="s">
        <v>2446</v>
      </c>
      <c r="E1083" t="s">
        <v>2187</v>
      </c>
      <c r="F1083" t="s">
        <v>220</v>
      </c>
      <c r="G1083" t="s">
        <v>818</v>
      </c>
      <c r="H1083" s="4">
        <v>38510</v>
      </c>
      <c r="I1083" t="s">
        <v>254</v>
      </c>
    </row>
    <row r="1084" spans="1:9" x14ac:dyDescent="0.25">
      <c r="A1084">
        <v>130</v>
      </c>
      <c r="B1084" t="s">
        <v>2447</v>
      </c>
      <c r="C1084">
        <v>3303</v>
      </c>
      <c r="D1084" t="s">
        <v>2448</v>
      </c>
      <c r="E1084" t="s">
        <v>2187</v>
      </c>
      <c r="F1084" t="s">
        <v>220</v>
      </c>
      <c r="G1084" t="s">
        <v>804</v>
      </c>
      <c r="H1084" s="4">
        <v>39230</v>
      </c>
      <c r="I1084" t="s">
        <v>254</v>
      </c>
    </row>
    <row r="1085" spans="1:9" x14ac:dyDescent="0.25">
      <c r="A1085">
        <v>131</v>
      </c>
      <c r="B1085" t="s">
        <v>2449</v>
      </c>
      <c r="C1085">
        <v>3306</v>
      </c>
      <c r="D1085" t="s">
        <v>2450</v>
      </c>
      <c r="E1085" t="s">
        <v>2187</v>
      </c>
      <c r="F1085" t="s">
        <v>220</v>
      </c>
      <c r="G1085" t="s">
        <v>809</v>
      </c>
      <c r="H1085" s="4">
        <v>38538</v>
      </c>
      <c r="I1085" t="s">
        <v>254</v>
      </c>
    </row>
    <row r="1086" spans="1:9" x14ac:dyDescent="0.25">
      <c r="A1086">
        <v>132</v>
      </c>
      <c r="B1086" t="s">
        <v>2451</v>
      </c>
      <c r="C1086">
        <v>3310</v>
      </c>
      <c r="D1086" t="s">
        <v>2452</v>
      </c>
      <c r="E1086" t="s">
        <v>2187</v>
      </c>
      <c r="F1086" t="s">
        <v>220</v>
      </c>
      <c r="G1086" t="s">
        <v>450</v>
      </c>
      <c r="H1086" s="4">
        <v>39626</v>
      </c>
      <c r="I1086" t="s">
        <v>254</v>
      </c>
    </row>
    <row r="1087" spans="1:9" x14ac:dyDescent="0.25">
      <c r="A1087">
        <v>133</v>
      </c>
      <c r="B1087" t="s">
        <v>2453</v>
      </c>
      <c r="C1087">
        <v>3313</v>
      </c>
      <c r="D1087" t="s">
        <v>2454</v>
      </c>
      <c r="E1087" t="s">
        <v>2187</v>
      </c>
      <c r="F1087" t="s">
        <v>220</v>
      </c>
      <c r="G1087" t="s">
        <v>361</v>
      </c>
      <c r="H1087" s="4">
        <v>38866</v>
      </c>
      <c r="I1087" t="s">
        <v>254</v>
      </c>
    </row>
    <row r="1088" spans="1:9" x14ac:dyDescent="0.25">
      <c r="A1088">
        <v>134</v>
      </c>
      <c r="B1088" t="s">
        <v>2455</v>
      </c>
      <c r="C1088">
        <v>3317</v>
      </c>
      <c r="D1088" t="s">
        <v>2456</v>
      </c>
      <c r="E1088" t="s">
        <v>2187</v>
      </c>
      <c r="F1088" t="s">
        <v>220</v>
      </c>
      <c r="G1088" t="s">
        <v>795</v>
      </c>
      <c r="H1088" s="4">
        <v>39303</v>
      </c>
      <c r="I1088" t="s">
        <v>254</v>
      </c>
    </row>
    <row r="1089" spans="1:9" x14ac:dyDescent="0.25">
      <c r="A1089">
        <v>135</v>
      </c>
      <c r="B1089" t="s">
        <v>2457</v>
      </c>
      <c r="C1089">
        <v>3322</v>
      </c>
      <c r="D1089" t="s">
        <v>2458</v>
      </c>
      <c r="E1089" t="s">
        <v>2187</v>
      </c>
      <c r="F1089" t="s">
        <v>220</v>
      </c>
      <c r="G1089" t="s">
        <v>450</v>
      </c>
      <c r="H1089" s="4">
        <v>39953</v>
      </c>
      <c r="I1089" t="s">
        <v>254</v>
      </c>
    </row>
    <row r="1090" spans="1:9" x14ac:dyDescent="0.25">
      <c r="A1090">
        <v>136</v>
      </c>
      <c r="B1090" t="s">
        <v>2459</v>
      </c>
      <c r="C1090">
        <v>3323</v>
      </c>
      <c r="D1090" t="s">
        <v>2460</v>
      </c>
      <c r="E1090" t="s">
        <v>2187</v>
      </c>
      <c r="F1090" t="s">
        <v>220</v>
      </c>
      <c r="G1090" t="s">
        <v>792</v>
      </c>
      <c r="H1090" s="4">
        <v>39258</v>
      </c>
      <c r="I1090" t="s">
        <v>254</v>
      </c>
    </row>
    <row r="1091" spans="1:9" x14ac:dyDescent="0.25">
      <c r="A1091">
        <v>137</v>
      </c>
      <c r="B1091" t="s">
        <v>2461</v>
      </c>
      <c r="C1091">
        <v>3324</v>
      </c>
      <c r="D1091" t="s">
        <v>2462</v>
      </c>
      <c r="E1091" t="s">
        <v>2187</v>
      </c>
      <c r="F1091" t="s">
        <v>220</v>
      </c>
      <c r="G1091" t="s">
        <v>804</v>
      </c>
      <c r="H1091" s="4">
        <v>38485</v>
      </c>
      <c r="I1091" t="s">
        <v>254</v>
      </c>
    </row>
    <row r="1092" spans="1:9" x14ac:dyDescent="0.25">
      <c r="A1092">
        <v>138</v>
      </c>
      <c r="B1092" t="s">
        <v>2463</v>
      </c>
      <c r="C1092">
        <v>3325</v>
      </c>
      <c r="D1092" t="s">
        <v>2464</v>
      </c>
      <c r="E1092" t="s">
        <v>2187</v>
      </c>
      <c r="F1092" t="s">
        <v>220</v>
      </c>
      <c r="G1092" t="s">
        <v>792</v>
      </c>
      <c r="H1092" s="4">
        <v>38579</v>
      </c>
      <c r="I1092" t="s">
        <v>254</v>
      </c>
    </row>
    <row r="1093" spans="1:9" x14ac:dyDescent="0.25">
      <c r="A1093">
        <v>139</v>
      </c>
      <c r="B1093" t="s">
        <v>2465</v>
      </c>
      <c r="C1093">
        <v>3332</v>
      </c>
      <c r="D1093" t="s">
        <v>2466</v>
      </c>
      <c r="E1093" t="s">
        <v>2187</v>
      </c>
      <c r="F1093" t="s">
        <v>220</v>
      </c>
      <c r="G1093" t="s">
        <v>450</v>
      </c>
      <c r="H1093" s="4">
        <v>39471</v>
      </c>
      <c r="I1093" t="s">
        <v>254</v>
      </c>
    </row>
    <row r="1094" spans="1:9" x14ac:dyDescent="0.25">
      <c r="A1094">
        <v>140</v>
      </c>
      <c r="B1094" t="s">
        <v>2467</v>
      </c>
      <c r="C1094">
        <v>3339</v>
      </c>
      <c r="D1094" t="s">
        <v>2468</v>
      </c>
      <c r="E1094" t="s">
        <v>2187</v>
      </c>
      <c r="F1094" t="s">
        <v>220</v>
      </c>
      <c r="G1094" t="s">
        <v>818</v>
      </c>
      <c r="H1094" s="4">
        <v>38895</v>
      </c>
      <c r="I1094" t="s">
        <v>254</v>
      </c>
    </row>
    <row r="1095" spans="1:9" x14ac:dyDescent="0.25">
      <c r="A1095">
        <v>141</v>
      </c>
      <c r="B1095" t="s">
        <v>2469</v>
      </c>
      <c r="C1095">
        <v>3354</v>
      </c>
      <c r="D1095" t="s">
        <v>2470</v>
      </c>
      <c r="E1095" t="s">
        <v>2187</v>
      </c>
      <c r="F1095" t="s">
        <v>220</v>
      </c>
      <c r="G1095" t="s">
        <v>450</v>
      </c>
      <c r="H1095" s="4">
        <v>38694</v>
      </c>
      <c r="I1095" t="s">
        <v>254</v>
      </c>
    </row>
    <row r="1096" spans="1:9" x14ac:dyDescent="0.25">
      <c r="A1096">
        <v>142</v>
      </c>
      <c r="B1096" t="s">
        <v>2471</v>
      </c>
      <c r="C1096">
        <v>3357</v>
      </c>
      <c r="D1096" t="s">
        <v>2472</v>
      </c>
      <c r="E1096" t="s">
        <v>2187</v>
      </c>
      <c r="F1096" t="s">
        <v>220</v>
      </c>
      <c r="G1096" t="s">
        <v>450</v>
      </c>
      <c r="H1096" s="4">
        <v>44313</v>
      </c>
      <c r="I1096" t="s">
        <v>254</v>
      </c>
    </row>
    <row r="1097" spans="1:9" x14ac:dyDescent="0.25">
      <c r="A1097">
        <v>143</v>
      </c>
      <c r="B1097" t="s">
        <v>2473</v>
      </c>
      <c r="C1097">
        <v>3360</v>
      </c>
      <c r="D1097" t="s">
        <v>2474</v>
      </c>
      <c r="E1097" t="s">
        <v>2187</v>
      </c>
      <c r="F1097" t="s">
        <v>220</v>
      </c>
      <c r="G1097" t="s">
        <v>847</v>
      </c>
      <c r="H1097" s="4">
        <v>38874</v>
      </c>
      <c r="I1097" t="s">
        <v>254</v>
      </c>
    </row>
    <row r="1098" spans="1:9" x14ac:dyDescent="0.25">
      <c r="A1098">
        <v>144</v>
      </c>
      <c r="B1098" t="s">
        <v>2475</v>
      </c>
      <c r="C1098">
        <v>3362</v>
      </c>
      <c r="D1098" t="s">
        <v>2476</v>
      </c>
      <c r="E1098" t="s">
        <v>2187</v>
      </c>
      <c r="F1098" t="s">
        <v>220</v>
      </c>
      <c r="G1098" t="s">
        <v>818</v>
      </c>
      <c r="H1098" s="4">
        <v>38601</v>
      </c>
      <c r="I1098" t="s">
        <v>254</v>
      </c>
    </row>
    <row r="1099" spans="1:9" x14ac:dyDescent="0.25">
      <c r="A1099">
        <v>145</v>
      </c>
      <c r="B1099" t="s">
        <v>2477</v>
      </c>
      <c r="C1099">
        <v>3363</v>
      </c>
      <c r="D1099" t="s">
        <v>2478</v>
      </c>
      <c r="E1099" t="s">
        <v>2187</v>
      </c>
      <c r="F1099" t="s">
        <v>220</v>
      </c>
      <c r="G1099" t="s">
        <v>809</v>
      </c>
      <c r="H1099" s="4">
        <v>40599</v>
      </c>
      <c r="I1099" t="s">
        <v>254</v>
      </c>
    </row>
    <row r="1100" spans="1:9" x14ac:dyDescent="0.25">
      <c r="A1100">
        <v>146</v>
      </c>
      <c r="B1100" t="s">
        <v>2479</v>
      </c>
      <c r="C1100">
        <v>3372</v>
      </c>
      <c r="D1100" t="s">
        <v>2480</v>
      </c>
      <c r="E1100" t="s">
        <v>2187</v>
      </c>
      <c r="F1100" t="s">
        <v>220</v>
      </c>
      <c r="G1100" t="s">
        <v>795</v>
      </c>
      <c r="H1100" s="4">
        <v>38702</v>
      </c>
      <c r="I1100" t="s">
        <v>254</v>
      </c>
    </row>
    <row r="1101" spans="1:9" x14ac:dyDescent="0.25">
      <c r="A1101">
        <v>147</v>
      </c>
      <c r="B1101" t="s">
        <v>2481</v>
      </c>
      <c r="C1101">
        <v>3373</v>
      </c>
      <c r="D1101" t="s">
        <v>2482</v>
      </c>
      <c r="E1101" t="s">
        <v>2187</v>
      </c>
      <c r="F1101" t="s">
        <v>220</v>
      </c>
      <c r="G1101" t="s">
        <v>804</v>
      </c>
      <c r="H1101" s="4">
        <v>39429</v>
      </c>
      <c r="I1101" t="s">
        <v>254</v>
      </c>
    </row>
    <row r="1102" spans="1:9" x14ac:dyDescent="0.25">
      <c r="A1102">
        <v>148</v>
      </c>
      <c r="B1102" t="s">
        <v>2483</v>
      </c>
      <c r="C1102">
        <v>3374</v>
      </c>
      <c r="D1102" t="s">
        <v>2484</v>
      </c>
      <c r="E1102" t="s">
        <v>2187</v>
      </c>
      <c r="F1102" t="s">
        <v>220</v>
      </c>
      <c r="G1102" t="s">
        <v>795</v>
      </c>
      <c r="H1102" s="4">
        <v>42093</v>
      </c>
      <c r="I1102" t="s">
        <v>254</v>
      </c>
    </row>
    <row r="1103" spans="1:9" x14ac:dyDescent="0.25">
      <c r="A1103">
        <v>149</v>
      </c>
      <c r="B1103" t="s">
        <v>2485</v>
      </c>
      <c r="C1103">
        <v>3379</v>
      </c>
      <c r="D1103" t="s">
        <v>2486</v>
      </c>
      <c r="E1103" t="s">
        <v>2187</v>
      </c>
      <c r="F1103" t="s">
        <v>220</v>
      </c>
      <c r="G1103" t="s">
        <v>465</v>
      </c>
      <c r="H1103" s="4">
        <v>40836</v>
      </c>
      <c r="I1103" t="s">
        <v>254</v>
      </c>
    </row>
    <row r="1104" spans="1:9" x14ac:dyDescent="0.25">
      <c r="A1104">
        <v>150</v>
      </c>
      <c r="B1104" t="s">
        <v>2487</v>
      </c>
      <c r="C1104">
        <v>3388</v>
      </c>
      <c r="D1104" t="s">
        <v>2488</v>
      </c>
      <c r="E1104" t="s">
        <v>2187</v>
      </c>
      <c r="F1104" t="s">
        <v>220</v>
      </c>
      <c r="G1104" t="s">
        <v>450</v>
      </c>
      <c r="H1104" s="4">
        <v>38770</v>
      </c>
      <c r="I1104" t="s">
        <v>254</v>
      </c>
    </row>
    <row r="1105" spans="1:9" x14ac:dyDescent="0.25">
      <c r="A1105">
        <v>151</v>
      </c>
      <c r="B1105" t="s">
        <v>2489</v>
      </c>
      <c r="C1105">
        <v>3390</v>
      </c>
      <c r="D1105" t="s">
        <v>2490</v>
      </c>
      <c r="E1105" t="s">
        <v>2187</v>
      </c>
      <c r="F1105" t="s">
        <v>220</v>
      </c>
      <c r="G1105" t="s">
        <v>450</v>
      </c>
      <c r="H1105" s="4">
        <v>38770</v>
      </c>
      <c r="I1105" t="s">
        <v>254</v>
      </c>
    </row>
    <row r="1106" spans="1:9" x14ac:dyDescent="0.25">
      <c r="A1106">
        <v>152</v>
      </c>
      <c r="B1106" t="s">
        <v>2491</v>
      </c>
      <c r="C1106">
        <v>3402</v>
      </c>
      <c r="D1106" t="s">
        <v>2492</v>
      </c>
      <c r="E1106" t="s">
        <v>2187</v>
      </c>
      <c r="F1106" t="s">
        <v>220</v>
      </c>
      <c r="G1106" t="s">
        <v>804</v>
      </c>
      <c r="H1106" s="4">
        <v>39091</v>
      </c>
      <c r="I1106" t="s">
        <v>254</v>
      </c>
    </row>
    <row r="1107" spans="1:9" x14ac:dyDescent="0.25">
      <c r="A1107">
        <v>153</v>
      </c>
      <c r="B1107" t="s">
        <v>2493</v>
      </c>
      <c r="C1107">
        <v>3426</v>
      </c>
      <c r="D1107" t="s">
        <v>2494</v>
      </c>
      <c r="E1107" t="s">
        <v>2187</v>
      </c>
      <c r="F1107" t="s">
        <v>220</v>
      </c>
      <c r="G1107" t="s">
        <v>465</v>
      </c>
      <c r="H1107" s="4">
        <v>42725</v>
      </c>
      <c r="I1107" t="s">
        <v>254</v>
      </c>
    </row>
    <row r="1108" spans="1:9" x14ac:dyDescent="0.25">
      <c r="A1108">
        <v>154</v>
      </c>
      <c r="B1108" t="s">
        <v>2495</v>
      </c>
      <c r="C1108">
        <v>3434</v>
      </c>
      <c r="D1108" t="s">
        <v>2496</v>
      </c>
      <c r="E1108" t="s">
        <v>2187</v>
      </c>
      <c r="F1108" t="s">
        <v>220</v>
      </c>
      <c r="G1108" t="s">
        <v>818</v>
      </c>
      <c r="H1108" s="4">
        <v>39475</v>
      </c>
      <c r="I1108" t="s">
        <v>254</v>
      </c>
    </row>
    <row r="1109" spans="1:9" x14ac:dyDescent="0.25">
      <c r="A1109">
        <v>155</v>
      </c>
      <c r="B1109" t="s">
        <v>2497</v>
      </c>
      <c r="C1109">
        <v>3438</v>
      </c>
      <c r="D1109" t="s">
        <v>2498</v>
      </c>
      <c r="E1109" t="s">
        <v>2187</v>
      </c>
      <c r="F1109" t="s">
        <v>220</v>
      </c>
      <c r="G1109" t="s">
        <v>795</v>
      </c>
      <c r="H1109" s="4">
        <v>38917</v>
      </c>
      <c r="I1109" t="s">
        <v>254</v>
      </c>
    </row>
    <row r="1110" spans="1:9" x14ac:dyDescent="0.25">
      <c r="A1110">
        <v>156</v>
      </c>
      <c r="B1110" t="s">
        <v>2499</v>
      </c>
      <c r="C1110">
        <v>3441</v>
      </c>
      <c r="D1110" t="s">
        <v>2500</v>
      </c>
      <c r="E1110" t="s">
        <v>2187</v>
      </c>
      <c r="F1110" t="s">
        <v>220</v>
      </c>
      <c r="G1110" t="s">
        <v>818</v>
      </c>
      <c r="H1110" s="4">
        <v>40455</v>
      </c>
      <c r="I1110" t="s">
        <v>254</v>
      </c>
    </row>
    <row r="1111" spans="1:9" x14ac:dyDescent="0.25">
      <c r="A1111">
        <v>157</v>
      </c>
      <c r="B1111" t="s">
        <v>2501</v>
      </c>
      <c r="C1111">
        <v>3444</v>
      </c>
      <c r="D1111" t="s">
        <v>2502</v>
      </c>
      <c r="E1111" t="s">
        <v>2187</v>
      </c>
      <c r="F1111" t="s">
        <v>220</v>
      </c>
      <c r="G1111" t="s">
        <v>847</v>
      </c>
      <c r="H1111" s="4">
        <v>39717</v>
      </c>
      <c r="I1111" t="s">
        <v>254</v>
      </c>
    </row>
    <row r="1112" spans="1:9" x14ac:dyDescent="0.25">
      <c r="A1112">
        <v>158</v>
      </c>
      <c r="B1112" t="s">
        <v>2503</v>
      </c>
      <c r="C1112">
        <v>3455</v>
      </c>
      <c r="D1112" t="s">
        <v>2504</v>
      </c>
      <c r="E1112" t="s">
        <v>2187</v>
      </c>
      <c r="F1112" t="s">
        <v>220</v>
      </c>
      <c r="G1112" t="s">
        <v>818</v>
      </c>
      <c r="H1112" s="4">
        <v>39443</v>
      </c>
      <c r="I1112" t="s">
        <v>254</v>
      </c>
    </row>
    <row r="1113" spans="1:9" x14ac:dyDescent="0.25">
      <c r="A1113">
        <v>159</v>
      </c>
      <c r="B1113" t="s">
        <v>2505</v>
      </c>
      <c r="C1113">
        <v>3465</v>
      </c>
      <c r="D1113" t="s">
        <v>2506</v>
      </c>
      <c r="E1113" t="s">
        <v>2187</v>
      </c>
      <c r="F1113" t="s">
        <v>220</v>
      </c>
      <c r="G1113" t="s">
        <v>450</v>
      </c>
      <c r="H1113" s="4">
        <v>39475</v>
      </c>
      <c r="I1113" t="s">
        <v>254</v>
      </c>
    </row>
    <row r="1114" spans="1:9" x14ac:dyDescent="0.25">
      <c r="A1114">
        <v>160</v>
      </c>
      <c r="B1114" t="s">
        <v>2507</v>
      </c>
      <c r="C1114">
        <v>3466</v>
      </c>
      <c r="D1114" t="s">
        <v>2508</v>
      </c>
      <c r="E1114" t="s">
        <v>2187</v>
      </c>
      <c r="F1114" t="s">
        <v>220</v>
      </c>
      <c r="G1114" t="s">
        <v>809</v>
      </c>
      <c r="H1114" s="4">
        <v>38854</v>
      </c>
      <c r="I1114" t="s">
        <v>254</v>
      </c>
    </row>
    <row r="1115" spans="1:9" x14ac:dyDescent="0.25">
      <c r="A1115">
        <v>161</v>
      </c>
      <c r="B1115" t="s">
        <v>2509</v>
      </c>
      <c r="C1115">
        <v>3479</v>
      </c>
      <c r="D1115" t="s">
        <v>2510</v>
      </c>
      <c r="E1115" t="s">
        <v>2187</v>
      </c>
      <c r="F1115" t="s">
        <v>220</v>
      </c>
      <c r="G1115" t="s">
        <v>792</v>
      </c>
      <c r="H1115" s="4">
        <v>40337</v>
      </c>
      <c r="I1115" t="s">
        <v>254</v>
      </c>
    </row>
    <row r="1116" spans="1:9" x14ac:dyDescent="0.25">
      <c r="A1116">
        <v>162</v>
      </c>
      <c r="B1116" t="s">
        <v>2511</v>
      </c>
      <c r="C1116">
        <v>3483</v>
      </c>
      <c r="D1116" t="s">
        <v>2512</v>
      </c>
      <c r="E1116" t="s">
        <v>2187</v>
      </c>
      <c r="F1116" t="s">
        <v>220</v>
      </c>
      <c r="G1116" t="s">
        <v>792</v>
      </c>
      <c r="H1116" s="4">
        <v>39069</v>
      </c>
      <c r="I1116" t="s">
        <v>254</v>
      </c>
    </row>
    <row r="1117" spans="1:9" x14ac:dyDescent="0.25">
      <c r="A1117">
        <v>163</v>
      </c>
      <c r="B1117" t="s">
        <v>2513</v>
      </c>
      <c r="C1117">
        <v>3484</v>
      </c>
      <c r="D1117" t="s">
        <v>2514</v>
      </c>
      <c r="E1117" t="s">
        <v>2187</v>
      </c>
      <c r="F1117" t="s">
        <v>220</v>
      </c>
      <c r="G1117" t="s">
        <v>450</v>
      </c>
      <c r="H1117" s="4">
        <v>39395</v>
      </c>
      <c r="I1117" t="s">
        <v>254</v>
      </c>
    </row>
    <row r="1118" spans="1:9" x14ac:dyDescent="0.25">
      <c r="A1118">
        <v>164</v>
      </c>
      <c r="B1118" t="s">
        <v>2515</v>
      </c>
      <c r="C1118">
        <v>3489</v>
      </c>
      <c r="D1118" t="s">
        <v>2516</v>
      </c>
      <c r="E1118" t="s">
        <v>2187</v>
      </c>
      <c r="F1118" t="s">
        <v>220</v>
      </c>
      <c r="G1118" t="s">
        <v>335</v>
      </c>
      <c r="H1118" s="4">
        <v>39354</v>
      </c>
      <c r="I1118" t="s">
        <v>254</v>
      </c>
    </row>
    <row r="1119" spans="1:9" x14ac:dyDescent="0.25">
      <c r="A1119">
        <v>165</v>
      </c>
      <c r="B1119" t="s">
        <v>2517</v>
      </c>
      <c r="C1119">
        <v>3490</v>
      </c>
      <c r="D1119" t="s">
        <v>2518</v>
      </c>
      <c r="E1119" t="s">
        <v>2187</v>
      </c>
      <c r="F1119" t="s">
        <v>220</v>
      </c>
      <c r="G1119" t="s">
        <v>818</v>
      </c>
      <c r="H1119" s="4">
        <v>39370</v>
      </c>
      <c r="I1119" t="s">
        <v>254</v>
      </c>
    </row>
    <row r="1120" spans="1:9" x14ac:dyDescent="0.25">
      <c r="A1120">
        <v>166</v>
      </c>
      <c r="B1120" t="s">
        <v>2519</v>
      </c>
      <c r="C1120">
        <v>3491</v>
      </c>
      <c r="D1120" t="s">
        <v>2520</v>
      </c>
      <c r="E1120" t="s">
        <v>2187</v>
      </c>
      <c r="F1120" t="s">
        <v>220</v>
      </c>
      <c r="G1120" t="s">
        <v>809</v>
      </c>
      <c r="H1120" s="4">
        <v>39450</v>
      </c>
      <c r="I1120" t="s">
        <v>254</v>
      </c>
    </row>
    <row r="1121" spans="1:9" x14ac:dyDescent="0.25">
      <c r="A1121">
        <v>167</v>
      </c>
      <c r="B1121" t="s">
        <v>2521</v>
      </c>
      <c r="C1121">
        <v>3492</v>
      </c>
      <c r="D1121" t="s">
        <v>2522</v>
      </c>
      <c r="E1121" t="s">
        <v>2187</v>
      </c>
      <c r="F1121" t="s">
        <v>220</v>
      </c>
      <c r="G1121" t="s">
        <v>450</v>
      </c>
      <c r="H1121" s="4">
        <v>42142</v>
      </c>
      <c r="I1121" t="s">
        <v>254</v>
      </c>
    </row>
    <row r="1122" spans="1:9" x14ac:dyDescent="0.25">
      <c r="A1122">
        <v>168</v>
      </c>
      <c r="B1122" t="s">
        <v>2523</v>
      </c>
      <c r="C1122">
        <v>3498</v>
      </c>
      <c r="D1122" t="s">
        <v>2524</v>
      </c>
      <c r="E1122" t="s">
        <v>2187</v>
      </c>
      <c r="F1122" t="s">
        <v>220</v>
      </c>
      <c r="G1122" t="s">
        <v>804</v>
      </c>
      <c r="H1122" s="4">
        <v>39336</v>
      </c>
      <c r="I1122" t="s">
        <v>254</v>
      </c>
    </row>
    <row r="1123" spans="1:9" x14ac:dyDescent="0.25">
      <c r="A1123">
        <v>169</v>
      </c>
      <c r="B1123" t="s">
        <v>2525</v>
      </c>
      <c r="C1123">
        <v>3499</v>
      </c>
      <c r="D1123" t="s">
        <v>2526</v>
      </c>
      <c r="E1123" t="s">
        <v>2187</v>
      </c>
      <c r="F1123" t="s">
        <v>220</v>
      </c>
      <c r="G1123" t="s">
        <v>809</v>
      </c>
      <c r="H1123" s="4">
        <v>39009</v>
      </c>
      <c r="I1123" t="s">
        <v>254</v>
      </c>
    </row>
    <row r="1124" spans="1:9" x14ac:dyDescent="0.25">
      <c r="A1124">
        <v>170</v>
      </c>
      <c r="B1124" t="s">
        <v>2527</v>
      </c>
      <c r="C1124">
        <v>3508</v>
      </c>
      <c r="D1124" t="s">
        <v>2528</v>
      </c>
      <c r="E1124" t="s">
        <v>2187</v>
      </c>
      <c r="F1124" t="s">
        <v>220</v>
      </c>
      <c r="G1124" t="s">
        <v>804</v>
      </c>
      <c r="H1124" s="4">
        <v>39372</v>
      </c>
      <c r="I1124" t="s">
        <v>254</v>
      </c>
    </row>
    <row r="1125" spans="1:9" x14ac:dyDescent="0.25">
      <c r="A1125">
        <v>171</v>
      </c>
      <c r="B1125" t="s">
        <v>2529</v>
      </c>
      <c r="C1125">
        <v>3511</v>
      </c>
      <c r="D1125" t="s">
        <v>2530</v>
      </c>
      <c r="E1125" t="s">
        <v>2187</v>
      </c>
      <c r="F1125" t="s">
        <v>220</v>
      </c>
      <c r="G1125" t="s">
        <v>450</v>
      </c>
      <c r="H1125" s="4">
        <v>39860</v>
      </c>
      <c r="I1125" t="s">
        <v>254</v>
      </c>
    </row>
    <row r="1126" spans="1:9" x14ac:dyDescent="0.25">
      <c r="A1126">
        <v>172</v>
      </c>
      <c r="B1126" t="s">
        <v>2531</v>
      </c>
      <c r="C1126">
        <v>3512</v>
      </c>
      <c r="D1126" t="s">
        <v>2532</v>
      </c>
      <c r="E1126" t="s">
        <v>2187</v>
      </c>
      <c r="F1126" t="s">
        <v>220</v>
      </c>
      <c r="G1126" t="s">
        <v>450</v>
      </c>
      <c r="H1126" s="4">
        <v>39288</v>
      </c>
      <c r="I1126" t="s">
        <v>254</v>
      </c>
    </row>
    <row r="1127" spans="1:9" x14ac:dyDescent="0.25">
      <c r="A1127">
        <v>173</v>
      </c>
      <c r="B1127" t="s">
        <v>2533</v>
      </c>
      <c r="C1127">
        <v>3516</v>
      </c>
      <c r="D1127" t="s">
        <v>2534</v>
      </c>
      <c r="E1127" t="s">
        <v>2187</v>
      </c>
      <c r="F1127" t="s">
        <v>220</v>
      </c>
      <c r="G1127" t="s">
        <v>818</v>
      </c>
      <c r="H1127" s="4">
        <v>39415</v>
      </c>
      <c r="I1127" t="s">
        <v>254</v>
      </c>
    </row>
    <row r="1128" spans="1:9" x14ac:dyDescent="0.25">
      <c r="A1128">
        <v>174</v>
      </c>
      <c r="B1128" t="s">
        <v>2535</v>
      </c>
      <c r="C1128">
        <v>3520</v>
      </c>
      <c r="D1128" t="s">
        <v>2536</v>
      </c>
      <c r="E1128" t="s">
        <v>2187</v>
      </c>
      <c r="F1128" t="s">
        <v>220</v>
      </c>
      <c r="G1128" t="s">
        <v>450</v>
      </c>
      <c r="H1128" s="4">
        <v>39367</v>
      </c>
      <c r="I1128" t="s">
        <v>254</v>
      </c>
    </row>
    <row r="1129" spans="1:9" x14ac:dyDescent="0.25">
      <c r="A1129">
        <v>175</v>
      </c>
      <c r="B1129" t="s">
        <v>2537</v>
      </c>
      <c r="C1129">
        <v>3521</v>
      </c>
      <c r="D1129" t="s">
        <v>2538</v>
      </c>
      <c r="E1129" t="s">
        <v>2187</v>
      </c>
      <c r="F1129" t="s">
        <v>220</v>
      </c>
      <c r="G1129" t="s">
        <v>792</v>
      </c>
      <c r="H1129" s="4">
        <v>39301</v>
      </c>
      <c r="I1129" t="s">
        <v>254</v>
      </c>
    </row>
    <row r="1130" spans="1:9" x14ac:dyDescent="0.25">
      <c r="A1130">
        <v>176</v>
      </c>
      <c r="B1130" t="s">
        <v>2539</v>
      </c>
      <c r="C1130">
        <v>3522</v>
      </c>
      <c r="D1130" t="s">
        <v>2540</v>
      </c>
      <c r="E1130" t="s">
        <v>2187</v>
      </c>
      <c r="F1130" t="s">
        <v>220</v>
      </c>
      <c r="G1130" t="s">
        <v>1176</v>
      </c>
      <c r="H1130" s="4">
        <v>39370</v>
      </c>
      <c r="I1130" t="s">
        <v>254</v>
      </c>
    </row>
    <row r="1131" spans="1:9" x14ac:dyDescent="0.25">
      <c r="A1131">
        <v>177</v>
      </c>
      <c r="B1131" t="s">
        <v>2541</v>
      </c>
      <c r="C1131">
        <v>3523</v>
      </c>
      <c r="D1131" t="s">
        <v>2542</v>
      </c>
      <c r="E1131" t="s">
        <v>2187</v>
      </c>
      <c r="F1131" t="s">
        <v>220</v>
      </c>
      <c r="G1131" t="s">
        <v>818</v>
      </c>
      <c r="H1131" s="4">
        <v>39402</v>
      </c>
      <c r="I1131" t="s">
        <v>254</v>
      </c>
    </row>
    <row r="1132" spans="1:9" x14ac:dyDescent="0.25">
      <c r="A1132">
        <v>178</v>
      </c>
      <c r="B1132" t="s">
        <v>2543</v>
      </c>
      <c r="C1132">
        <v>3526</v>
      </c>
      <c r="D1132" t="s">
        <v>2544</v>
      </c>
      <c r="E1132" t="s">
        <v>2187</v>
      </c>
      <c r="F1132" t="s">
        <v>220</v>
      </c>
      <c r="G1132" t="s">
        <v>450</v>
      </c>
      <c r="H1132" s="4">
        <v>39388</v>
      </c>
      <c r="I1132" t="s">
        <v>254</v>
      </c>
    </row>
    <row r="1133" spans="1:9" x14ac:dyDescent="0.25">
      <c r="A1133">
        <v>179</v>
      </c>
      <c r="B1133" t="s">
        <v>2545</v>
      </c>
      <c r="C1133">
        <v>3527</v>
      </c>
      <c r="D1133" t="s">
        <v>2546</v>
      </c>
      <c r="E1133" t="s">
        <v>2187</v>
      </c>
      <c r="F1133" t="s">
        <v>220</v>
      </c>
      <c r="G1133" t="s">
        <v>795</v>
      </c>
      <c r="H1133" s="4">
        <v>39384</v>
      </c>
      <c r="I1133" t="s">
        <v>254</v>
      </c>
    </row>
    <row r="1134" spans="1:9" x14ac:dyDescent="0.25">
      <c r="A1134">
        <v>180</v>
      </c>
      <c r="B1134" t="s">
        <v>2547</v>
      </c>
      <c r="C1134">
        <v>3529</v>
      </c>
      <c r="D1134" t="s">
        <v>2548</v>
      </c>
      <c r="E1134" t="s">
        <v>2187</v>
      </c>
      <c r="F1134" t="s">
        <v>220</v>
      </c>
      <c r="G1134" t="s">
        <v>795</v>
      </c>
      <c r="H1134" s="4">
        <v>40567</v>
      </c>
      <c r="I1134" t="s">
        <v>254</v>
      </c>
    </row>
    <row r="1135" spans="1:9" x14ac:dyDescent="0.25">
      <c r="A1135">
        <v>181</v>
      </c>
      <c r="B1135" t="s">
        <v>2549</v>
      </c>
      <c r="C1135">
        <v>3531</v>
      </c>
      <c r="D1135" t="s">
        <v>2550</v>
      </c>
      <c r="E1135" t="s">
        <v>2187</v>
      </c>
      <c r="F1135" t="s">
        <v>220</v>
      </c>
      <c r="G1135" t="s">
        <v>818</v>
      </c>
      <c r="H1135" s="4">
        <v>39546</v>
      </c>
      <c r="I1135" t="s">
        <v>254</v>
      </c>
    </row>
    <row r="1136" spans="1:9" x14ac:dyDescent="0.25">
      <c r="A1136">
        <v>182</v>
      </c>
      <c r="B1136" t="s">
        <v>2551</v>
      </c>
      <c r="C1136">
        <v>3537</v>
      </c>
      <c r="D1136" t="s">
        <v>2552</v>
      </c>
      <c r="E1136" t="s">
        <v>2187</v>
      </c>
      <c r="F1136" t="s">
        <v>220</v>
      </c>
      <c r="G1136" t="s">
        <v>450</v>
      </c>
      <c r="H1136" s="4">
        <v>40203</v>
      </c>
      <c r="I1136" t="s">
        <v>254</v>
      </c>
    </row>
    <row r="1137" spans="1:9" x14ac:dyDescent="0.25">
      <c r="A1137">
        <v>183</v>
      </c>
      <c r="B1137" t="s">
        <v>2553</v>
      </c>
      <c r="C1137">
        <v>3540</v>
      </c>
      <c r="D1137" t="s">
        <v>2554</v>
      </c>
      <c r="E1137" t="s">
        <v>2187</v>
      </c>
      <c r="F1137" t="s">
        <v>220</v>
      </c>
      <c r="G1137" t="s">
        <v>792</v>
      </c>
      <c r="H1137" s="4">
        <v>39428</v>
      </c>
      <c r="I1137" t="s">
        <v>254</v>
      </c>
    </row>
    <row r="1138" spans="1:9" x14ac:dyDescent="0.25">
      <c r="A1138">
        <v>184</v>
      </c>
      <c r="B1138" t="s">
        <v>2555</v>
      </c>
      <c r="C1138">
        <v>3541</v>
      </c>
      <c r="D1138" t="s">
        <v>2556</v>
      </c>
      <c r="E1138" t="s">
        <v>2187</v>
      </c>
      <c r="F1138" t="s">
        <v>220</v>
      </c>
      <c r="G1138" t="s">
        <v>804</v>
      </c>
      <c r="H1138" s="4">
        <v>40169</v>
      </c>
      <c r="I1138" t="s">
        <v>254</v>
      </c>
    </row>
    <row r="1139" spans="1:9" x14ac:dyDescent="0.25">
      <c r="A1139">
        <v>185</v>
      </c>
      <c r="B1139" t="s">
        <v>2557</v>
      </c>
      <c r="C1139">
        <v>3546</v>
      </c>
      <c r="D1139" t="s">
        <v>2558</v>
      </c>
      <c r="E1139" t="s">
        <v>2187</v>
      </c>
      <c r="F1139" t="s">
        <v>220</v>
      </c>
      <c r="G1139" t="s">
        <v>2305</v>
      </c>
      <c r="H1139" s="4">
        <v>39556</v>
      </c>
      <c r="I1139" t="s">
        <v>254</v>
      </c>
    </row>
    <row r="1140" spans="1:9" x14ac:dyDescent="0.25">
      <c r="A1140">
        <v>186</v>
      </c>
      <c r="B1140" t="s">
        <v>2559</v>
      </c>
      <c r="C1140">
        <v>3548</v>
      </c>
      <c r="D1140" t="s">
        <v>2560</v>
      </c>
      <c r="E1140" t="s">
        <v>2187</v>
      </c>
      <c r="F1140" t="s">
        <v>220</v>
      </c>
      <c r="G1140" t="s">
        <v>450</v>
      </c>
      <c r="H1140" s="4">
        <v>39534</v>
      </c>
      <c r="I1140" t="s">
        <v>254</v>
      </c>
    </row>
    <row r="1141" spans="1:9" x14ac:dyDescent="0.25">
      <c r="A1141">
        <v>187</v>
      </c>
      <c r="B1141" t="s">
        <v>2561</v>
      </c>
      <c r="C1141">
        <v>3551</v>
      </c>
      <c r="D1141" t="s">
        <v>2562</v>
      </c>
      <c r="E1141" t="s">
        <v>2187</v>
      </c>
      <c r="F1141" t="s">
        <v>220</v>
      </c>
      <c r="G1141" t="s">
        <v>804</v>
      </c>
      <c r="H1141" s="4">
        <v>39553</v>
      </c>
      <c r="I1141" t="s">
        <v>254</v>
      </c>
    </row>
    <row r="1142" spans="1:9" x14ac:dyDescent="0.25">
      <c r="A1142">
        <v>188</v>
      </c>
      <c r="B1142" t="s">
        <v>2563</v>
      </c>
      <c r="C1142">
        <v>3552</v>
      </c>
      <c r="D1142" t="s">
        <v>2564</v>
      </c>
      <c r="E1142" t="s">
        <v>2187</v>
      </c>
      <c r="F1142" t="s">
        <v>220</v>
      </c>
      <c r="G1142" t="s">
        <v>804</v>
      </c>
      <c r="H1142" s="4">
        <v>39820</v>
      </c>
      <c r="I1142" t="s">
        <v>254</v>
      </c>
    </row>
    <row r="1143" spans="1:9" x14ac:dyDescent="0.25">
      <c r="A1143">
        <v>189</v>
      </c>
      <c r="B1143" t="s">
        <v>2565</v>
      </c>
      <c r="C1143">
        <v>3555</v>
      </c>
      <c r="D1143" t="s">
        <v>2566</v>
      </c>
      <c r="E1143" t="s">
        <v>2187</v>
      </c>
      <c r="F1143" t="s">
        <v>220</v>
      </c>
      <c r="G1143" t="s">
        <v>795</v>
      </c>
      <c r="H1143" s="4">
        <v>40855</v>
      </c>
      <c r="I1143" t="s">
        <v>254</v>
      </c>
    </row>
    <row r="1144" spans="1:9" x14ac:dyDescent="0.25">
      <c r="A1144">
        <v>190</v>
      </c>
      <c r="B1144" t="s">
        <v>2567</v>
      </c>
      <c r="C1144">
        <v>3556</v>
      </c>
      <c r="D1144" t="s">
        <v>2568</v>
      </c>
      <c r="E1144" t="s">
        <v>2187</v>
      </c>
      <c r="F1144" t="s">
        <v>220</v>
      </c>
      <c r="G1144" t="s">
        <v>795</v>
      </c>
      <c r="H1144" s="4">
        <v>39553</v>
      </c>
      <c r="I1144" t="s">
        <v>254</v>
      </c>
    </row>
    <row r="1145" spans="1:9" x14ac:dyDescent="0.25">
      <c r="A1145">
        <v>191</v>
      </c>
      <c r="B1145" t="s">
        <v>2569</v>
      </c>
      <c r="C1145">
        <v>3558</v>
      </c>
      <c r="D1145" t="s">
        <v>2570</v>
      </c>
      <c r="E1145" t="s">
        <v>2187</v>
      </c>
      <c r="F1145" t="s">
        <v>220</v>
      </c>
      <c r="G1145" t="s">
        <v>809</v>
      </c>
      <c r="H1145" s="4">
        <v>41638</v>
      </c>
      <c r="I1145" t="s">
        <v>254</v>
      </c>
    </row>
    <row r="1146" spans="1:9" x14ac:dyDescent="0.25">
      <c r="A1146">
        <v>192</v>
      </c>
      <c r="B1146" t="s">
        <v>2571</v>
      </c>
      <c r="C1146">
        <v>3564</v>
      </c>
      <c r="D1146" t="s">
        <v>2572</v>
      </c>
      <c r="E1146" t="s">
        <v>2187</v>
      </c>
      <c r="F1146" t="s">
        <v>220</v>
      </c>
      <c r="G1146" t="s">
        <v>809</v>
      </c>
      <c r="H1146" s="4">
        <v>41611</v>
      </c>
      <c r="I1146" t="s">
        <v>254</v>
      </c>
    </row>
    <row r="1147" spans="1:9" x14ac:dyDescent="0.25">
      <c r="A1147">
        <v>193</v>
      </c>
      <c r="B1147" t="s">
        <v>2573</v>
      </c>
      <c r="C1147">
        <v>3567</v>
      </c>
      <c r="D1147" t="s">
        <v>2574</v>
      </c>
      <c r="E1147" t="s">
        <v>2187</v>
      </c>
      <c r="F1147" t="s">
        <v>220</v>
      </c>
      <c r="G1147" t="s">
        <v>795</v>
      </c>
      <c r="H1147" s="4">
        <v>40504</v>
      </c>
      <c r="I1147" t="s">
        <v>254</v>
      </c>
    </row>
    <row r="1148" spans="1:9" x14ac:dyDescent="0.25">
      <c r="A1148">
        <v>194</v>
      </c>
      <c r="B1148" t="s">
        <v>2575</v>
      </c>
      <c r="C1148">
        <v>3570</v>
      </c>
      <c r="D1148" t="s">
        <v>2576</v>
      </c>
      <c r="E1148" t="s">
        <v>2187</v>
      </c>
      <c r="F1148" t="s">
        <v>220</v>
      </c>
      <c r="G1148" t="s">
        <v>964</v>
      </c>
      <c r="H1148" s="4">
        <v>39744</v>
      </c>
      <c r="I1148" t="s">
        <v>254</v>
      </c>
    </row>
    <row r="1149" spans="1:9" x14ac:dyDescent="0.25">
      <c r="A1149">
        <v>195</v>
      </c>
      <c r="B1149" t="s">
        <v>2577</v>
      </c>
      <c r="C1149">
        <v>3577</v>
      </c>
      <c r="D1149" t="s">
        <v>2578</v>
      </c>
      <c r="E1149" t="s">
        <v>2187</v>
      </c>
      <c r="F1149" t="s">
        <v>220</v>
      </c>
      <c r="G1149" t="s">
        <v>792</v>
      </c>
      <c r="H1149" s="4">
        <v>39819</v>
      </c>
      <c r="I1149" t="s">
        <v>254</v>
      </c>
    </row>
    <row r="1150" spans="1:9" x14ac:dyDescent="0.25">
      <c r="A1150">
        <v>196</v>
      </c>
      <c r="B1150" t="s">
        <v>2579</v>
      </c>
      <c r="C1150">
        <v>3580</v>
      </c>
      <c r="D1150" t="s">
        <v>2580</v>
      </c>
      <c r="E1150" t="s">
        <v>2187</v>
      </c>
      <c r="F1150" t="s">
        <v>220</v>
      </c>
      <c r="G1150" t="s">
        <v>804</v>
      </c>
      <c r="H1150" s="4">
        <v>40368</v>
      </c>
      <c r="I1150" t="s">
        <v>254</v>
      </c>
    </row>
    <row r="1151" spans="1:9" x14ac:dyDescent="0.25">
      <c r="A1151">
        <v>197</v>
      </c>
      <c r="B1151" t="s">
        <v>2581</v>
      </c>
      <c r="C1151">
        <v>3581</v>
      </c>
      <c r="D1151" t="s">
        <v>2582</v>
      </c>
      <c r="E1151" t="s">
        <v>2187</v>
      </c>
      <c r="F1151" t="s">
        <v>220</v>
      </c>
      <c r="G1151" t="s">
        <v>795</v>
      </c>
      <c r="H1151" s="4">
        <v>42024</v>
      </c>
      <c r="I1151" t="s">
        <v>254</v>
      </c>
    </row>
    <row r="1152" spans="1:9" x14ac:dyDescent="0.25">
      <c r="A1152">
        <v>198</v>
      </c>
      <c r="B1152" t="s">
        <v>2583</v>
      </c>
      <c r="C1152">
        <v>3587</v>
      </c>
      <c r="D1152" t="s">
        <v>2584</v>
      </c>
      <c r="E1152" t="s">
        <v>2187</v>
      </c>
      <c r="F1152" t="s">
        <v>220</v>
      </c>
      <c r="G1152" t="s">
        <v>804</v>
      </c>
      <c r="H1152" s="4">
        <v>40043</v>
      </c>
      <c r="I1152" t="s">
        <v>254</v>
      </c>
    </row>
    <row r="1153" spans="1:9" x14ac:dyDescent="0.25">
      <c r="A1153">
        <v>199</v>
      </c>
      <c r="B1153" t="s">
        <v>2585</v>
      </c>
      <c r="C1153">
        <v>3594</v>
      </c>
      <c r="D1153" t="s">
        <v>2586</v>
      </c>
      <c r="E1153" t="s">
        <v>2187</v>
      </c>
      <c r="F1153" t="s">
        <v>220</v>
      </c>
      <c r="G1153" t="s">
        <v>792</v>
      </c>
      <c r="H1153" s="4">
        <v>41401</v>
      </c>
      <c r="I1153" t="s">
        <v>254</v>
      </c>
    </row>
    <row r="1154" spans="1:9" x14ac:dyDescent="0.25">
      <c r="A1154">
        <v>200</v>
      </c>
      <c r="B1154" t="s">
        <v>2587</v>
      </c>
      <c r="C1154">
        <v>3597</v>
      </c>
      <c r="D1154" t="s">
        <v>2588</v>
      </c>
      <c r="E1154" t="s">
        <v>2187</v>
      </c>
      <c r="F1154" t="s">
        <v>220</v>
      </c>
      <c r="G1154" t="s">
        <v>450</v>
      </c>
      <c r="H1154" s="4">
        <v>43899</v>
      </c>
      <c r="I1154" t="s">
        <v>254</v>
      </c>
    </row>
    <row r="1155" spans="1:9" x14ac:dyDescent="0.25">
      <c r="A1155">
        <v>201</v>
      </c>
      <c r="B1155" t="s">
        <v>2589</v>
      </c>
      <c r="C1155">
        <v>3609</v>
      </c>
      <c r="D1155" t="s">
        <v>2590</v>
      </c>
      <c r="E1155" t="s">
        <v>2187</v>
      </c>
      <c r="F1155" t="s">
        <v>220</v>
      </c>
      <c r="G1155" t="s">
        <v>450</v>
      </c>
      <c r="H1155" s="4">
        <v>40554</v>
      </c>
      <c r="I1155" t="s">
        <v>254</v>
      </c>
    </row>
    <row r="1156" spans="1:9" x14ac:dyDescent="0.25">
      <c r="A1156">
        <v>202</v>
      </c>
      <c r="B1156" t="s">
        <v>2591</v>
      </c>
      <c r="C1156">
        <v>3611</v>
      </c>
      <c r="D1156" t="s">
        <v>2592</v>
      </c>
      <c r="E1156" t="s">
        <v>2187</v>
      </c>
      <c r="F1156" t="s">
        <v>220</v>
      </c>
      <c r="G1156" t="s">
        <v>792</v>
      </c>
      <c r="H1156" s="4">
        <v>39778</v>
      </c>
      <c r="I1156" t="s">
        <v>254</v>
      </c>
    </row>
    <row r="1157" spans="1:9" x14ac:dyDescent="0.25">
      <c r="A1157">
        <v>203</v>
      </c>
      <c r="B1157" t="s">
        <v>2593</v>
      </c>
      <c r="C1157">
        <v>3615</v>
      </c>
      <c r="D1157" t="s">
        <v>2594</v>
      </c>
      <c r="E1157" t="s">
        <v>2187</v>
      </c>
      <c r="F1157" t="s">
        <v>220</v>
      </c>
      <c r="G1157" t="s">
        <v>818</v>
      </c>
      <c r="H1157" s="4">
        <v>39918</v>
      </c>
      <c r="I1157" t="s">
        <v>254</v>
      </c>
    </row>
    <row r="1158" spans="1:9" x14ac:dyDescent="0.25">
      <c r="A1158">
        <v>204</v>
      </c>
      <c r="B1158" t="s">
        <v>2595</v>
      </c>
      <c r="C1158">
        <v>3623</v>
      </c>
      <c r="D1158" t="s">
        <v>2596</v>
      </c>
      <c r="E1158" t="s">
        <v>2187</v>
      </c>
      <c r="F1158" t="s">
        <v>220</v>
      </c>
      <c r="G1158" t="s">
        <v>818</v>
      </c>
      <c r="H1158" s="4">
        <v>40296</v>
      </c>
      <c r="I1158" t="s">
        <v>254</v>
      </c>
    </row>
    <row r="1159" spans="1:9" x14ac:dyDescent="0.25">
      <c r="A1159">
        <v>205</v>
      </c>
      <c r="B1159" t="s">
        <v>2597</v>
      </c>
      <c r="C1159">
        <v>3624</v>
      </c>
      <c r="D1159" t="s">
        <v>2598</v>
      </c>
      <c r="E1159" t="s">
        <v>2187</v>
      </c>
      <c r="F1159" t="s">
        <v>220</v>
      </c>
      <c r="G1159" t="s">
        <v>450</v>
      </c>
      <c r="H1159" s="4">
        <v>40618</v>
      </c>
      <c r="I1159" t="s">
        <v>254</v>
      </c>
    </row>
    <row r="1160" spans="1:9" x14ac:dyDescent="0.25">
      <c r="A1160">
        <v>206</v>
      </c>
      <c r="B1160" t="s">
        <v>2599</v>
      </c>
      <c r="C1160">
        <v>3625</v>
      </c>
      <c r="D1160" t="s">
        <v>2600</v>
      </c>
      <c r="E1160" t="s">
        <v>2187</v>
      </c>
      <c r="F1160" t="s">
        <v>220</v>
      </c>
      <c r="G1160" t="s">
        <v>792</v>
      </c>
      <c r="H1160" s="4">
        <v>40114</v>
      </c>
      <c r="I1160" t="s">
        <v>254</v>
      </c>
    </row>
    <row r="1161" spans="1:9" x14ac:dyDescent="0.25">
      <c r="A1161">
        <v>207</v>
      </c>
      <c r="B1161" t="s">
        <v>2601</v>
      </c>
      <c r="C1161">
        <v>3628</v>
      </c>
      <c r="D1161" t="s">
        <v>2602</v>
      </c>
      <c r="E1161" t="s">
        <v>2187</v>
      </c>
      <c r="F1161" t="s">
        <v>220</v>
      </c>
      <c r="G1161" t="s">
        <v>804</v>
      </c>
      <c r="H1161" s="4">
        <v>40430</v>
      </c>
      <c r="I1161" t="s">
        <v>254</v>
      </c>
    </row>
    <row r="1162" spans="1:9" x14ac:dyDescent="0.25">
      <c r="A1162">
        <v>208</v>
      </c>
      <c r="B1162" t="s">
        <v>2603</v>
      </c>
      <c r="C1162">
        <v>3629</v>
      </c>
      <c r="D1162" t="s">
        <v>2604</v>
      </c>
      <c r="E1162" t="s">
        <v>2187</v>
      </c>
      <c r="F1162" t="s">
        <v>220</v>
      </c>
      <c r="G1162" t="s">
        <v>2305</v>
      </c>
      <c r="H1162" s="4">
        <v>43983</v>
      </c>
      <c r="I1162" t="s">
        <v>254</v>
      </c>
    </row>
    <row r="1163" spans="1:9" x14ac:dyDescent="0.25">
      <c r="A1163">
        <v>209</v>
      </c>
      <c r="B1163" t="s">
        <v>2605</v>
      </c>
      <c r="C1163">
        <v>3630</v>
      </c>
      <c r="D1163" t="s">
        <v>2606</v>
      </c>
      <c r="E1163" t="s">
        <v>2187</v>
      </c>
      <c r="F1163" t="s">
        <v>220</v>
      </c>
      <c r="G1163" t="s">
        <v>818</v>
      </c>
      <c r="H1163" s="4">
        <v>40294</v>
      </c>
      <c r="I1163" t="s">
        <v>254</v>
      </c>
    </row>
    <row r="1164" spans="1:9" x14ac:dyDescent="0.25">
      <c r="A1164">
        <v>210</v>
      </c>
      <c r="B1164" t="s">
        <v>2607</v>
      </c>
      <c r="C1164">
        <v>3631</v>
      </c>
      <c r="D1164" t="s">
        <v>2608</v>
      </c>
      <c r="E1164" t="s">
        <v>2187</v>
      </c>
      <c r="F1164" t="s">
        <v>220</v>
      </c>
      <c r="G1164" t="s">
        <v>450</v>
      </c>
      <c r="H1164" s="4">
        <v>40532</v>
      </c>
      <c r="I1164" t="s">
        <v>254</v>
      </c>
    </row>
    <row r="1165" spans="1:9" x14ac:dyDescent="0.25">
      <c r="A1165">
        <v>211</v>
      </c>
      <c r="B1165" t="s">
        <v>2609</v>
      </c>
      <c r="C1165">
        <v>3632</v>
      </c>
      <c r="D1165" t="s">
        <v>2610</v>
      </c>
      <c r="E1165" t="s">
        <v>2187</v>
      </c>
      <c r="F1165" t="s">
        <v>220</v>
      </c>
      <c r="G1165" t="s">
        <v>809</v>
      </c>
      <c r="H1165" s="4">
        <v>40554</v>
      </c>
      <c r="I1165" t="s">
        <v>254</v>
      </c>
    </row>
    <row r="1166" spans="1:9" x14ac:dyDescent="0.25">
      <c r="A1166">
        <v>212</v>
      </c>
      <c r="B1166" t="s">
        <v>2611</v>
      </c>
      <c r="C1166">
        <v>3642</v>
      </c>
      <c r="D1166" t="s">
        <v>2612</v>
      </c>
      <c r="E1166" t="s">
        <v>2187</v>
      </c>
      <c r="F1166" t="s">
        <v>220</v>
      </c>
      <c r="G1166" t="s">
        <v>804</v>
      </c>
      <c r="H1166" s="4">
        <v>40815</v>
      </c>
      <c r="I1166" t="s">
        <v>254</v>
      </c>
    </row>
    <row r="1167" spans="1:9" x14ac:dyDescent="0.25">
      <c r="A1167">
        <v>213</v>
      </c>
      <c r="B1167" t="s">
        <v>2613</v>
      </c>
      <c r="C1167">
        <v>3646</v>
      </c>
      <c r="D1167" t="s">
        <v>2614</v>
      </c>
      <c r="E1167" t="s">
        <v>2187</v>
      </c>
      <c r="F1167" t="s">
        <v>220</v>
      </c>
      <c r="G1167" t="s">
        <v>450</v>
      </c>
      <c r="H1167" s="4">
        <v>40995</v>
      </c>
      <c r="I1167" t="s">
        <v>254</v>
      </c>
    </row>
    <row r="1168" spans="1:9" x14ac:dyDescent="0.25">
      <c r="A1168">
        <v>214</v>
      </c>
      <c r="B1168" t="s">
        <v>2615</v>
      </c>
      <c r="C1168">
        <v>3652</v>
      </c>
      <c r="D1168" t="s">
        <v>2616</v>
      </c>
      <c r="E1168" t="s">
        <v>2187</v>
      </c>
      <c r="F1168" t="s">
        <v>220</v>
      </c>
      <c r="G1168" t="s">
        <v>792</v>
      </c>
      <c r="H1168" s="4">
        <v>40052</v>
      </c>
      <c r="I1168" t="s">
        <v>254</v>
      </c>
    </row>
    <row r="1169" spans="1:9" x14ac:dyDescent="0.25">
      <c r="A1169">
        <v>215</v>
      </c>
      <c r="B1169" t="s">
        <v>2617</v>
      </c>
      <c r="C1169">
        <v>3663</v>
      </c>
      <c r="D1169" t="s">
        <v>2618</v>
      </c>
      <c r="E1169" t="s">
        <v>2187</v>
      </c>
      <c r="F1169" t="s">
        <v>220</v>
      </c>
      <c r="G1169" t="s">
        <v>804</v>
      </c>
      <c r="H1169" s="4">
        <v>41233</v>
      </c>
      <c r="I1169" t="s">
        <v>254</v>
      </c>
    </row>
    <row r="1170" spans="1:9" x14ac:dyDescent="0.25">
      <c r="A1170">
        <v>216</v>
      </c>
      <c r="B1170" t="s">
        <v>2619</v>
      </c>
      <c r="C1170">
        <v>3664</v>
      </c>
      <c r="D1170" t="s">
        <v>2620</v>
      </c>
      <c r="E1170" t="s">
        <v>2187</v>
      </c>
      <c r="F1170" t="s">
        <v>220</v>
      </c>
      <c r="G1170" t="s">
        <v>809</v>
      </c>
      <c r="H1170" s="4">
        <v>40353</v>
      </c>
      <c r="I1170" t="s">
        <v>254</v>
      </c>
    </row>
    <row r="1171" spans="1:9" x14ac:dyDescent="0.25">
      <c r="A1171">
        <v>217</v>
      </c>
      <c r="B1171" t="s">
        <v>2621</v>
      </c>
      <c r="C1171">
        <v>3666</v>
      </c>
      <c r="D1171" t="s">
        <v>2622</v>
      </c>
      <c r="E1171" t="s">
        <v>2187</v>
      </c>
      <c r="F1171" t="s">
        <v>220</v>
      </c>
      <c r="G1171" t="s">
        <v>818</v>
      </c>
      <c r="H1171" s="4">
        <v>41977</v>
      </c>
      <c r="I1171" t="s">
        <v>254</v>
      </c>
    </row>
    <row r="1172" spans="1:9" x14ac:dyDescent="0.25">
      <c r="A1172">
        <v>218</v>
      </c>
      <c r="B1172" t="s">
        <v>2623</v>
      </c>
      <c r="C1172">
        <v>3672</v>
      </c>
      <c r="D1172" t="s">
        <v>2624</v>
      </c>
      <c r="E1172" t="s">
        <v>2187</v>
      </c>
      <c r="F1172" t="s">
        <v>220</v>
      </c>
      <c r="G1172" t="s">
        <v>809</v>
      </c>
      <c r="H1172" s="4">
        <v>42114</v>
      </c>
      <c r="I1172" t="s">
        <v>254</v>
      </c>
    </row>
    <row r="1173" spans="1:9" x14ac:dyDescent="0.25">
      <c r="A1173">
        <v>219</v>
      </c>
      <c r="B1173" t="s">
        <v>2625</v>
      </c>
      <c r="C1173">
        <v>3675</v>
      </c>
      <c r="D1173" t="s">
        <v>2626</v>
      </c>
      <c r="E1173" t="s">
        <v>2187</v>
      </c>
      <c r="F1173" t="s">
        <v>220</v>
      </c>
      <c r="G1173" t="s">
        <v>795</v>
      </c>
      <c r="H1173" s="4">
        <v>41089</v>
      </c>
      <c r="I1173" t="s">
        <v>254</v>
      </c>
    </row>
    <row r="1174" spans="1:9" x14ac:dyDescent="0.25">
      <c r="A1174">
        <v>220</v>
      </c>
      <c r="B1174" t="s">
        <v>2627</v>
      </c>
      <c r="C1174">
        <v>3680</v>
      </c>
      <c r="D1174" t="s">
        <v>2628</v>
      </c>
      <c r="E1174" t="s">
        <v>2187</v>
      </c>
      <c r="F1174" t="s">
        <v>220</v>
      </c>
      <c r="G1174" t="s">
        <v>795</v>
      </c>
      <c r="H1174" s="4">
        <v>40786</v>
      </c>
      <c r="I1174" t="s">
        <v>254</v>
      </c>
    </row>
    <row r="1175" spans="1:9" x14ac:dyDescent="0.25">
      <c r="A1175">
        <v>221</v>
      </c>
      <c r="B1175" t="s">
        <v>2629</v>
      </c>
      <c r="C1175">
        <v>3684</v>
      </c>
      <c r="D1175" t="s">
        <v>2630</v>
      </c>
      <c r="E1175" t="s">
        <v>2187</v>
      </c>
      <c r="F1175" t="s">
        <v>220</v>
      </c>
      <c r="G1175" t="s">
        <v>809</v>
      </c>
      <c r="H1175" s="4">
        <v>41726</v>
      </c>
      <c r="I1175" t="s">
        <v>254</v>
      </c>
    </row>
    <row r="1176" spans="1:9" x14ac:dyDescent="0.25">
      <c r="A1176">
        <v>222</v>
      </c>
      <c r="B1176" t="s">
        <v>2631</v>
      </c>
      <c r="C1176">
        <v>3685</v>
      </c>
      <c r="D1176" t="s">
        <v>2632</v>
      </c>
      <c r="E1176" t="s">
        <v>2187</v>
      </c>
      <c r="F1176" t="s">
        <v>220</v>
      </c>
      <c r="G1176" t="s">
        <v>465</v>
      </c>
      <c r="H1176" s="4">
        <v>40520</v>
      </c>
      <c r="I1176" t="s">
        <v>254</v>
      </c>
    </row>
    <row r="1177" spans="1:9" x14ac:dyDescent="0.25">
      <c r="A1177">
        <v>223</v>
      </c>
      <c r="B1177" t="s">
        <v>2633</v>
      </c>
      <c r="C1177">
        <v>3687</v>
      </c>
      <c r="D1177" t="s">
        <v>2634</v>
      </c>
      <c r="E1177" t="s">
        <v>2187</v>
      </c>
      <c r="F1177" t="s">
        <v>220</v>
      </c>
      <c r="G1177" t="s">
        <v>2328</v>
      </c>
      <c r="H1177" s="4">
        <v>43983</v>
      </c>
      <c r="I1177" t="s">
        <v>254</v>
      </c>
    </row>
    <row r="1178" spans="1:9" x14ac:dyDescent="0.25">
      <c r="A1178">
        <v>224</v>
      </c>
      <c r="B1178" t="s">
        <v>2635</v>
      </c>
      <c r="C1178">
        <v>3689</v>
      </c>
      <c r="D1178" t="s">
        <v>2636</v>
      </c>
      <c r="E1178" t="s">
        <v>2187</v>
      </c>
      <c r="F1178" t="s">
        <v>220</v>
      </c>
      <c r="G1178" t="s">
        <v>450</v>
      </c>
      <c r="H1178" s="4">
        <v>41200</v>
      </c>
      <c r="I1178" t="s">
        <v>254</v>
      </c>
    </row>
    <row r="1179" spans="1:9" x14ac:dyDescent="0.25">
      <c r="A1179">
        <v>225</v>
      </c>
      <c r="B1179" t="s">
        <v>2637</v>
      </c>
      <c r="C1179">
        <v>3691</v>
      </c>
      <c r="D1179" t="s">
        <v>2638</v>
      </c>
      <c r="E1179" t="s">
        <v>2187</v>
      </c>
      <c r="F1179" t="s">
        <v>220</v>
      </c>
      <c r="G1179" t="s">
        <v>818</v>
      </c>
      <c r="H1179" s="4">
        <v>40500</v>
      </c>
      <c r="I1179" t="s">
        <v>254</v>
      </c>
    </row>
    <row r="1180" spans="1:9" x14ac:dyDescent="0.25">
      <c r="A1180">
        <v>226</v>
      </c>
      <c r="B1180" t="s">
        <v>2639</v>
      </c>
      <c r="C1180">
        <v>3693</v>
      </c>
      <c r="D1180" t="s">
        <v>2640</v>
      </c>
      <c r="E1180" t="s">
        <v>2187</v>
      </c>
      <c r="F1180" t="s">
        <v>220</v>
      </c>
      <c r="G1180" t="s">
        <v>792</v>
      </c>
      <c r="H1180" s="4">
        <v>41605</v>
      </c>
      <c r="I1180" t="s">
        <v>254</v>
      </c>
    </row>
    <row r="1181" spans="1:9" x14ac:dyDescent="0.25">
      <c r="A1181">
        <v>227</v>
      </c>
      <c r="B1181" t="s">
        <v>2641</v>
      </c>
      <c r="C1181">
        <v>3707</v>
      </c>
      <c r="D1181" t="s">
        <v>2642</v>
      </c>
      <c r="E1181" t="s">
        <v>2187</v>
      </c>
      <c r="F1181" t="s">
        <v>220</v>
      </c>
      <c r="G1181" t="s">
        <v>795</v>
      </c>
      <c r="H1181" s="4">
        <v>41913</v>
      </c>
      <c r="I1181" t="s">
        <v>254</v>
      </c>
    </row>
    <row r="1182" spans="1:9" x14ac:dyDescent="0.25">
      <c r="A1182">
        <v>228</v>
      </c>
      <c r="B1182" t="s">
        <v>2643</v>
      </c>
      <c r="C1182">
        <v>3709</v>
      </c>
      <c r="D1182" t="s">
        <v>2644</v>
      </c>
      <c r="E1182" t="s">
        <v>2187</v>
      </c>
      <c r="F1182" t="s">
        <v>220</v>
      </c>
      <c r="G1182" t="s">
        <v>792</v>
      </c>
      <c r="H1182" s="4">
        <v>36266</v>
      </c>
      <c r="I1182" t="s">
        <v>254</v>
      </c>
    </row>
    <row r="1183" spans="1:9" x14ac:dyDescent="0.25">
      <c r="A1183">
        <v>229</v>
      </c>
      <c r="B1183" t="s">
        <v>2645</v>
      </c>
      <c r="C1183">
        <v>3710</v>
      </c>
      <c r="D1183" t="s">
        <v>2646</v>
      </c>
      <c r="E1183" t="s">
        <v>2187</v>
      </c>
      <c r="F1183" t="s">
        <v>220</v>
      </c>
      <c r="G1183" t="s">
        <v>450</v>
      </c>
      <c r="H1183" s="4">
        <v>43098</v>
      </c>
      <c r="I1183" t="s">
        <v>254</v>
      </c>
    </row>
    <row r="1184" spans="1:9" x14ac:dyDescent="0.25">
      <c r="A1184">
        <v>230</v>
      </c>
      <c r="B1184" t="s">
        <v>2647</v>
      </c>
      <c r="C1184">
        <v>3713</v>
      </c>
      <c r="D1184" t="s">
        <v>2648</v>
      </c>
      <c r="E1184" t="s">
        <v>2187</v>
      </c>
      <c r="F1184" t="s">
        <v>220</v>
      </c>
      <c r="G1184" t="s">
        <v>818</v>
      </c>
      <c r="H1184" s="4">
        <v>43888</v>
      </c>
      <c r="I1184" t="s">
        <v>254</v>
      </c>
    </row>
    <row r="1185" spans="1:9" x14ac:dyDescent="0.25">
      <c r="A1185">
        <v>231</v>
      </c>
      <c r="B1185" t="s">
        <v>2649</v>
      </c>
      <c r="C1185">
        <v>4102</v>
      </c>
      <c r="D1185" t="s">
        <v>2650</v>
      </c>
      <c r="E1185" t="s">
        <v>2187</v>
      </c>
      <c r="F1185" t="s">
        <v>220</v>
      </c>
      <c r="G1185" t="s">
        <v>546</v>
      </c>
      <c r="H1185" s="4">
        <v>36970</v>
      </c>
      <c r="I1185" t="s">
        <v>254</v>
      </c>
    </row>
    <row r="1186" spans="1:9" x14ac:dyDescent="0.25">
      <c r="A1186">
        <v>232</v>
      </c>
      <c r="B1186" t="s">
        <v>2651</v>
      </c>
      <c r="C1186">
        <v>4105</v>
      </c>
      <c r="D1186" t="s">
        <v>2652</v>
      </c>
      <c r="E1186" t="s">
        <v>2187</v>
      </c>
      <c r="F1186" t="s">
        <v>220</v>
      </c>
      <c r="G1186" t="s">
        <v>546</v>
      </c>
      <c r="H1186" s="4">
        <v>37161</v>
      </c>
      <c r="I1186" t="s">
        <v>254</v>
      </c>
    </row>
    <row r="1187" spans="1:9" x14ac:dyDescent="0.25">
      <c r="A1187">
        <v>233</v>
      </c>
      <c r="B1187" t="s">
        <v>2653</v>
      </c>
      <c r="C1187">
        <v>4107</v>
      </c>
      <c r="D1187" t="s">
        <v>2654</v>
      </c>
      <c r="E1187" t="s">
        <v>2187</v>
      </c>
      <c r="F1187" t="s">
        <v>220</v>
      </c>
      <c r="G1187" t="s">
        <v>546</v>
      </c>
      <c r="H1187" s="4">
        <v>37319</v>
      </c>
      <c r="I1187" t="s">
        <v>254</v>
      </c>
    </row>
    <row r="1188" spans="1:9" x14ac:dyDescent="0.25">
      <c r="A1188">
        <v>234</v>
      </c>
      <c r="B1188" t="s">
        <v>2655</v>
      </c>
      <c r="C1188">
        <v>4109</v>
      </c>
      <c r="D1188" t="s">
        <v>2656</v>
      </c>
      <c r="E1188" t="s">
        <v>2187</v>
      </c>
      <c r="F1188" t="s">
        <v>220</v>
      </c>
      <c r="G1188" t="s">
        <v>546</v>
      </c>
      <c r="H1188" s="4">
        <v>37476</v>
      </c>
      <c r="I1188" t="s">
        <v>254</v>
      </c>
    </row>
    <row r="1189" spans="1:9" x14ac:dyDescent="0.25">
      <c r="A1189">
        <v>235</v>
      </c>
      <c r="B1189" t="s">
        <v>2657</v>
      </c>
      <c r="C1189">
        <v>4111</v>
      </c>
      <c r="D1189" t="s">
        <v>2658</v>
      </c>
      <c r="E1189" t="s">
        <v>2187</v>
      </c>
      <c r="F1189" t="s">
        <v>220</v>
      </c>
      <c r="G1189" t="s">
        <v>546</v>
      </c>
      <c r="H1189" s="4">
        <v>36225</v>
      </c>
      <c r="I1189" t="s">
        <v>254</v>
      </c>
    </row>
    <row r="1190" spans="1:9" x14ac:dyDescent="0.25">
      <c r="A1190">
        <v>236</v>
      </c>
      <c r="B1190" t="s">
        <v>2659</v>
      </c>
      <c r="C1190">
        <v>4113</v>
      </c>
      <c r="D1190" t="s">
        <v>2660</v>
      </c>
      <c r="E1190" t="s">
        <v>2187</v>
      </c>
      <c r="F1190" t="s">
        <v>220</v>
      </c>
      <c r="G1190" t="s">
        <v>335</v>
      </c>
      <c r="H1190" s="4">
        <v>37824</v>
      </c>
      <c r="I1190" t="s">
        <v>254</v>
      </c>
    </row>
    <row r="1191" spans="1:9" x14ac:dyDescent="0.25">
      <c r="A1191">
        <v>237</v>
      </c>
      <c r="B1191" t="s">
        <v>2661</v>
      </c>
      <c r="C1191">
        <v>4114</v>
      </c>
      <c r="D1191" t="s">
        <v>2662</v>
      </c>
      <c r="E1191" t="s">
        <v>2187</v>
      </c>
      <c r="F1191" t="s">
        <v>220</v>
      </c>
      <c r="G1191" t="s">
        <v>546</v>
      </c>
      <c r="H1191" s="4">
        <v>37753</v>
      </c>
      <c r="I1191" t="s">
        <v>254</v>
      </c>
    </row>
    <row r="1192" spans="1:9" x14ac:dyDescent="0.25">
      <c r="A1192">
        <v>238</v>
      </c>
      <c r="B1192" t="s">
        <v>2663</v>
      </c>
      <c r="C1192">
        <v>4116</v>
      </c>
      <c r="D1192" t="s">
        <v>2664</v>
      </c>
      <c r="E1192" t="s">
        <v>2187</v>
      </c>
      <c r="F1192" t="s">
        <v>220</v>
      </c>
      <c r="G1192" t="s">
        <v>546</v>
      </c>
      <c r="H1192" s="4">
        <v>42354</v>
      </c>
      <c r="I1192" t="s">
        <v>254</v>
      </c>
    </row>
    <row r="1193" spans="1:9" x14ac:dyDescent="0.25">
      <c r="A1193">
        <v>239</v>
      </c>
      <c r="B1193" t="s">
        <v>2665</v>
      </c>
      <c r="C1193">
        <v>4120</v>
      </c>
      <c r="D1193" t="s">
        <v>2666</v>
      </c>
      <c r="E1193" t="s">
        <v>2187</v>
      </c>
      <c r="F1193" t="s">
        <v>220</v>
      </c>
      <c r="G1193" t="s">
        <v>546</v>
      </c>
      <c r="H1193" s="4">
        <v>37930</v>
      </c>
      <c r="I1193" t="s">
        <v>254</v>
      </c>
    </row>
    <row r="1194" spans="1:9" x14ac:dyDescent="0.25">
      <c r="A1194">
        <v>240</v>
      </c>
      <c r="B1194" t="s">
        <v>2667</v>
      </c>
      <c r="C1194">
        <v>4121</v>
      </c>
      <c r="D1194" t="s">
        <v>2668</v>
      </c>
      <c r="E1194" t="s">
        <v>2187</v>
      </c>
      <c r="F1194" t="s">
        <v>220</v>
      </c>
      <c r="G1194" t="s">
        <v>546</v>
      </c>
      <c r="H1194" s="4">
        <v>37827</v>
      </c>
      <c r="I1194" t="s">
        <v>254</v>
      </c>
    </row>
    <row r="1195" spans="1:9" x14ac:dyDescent="0.25">
      <c r="A1195">
        <v>241</v>
      </c>
      <c r="B1195" t="s">
        <v>2669</v>
      </c>
      <c r="C1195">
        <v>4123</v>
      </c>
      <c r="D1195" t="s">
        <v>2670</v>
      </c>
      <c r="E1195" t="s">
        <v>2187</v>
      </c>
      <c r="F1195" t="s">
        <v>220</v>
      </c>
      <c r="G1195" t="s">
        <v>546</v>
      </c>
      <c r="H1195" s="4">
        <v>37901</v>
      </c>
      <c r="I1195" t="s">
        <v>254</v>
      </c>
    </row>
    <row r="1196" spans="1:9" x14ac:dyDescent="0.25">
      <c r="A1196">
        <v>242</v>
      </c>
      <c r="B1196" t="s">
        <v>2671</v>
      </c>
      <c r="C1196">
        <v>4126</v>
      </c>
      <c r="D1196" t="s">
        <v>2672</v>
      </c>
      <c r="E1196" t="s">
        <v>2187</v>
      </c>
      <c r="F1196" t="s">
        <v>220</v>
      </c>
      <c r="G1196" t="s">
        <v>546</v>
      </c>
      <c r="H1196" s="4">
        <v>38026</v>
      </c>
      <c r="I1196" t="s">
        <v>254</v>
      </c>
    </row>
    <row r="1197" spans="1:9" x14ac:dyDescent="0.25">
      <c r="A1197">
        <v>243</v>
      </c>
      <c r="B1197" t="s">
        <v>2673</v>
      </c>
      <c r="C1197">
        <v>4127</v>
      </c>
      <c r="D1197" t="s">
        <v>2674</v>
      </c>
      <c r="E1197" t="s">
        <v>2187</v>
      </c>
      <c r="F1197" t="s">
        <v>220</v>
      </c>
      <c r="G1197" t="s">
        <v>546</v>
      </c>
      <c r="H1197" s="4">
        <v>38562</v>
      </c>
      <c r="I1197" t="s">
        <v>254</v>
      </c>
    </row>
    <row r="1198" spans="1:9" x14ac:dyDescent="0.25">
      <c r="A1198">
        <v>244</v>
      </c>
      <c r="B1198" t="s">
        <v>2675</v>
      </c>
      <c r="C1198">
        <v>4128</v>
      </c>
      <c r="D1198" t="s">
        <v>2676</v>
      </c>
      <c r="E1198" t="s">
        <v>2187</v>
      </c>
      <c r="F1198" t="s">
        <v>220</v>
      </c>
      <c r="G1198" t="s">
        <v>546</v>
      </c>
      <c r="H1198" s="4">
        <v>38877</v>
      </c>
      <c r="I1198" t="s">
        <v>254</v>
      </c>
    </row>
    <row r="1199" spans="1:9" x14ac:dyDescent="0.25">
      <c r="A1199">
        <v>245</v>
      </c>
      <c r="B1199" t="s">
        <v>2677</v>
      </c>
      <c r="C1199">
        <v>4129</v>
      </c>
      <c r="D1199" t="s">
        <v>2678</v>
      </c>
      <c r="E1199" t="s">
        <v>2187</v>
      </c>
      <c r="F1199" t="s">
        <v>220</v>
      </c>
      <c r="G1199" t="s">
        <v>546</v>
      </c>
      <c r="H1199" s="4">
        <v>38259</v>
      </c>
      <c r="I1199" t="s">
        <v>254</v>
      </c>
    </row>
    <row r="1200" spans="1:9" x14ac:dyDescent="0.25">
      <c r="A1200">
        <v>246</v>
      </c>
      <c r="B1200" t="s">
        <v>2679</v>
      </c>
      <c r="C1200">
        <v>4130</v>
      </c>
      <c r="D1200" t="s">
        <v>2680</v>
      </c>
      <c r="E1200" t="s">
        <v>2187</v>
      </c>
      <c r="F1200" t="s">
        <v>220</v>
      </c>
      <c r="G1200" t="s">
        <v>546</v>
      </c>
      <c r="H1200" s="4">
        <v>40920</v>
      </c>
      <c r="I1200" t="s">
        <v>254</v>
      </c>
    </row>
    <row r="1201" spans="1:9" x14ac:dyDescent="0.25">
      <c r="A1201">
        <v>247</v>
      </c>
      <c r="B1201" t="s">
        <v>2681</v>
      </c>
      <c r="C1201">
        <v>4131</v>
      </c>
      <c r="D1201" t="s">
        <v>2682</v>
      </c>
      <c r="E1201" t="s">
        <v>2187</v>
      </c>
      <c r="F1201" t="s">
        <v>220</v>
      </c>
      <c r="G1201" t="s">
        <v>546</v>
      </c>
      <c r="H1201" s="4">
        <v>38086</v>
      </c>
      <c r="I1201" t="s">
        <v>254</v>
      </c>
    </row>
    <row r="1202" spans="1:9" x14ac:dyDescent="0.25">
      <c r="A1202">
        <v>248</v>
      </c>
      <c r="B1202" t="s">
        <v>2683</v>
      </c>
      <c r="C1202">
        <v>4138</v>
      </c>
      <c r="D1202" t="s">
        <v>2684</v>
      </c>
      <c r="E1202" t="s">
        <v>2187</v>
      </c>
      <c r="F1202" t="s">
        <v>220</v>
      </c>
      <c r="G1202" t="s">
        <v>546</v>
      </c>
      <c r="H1202" s="4">
        <v>40541</v>
      </c>
      <c r="I1202" t="s">
        <v>254</v>
      </c>
    </row>
    <row r="1203" spans="1:9" x14ac:dyDescent="0.25">
      <c r="A1203">
        <v>249</v>
      </c>
      <c r="B1203" t="s">
        <v>2685</v>
      </c>
      <c r="C1203">
        <v>4139</v>
      </c>
      <c r="D1203" t="s">
        <v>2686</v>
      </c>
      <c r="E1203" t="s">
        <v>2187</v>
      </c>
      <c r="F1203" t="s">
        <v>220</v>
      </c>
      <c r="G1203" t="s">
        <v>546</v>
      </c>
      <c r="H1203" s="4">
        <v>40662</v>
      </c>
      <c r="I1203" t="s">
        <v>254</v>
      </c>
    </row>
    <row r="1204" spans="1:9" x14ac:dyDescent="0.25">
      <c r="A1204">
        <v>250</v>
      </c>
      <c r="B1204" t="s">
        <v>2687</v>
      </c>
      <c r="C1204">
        <v>4147</v>
      </c>
      <c r="D1204" t="s">
        <v>2688</v>
      </c>
      <c r="E1204" t="s">
        <v>2187</v>
      </c>
      <c r="F1204" t="s">
        <v>220</v>
      </c>
      <c r="G1204" t="s">
        <v>546</v>
      </c>
      <c r="H1204" s="4">
        <v>42331</v>
      </c>
      <c r="I1204" t="s">
        <v>254</v>
      </c>
    </row>
    <row r="1205" spans="1:9" x14ac:dyDescent="0.25">
      <c r="A1205">
        <v>251</v>
      </c>
      <c r="B1205" t="s">
        <v>2689</v>
      </c>
      <c r="C1205">
        <v>4152</v>
      </c>
      <c r="D1205" t="s">
        <v>2690</v>
      </c>
      <c r="E1205" t="s">
        <v>2187</v>
      </c>
      <c r="F1205" t="s">
        <v>220</v>
      </c>
      <c r="G1205" t="s">
        <v>546</v>
      </c>
      <c r="H1205" s="4">
        <v>41264</v>
      </c>
      <c r="I1205" t="s">
        <v>254</v>
      </c>
    </row>
    <row r="1206" spans="1:9" x14ac:dyDescent="0.25">
      <c r="A1206">
        <v>252</v>
      </c>
      <c r="B1206" t="s">
        <v>2691</v>
      </c>
      <c r="C1206">
        <v>4153</v>
      </c>
      <c r="D1206" t="s">
        <v>2692</v>
      </c>
      <c r="E1206" t="s">
        <v>2187</v>
      </c>
      <c r="F1206" t="s">
        <v>220</v>
      </c>
      <c r="G1206" t="s">
        <v>546</v>
      </c>
      <c r="H1206" s="4">
        <v>41417</v>
      </c>
      <c r="I1206" t="s">
        <v>254</v>
      </c>
    </row>
    <row r="1207" spans="1:9" x14ac:dyDescent="0.25">
      <c r="A1207">
        <v>253</v>
      </c>
      <c r="B1207" t="s">
        <v>2693</v>
      </c>
      <c r="C1207">
        <v>4154</v>
      </c>
      <c r="D1207" t="s">
        <v>2694</v>
      </c>
      <c r="E1207" t="s">
        <v>2187</v>
      </c>
      <c r="F1207" t="s">
        <v>220</v>
      </c>
      <c r="G1207" t="s">
        <v>546</v>
      </c>
      <c r="H1207" s="4">
        <v>40905</v>
      </c>
      <c r="I1207" t="s">
        <v>254</v>
      </c>
    </row>
    <row r="1208" spans="1:9" x14ac:dyDescent="0.25">
      <c r="A1208">
        <v>254</v>
      </c>
      <c r="B1208" t="s">
        <v>2695</v>
      </c>
      <c r="C1208">
        <v>4157</v>
      </c>
      <c r="D1208" t="s">
        <v>2696</v>
      </c>
      <c r="E1208" t="s">
        <v>2187</v>
      </c>
      <c r="F1208" t="s">
        <v>220</v>
      </c>
      <c r="G1208" t="s">
        <v>546</v>
      </c>
      <c r="H1208" s="4">
        <v>41516</v>
      </c>
      <c r="I1208" t="s">
        <v>254</v>
      </c>
    </row>
    <row r="1209" spans="1:9" x14ac:dyDescent="0.25">
      <c r="A1209">
        <v>255</v>
      </c>
      <c r="B1209" t="s">
        <v>2697</v>
      </c>
      <c r="C1209">
        <v>4160</v>
      </c>
      <c r="D1209" t="s">
        <v>2698</v>
      </c>
      <c r="E1209" t="s">
        <v>2187</v>
      </c>
      <c r="F1209" t="s">
        <v>220</v>
      </c>
      <c r="G1209" t="s">
        <v>546</v>
      </c>
      <c r="H1209" s="4">
        <v>41169</v>
      </c>
      <c r="I1209" t="s">
        <v>254</v>
      </c>
    </row>
    <row r="1210" spans="1:9" x14ac:dyDescent="0.25">
      <c r="A1210">
        <v>256</v>
      </c>
      <c r="B1210" t="s">
        <v>2699</v>
      </c>
      <c r="C1210">
        <v>4161</v>
      </c>
      <c r="D1210" t="s">
        <v>2700</v>
      </c>
      <c r="E1210" t="s">
        <v>2187</v>
      </c>
      <c r="F1210" t="s">
        <v>220</v>
      </c>
      <c r="G1210" t="s">
        <v>546</v>
      </c>
      <c r="H1210" s="4">
        <v>41451</v>
      </c>
      <c r="I1210" t="s">
        <v>254</v>
      </c>
    </row>
    <row r="1211" spans="1:9" x14ac:dyDescent="0.25">
      <c r="A1211">
        <v>257</v>
      </c>
      <c r="B1211" t="s">
        <v>2701</v>
      </c>
      <c r="C1211">
        <v>4162</v>
      </c>
      <c r="D1211" t="s">
        <v>2702</v>
      </c>
      <c r="E1211" t="s">
        <v>2187</v>
      </c>
      <c r="F1211" t="s">
        <v>220</v>
      </c>
      <c r="G1211" t="s">
        <v>546</v>
      </c>
      <c r="H1211" s="4">
        <v>41170</v>
      </c>
      <c r="I1211" t="s">
        <v>254</v>
      </c>
    </row>
    <row r="1212" spans="1:9" x14ac:dyDescent="0.25">
      <c r="A1212">
        <v>258</v>
      </c>
      <c r="B1212" t="s">
        <v>2703</v>
      </c>
      <c r="C1212">
        <v>4163</v>
      </c>
      <c r="D1212" t="s">
        <v>2704</v>
      </c>
      <c r="E1212" t="s">
        <v>2187</v>
      </c>
      <c r="F1212" t="s">
        <v>220</v>
      </c>
      <c r="G1212" t="s">
        <v>546</v>
      </c>
      <c r="H1212" s="4">
        <v>41228</v>
      </c>
      <c r="I1212" t="s">
        <v>254</v>
      </c>
    </row>
    <row r="1213" spans="1:9" x14ac:dyDescent="0.25">
      <c r="A1213">
        <v>259</v>
      </c>
      <c r="B1213" t="s">
        <v>2705</v>
      </c>
      <c r="C1213">
        <v>4167</v>
      </c>
      <c r="D1213" t="s">
        <v>2706</v>
      </c>
      <c r="E1213" t="s">
        <v>2187</v>
      </c>
      <c r="F1213" t="s">
        <v>220</v>
      </c>
      <c r="G1213" t="s">
        <v>546</v>
      </c>
      <c r="H1213" s="4">
        <v>42255</v>
      </c>
      <c r="I1213" t="s">
        <v>254</v>
      </c>
    </row>
    <row r="1214" spans="1:9" x14ac:dyDescent="0.25">
      <c r="A1214">
        <v>260</v>
      </c>
      <c r="B1214" t="s">
        <v>2707</v>
      </c>
      <c r="C1214">
        <v>4168</v>
      </c>
      <c r="D1214" t="s">
        <v>2708</v>
      </c>
      <c r="E1214" t="s">
        <v>2187</v>
      </c>
      <c r="F1214" t="s">
        <v>220</v>
      </c>
      <c r="G1214" t="s">
        <v>546</v>
      </c>
      <c r="H1214" s="4">
        <v>41261</v>
      </c>
      <c r="I1214" t="s">
        <v>254</v>
      </c>
    </row>
    <row r="1215" spans="1:9" x14ac:dyDescent="0.25">
      <c r="A1215">
        <v>261</v>
      </c>
      <c r="B1215" t="s">
        <v>2709</v>
      </c>
      <c r="C1215">
        <v>4171</v>
      </c>
      <c r="D1215" t="s">
        <v>2710</v>
      </c>
      <c r="E1215" t="s">
        <v>2187</v>
      </c>
      <c r="F1215" t="s">
        <v>220</v>
      </c>
      <c r="G1215" t="s">
        <v>2188</v>
      </c>
      <c r="H1215" s="4">
        <v>43187</v>
      </c>
      <c r="I1215" t="s">
        <v>254</v>
      </c>
    </row>
    <row r="1216" spans="1:9" x14ac:dyDescent="0.25">
      <c r="A1216">
        <v>262</v>
      </c>
      <c r="B1216" t="s">
        <v>2711</v>
      </c>
      <c r="C1216">
        <v>4173</v>
      </c>
      <c r="D1216" t="s">
        <v>2712</v>
      </c>
      <c r="E1216" t="s">
        <v>2187</v>
      </c>
      <c r="F1216" t="s">
        <v>220</v>
      </c>
      <c r="G1216" t="s">
        <v>546</v>
      </c>
      <c r="H1216" s="4">
        <v>41578</v>
      </c>
      <c r="I1216" t="s">
        <v>254</v>
      </c>
    </row>
    <row r="1217" spans="1:9" x14ac:dyDescent="0.25">
      <c r="A1217">
        <v>263</v>
      </c>
      <c r="B1217" t="s">
        <v>2713</v>
      </c>
      <c r="C1217">
        <v>4174</v>
      </c>
      <c r="D1217" t="s">
        <v>2714</v>
      </c>
      <c r="E1217" t="s">
        <v>2187</v>
      </c>
      <c r="F1217" t="s">
        <v>220</v>
      </c>
      <c r="G1217" t="s">
        <v>546</v>
      </c>
      <c r="H1217" s="4">
        <v>42086</v>
      </c>
      <c r="I1217" t="s">
        <v>254</v>
      </c>
    </row>
    <row r="1218" spans="1:9" x14ac:dyDescent="0.25">
      <c r="A1218">
        <v>264</v>
      </c>
      <c r="B1218" t="s">
        <v>2715</v>
      </c>
      <c r="C1218">
        <v>4175</v>
      </c>
      <c r="D1218" t="s">
        <v>2716</v>
      </c>
      <c r="E1218" t="s">
        <v>2187</v>
      </c>
      <c r="F1218" t="s">
        <v>220</v>
      </c>
      <c r="G1218" t="s">
        <v>546</v>
      </c>
      <c r="H1218" s="4">
        <v>41752</v>
      </c>
      <c r="I1218" t="s">
        <v>254</v>
      </c>
    </row>
    <row r="1219" spans="1:9" x14ac:dyDescent="0.25">
      <c r="A1219">
        <v>265</v>
      </c>
      <c r="B1219" t="s">
        <v>2717</v>
      </c>
      <c r="C1219">
        <v>4183</v>
      </c>
      <c r="D1219" t="s">
        <v>2718</v>
      </c>
      <c r="E1219" t="s">
        <v>2187</v>
      </c>
      <c r="F1219" t="s">
        <v>220</v>
      </c>
      <c r="G1219" t="s">
        <v>546</v>
      </c>
      <c r="H1219" s="4">
        <v>42803</v>
      </c>
      <c r="I1219" t="s">
        <v>254</v>
      </c>
    </row>
    <row r="1220" spans="1:9" x14ac:dyDescent="0.25">
      <c r="A1220">
        <v>266</v>
      </c>
      <c r="B1220" t="s">
        <v>2719</v>
      </c>
      <c r="C1220">
        <v>4188</v>
      </c>
      <c r="D1220" t="s">
        <v>2720</v>
      </c>
      <c r="E1220" t="s">
        <v>2187</v>
      </c>
      <c r="F1220" t="s">
        <v>220</v>
      </c>
      <c r="G1220" t="s">
        <v>546</v>
      </c>
      <c r="H1220" s="4">
        <v>42087</v>
      </c>
      <c r="I1220" t="s">
        <v>254</v>
      </c>
    </row>
    <row r="1221" spans="1:9" x14ac:dyDescent="0.25">
      <c r="A1221">
        <v>267</v>
      </c>
      <c r="B1221" t="s">
        <v>2721</v>
      </c>
      <c r="C1221">
        <v>4192</v>
      </c>
      <c r="D1221" t="s">
        <v>2722</v>
      </c>
      <c r="E1221" t="s">
        <v>2187</v>
      </c>
      <c r="F1221" t="s">
        <v>220</v>
      </c>
      <c r="G1221" t="s">
        <v>546</v>
      </c>
      <c r="H1221" s="4">
        <v>41940</v>
      </c>
      <c r="I1221" t="s">
        <v>254</v>
      </c>
    </row>
    <row r="1222" spans="1:9" x14ac:dyDescent="0.25">
      <c r="A1222">
        <v>268</v>
      </c>
      <c r="B1222" t="s">
        <v>2723</v>
      </c>
      <c r="C1222">
        <v>4198</v>
      </c>
      <c r="D1222" t="s">
        <v>2724</v>
      </c>
      <c r="E1222" t="s">
        <v>2187</v>
      </c>
      <c r="F1222" t="s">
        <v>220</v>
      </c>
      <c r="G1222" t="s">
        <v>546</v>
      </c>
      <c r="H1222" s="4">
        <v>41996</v>
      </c>
      <c r="I1222" t="s">
        <v>254</v>
      </c>
    </row>
    <row r="1223" spans="1:9" x14ac:dyDescent="0.25">
      <c r="A1223">
        <v>269</v>
      </c>
      <c r="B1223" t="s">
        <v>2725</v>
      </c>
      <c r="C1223">
        <v>4205</v>
      </c>
      <c r="D1223" t="s">
        <v>2726</v>
      </c>
      <c r="E1223" t="s">
        <v>2187</v>
      </c>
      <c r="F1223" t="s">
        <v>220</v>
      </c>
      <c r="G1223" t="s">
        <v>269</v>
      </c>
      <c r="H1223" s="4">
        <v>36191</v>
      </c>
      <c r="I1223" t="s">
        <v>254</v>
      </c>
    </row>
    <row r="1224" spans="1:9" x14ac:dyDescent="0.25">
      <c r="A1224">
        <v>270</v>
      </c>
      <c r="B1224" t="s">
        <v>2727</v>
      </c>
      <c r="C1224">
        <v>4207</v>
      </c>
      <c r="D1224" t="s">
        <v>2728</v>
      </c>
      <c r="E1224" t="s">
        <v>2187</v>
      </c>
      <c r="F1224" t="s">
        <v>220</v>
      </c>
      <c r="G1224" t="s">
        <v>269</v>
      </c>
      <c r="H1224" s="4">
        <v>36546</v>
      </c>
      <c r="I1224" t="s">
        <v>254</v>
      </c>
    </row>
    <row r="1225" spans="1:9" x14ac:dyDescent="0.25">
      <c r="A1225">
        <v>271</v>
      </c>
      <c r="B1225" t="s">
        <v>2729</v>
      </c>
      <c r="C1225">
        <v>4303</v>
      </c>
      <c r="D1225" t="s">
        <v>2730</v>
      </c>
      <c r="E1225" t="s">
        <v>2187</v>
      </c>
      <c r="F1225" t="s">
        <v>220</v>
      </c>
      <c r="G1225" t="s">
        <v>310</v>
      </c>
      <c r="H1225" s="4">
        <v>36229</v>
      </c>
      <c r="I1225" t="s">
        <v>254</v>
      </c>
    </row>
    <row r="1226" spans="1:9" x14ac:dyDescent="0.25">
      <c r="A1226">
        <v>272</v>
      </c>
      <c r="B1226" t="s">
        <v>2731</v>
      </c>
      <c r="C1226">
        <v>4304</v>
      </c>
      <c r="D1226" t="s">
        <v>2732</v>
      </c>
      <c r="E1226" t="s">
        <v>2187</v>
      </c>
      <c r="F1226" t="s">
        <v>220</v>
      </c>
      <c r="G1226" t="s">
        <v>310</v>
      </c>
      <c r="H1226" s="4">
        <v>36552</v>
      </c>
      <c r="I1226" t="s">
        <v>254</v>
      </c>
    </row>
    <row r="1227" spans="1:9" x14ac:dyDescent="0.25">
      <c r="A1227">
        <v>273</v>
      </c>
      <c r="B1227" t="s">
        <v>2733</v>
      </c>
      <c r="C1227">
        <v>4305</v>
      </c>
      <c r="D1227" t="s">
        <v>2734</v>
      </c>
      <c r="E1227" t="s">
        <v>2187</v>
      </c>
      <c r="F1227" t="s">
        <v>220</v>
      </c>
      <c r="G1227" t="s">
        <v>310</v>
      </c>
      <c r="H1227" s="4">
        <v>36797</v>
      </c>
      <c r="I1227" t="s">
        <v>254</v>
      </c>
    </row>
    <row r="1228" spans="1:9" x14ac:dyDescent="0.25">
      <c r="A1228">
        <v>274</v>
      </c>
      <c r="B1228" t="s">
        <v>2735</v>
      </c>
      <c r="C1228">
        <v>4401</v>
      </c>
      <c r="D1228" t="s">
        <v>2736</v>
      </c>
      <c r="E1228" t="s">
        <v>2187</v>
      </c>
      <c r="F1228" t="s">
        <v>220</v>
      </c>
      <c r="G1228" t="s">
        <v>364</v>
      </c>
      <c r="H1228" s="4">
        <v>35194</v>
      </c>
      <c r="I1228" t="s">
        <v>254</v>
      </c>
    </row>
    <row r="1229" spans="1:9" x14ac:dyDescent="0.25">
      <c r="A1229">
        <v>275</v>
      </c>
      <c r="B1229" t="s">
        <v>2737</v>
      </c>
      <c r="C1229">
        <v>4402</v>
      </c>
      <c r="D1229" t="s">
        <v>2738</v>
      </c>
      <c r="E1229" t="s">
        <v>2187</v>
      </c>
      <c r="F1229" t="s">
        <v>220</v>
      </c>
      <c r="G1229" t="s">
        <v>364</v>
      </c>
      <c r="H1229" s="4">
        <v>35634</v>
      </c>
      <c r="I1229" t="s">
        <v>254</v>
      </c>
    </row>
    <row r="1230" spans="1:9" x14ac:dyDescent="0.25">
      <c r="A1230">
        <v>276</v>
      </c>
      <c r="B1230" t="s">
        <v>2739</v>
      </c>
      <c r="C1230">
        <v>4406</v>
      </c>
      <c r="D1230" t="s">
        <v>2740</v>
      </c>
      <c r="E1230" t="s">
        <v>2187</v>
      </c>
      <c r="F1230" t="s">
        <v>220</v>
      </c>
      <c r="G1230" t="s">
        <v>364</v>
      </c>
      <c r="H1230" s="4">
        <v>36174</v>
      </c>
      <c r="I1230" t="s">
        <v>254</v>
      </c>
    </row>
    <row r="1231" spans="1:9" x14ac:dyDescent="0.25">
      <c r="A1231">
        <v>277</v>
      </c>
      <c r="B1231" t="s">
        <v>2741</v>
      </c>
      <c r="C1231">
        <v>4413</v>
      </c>
      <c r="D1231" t="s">
        <v>2742</v>
      </c>
      <c r="E1231" t="s">
        <v>2187</v>
      </c>
      <c r="F1231" t="s">
        <v>220</v>
      </c>
      <c r="G1231" t="s">
        <v>364</v>
      </c>
      <c r="H1231" s="4">
        <v>36370</v>
      </c>
      <c r="I1231" t="s">
        <v>254</v>
      </c>
    </row>
    <row r="1232" spans="1:9" x14ac:dyDescent="0.25">
      <c r="A1232">
        <v>278</v>
      </c>
      <c r="B1232" t="s">
        <v>2743</v>
      </c>
      <c r="C1232">
        <v>4416</v>
      </c>
      <c r="D1232" t="s">
        <v>2744</v>
      </c>
      <c r="E1232" t="s">
        <v>2187</v>
      </c>
      <c r="F1232" t="s">
        <v>220</v>
      </c>
      <c r="G1232" t="s">
        <v>335</v>
      </c>
      <c r="H1232" s="4">
        <v>36652</v>
      </c>
      <c r="I1232" t="s">
        <v>254</v>
      </c>
    </row>
    <row r="1233" spans="1:9" x14ac:dyDescent="0.25">
      <c r="A1233">
        <v>279</v>
      </c>
      <c r="B1233" t="s">
        <v>2745</v>
      </c>
      <c r="C1233">
        <v>4417</v>
      </c>
      <c r="D1233" t="s">
        <v>2746</v>
      </c>
      <c r="E1233" t="s">
        <v>2187</v>
      </c>
      <c r="F1233" t="s">
        <v>220</v>
      </c>
      <c r="G1233" t="s">
        <v>364</v>
      </c>
      <c r="H1233" s="4">
        <v>36837</v>
      </c>
      <c r="I1233" t="s">
        <v>254</v>
      </c>
    </row>
    <row r="1234" spans="1:9" x14ac:dyDescent="0.25">
      <c r="A1234">
        <v>280</v>
      </c>
      <c r="B1234" t="s">
        <v>2747</v>
      </c>
      <c r="C1234">
        <v>4419</v>
      </c>
      <c r="D1234" t="s">
        <v>2748</v>
      </c>
      <c r="E1234" t="s">
        <v>2187</v>
      </c>
      <c r="F1234" t="s">
        <v>220</v>
      </c>
      <c r="G1234" t="s">
        <v>364</v>
      </c>
      <c r="H1234" s="4">
        <v>37068</v>
      </c>
      <c r="I1234" t="s">
        <v>254</v>
      </c>
    </row>
    <row r="1235" spans="1:9" x14ac:dyDescent="0.25">
      <c r="A1235">
        <v>281</v>
      </c>
      <c r="B1235" t="s">
        <v>2749</v>
      </c>
      <c r="C1235">
        <v>4420</v>
      </c>
      <c r="D1235" t="s">
        <v>2750</v>
      </c>
      <c r="E1235" t="s">
        <v>2187</v>
      </c>
      <c r="F1235" t="s">
        <v>220</v>
      </c>
      <c r="G1235" t="s">
        <v>364</v>
      </c>
      <c r="H1235" s="4">
        <v>37364</v>
      </c>
      <c r="I1235" t="s">
        <v>254</v>
      </c>
    </row>
    <row r="1236" spans="1:9" x14ac:dyDescent="0.25">
      <c r="A1236">
        <v>282</v>
      </c>
      <c r="B1236" t="s">
        <v>2751</v>
      </c>
      <c r="C1236">
        <v>4429</v>
      </c>
      <c r="D1236" t="s">
        <v>2752</v>
      </c>
      <c r="E1236" t="s">
        <v>2187</v>
      </c>
      <c r="F1236" t="s">
        <v>220</v>
      </c>
      <c r="G1236" t="s">
        <v>364</v>
      </c>
      <c r="H1236" s="4">
        <v>40436</v>
      </c>
      <c r="I1236" t="s">
        <v>254</v>
      </c>
    </row>
    <row r="1237" spans="1:9" x14ac:dyDescent="0.25">
      <c r="A1237">
        <v>283</v>
      </c>
      <c r="B1237" t="s">
        <v>2753</v>
      </c>
      <c r="C1237">
        <v>4430</v>
      </c>
      <c r="D1237" t="s">
        <v>2754</v>
      </c>
      <c r="E1237" t="s">
        <v>2187</v>
      </c>
      <c r="F1237" t="s">
        <v>220</v>
      </c>
      <c r="G1237" t="s">
        <v>361</v>
      </c>
      <c r="H1237" s="4">
        <v>40703</v>
      </c>
      <c r="I1237" t="s">
        <v>254</v>
      </c>
    </row>
    <row r="1238" spans="1:9" x14ac:dyDescent="0.25">
      <c r="A1238">
        <v>284</v>
      </c>
      <c r="B1238" t="s">
        <v>2755</v>
      </c>
      <c r="C1238">
        <v>4432</v>
      </c>
      <c r="D1238" t="s">
        <v>2756</v>
      </c>
      <c r="E1238" t="s">
        <v>2187</v>
      </c>
      <c r="F1238" t="s">
        <v>220</v>
      </c>
      <c r="G1238" t="s">
        <v>364</v>
      </c>
      <c r="H1238" s="4">
        <v>41239</v>
      </c>
      <c r="I1238" t="s">
        <v>254</v>
      </c>
    </row>
    <row r="1239" spans="1:9" x14ac:dyDescent="0.25">
      <c r="A1239">
        <v>285</v>
      </c>
      <c r="B1239" t="s">
        <v>2757</v>
      </c>
      <c r="C1239">
        <v>4433</v>
      </c>
      <c r="D1239" t="s">
        <v>2758</v>
      </c>
      <c r="E1239" t="s">
        <v>2187</v>
      </c>
      <c r="F1239" t="s">
        <v>220</v>
      </c>
      <c r="G1239" t="s">
        <v>364</v>
      </c>
      <c r="H1239" s="4">
        <v>41946</v>
      </c>
      <c r="I1239" t="s">
        <v>254</v>
      </c>
    </row>
    <row r="1240" spans="1:9" x14ac:dyDescent="0.25">
      <c r="A1240">
        <v>286</v>
      </c>
      <c r="B1240" t="s">
        <v>2759</v>
      </c>
      <c r="C1240">
        <v>4502</v>
      </c>
      <c r="D1240" t="s">
        <v>2760</v>
      </c>
      <c r="E1240" t="s">
        <v>2187</v>
      </c>
      <c r="F1240" t="s">
        <v>220</v>
      </c>
      <c r="G1240" t="s">
        <v>465</v>
      </c>
      <c r="H1240" s="4">
        <v>35045</v>
      </c>
      <c r="I1240" t="s">
        <v>254</v>
      </c>
    </row>
    <row r="1241" spans="1:9" x14ac:dyDescent="0.25">
      <c r="A1241">
        <v>287</v>
      </c>
      <c r="B1241" t="s">
        <v>2761</v>
      </c>
      <c r="C1241">
        <v>4503</v>
      </c>
      <c r="D1241" t="s">
        <v>2762</v>
      </c>
      <c r="E1241" t="s">
        <v>2187</v>
      </c>
      <c r="F1241" t="s">
        <v>220</v>
      </c>
      <c r="G1241" t="s">
        <v>465</v>
      </c>
      <c r="H1241" s="4">
        <v>35418</v>
      </c>
      <c r="I1241" t="s">
        <v>254</v>
      </c>
    </row>
    <row r="1242" spans="1:9" x14ac:dyDescent="0.25">
      <c r="A1242">
        <v>288</v>
      </c>
      <c r="B1242" t="s">
        <v>2763</v>
      </c>
      <c r="C1242">
        <v>4506</v>
      </c>
      <c r="D1242" t="s">
        <v>2764</v>
      </c>
      <c r="E1242" t="s">
        <v>2187</v>
      </c>
      <c r="F1242" t="s">
        <v>220</v>
      </c>
      <c r="G1242" t="s">
        <v>465</v>
      </c>
      <c r="H1242" s="4">
        <v>35770</v>
      </c>
      <c r="I1242" t="s">
        <v>254</v>
      </c>
    </row>
    <row r="1243" spans="1:9" x14ac:dyDescent="0.25">
      <c r="A1243">
        <v>289</v>
      </c>
      <c r="B1243" t="s">
        <v>2765</v>
      </c>
      <c r="C1243">
        <v>4510</v>
      </c>
      <c r="D1243" t="s">
        <v>2766</v>
      </c>
      <c r="E1243" t="s">
        <v>2187</v>
      </c>
      <c r="F1243" t="s">
        <v>220</v>
      </c>
      <c r="G1243" t="s">
        <v>465</v>
      </c>
      <c r="H1243" s="4">
        <v>35850</v>
      </c>
      <c r="I1243" t="s">
        <v>254</v>
      </c>
    </row>
    <row r="1244" spans="1:9" x14ac:dyDescent="0.25">
      <c r="A1244">
        <v>290</v>
      </c>
      <c r="B1244" t="s">
        <v>2767</v>
      </c>
      <c r="C1244">
        <v>4513</v>
      </c>
      <c r="D1244" t="s">
        <v>2768</v>
      </c>
      <c r="E1244" t="s">
        <v>2187</v>
      </c>
      <c r="F1244" t="s">
        <v>220</v>
      </c>
      <c r="G1244" t="s">
        <v>465</v>
      </c>
      <c r="H1244" s="4">
        <v>35879</v>
      </c>
      <c r="I1244" t="s">
        <v>254</v>
      </c>
    </row>
    <row r="1245" spans="1:9" x14ac:dyDescent="0.25">
      <c r="A1245">
        <v>291</v>
      </c>
      <c r="B1245" t="s">
        <v>2769</v>
      </c>
      <c r="C1245">
        <v>4523</v>
      </c>
      <c r="D1245" t="s">
        <v>2770</v>
      </c>
      <c r="E1245" t="s">
        <v>2187</v>
      </c>
      <c r="F1245" t="s">
        <v>220</v>
      </c>
      <c r="G1245" t="s">
        <v>465</v>
      </c>
      <c r="H1245" s="4">
        <v>36486</v>
      </c>
      <c r="I1245" t="s">
        <v>254</v>
      </c>
    </row>
    <row r="1246" spans="1:9" x14ac:dyDescent="0.25">
      <c r="A1246">
        <v>292</v>
      </c>
      <c r="B1246" t="s">
        <v>2771</v>
      </c>
      <c r="C1246">
        <v>4527</v>
      </c>
      <c r="D1246" t="s">
        <v>2772</v>
      </c>
      <c r="E1246" t="s">
        <v>2187</v>
      </c>
      <c r="F1246" t="s">
        <v>220</v>
      </c>
      <c r="G1246" t="s">
        <v>465</v>
      </c>
      <c r="H1246" s="4">
        <v>36797</v>
      </c>
      <c r="I1246" t="s">
        <v>254</v>
      </c>
    </row>
    <row r="1247" spans="1:9" x14ac:dyDescent="0.25">
      <c r="A1247">
        <v>293</v>
      </c>
      <c r="B1247" t="s">
        <v>2773</v>
      </c>
      <c r="C1247">
        <v>4528</v>
      </c>
      <c r="D1247" t="s">
        <v>2774</v>
      </c>
      <c r="E1247" t="s">
        <v>2187</v>
      </c>
      <c r="F1247" t="s">
        <v>220</v>
      </c>
      <c r="G1247" t="s">
        <v>465</v>
      </c>
      <c r="H1247" s="4">
        <v>36934</v>
      </c>
      <c r="I1247" t="s">
        <v>254</v>
      </c>
    </row>
    <row r="1248" spans="1:9" x14ac:dyDescent="0.25">
      <c r="A1248">
        <v>294</v>
      </c>
      <c r="B1248" t="s">
        <v>2775</v>
      </c>
      <c r="C1248">
        <v>4529</v>
      </c>
      <c r="D1248" t="s">
        <v>2776</v>
      </c>
      <c r="E1248" t="s">
        <v>2187</v>
      </c>
      <c r="F1248" t="s">
        <v>220</v>
      </c>
      <c r="G1248" t="s">
        <v>361</v>
      </c>
      <c r="H1248" s="4">
        <v>37015</v>
      </c>
      <c r="I1248" t="s">
        <v>254</v>
      </c>
    </row>
    <row r="1249" spans="1:9" x14ac:dyDescent="0.25">
      <c r="A1249">
        <v>295</v>
      </c>
      <c r="B1249" t="s">
        <v>2777</v>
      </c>
      <c r="C1249">
        <v>4530</v>
      </c>
      <c r="D1249" t="s">
        <v>2778</v>
      </c>
      <c r="E1249" t="s">
        <v>2187</v>
      </c>
      <c r="F1249" t="s">
        <v>220</v>
      </c>
      <c r="G1249" t="s">
        <v>465</v>
      </c>
      <c r="H1249" s="4">
        <v>37011</v>
      </c>
      <c r="I1249" t="s">
        <v>254</v>
      </c>
    </row>
    <row r="1250" spans="1:9" x14ac:dyDescent="0.25">
      <c r="A1250">
        <v>296</v>
      </c>
      <c r="B1250" t="s">
        <v>2779</v>
      </c>
      <c r="C1250">
        <v>4533</v>
      </c>
      <c r="D1250" t="s">
        <v>2780</v>
      </c>
      <c r="E1250" t="s">
        <v>2187</v>
      </c>
      <c r="F1250" t="s">
        <v>220</v>
      </c>
      <c r="G1250" t="s">
        <v>465</v>
      </c>
      <c r="H1250" s="4">
        <v>37372</v>
      </c>
      <c r="I1250" t="s">
        <v>254</v>
      </c>
    </row>
    <row r="1251" spans="1:9" x14ac:dyDescent="0.25">
      <c r="A1251">
        <v>297</v>
      </c>
      <c r="B1251" t="s">
        <v>2781</v>
      </c>
      <c r="C1251">
        <v>4534</v>
      </c>
      <c r="D1251" t="s">
        <v>2782</v>
      </c>
      <c r="E1251" t="s">
        <v>2187</v>
      </c>
      <c r="F1251" t="s">
        <v>220</v>
      </c>
      <c r="G1251" t="s">
        <v>465</v>
      </c>
      <c r="H1251" s="4">
        <v>37711</v>
      </c>
      <c r="I1251" t="s">
        <v>254</v>
      </c>
    </row>
    <row r="1252" spans="1:9" x14ac:dyDescent="0.25">
      <c r="A1252">
        <v>298</v>
      </c>
      <c r="B1252" t="s">
        <v>2783</v>
      </c>
      <c r="C1252">
        <v>4535</v>
      </c>
      <c r="D1252" t="s">
        <v>2784</v>
      </c>
      <c r="E1252" t="s">
        <v>2187</v>
      </c>
      <c r="F1252" t="s">
        <v>220</v>
      </c>
      <c r="G1252" t="s">
        <v>465</v>
      </c>
      <c r="H1252" s="4">
        <v>37727</v>
      </c>
      <c r="I1252" t="s">
        <v>254</v>
      </c>
    </row>
    <row r="1253" spans="1:9" x14ac:dyDescent="0.25">
      <c r="A1253">
        <v>299</v>
      </c>
      <c r="B1253" t="s">
        <v>2785</v>
      </c>
      <c r="C1253">
        <v>4538</v>
      </c>
      <c r="D1253" t="s">
        <v>2786</v>
      </c>
      <c r="E1253" t="s">
        <v>2187</v>
      </c>
      <c r="F1253" t="s">
        <v>220</v>
      </c>
      <c r="G1253" t="s">
        <v>465</v>
      </c>
      <c r="H1253" s="4">
        <v>43480</v>
      </c>
      <c r="I1253" t="s">
        <v>254</v>
      </c>
    </row>
    <row r="1254" spans="1:9" x14ac:dyDescent="0.25">
      <c r="A1254">
        <v>300</v>
      </c>
      <c r="B1254" t="s">
        <v>2787</v>
      </c>
      <c r="C1254">
        <v>4541</v>
      </c>
      <c r="D1254" t="s">
        <v>2788</v>
      </c>
      <c r="E1254" t="s">
        <v>2187</v>
      </c>
      <c r="F1254" t="s">
        <v>220</v>
      </c>
      <c r="G1254" t="s">
        <v>361</v>
      </c>
      <c r="H1254" s="4">
        <v>41842</v>
      </c>
      <c r="I1254" t="s">
        <v>254</v>
      </c>
    </row>
    <row r="1255" spans="1:9" x14ac:dyDescent="0.25">
      <c r="A1255">
        <v>301</v>
      </c>
      <c r="B1255" t="s">
        <v>2789</v>
      </c>
      <c r="C1255">
        <v>4542</v>
      </c>
      <c r="D1255" t="s">
        <v>2790</v>
      </c>
      <c r="E1255" t="s">
        <v>2187</v>
      </c>
      <c r="F1255" t="s">
        <v>220</v>
      </c>
      <c r="G1255" t="s">
        <v>450</v>
      </c>
      <c r="H1255" s="4">
        <v>41876</v>
      </c>
      <c r="I1255" t="s">
        <v>254</v>
      </c>
    </row>
    <row r="1256" spans="1:9" x14ac:dyDescent="0.25">
      <c r="A1256">
        <v>302</v>
      </c>
      <c r="B1256" t="s">
        <v>2791</v>
      </c>
      <c r="C1256">
        <v>4543</v>
      </c>
      <c r="D1256" t="s">
        <v>2792</v>
      </c>
      <c r="E1256" t="s">
        <v>2187</v>
      </c>
      <c r="F1256" t="s">
        <v>220</v>
      </c>
      <c r="G1256" t="s">
        <v>465</v>
      </c>
      <c r="H1256" s="4">
        <v>42444</v>
      </c>
      <c r="I1256" t="s">
        <v>254</v>
      </c>
    </row>
    <row r="1257" spans="1:9" x14ac:dyDescent="0.25">
      <c r="A1257">
        <v>303</v>
      </c>
      <c r="B1257" t="s">
        <v>2793</v>
      </c>
      <c r="C1257">
        <v>4549</v>
      </c>
      <c r="D1257" t="s">
        <v>2794</v>
      </c>
      <c r="E1257" t="s">
        <v>2187</v>
      </c>
      <c r="F1257" t="s">
        <v>220</v>
      </c>
      <c r="G1257" t="s">
        <v>465</v>
      </c>
      <c r="H1257" s="4">
        <v>41970</v>
      </c>
      <c r="I1257" t="s">
        <v>254</v>
      </c>
    </row>
    <row r="1258" spans="1:9" x14ac:dyDescent="0.25">
      <c r="A1258">
        <v>304</v>
      </c>
      <c r="B1258" t="s">
        <v>2795</v>
      </c>
      <c r="C1258">
        <v>4550</v>
      </c>
      <c r="D1258" t="s">
        <v>2796</v>
      </c>
      <c r="E1258" t="s">
        <v>2187</v>
      </c>
      <c r="F1258" t="s">
        <v>220</v>
      </c>
      <c r="G1258" t="s">
        <v>465</v>
      </c>
      <c r="H1258" s="4">
        <v>42081</v>
      </c>
      <c r="I1258" t="s">
        <v>254</v>
      </c>
    </row>
    <row r="1259" spans="1:9" x14ac:dyDescent="0.25">
      <c r="A1259">
        <v>305</v>
      </c>
      <c r="B1259" t="s">
        <v>2797</v>
      </c>
      <c r="C1259">
        <v>4554</v>
      </c>
      <c r="D1259" t="s">
        <v>2798</v>
      </c>
      <c r="E1259" t="s">
        <v>2187</v>
      </c>
      <c r="F1259" t="s">
        <v>220</v>
      </c>
      <c r="G1259" t="s">
        <v>804</v>
      </c>
      <c r="H1259" s="4">
        <v>42587</v>
      </c>
      <c r="I1259" t="s">
        <v>254</v>
      </c>
    </row>
    <row r="1260" spans="1:9" x14ac:dyDescent="0.25">
      <c r="A1260">
        <v>306</v>
      </c>
      <c r="B1260" t="s">
        <v>2799</v>
      </c>
      <c r="C1260">
        <v>4556</v>
      </c>
      <c r="D1260" t="s">
        <v>2800</v>
      </c>
      <c r="E1260" t="s">
        <v>2187</v>
      </c>
      <c r="F1260" t="s">
        <v>220</v>
      </c>
      <c r="G1260" t="s">
        <v>361</v>
      </c>
      <c r="H1260" s="4">
        <v>42360</v>
      </c>
      <c r="I1260" t="s">
        <v>254</v>
      </c>
    </row>
    <row r="1261" spans="1:9" x14ac:dyDescent="0.25">
      <c r="A1261">
        <v>307</v>
      </c>
      <c r="B1261" t="s">
        <v>2801</v>
      </c>
      <c r="C1261">
        <v>4561</v>
      </c>
      <c r="D1261" t="s">
        <v>2802</v>
      </c>
      <c r="E1261" t="s">
        <v>2187</v>
      </c>
      <c r="F1261" t="s">
        <v>220</v>
      </c>
      <c r="G1261" t="s">
        <v>465</v>
      </c>
      <c r="H1261" s="4">
        <v>43262</v>
      </c>
      <c r="I1261" t="s">
        <v>254</v>
      </c>
    </row>
    <row r="1262" spans="1:9" x14ac:dyDescent="0.25">
      <c r="A1262">
        <v>308</v>
      </c>
      <c r="B1262" t="s">
        <v>2803</v>
      </c>
      <c r="C1262">
        <v>4563</v>
      </c>
      <c r="D1262" t="s">
        <v>2804</v>
      </c>
      <c r="E1262" t="s">
        <v>2187</v>
      </c>
      <c r="F1262" t="s">
        <v>220</v>
      </c>
      <c r="G1262" t="s">
        <v>465</v>
      </c>
      <c r="H1262" s="4">
        <v>43293</v>
      </c>
      <c r="I1262" t="s">
        <v>254</v>
      </c>
    </row>
    <row r="1263" spans="1:9" x14ac:dyDescent="0.25">
      <c r="A1263">
        <v>309</v>
      </c>
      <c r="B1263" t="s">
        <v>2805</v>
      </c>
      <c r="C1263">
        <v>4568</v>
      </c>
      <c r="D1263" t="s">
        <v>2806</v>
      </c>
      <c r="E1263" t="s">
        <v>2187</v>
      </c>
      <c r="F1263" t="s">
        <v>220</v>
      </c>
      <c r="G1263" t="s">
        <v>465</v>
      </c>
      <c r="H1263" s="4">
        <v>43376</v>
      </c>
      <c r="I1263" t="s">
        <v>254</v>
      </c>
    </row>
    <row r="1264" spans="1:9" x14ac:dyDescent="0.25">
      <c r="A1264">
        <v>310</v>
      </c>
      <c r="B1264" t="s">
        <v>2807</v>
      </c>
      <c r="C1264">
        <v>4580</v>
      </c>
      <c r="D1264" t="s">
        <v>2808</v>
      </c>
      <c r="E1264" t="s">
        <v>2187</v>
      </c>
      <c r="F1264" t="s">
        <v>220</v>
      </c>
      <c r="G1264" t="s">
        <v>465</v>
      </c>
      <c r="H1264" s="4">
        <v>43836</v>
      </c>
      <c r="I1264" t="s">
        <v>254</v>
      </c>
    </row>
    <row r="1265" spans="1:9" x14ac:dyDescent="0.25">
      <c r="A1265">
        <v>311</v>
      </c>
      <c r="B1265" t="s">
        <v>2809</v>
      </c>
      <c r="C1265">
        <v>4609</v>
      </c>
      <c r="D1265" t="s">
        <v>2810</v>
      </c>
      <c r="E1265" t="s">
        <v>2187</v>
      </c>
      <c r="F1265" t="s">
        <v>220</v>
      </c>
      <c r="G1265" t="s">
        <v>549</v>
      </c>
      <c r="H1265" s="4">
        <v>36665</v>
      </c>
      <c r="I1265" t="s">
        <v>254</v>
      </c>
    </row>
    <row r="1266" spans="1:9" x14ac:dyDescent="0.25">
      <c r="A1266">
        <v>312</v>
      </c>
      <c r="B1266" t="s">
        <v>2811</v>
      </c>
      <c r="C1266">
        <v>4702</v>
      </c>
      <c r="D1266" t="s">
        <v>2812</v>
      </c>
      <c r="E1266" t="s">
        <v>2187</v>
      </c>
      <c r="F1266" t="s">
        <v>220</v>
      </c>
      <c r="G1266" t="s">
        <v>582</v>
      </c>
      <c r="H1266" s="4">
        <v>34810</v>
      </c>
      <c r="I1266" t="s">
        <v>254</v>
      </c>
    </row>
    <row r="1267" spans="1:9" x14ac:dyDescent="0.25">
      <c r="A1267">
        <v>313</v>
      </c>
      <c r="B1267" t="s">
        <v>2813</v>
      </c>
      <c r="C1267">
        <v>4706</v>
      </c>
      <c r="D1267" t="s">
        <v>2814</v>
      </c>
      <c r="E1267" t="s">
        <v>2187</v>
      </c>
      <c r="F1267" t="s">
        <v>220</v>
      </c>
      <c r="G1267" t="s">
        <v>582</v>
      </c>
      <c r="H1267" s="4">
        <v>35902</v>
      </c>
      <c r="I1267" t="s">
        <v>254</v>
      </c>
    </row>
    <row r="1268" spans="1:9" x14ac:dyDescent="0.25">
      <c r="A1268">
        <v>314</v>
      </c>
      <c r="B1268" t="s">
        <v>2815</v>
      </c>
      <c r="C1268">
        <v>4707</v>
      </c>
      <c r="D1268" t="s">
        <v>2816</v>
      </c>
      <c r="E1268" t="s">
        <v>2187</v>
      </c>
      <c r="F1268" t="s">
        <v>220</v>
      </c>
      <c r="G1268" t="s">
        <v>582</v>
      </c>
      <c r="H1268" s="4">
        <v>35935</v>
      </c>
      <c r="I1268" t="s">
        <v>254</v>
      </c>
    </row>
    <row r="1269" spans="1:9" x14ac:dyDescent="0.25">
      <c r="A1269">
        <v>315</v>
      </c>
      <c r="B1269" t="s">
        <v>2817</v>
      </c>
      <c r="C1269">
        <v>4711</v>
      </c>
      <c r="D1269" t="s">
        <v>2818</v>
      </c>
      <c r="E1269" t="s">
        <v>2187</v>
      </c>
      <c r="F1269" t="s">
        <v>220</v>
      </c>
      <c r="G1269" t="s">
        <v>582</v>
      </c>
      <c r="H1269" s="4">
        <v>36215</v>
      </c>
      <c r="I1269" t="s">
        <v>254</v>
      </c>
    </row>
    <row r="1270" spans="1:9" x14ac:dyDescent="0.25">
      <c r="A1270">
        <v>316</v>
      </c>
      <c r="B1270" t="s">
        <v>2819</v>
      </c>
      <c r="C1270">
        <v>4712</v>
      </c>
      <c r="D1270" t="s">
        <v>2820</v>
      </c>
      <c r="E1270" t="s">
        <v>2187</v>
      </c>
      <c r="F1270" t="s">
        <v>220</v>
      </c>
      <c r="G1270" t="s">
        <v>269</v>
      </c>
      <c r="H1270" s="4">
        <v>36253</v>
      </c>
      <c r="I1270" t="s">
        <v>254</v>
      </c>
    </row>
    <row r="1271" spans="1:9" x14ac:dyDescent="0.25">
      <c r="A1271">
        <v>317</v>
      </c>
      <c r="B1271" t="s">
        <v>2821</v>
      </c>
      <c r="C1271">
        <v>4714</v>
      </c>
      <c r="D1271" t="s">
        <v>2822</v>
      </c>
      <c r="E1271" t="s">
        <v>2187</v>
      </c>
      <c r="F1271" t="s">
        <v>220</v>
      </c>
      <c r="G1271" t="s">
        <v>582</v>
      </c>
      <c r="H1271" s="4">
        <v>36612</v>
      </c>
      <c r="I1271" t="s">
        <v>254</v>
      </c>
    </row>
    <row r="1272" spans="1:9" x14ac:dyDescent="0.25">
      <c r="A1272">
        <v>318</v>
      </c>
      <c r="B1272" t="s">
        <v>2823</v>
      </c>
      <c r="C1272">
        <v>4716</v>
      </c>
      <c r="D1272" t="s">
        <v>2824</v>
      </c>
      <c r="E1272" t="s">
        <v>2187</v>
      </c>
      <c r="F1272" t="s">
        <v>220</v>
      </c>
      <c r="G1272" t="s">
        <v>582</v>
      </c>
      <c r="H1272" s="4">
        <v>36612</v>
      </c>
      <c r="I1272" t="s">
        <v>254</v>
      </c>
    </row>
    <row r="1273" spans="1:9" x14ac:dyDescent="0.25">
      <c r="A1273">
        <v>319</v>
      </c>
      <c r="B1273" t="s">
        <v>2825</v>
      </c>
      <c r="C1273">
        <v>4721</v>
      </c>
      <c r="D1273" t="s">
        <v>2826</v>
      </c>
      <c r="E1273" t="s">
        <v>2187</v>
      </c>
      <c r="F1273" t="s">
        <v>220</v>
      </c>
      <c r="G1273" t="s">
        <v>582</v>
      </c>
      <c r="H1273" s="4">
        <v>36959</v>
      </c>
      <c r="I1273" t="s">
        <v>254</v>
      </c>
    </row>
    <row r="1274" spans="1:9" x14ac:dyDescent="0.25">
      <c r="A1274">
        <v>320</v>
      </c>
      <c r="B1274" t="s">
        <v>2827</v>
      </c>
      <c r="C1274">
        <v>4726</v>
      </c>
      <c r="D1274" t="s">
        <v>2828</v>
      </c>
      <c r="E1274" t="s">
        <v>2187</v>
      </c>
      <c r="F1274" t="s">
        <v>220</v>
      </c>
      <c r="G1274" t="s">
        <v>546</v>
      </c>
      <c r="H1274" s="4">
        <v>41633</v>
      </c>
      <c r="I1274" t="s">
        <v>254</v>
      </c>
    </row>
    <row r="1275" spans="1:9" x14ac:dyDescent="0.25">
      <c r="A1275">
        <v>321</v>
      </c>
      <c r="B1275" t="s">
        <v>2829</v>
      </c>
      <c r="C1275">
        <v>4728</v>
      </c>
      <c r="D1275" t="s">
        <v>2830</v>
      </c>
      <c r="E1275" t="s">
        <v>2187</v>
      </c>
      <c r="F1275" t="s">
        <v>220</v>
      </c>
      <c r="G1275" t="s">
        <v>546</v>
      </c>
      <c r="H1275" s="4">
        <v>40918</v>
      </c>
      <c r="I1275" t="s">
        <v>254</v>
      </c>
    </row>
    <row r="1276" spans="1:9" x14ac:dyDescent="0.25">
      <c r="A1276">
        <v>322</v>
      </c>
      <c r="B1276" t="s">
        <v>2831</v>
      </c>
      <c r="C1276">
        <v>4729</v>
      </c>
      <c r="D1276" t="s">
        <v>2832</v>
      </c>
      <c r="E1276" t="s">
        <v>2187</v>
      </c>
      <c r="F1276" t="s">
        <v>220</v>
      </c>
      <c r="G1276" t="s">
        <v>818</v>
      </c>
      <c r="H1276" s="4">
        <v>39868</v>
      </c>
      <c r="I1276" t="s">
        <v>254</v>
      </c>
    </row>
    <row r="1277" spans="1:9" x14ac:dyDescent="0.25">
      <c r="A1277">
        <v>323</v>
      </c>
      <c r="B1277" t="s">
        <v>2833</v>
      </c>
      <c r="C1277">
        <v>4735</v>
      </c>
      <c r="D1277" t="s">
        <v>2834</v>
      </c>
      <c r="E1277" t="s">
        <v>2187</v>
      </c>
      <c r="F1277" t="s">
        <v>220</v>
      </c>
      <c r="G1277" t="s">
        <v>546</v>
      </c>
      <c r="H1277" s="4">
        <v>40771</v>
      </c>
      <c r="I1277" t="s">
        <v>254</v>
      </c>
    </row>
    <row r="1278" spans="1:9" x14ac:dyDescent="0.25">
      <c r="A1278">
        <v>324</v>
      </c>
      <c r="B1278" t="s">
        <v>2835</v>
      </c>
      <c r="C1278">
        <v>4736</v>
      </c>
      <c r="D1278" t="s">
        <v>2836</v>
      </c>
      <c r="E1278" t="s">
        <v>2187</v>
      </c>
      <c r="F1278" t="s">
        <v>220</v>
      </c>
      <c r="G1278" t="s">
        <v>546</v>
      </c>
      <c r="H1278" s="4">
        <v>40513</v>
      </c>
      <c r="I1278" t="s">
        <v>254</v>
      </c>
    </row>
    <row r="1279" spans="1:9" x14ac:dyDescent="0.25">
      <c r="A1279">
        <v>325</v>
      </c>
      <c r="B1279" t="s">
        <v>2837</v>
      </c>
      <c r="C1279">
        <v>4741</v>
      </c>
      <c r="D1279" t="s">
        <v>2838</v>
      </c>
      <c r="E1279" t="s">
        <v>2187</v>
      </c>
      <c r="F1279" t="s">
        <v>220</v>
      </c>
      <c r="G1279" t="s">
        <v>582</v>
      </c>
      <c r="H1279" s="4">
        <v>43004</v>
      </c>
      <c r="I1279" t="s">
        <v>254</v>
      </c>
    </row>
    <row r="1280" spans="1:9" x14ac:dyDescent="0.25">
      <c r="A1280">
        <v>326</v>
      </c>
      <c r="B1280" t="s">
        <v>2839</v>
      </c>
      <c r="C1280">
        <v>4743</v>
      </c>
      <c r="D1280" t="s">
        <v>2840</v>
      </c>
      <c r="E1280" t="s">
        <v>2187</v>
      </c>
      <c r="F1280" t="s">
        <v>220</v>
      </c>
      <c r="G1280" t="s">
        <v>546</v>
      </c>
      <c r="H1280" s="4">
        <v>40809</v>
      </c>
      <c r="I1280" t="s">
        <v>254</v>
      </c>
    </row>
    <row r="1281" spans="1:9" x14ac:dyDescent="0.25">
      <c r="A1281">
        <v>327</v>
      </c>
      <c r="B1281" t="s">
        <v>2841</v>
      </c>
      <c r="C1281">
        <v>4744</v>
      </c>
      <c r="D1281" t="s">
        <v>2842</v>
      </c>
      <c r="E1281" t="s">
        <v>2187</v>
      </c>
      <c r="F1281" t="s">
        <v>220</v>
      </c>
      <c r="G1281" t="s">
        <v>546</v>
      </c>
      <c r="H1281" s="4">
        <v>43293</v>
      </c>
      <c r="I1281" t="s">
        <v>254</v>
      </c>
    </row>
    <row r="1282" spans="1:9" x14ac:dyDescent="0.25">
      <c r="A1282">
        <v>328</v>
      </c>
      <c r="B1282" t="s">
        <v>2843</v>
      </c>
      <c r="C1282">
        <v>4745</v>
      </c>
      <c r="D1282" t="s">
        <v>2844</v>
      </c>
      <c r="E1282" t="s">
        <v>2187</v>
      </c>
      <c r="F1282" t="s">
        <v>220</v>
      </c>
      <c r="G1282" t="s">
        <v>546</v>
      </c>
      <c r="H1282" s="4">
        <v>41304</v>
      </c>
      <c r="I1282" t="s">
        <v>254</v>
      </c>
    </row>
    <row r="1283" spans="1:9" x14ac:dyDescent="0.25">
      <c r="A1283">
        <v>329</v>
      </c>
      <c r="B1283" t="s">
        <v>2845</v>
      </c>
      <c r="C1283">
        <v>4747</v>
      </c>
      <c r="D1283" t="s">
        <v>2846</v>
      </c>
      <c r="E1283" t="s">
        <v>2187</v>
      </c>
      <c r="F1283" t="s">
        <v>220</v>
      </c>
      <c r="G1283" t="s">
        <v>546</v>
      </c>
      <c r="H1283" s="4">
        <v>41633</v>
      </c>
      <c r="I1283" t="s">
        <v>254</v>
      </c>
    </row>
    <row r="1284" spans="1:9" x14ac:dyDescent="0.25">
      <c r="A1284">
        <v>330</v>
      </c>
      <c r="B1284" t="s">
        <v>2847</v>
      </c>
      <c r="C1284">
        <v>4754</v>
      </c>
      <c r="D1284" t="s">
        <v>2848</v>
      </c>
      <c r="E1284" t="s">
        <v>2187</v>
      </c>
      <c r="F1284" t="s">
        <v>220</v>
      </c>
      <c r="G1284" t="s">
        <v>582</v>
      </c>
      <c r="H1284" s="4">
        <v>42641</v>
      </c>
      <c r="I1284" t="s">
        <v>254</v>
      </c>
    </row>
    <row r="1285" spans="1:9" x14ac:dyDescent="0.25">
      <c r="A1285">
        <v>331</v>
      </c>
      <c r="B1285" t="s">
        <v>2849</v>
      </c>
      <c r="C1285">
        <v>4760</v>
      </c>
      <c r="D1285" t="s">
        <v>2850</v>
      </c>
      <c r="E1285" t="s">
        <v>2187</v>
      </c>
      <c r="F1285" t="s">
        <v>220</v>
      </c>
      <c r="G1285" t="s">
        <v>804</v>
      </c>
      <c r="H1285" s="4">
        <v>43545</v>
      </c>
      <c r="I1285" t="s">
        <v>254</v>
      </c>
    </row>
    <row r="1286" spans="1:9" x14ac:dyDescent="0.25">
      <c r="A1286">
        <v>332</v>
      </c>
      <c r="B1286" t="s">
        <v>2851</v>
      </c>
      <c r="C1286">
        <v>4767</v>
      </c>
      <c r="D1286" t="s">
        <v>2852</v>
      </c>
      <c r="E1286" t="s">
        <v>2187</v>
      </c>
      <c r="F1286" t="s">
        <v>220</v>
      </c>
      <c r="G1286" t="s">
        <v>582</v>
      </c>
      <c r="H1286" s="4">
        <v>43402</v>
      </c>
      <c r="I1286" t="s">
        <v>254</v>
      </c>
    </row>
    <row r="1287" spans="1:9" x14ac:dyDescent="0.25">
      <c r="A1287">
        <v>333</v>
      </c>
      <c r="B1287" t="s">
        <v>2853</v>
      </c>
      <c r="C1287">
        <v>4803</v>
      </c>
      <c r="D1287" t="s">
        <v>2854</v>
      </c>
      <c r="E1287" t="s">
        <v>2187</v>
      </c>
      <c r="F1287" t="s">
        <v>220</v>
      </c>
      <c r="G1287" t="s">
        <v>2305</v>
      </c>
      <c r="H1287" s="4">
        <v>42354</v>
      </c>
      <c r="I1287" t="s">
        <v>254</v>
      </c>
    </row>
    <row r="1288" spans="1:9" x14ac:dyDescent="0.25">
      <c r="A1288">
        <v>334</v>
      </c>
      <c r="B1288" t="s">
        <v>2855</v>
      </c>
      <c r="C1288">
        <v>4804</v>
      </c>
      <c r="D1288" t="s">
        <v>2856</v>
      </c>
      <c r="E1288" t="s">
        <v>2187</v>
      </c>
      <c r="F1288" t="s">
        <v>220</v>
      </c>
      <c r="G1288" t="s">
        <v>1176</v>
      </c>
      <c r="H1288" s="4">
        <v>42342</v>
      </c>
      <c r="I1288" t="s">
        <v>254</v>
      </c>
    </row>
    <row r="1289" spans="1:9" x14ac:dyDescent="0.25">
      <c r="A1289">
        <v>335</v>
      </c>
      <c r="B1289" t="s">
        <v>2857</v>
      </c>
      <c r="C1289">
        <v>4806</v>
      </c>
      <c r="D1289" t="s">
        <v>2858</v>
      </c>
      <c r="E1289" t="s">
        <v>2187</v>
      </c>
      <c r="F1289" t="s">
        <v>220</v>
      </c>
      <c r="G1289" t="s">
        <v>2305</v>
      </c>
      <c r="H1289" s="4">
        <v>42438</v>
      </c>
      <c r="I1289" t="s">
        <v>254</v>
      </c>
    </row>
    <row r="1290" spans="1:9" x14ac:dyDescent="0.25">
      <c r="A1290">
        <v>336</v>
      </c>
      <c r="B1290" t="s">
        <v>2859</v>
      </c>
      <c r="C1290">
        <v>4903</v>
      </c>
      <c r="D1290" t="s">
        <v>2860</v>
      </c>
      <c r="E1290" t="s">
        <v>2187</v>
      </c>
      <c r="F1290" t="s">
        <v>220</v>
      </c>
      <c r="G1290" t="s">
        <v>809</v>
      </c>
      <c r="H1290" s="4">
        <v>37025</v>
      </c>
      <c r="I1290" t="s">
        <v>254</v>
      </c>
    </row>
    <row r="1291" spans="1:9" x14ac:dyDescent="0.25">
      <c r="A1291">
        <v>337</v>
      </c>
      <c r="B1291" t="s">
        <v>2861</v>
      </c>
      <c r="C1291">
        <v>4905</v>
      </c>
      <c r="D1291" t="s">
        <v>2862</v>
      </c>
      <c r="E1291" t="s">
        <v>2187</v>
      </c>
      <c r="F1291" t="s">
        <v>220</v>
      </c>
      <c r="G1291" t="s">
        <v>809</v>
      </c>
      <c r="H1291" s="4">
        <v>37232</v>
      </c>
      <c r="I1291" t="s">
        <v>254</v>
      </c>
    </row>
    <row r="1292" spans="1:9" x14ac:dyDescent="0.25">
      <c r="A1292">
        <v>338</v>
      </c>
      <c r="B1292" t="s">
        <v>2863</v>
      </c>
      <c r="C1292">
        <v>4907</v>
      </c>
      <c r="D1292" t="s">
        <v>2864</v>
      </c>
      <c r="E1292" t="s">
        <v>2187</v>
      </c>
      <c r="F1292" t="s">
        <v>220</v>
      </c>
      <c r="G1292" t="s">
        <v>335</v>
      </c>
      <c r="H1292" s="4">
        <v>37319</v>
      </c>
      <c r="I1292" t="s">
        <v>254</v>
      </c>
    </row>
    <row r="1293" spans="1:9" x14ac:dyDescent="0.25">
      <c r="A1293">
        <v>339</v>
      </c>
      <c r="B1293" t="s">
        <v>2865</v>
      </c>
      <c r="C1293">
        <v>4908</v>
      </c>
      <c r="D1293" t="s">
        <v>2866</v>
      </c>
      <c r="E1293" t="s">
        <v>2187</v>
      </c>
      <c r="F1293" t="s">
        <v>220</v>
      </c>
      <c r="G1293" t="s">
        <v>809</v>
      </c>
      <c r="H1293" s="4">
        <v>37314</v>
      </c>
      <c r="I1293" t="s">
        <v>254</v>
      </c>
    </row>
    <row r="1294" spans="1:9" x14ac:dyDescent="0.25">
      <c r="A1294">
        <v>340</v>
      </c>
      <c r="B1294" t="s">
        <v>2867</v>
      </c>
      <c r="C1294">
        <v>4909</v>
      </c>
      <c r="D1294" t="s">
        <v>2868</v>
      </c>
      <c r="E1294" t="s">
        <v>2187</v>
      </c>
      <c r="F1294" t="s">
        <v>220</v>
      </c>
      <c r="G1294" t="s">
        <v>809</v>
      </c>
      <c r="H1294" s="4">
        <v>37588</v>
      </c>
      <c r="I1294" t="s">
        <v>254</v>
      </c>
    </row>
    <row r="1295" spans="1:9" x14ac:dyDescent="0.25">
      <c r="A1295">
        <v>341</v>
      </c>
      <c r="B1295" t="s">
        <v>2869</v>
      </c>
      <c r="C1295">
        <v>4911</v>
      </c>
      <c r="D1295" t="s">
        <v>2870</v>
      </c>
      <c r="E1295" t="s">
        <v>2187</v>
      </c>
      <c r="F1295" t="s">
        <v>220</v>
      </c>
      <c r="G1295" t="s">
        <v>546</v>
      </c>
      <c r="H1295" s="4">
        <v>40623</v>
      </c>
      <c r="I1295" t="s">
        <v>254</v>
      </c>
    </row>
    <row r="1296" spans="1:9" x14ac:dyDescent="0.25">
      <c r="A1296">
        <v>342</v>
      </c>
      <c r="B1296" t="s">
        <v>2871</v>
      </c>
      <c r="C1296">
        <v>4924</v>
      </c>
      <c r="D1296" t="s">
        <v>2872</v>
      </c>
      <c r="E1296" t="s">
        <v>2187</v>
      </c>
      <c r="F1296" t="s">
        <v>220</v>
      </c>
      <c r="G1296" t="s">
        <v>792</v>
      </c>
      <c r="H1296" s="4">
        <v>40834</v>
      </c>
      <c r="I1296" t="s">
        <v>254</v>
      </c>
    </row>
    <row r="1297" spans="1:9" x14ac:dyDescent="0.25">
      <c r="A1297">
        <v>343</v>
      </c>
      <c r="B1297" t="s">
        <v>2873</v>
      </c>
      <c r="C1297">
        <v>4931</v>
      </c>
      <c r="D1297" t="s">
        <v>2874</v>
      </c>
      <c r="E1297" t="s">
        <v>2187</v>
      </c>
      <c r="F1297" t="s">
        <v>220</v>
      </c>
      <c r="G1297" t="s">
        <v>792</v>
      </c>
      <c r="H1297" s="4">
        <v>43725</v>
      </c>
      <c r="I1297" t="s">
        <v>254</v>
      </c>
    </row>
    <row r="1298" spans="1:9" x14ac:dyDescent="0.25">
      <c r="A1298">
        <v>344</v>
      </c>
      <c r="B1298" t="s">
        <v>2875</v>
      </c>
      <c r="C1298">
        <v>4933</v>
      </c>
      <c r="D1298" t="s">
        <v>2876</v>
      </c>
      <c r="E1298" t="s">
        <v>2187</v>
      </c>
      <c r="F1298" t="s">
        <v>220</v>
      </c>
      <c r="G1298" t="s">
        <v>818</v>
      </c>
      <c r="H1298" s="4">
        <v>40302</v>
      </c>
      <c r="I1298" t="s">
        <v>254</v>
      </c>
    </row>
    <row r="1299" spans="1:9" x14ac:dyDescent="0.25">
      <c r="A1299">
        <v>345</v>
      </c>
      <c r="B1299" t="s">
        <v>2877</v>
      </c>
      <c r="C1299">
        <v>4939</v>
      </c>
      <c r="D1299" t="s">
        <v>2878</v>
      </c>
      <c r="E1299" t="s">
        <v>2187</v>
      </c>
      <c r="F1299" t="s">
        <v>220</v>
      </c>
      <c r="G1299" t="s">
        <v>450</v>
      </c>
      <c r="H1299" s="4">
        <v>40805</v>
      </c>
      <c r="I1299" t="s">
        <v>254</v>
      </c>
    </row>
    <row r="1300" spans="1:9" x14ac:dyDescent="0.25">
      <c r="A1300">
        <v>346</v>
      </c>
      <c r="B1300" t="s">
        <v>2879</v>
      </c>
      <c r="C1300">
        <v>4944</v>
      </c>
      <c r="D1300" t="s">
        <v>2880</v>
      </c>
      <c r="E1300" t="s">
        <v>2187</v>
      </c>
      <c r="F1300" t="s">
        <v>220</v>
      </c>
      <c r="G1300" t="s">
        <v>818</v>
      </c>
      <c r="H1300" s="4">
        <v>40694</v>
      </c>
      <c r="I1300" t="s">
        <v>254</v>
      </c>
    </row>
    <row r="1301" spans="1:9" x14ac:dyDescent="0.25">
      <c r="A1301">
        <v>347</v>
      </c>
      <c r="B1301" t="s">
        <v>2881</v>
      </c>
      <c r="C1301">
        <v>4945</v>
      </c>
      <c r="D1301" t="s">
        <v>2882</v>
      </c>
      <c r="E1301" t="s">
        <v>2187</v>
      </c>
      <c r="F1301" t="s">
        <v>220</v>
      </c>
      <c r="G1301" t="s">
        <v>795</v>
      </c>
      <c r="H1301" s="4">
        <v>44155</v>
      </c>
      <c r="I1301" t="s">
        <v>254</v>
      </c>
    </row>
    <row r="1302" spans="1:9" x14ac:dyDescent="0.25">
      <c r="A1302">
        <v>348</v>
      </c>
      <c r="B1302" t="s">
        <v>2883</v>
      </c>
      <c r="C1302">
        <v>4946</v>
      </c>
      <c r="D1302" t="s">
        <v>2884</v>
      </c>
      <c r="E1302" t="s">
        <v>2187</v>
      </c>
      <c r="F1302" t="s">
        <v>220</v>
      </c>
      <c r="G1302" t="s">
        <v>2305</v>
      </c>
      <c r="H1302" s="4">
        <v>40704</v>
      </c>
      <c r="I1302" t="s">
        <v>254</v>
      </c>
    </row>
    <row r="1303" spans="1:9" x14ac:dyDescent="0.25">
      <c r="A1303">
        <v>349</v>
      </c>
      <c r="B1303" t="s">
        <v>2885</v>
      </c>
      <c r="C1303">
        <v>4950</v>
      </c>
      <c r="D1303" t="s">
        <v>2886</v>
      </c>
      <c r="E1303" t="s">
        <v>2187</v>
      </c>
      <c r="F1303" t="s">
        <v>220</v>
      </c>
      <c r="G1303" t="s">
        <v>361</v>
      </c>
      <c r="H1303" s="4">
        <v>41026</v>
      </c>
      <c r="I1303" t="s">
        <v>254</v>
      </c>
    </row>
    <row r="1304" spans="1:9" x14ac:dyDescent="0.25">
      <c r="A1304">
        <v>350</v>
      </c>
      <c r="B1304" t="s">
        <v>2887</v>
      </c>
      <c r="C1304">
        <v>4953</v>
      </c>
      <c r="D1304" t="s">
        <v>2888</v>
      </c>
      <c r="E1304" t="s">
        <v>2187</v>
      </c>
      <c r="F1304" t="s">
        <v>220</v>
      </c>
      <c r="G1304" t="s">
        <v>964</v>
      </c>
      <c r="H1304" s="4">
        <v>41647</v>
      </c>
      <c r="I1304" t="s">
        <v>254</v>
      </c>
    </row>
    <row r="1305" spans="1:9" x14ac:dyDescent="0.25">
      <c r="A1305">
        <v>351</v>
      </c>
      <c r="B1305" t="s">
        <v>2889</v>
      </c>
      <c r="C1305">
        <v>4966</v>
      </c>
      <c r="D1305" t="s">
        <v>2890</v>
      </c>
      <c r="E1305" t="s">
        <v>2187</v>
      </c>
      <c r="F1305" t="s">
        <v>220</v>
      </c>
      <c r="G1305" t="s">
        <v>795</v>
      </c>
      <c r="H1305" s="4">
        <v>40799</v>
      </c>
      <c r="I1305" t="s">
        <v>254</v>
      </c>
    </row>
    <row r="1306" spans="1:9" x14ac:dyDescent="0.25">
      <c r="A1306">
        <v>352</v>
      </c>
      <c r="B1306" t="s">
        <v>2891</v>
      </c>
      <c r="C1306">
        <v>4971</v>
      </c>
      <c r="D1306" t="s">
        <v>2892</v>
      </c>
      <c r="E1306" t="s">
        <v>2187</v>
      </c>
      <c r="F1306" t="s">
        <v>220</v>
      </c>
      <c r="G1306" t="s">
        <v>795</v>
      </c>
      <c r="H1306" s="4">
        <v>41479</v>
      </c>
      <c r="I1306" t="s">
        <v>254</v>
      </c>
    </row>
    <row r="1307" spans="1:9" x14ac:dyDescent="0.25">
      <c r="A1307">
        <v>353</v>
      </c>
      <c r="B1307" t="s">
        <v>2893</v>
      </c>
      <c r="C1307">
        <v>4972</v>
      </c>
      <c r="D1307" t="s">
        <v>2894</v>
      </c>
      <c r="E1307" t="s">
        <v>2187</v>
      </c>
      <c r="F1307" t="s">
        <v>220</v>
      </c>
      <c r="G1307" t="s">
        <v>818</v>
      </c>
      <c r="H1307" s="4">
        <v>41442</v>
      </c>
      <c r="I1307" t="s">
        <v>254</v>
      </c>
    </row>
    <row r="1308" spans="1:9" x14ac:dyDescent="0.25">
      <c r="A1308">
        <v>354</v>
      </c>
      <c r="B1308" t="s">
        <v>2895</v>
      </c>
      <c r="C1308">
        <v>4973</v>
      </c>
      <c r="D1308" t="s">
        <v>2896</v>
      </c>
      <c r="E1308" t="s">
        <v>2187</v>
      </c>
      <c r="F1308" t="s">
        <v>220</v>
      </c>
      <c r="G1308" t="s">
        <v>795</v>
      </c>
      <c r="H1308" s="4">
        <v>41079</v>
      </c>
      <c r="I1308" t="s">
        <v>254</v>
      </c>
    </row>
    <row r="1309" spans="1:9" x14ac:dyDescent="0.25">
      <c r="A1309">
        <v>355</v>
      </c>
      <c r="B1309" t="s">
        <v>2897</v>
      </c>
      <c r="C1309">
        <v>4974</v>
      </c>
      <c r="D1309" t="s">
        <v>2898</v>
      </c>
      <c r="E1309" t="s">
        <v>2187</v>
      </c>
      <c r="F1309" t="s">
        <v>220</v>
      </c>
      <c r="G1309" t="s">
        <v>450</v>
      </c>
      <c r="H1309" s="4">
        <v>40876</v>
      </c>
      <c r="I1309" t="s">
        <v>254</v>
      </c>
    </row>
    <row r="1310" spans="1:9" x14ac:dyDescent="0.25">
      <c r="A1310">
        <v>356</v>
      </c>
      <c r="B1310" t="s">
        <v>2899</v>
      </c>
      <c r="C1310">
        <v>4979</v>
      </c>
      <c r="D1310" t="s">
        <v>2900</v>
      </c>
      <c r="E1310" t="s">
        <v>2187</v>
      </c>
      <c r="F1310" t="s">
        <v>220</v>
      </c>
      <c r="G1310" t="s">
        <v>809</v>
      </c>
      <c r="H1310" s="4">
        <v>40889</v>
      </c>
      <c r="I1310" t="s">
        <v>254</v>
      </c>
    </row>
    <row r="1311" spans="1:9" x14ac:dyDescent="0.25">
      <c r="A1311">
        <v>357</v>
      </c>
      <c r="B1311" t="s">
        <v>2901</v>
      </c>
      <c r="C1311">
        <v>4987</v>
      </c>
      <c r="D1311" t="s">
        <v>2902</v>
      </c>
      <c r="E1311" t="s">
        <v>2187</v>
      </c>
      <c r="F1311" t="s">
        <v>220</v>
      </c>
      <c r="G1311" t="s">
        <v>792</v>
      </c>
      <c r="H1311" s="4">
        <v>40989</v>
      </c>
      <c r="I1311" t="s">
        <v>254</v>
      </c>
    </row>
    <row r="1312" spans="1:9" x14ac:dyDescent="0.25">
      <c r="A1312">
        <v>358</v>
      </c>
      <c r="B1312" t="s">
        <v>2903</v>
      </c>
      <c r="C1312">
        <v>4991</v>
      </c>
      <c r="D1312" t="s">
        <v>2904</v>
      </c>
      <c r="E1312" t="s">
        <v>2187</v>
      </c>
      <c r="F1312" t="s">
        <v>220</v>
      </c>
      <c r="G1312" t="s">
        <v>795</v>
      </c>
      <c r="H1312" s="4">
        <v>41897</v>
      </c>
      <c r="I1312" t="s">
        <v>254</v>
      </c>
    </row>
    <row r="1313" spans="1:9" x14ac:dyDescent="0.25">
      <c r="A1313">
        <v>359</v>
      </c>
      <c r="B1313" t="s">
        <v>2905</v>
      </c>
      <c r="C1313">
        <v>4995</v>
      </c>
      <c r="D1313" t="s">
        <v>2906</v>
      </c>
      <c r="E1313" t="s">
        <v>2187</v>
      </c>
      <c r="F1313" t="s">
        <v>220</v>
      </c>
      <c r="G1313" t="s">
        <v>818</v>
      </c>
      <c r="H1313" s="4">
        <v>41038</v>
      </c>
      <c r="I1313" t="s">
        <v>254</v>
      </c>
    </row>
    <row r="1314" spans="1:9" x14ac:dyDescent="0.25">
      <c r="A1314">
        <v>360</v>
      </c>
      <c r="B1314" t="s">
        <v>2907</v>
      </c>
      <c r="C1314">
        <v>5009</v>
      </c>
      <c r="D1314" t="s">
        <v>2908</v>
      </c>
      <c r="E1314" t="s">
        <v>2187</v>
      </c>
      <c r="F1314" t="s">
        <v>220</v>
      </c>
      <c r="G1314" t="s">
        <v>677</v>
      </c>
      <c r="H1314" s="4">
        <v>36085</v>
      </c>
      <c r="I1314" t="s">
        <v>254</v>
      </c>
    </row>
    <row r="1315" spans="1:9" x14ac:dyDescent="0.25">
      <c r="A1315">
        <v>361</v>
      </c>
      <c r="B1315" t="s">
        <v>2909</v>
      </c>
      <c r="C1315">
        <v>5011</v>
      </c>
      <c r="D1315" t="s">
        <v>2910</v>
      </c>
      <c r="E1315" t="s">
        <v>2187</v>
      </c>
      <c r="F1315" t="s">
        <v>220</v>
      </c>
      <c r="G1315" t="s">
        <v>677</v>
      </c>
      <c r="H1315" s="4">
        <v>36286</v>
      </c>
      <c r="I1315" t="s">
        <v>254</v>
      </c>
    </row>
    <row r="1316" spans="1:9" x14ac:dyDescent="0.25">
      <c r="A1316">
        <v>362</v>
      </c>
      <c r="B1316" t="s">
        <v>2911</v>
      </c>
      <c r="C1316">
        <v>5013</v>
      </c>
      <c r="D1316" t="s">
        <v>2912</v>
      </c>
      <c r="E1316" t="s">
        <v>2187</v>
      </c>
      <c r="F1316" t="s">
        <v>220</v>
      </c>
      <c r="G1316" t="s">
        <v>677</v>
      </c>
      <c r="H1316" s="4">
        <v>36654</v>
      </c>
      <c r="I1316" t="s">
        <v>254</v>
      </c>
    </row>
    <row r="1317" spans="1:9" x14ac:dyDescent="0.25">
      <c r="A1317">
        <v>363</v>
      </c>
      <c r="B1317" t="s">
        <v>2913</v>
      </c>
      <c r="C1317">
        <v>5014</v>
      </c>
      <c r="D1317" t="s">
        <v>2914</v>
      </c>
      <c r="E1317" t="s">
        <v>2187</v>
      </c>
      <c r="F1317" t="s">
        <v>220</v>
      </c>
      <c r="G1317" t="s">
        <v>677</v>
      </c>
      <c r="H1317" s="4">
        <v>36937</v>
      </c>
      <c r="I1317" t="s">
        <v>254</v>
      </c>
    </row>
    <row r="1318" spans="1:9" x14ac:dyDescent="0.25">
      <c r="A1318">
        <v>364</v>
      </c>
      <c r="B1318" t="s">
        <v>2915</v>
      </c>
      <c r="C1318">
        <v>5015</v>
      </c>
      <c r="D1318" t="s">
        <v>2916</v>
      </c>
      <c r="E1318" t="s">
        <v>2187</v>
      </c>
      <c r="F1318" t="s">
        <v>220</v>
      </c>
      <c r="G1318" t="s">
        <v>677</v>
      </c>
      <c r="H1318" s="4">
        <v>36875</v>
      </c>
      <c r="I1318" t="s">
        <v>254</v>
      </c>
    </row>
    <row r="1319" spans="1:9" x14ac:dyDescent="0.25">
      <c r="A1319">
        <v>365</v>
      </c>
      <c r="B1319" t="s">
        <v>2917</v>
      </c>
      <c r="C1319">
        <v>5016</v>
      </c>
      <c r="D1319" t="s">
        <v>2918</v>
      </c>
      <c r="E1319" t="s">
        <v>2187</v>
      </c>
      <c r="F1319" t="s">
        <v>220</v>
      </c>
      <c r="G1319" t="s">
        <v>677</v>
      </c>
      <c r="H1319" s="4">
        <v>36955</v>
      </c>
      <c r="I1319" t="s">
        <v>254</v>
      </c>
    </row>
    <row r="1320" spans="1:9" x14ac:dyDescent="0.25">
      <c r="A1320">
        <v>366</v>
      </c>
      <c r="B1320" t="s">
        <v>2919</v>
      </c>
      <c r="C1320">
        <v>5102</v>
      </c>
      <c r="D1320" t="s">
        <v>2920</v>
      </c>
      <c r="E1320" t="s">
        <v>2187</v>
      </c>
      <c r="F1320" t="s">
        <v>220</v>
      </c>
      <c r="G1320" t="s">
        <v>736</v>
      </c>
      <c r="H1320" s="4">
        <v>36826</v>
      </c>
      <c r="I1320" t="s">
        <v>254</v>
      </c>
    </row>
    <row r="1321" spans="1:9" x14ac:dyDescent="0.25">
      <c r="A1321">
        <v>367</v>
      </c>
      <c r="B1321" t="s">
        <v>2921</v>
      </c>
      <c r="C1321">
        <v>5201</v>
      </c>
      <c r="D1321" t="s">
        <v>2922</v>
      </c>
      <c r="E1321" t="s">
        <v>2187</v>
      </c>
      <c r="F1321" t="s">
        <v>220</v>
      </c>
      <c r="G1321" t="s">
        <v>964</v>
      </c>
      <c r="H1321" s="4">
        <v>36811</v>
      </c>
      <c r="I1321" t="s">
        <v>254</v>
      </c>
    </row>
    <row r="1322" spans="1:9" x14ac:dyDescent="0.25">
      <c r="A1322">
        <v>368</v>
      </c>
      <c r="B1322" t="s">
        <v>2923</v>
      </c>
      <c r="C1322">
        <v>5202</v>
      </c>
      <c r="D1322" t="s">
        <v>2924</v>
      </c>
      <c r="E1322" t="s">
        <v>2187</v>
      </c>
      <c r="F1322" t="s">
        <v>220</v>
      </c>
      <c r="G1322" t="s">
        <v>964</v>
      </c>
      <c r="H1322" s="4">
        <v>36817</v>
      </c>
      <c r="I1322" t="s">
        <v>254</v>
      </c>
    </row>
    <row r="1323" spans="1:9" x14ac:dyDescent="0.25">
      <c r="A1323">
        <v>369</v>
      </c>
      <c r="B1323" t="s">
        <v>2925</v>
      </c>
      <c r="C1323">
        <v>5205</v>
      </c>
      <c r="D1323" t="s">
        <v>2926</v>
      </c>
      <c r="E1323" t="s">
        <v>2187</v>
      </c>
      <c r="F1323" t="s">
        <v>220</v>
      </c>
      <c r="G1323" t="s">
        <v>804</v>
      </c>
      <c r="H1323" s="4">
        <v>37025</v>
      </c>
      <c r="I1323" t="s">
        <v>254</v>
      </c>
    </row>
    <row r="1324" spans="1:9" x14ac:dyDescent="0.25">
      <c r="A1324">
        <v>370</v>
      </c>
      <c r="B1324" t="s">
        <v>2927</v>
      </c>
      <c r="C1324">
        <v>5206</v>
      </c>
      <c r="D1324" t="s">
        <v>2928</v>
      </c>
      <c r="E1324" t="s">
        <v>2187</v>
      </c>
      <c r="F1324" t="s">
        <v>220</v>
      </c>
      <c r="G1324" t="s">
        <v>335</v>
      </c>
      <c r="H1324" s="4">
        <v>37172</v>
      </c>
      <c r="I1324" t="s">
        <v>254</v>
      </c>
    </row>
    <row r="1325" spans="1:9" x14ac:dyDescent="0.25">
      <c r="A1325">
        <v>371</v>
      </c>
      <c r="B1325" t="s">
        <v>2929</v>
      </c>
      <c r="C1325">
        <v>5209</v>
      </c>
      <c r="D1325" t="s">
        <v>2930</v>
      </c>
      <c r="E1325" t="s">
        <v>2187</v>
      </c>
      <c r="F1325" t="s">
        <v>220</v>
      </c>
      <c r="G1325" t="s">
        <v>964</v>
      </c>
      <c r="H1325" s="4">
        <v>37312</v>
      </c>
      <c r="I1325" t="s">
        <v>254</v>
      </c>
    </row>
    <row r="1326" spans="1:9" x14ac:dyDescent="0.25">
      <c r="A1326">
        <v>372</v>
      </c>
      <c r="B1326" t="s">
        <v>2931</v>
      </c>
      <c r="C1326">
        <v>5210</v>
      </c>
      <c r="D1326" t="s">
        <v>2932</v>
      </c>
      <c r="E1326" t="s">
        <v>2187</v>
      </c>
      <c r="F1326" t="s">
        <v>220</v>
      </c>
      <c r="G1326" t="s">
        <v>964</v>
      </c>
      <c r="H1326" s="4">
        <v>37371</v>
      </c>
      <c r="I1326" t="s">
        <v>254</v>
      </c>
    </row>
    <row r="1327" spans="1:9" x14ac:dyDescent="0.25">
      <c r="A1327">
        <v>373</v>
      </c>
      <c r="B1327" t="s">
        <v>2933</v>
      </c>
      <c r="C1327">
        <v>5211</v>
      </c>
      <c r="D1327" t="s">
        <v>2934</v>
      </c>
      <c r="E1327" t="s">
        <v>2187</v>
      </c>
      <c r="F1327" t="s">
        <v>220</v>
      </c>
      <c r="G1327" t="s">
        <v>964</v>
      </c>
      <c r="H1327" s="4">
        <v>37613</v>
      </c>
      <c r="I1327" t="s">
        <v>254</v>
      </c>
    </row>
    <row r="1328" spans="1:9" x14ac:dyDescent="0.25">
      <c r="A1328">
        <v>374</v>
      </c>
      <c r="B1328" t="s">
        <v>2935</v>
      </c>
      <c r="C1328">
        <v>5212</v>
      </c>
      <c r="D1328" t="s">
        <v>2936</v>
      </c>
      <c r="E1328" t="s">
        <v>2187</v>
      </c>
      <c r="F1328" t="s">
        <v>220</v>
      </c>
      <c r="G1328" t="s">
        <v>964</v>
      </c>
      <c r="H1328" s="4">
        <v>37704</v>
      </c>
      <c r="I1328" t="s">
        <v>254</v>
      </c>
    </row>
    <row r="1329" spans="1:9" x14ac:dyDescent="0.25">
      <c r="A1329">
        <v>375</v>
      </c>
      <c r="B1329" t="s">
        <v>2937</v>
      </c>
      <c r="C1329">
        <v>5213</v>
      </c>
      <c r="D1329" t="s">
        <v>2938</v>
      </c>
      <c r="E1329" t="s">
        <v>2187</v>
      </c>
      <c r="F1329" t="s">
        <v>220</v>
      </c>
      <c r="G1329" t="s">
        <v>335</v>
      </c>
      <c r="H1329" s="4">
        <v>37735</v>
      </c>
      <c r="I1329" t="s">
        <v>254</v>
      </c>
    </row>
    <row r="1330" spans="1:9" x14ac:dyDescent="0.25">
      <c r="A1330">
        <v>376</v>
      </c>
      <c r="B1330" t="s">
        <v>2939</v>
      </c>
      <c r="C1330">
        <v>5220</v>
      </c>
      <c r="D1330" t="s">
        <v>2940</v>
      </c>
      <c r="E1330" t="s">
        <v>2187</v>
      </c>
      <c r="F1330" t="s">
        <v>220</v>
      </c>
      <c r="G1330" t="s">
        <v>818</v>
      </c>
      <c r="H1330" s="4">
        <v>43216</v>
      </c>
      <c r="I1330" t="s">
        <v>254</v>
      </c>
    </row>
    <row r="1331" spans="1:9" x14ac:dyDescent="0.25">
      <c r="A1331">
        <v>377</v>
      </c>
      <c r="B1331" t="s">
        <v>2941</v>
      </c>
      <c r="C1331">
        <v>5223</v>
      </c>
      <c r="D1331" t="s">
        <v>2942</v>
      </c>
      <c r="E1331" t="s">
        <v>2187</v>
      </c>
      <c r="F1331" t="s">
        <v>220</v>
      </c>
      <c r="G1331" t="s">
        <v>792</v>
      </c>
      <c r="H1331" s="4">
        <v>43283</v>
      </c>
      <c r="I1331" t="s">
        <v>254</v>
      </c>
    </row>
    <row r="1332" spans="1:9" x14ac:dyDescent="0.25">
      <c r="A1332">
        <v>378</v>
      </c>
      <c r="B1332" t="s">
        <v>2943</v>
      </c>
      <c r="C1332">
        <v>5227</v>
      </c>
      <c r="D1332" t="s">
        <v>2944</v>
      </c>
      <c r="E1332" t="s">
        <v>2187</v>
      </c>
      <c r="F1332" t="s">
        <v>220</v>
      </c>
      <c r="G1332" t="s">
        <v>450</v>
      </c>
      <c r="H1332" s="4">
        <v>41617</v>
      </c>
      <c r="I1332" t="s">
        <v>254</v>
      </c>
    </row>
    <row r="1333" spans="1:9" x14ac:dyDescent="0.25">
      <c r="A1333">
        <v>379</v>
      </c>
      <c r="B1333" t="s">
        <v>2945</v>
      </c>
      <c r="C1333">
        <v>5230</v>
      </c>
      <c r="D1333" t="s">
        <v>2946</v>
      </c>
      <c r="E1333" t="s">
        <v>2187</v>
      </c>
      <c r="F1333" t="s">
        <v>220</v>
      </c>
      <c r="G1333" t="s">
        <v>818</v>
      </c>
      <c r="H1333" s="4">
        <v>41065</v>
      </c>
      <c r="I1333" t="s">
        <v>254</v>
      </c>
    </row>
    <row r="1334" spans="1:9" x14ac:dyDescent="0.25">
      <c r="A1334">
        <v>380</v>
      </c>
      <c r="B1334" t="s">
        <v>2947</v>
      </c>
      <c r="C1334">
        <v>5245</v>
      </c>
      <c r="D1334" t="s">
        <v>2948</v>
      </c>
      <c r="E1334" t="s">
        <v>2187</v>
      </c>
      <c r="F1334" t="s">
        <v>220</v>
      </c>
      <c r="G1334" t="s">
        <v>818</v>
      </c>
      <c r="H1334" s="4">
        <v>42149</v>
      </c>
      <c r="I1334" t="s">
        <v>254</v>
      </c>
    </row>
    <row r="1335" spans="1:9" x14ac:dyDescent="0.25">
      <c r="A1335">
        <v>381</v>
      </c>
      <c r="B1335" t="s">
        <v>2949</v>
      </c>
      <c r="C1335">
        <v>5251</v>
      </c>
      <c r="D1335" t="s">
        <v>2950</v>
      </c>
      <c r="E1335" t="s">
        <v>2187</v>
      </c>
      <c r="F1335" t="s">
        <v>220</v>
      </c>
      <c r="G1335" t="s">
        <v>818</v>
      </c>
      <c r="H1335" s="4">
        <v>41239</v>
      </c>
      <c r="I1335" t="s">
        <v>254</v>
      </c>
    </row>
    <row r="1336" spans="1:9" x14ac:dyDescent="0.25">
      <c r="A1336">
        <v>382</v>
      </c>
      <c r="B1336" t="s">
        <v>2951</v>
      </c>
      <c r="C1336">
        <v>5263</v>
      </c>
      <c r="D1336" t="s">
        <v>2952</v>
      </c>
      <c r="E1336" t="s">
        <v>2187</v>
      </c>
      <c r="F1336" t="s">
        <v>220</v>
      </c>
      <c r="G1336" t="s">
        <v>2305</v>
      </c>
      <c r="H1336" s="4">
        <v>41261</v>
      </c>
      <c r="I1336" t="s">
        <v>254</v>
      </c>
    </row>
    <row r="1337" spans="1:9" x14ac:dyDescent="0.25">
      <c r="A1337">
        <v>383</v>
      </c>
      <c r="B1337" t="s">
        <v>2953</v>
      </c>
      <c r="C1337">
        <v>5272</v>
      </c>
      <c r="D1337" t="s">
        <v>2954</v>
      </c>
      <c r="E1337" t="s">
        <v>2187</v>
      </c>
      <c r="F1337" t="s">
        <v>220</v>
      </c>
      <c r="G1337" t="s">
        <v>795</v>
      </c>
      <c r="H1337" s="4">
        <v>41424</v>
      </c>
      <c r="I1337" t="s">
        <v>254</v>
      </c>
    </row>
    <row r="1338" spans="1:9" x14ac:dyDescent="0.25">
      <c r="A1338">
        <v>384</v>
      </c>
      <c r="B1338" t="s">
        <v>2955</v>
      </c>
      <c r="C1338">
        <v>5274</v>
      </c>
      <c r="D1338" t="s">
        <v>2956</v>
      </c>
      <c r="E1338" t="s">
        <v>2187</v>
      </c>
      <c r="F1338" t="s">
        <v>220</v>
      </c>
      <c r="G1338" t="s">
        <v>795</v>
      </c>
      <c r="H1338" s="4">
        <v>41394</v>
      </c>
      <c r="I1338" t="s">
        <v>254</v>
      </c>
    </row>
    <row r="1339" spans="1:9" x14ac:dyDescent="0.25">
      <c r="A1339">
        <v>385</v>
      </c>
      <c r="B1339" t="s">
        <v>2957</v>
      </c>
      <c r="C1339">
        <v>5276</v>
      </c>
      <c r="D1339" t="s">
        <v>2958</v>
      </c>
      <c r="E1339" t="s">
        <v>2187</v>
      </c>
      <c r="F1339" t="s">
        <v>220</v>
      </c>
      <c r="G1339" t="s">
        <v>361</v>
      </c>
      <c r="H1339" s="4">
        <v>41802</v>
      </c>
      <c r="I1339" t="s">
        <v>254</v>
      </c>
    </row>
    <row r="1340" spans="1:9" x14ac:dyDescent="0.25">
      <c r="A1340">
        <v>386</v>
      </c>
      <c r="B1340" t="s">
        <v>2959</v>
      </c>
      <c r="C1340">
        <v>5278</v>
      </c>
      <c r="D1340" t="s">
        <v>2960</v>
      </c>
      <c r="E1340" t="s">
        <v>2187</v>
      </c>
      <c r="F1340" t="s">
        <v>220</v>
      </c>
      <c r="G1340" t="s">
        <v>2328</v>
      </c>
      <c r="H1340" s="4">
        <v>41429</v>
      </c>
      <c r="I1340" t="s">
        <v>254</v>
      </c>
    </row>
    <row r="1341" spans="1:9" x14ac:dyDescent="0.25">
      <c r="A1341">
        <v>387</v>
      </c>
      <c r="B1341" t="s">
        <v>2961</v>
      </c>
      <c r="C1341">
        <v>5281</v>
      </c>
      <c r="D1341" t="s">
        <v>2962</v>
      </c>
      <c r="E1341" t="s">
        <v>2187</v>
      </c>
      <c r="F1341" t="s">
        <v>220</v>
      </c>
      <c r="G1341" t="s">
        <v>818</v>
      </c>
      <c r="H1341" s="4">
        <v>42459</v>
      </c>
      <c r="I1341" t="s">
        <v>254</v>
      </c>
    </row>
    <row r="1342" spans="1:9" x14ac:dyDescent="0.25">
      <c r="A1342">
        <v>388</v>
      </c>
      <c r="B1342" t="s">
        <v>2963</v>
      </c>
      <c r="C1342">
        <v>5287</v>
      </c>
      <c r="D1342" t="s">
        <v>2964</v>
      </c>
      <c r="E1342" t="s">
        <v>2187</v>
      </c>
      <c r="F1342" t="s">
        <v>220</v>
      </c>
      <c r="G1342" t="s">
        <v>2328</v>
      </c>
      <c r="H1342" s="4">
        <v>41659</v>
      </c>
      <c r="I1342" t="s">
        <v>254</v>
      </c>
    </row>
    <row r="1343" spans="1:9" x14ac:dyDescent="0.25">
      <c r="A1343">
        <v>389</v>
      </c>
      <c r="B1343" t="s">
        <v>2965</v>
      </c>
      <c r="C1343">
        <v>5289</v>
      </c>
      <c r="D1343" t="s">
        <v>2966</v>
      </c>
      <c r="E1343" t="s">
        <v>2187</v>
      </c>
      <c r="F1343" t="s">
        <v>220</v>
      </c>
      <c r="G1343" t="s">
        <v>792</v>
      </c>
      <c r="H1343" s="4">
        <v>41605</v>
      </c>
      <c r="I1343" t="s">
        <v>254</v>
      </c>
    </row>
    <row r="1344" spans="1:9" x14ac:dyDescent="0.25">
      <c r="A1344">
        <v>390</v>
      </c>
      <c r="B1344" t="s">
        <v>2967</v>
      </c>
      <c r="C1344">
        <v>5291</v>
      </c>
      <c r="D1344" t="s">
        <v>2968</v>
      </c>
      <c r="E1344" t="s">
        <v>2187</v>
      </c>
      <c r="F1344" t="s">
        <v>220</v>
      </c>
      <c r="G1344" t="s">
        <v>450</v>
      </c>
      <c r="H1344" s="4">
        <v>41996</v>
      </c>
      <c r="I1344" t="s">
        <v>254</v>
      </c>
    </row>
    <row r="1345" spans="1:9" x14ac:dyDescent="0.25">
      <c r="A1345">
        <v>391</v>
      </c>
      <c r="B1345" t="s">
        <v>2969</v>
      </c>
      <c r="C1345">
        <v>5299</v>
      </c>
      <c r="D1345" t="s">
        <v>2970</v>
      </c>
      <c r="E1345" t="s">
        <v>2187</v>
      </c>
      <c r="F1345" t="s">
        <v>220</v>
      </c>
      <c r="G1345" t="s">
        <v>795</v>
      </c>
      <c r="H1345" s="4">
        <v>43123</v>
      </c>
      <c r="I1345" t="s">
        <v>254</v>
      </c>
    </row>
    <row r="1346" spans="1:9" x14ac:dyDescent="0.25">
      <c r="A1346">
        <v>392</v>
      </c>
      <c r="B1346" t="s">
        <v>2971</v>
      </c>
      <c r="C1346">
        <v>5301</v>
      </c>
      <c r="D1346" t="s">
        <v>2972</v>
      </c>
      <c r="E1346" t="s">
        <v>2187</v>
      </c>
      <c r="F1346" t="s">
        <v>220</v>
      </c>
      <c r="G1346" t="s">
        <v>1176</v>
      </c>
      <c r="H1346" s="4">
        <v>33049</v>
      </c>
      <c r="I1346" t="s">
        <v>254</v>
      </c>
    </row>
    <row r="1347" spans="1:9" x14ac:dyDescent="0.25">
      <c r="A1347">
        <v>393</v>
      </c>
      <c r="B1347" t="s">
        <v>2973</v>
      </c>
      <c r="C1347">
        <v>5302</v>
      </c>
      <c r="D1347" t="s">
        <v>2974</v>
      </c>
      <c r="E1347" t="s">
        <v>2187</v>
      </c>
      <c r="F1347" t="s">
        <v>220</v>
      </c>
      <c r="G1347" t="s">
        <v>795</v>
      </c>
      <c r="H1347" s="4">
        <v>33255</v>
      </c>
      <c r="I1347" t="s">
        <v>254</v>
      </c>
    </row>
    <row r="1348" spans="1:9" x14ac:dyDescent="0.25">
      <c r="A1348">
        <v>394</v>
      </c>
      <c r="B1348" t="s">
        <v>2975</v>
      </c>
      <c r="C1348">
        <v>5306</v>
      </c>
      <c r="D1348" t="s">
        <v>2976</v>
      </c>
      <c r="E1348" t="s">
        <v>2187</v>
      </c>
      <c r="F1348" t="s">
        <v>220</v>
      </c>
      <c r="G1348" t="s">
        <v>361</v>
      </c>
      <c r="H1348" s="4">
        <v>35059</v>
      </c>
      <c r="I1348" t="s">
        <v>254</v>
      </c>
    </row>
    <row r="1349" spans="1:9" x14ac:dyDescent="0.25">
      <c r="A1349">
        <v>395</v>
      </c>
      <c r="B1349" t="s">
        <v>2977</v>
      </c>
      <c r="C1349">
        <v>5309</v>
      </c>
      <c r="D1349" t="s">
        <v>2978</v>
      </c>
      <c r="E1349" t="s">
        <v>2187</v>
      </c>
      <c r="F1349" t="s">
        <v>220</v>
      </c>
      <c r="G1349" t="s">
        <v>450</v>
      </c>
      <c r="H1349" s="4">
        <v>35142</v>
      </c>
      <c r="I1349" t="s">
        <v>254</v>
      </c>
    </row>
    <row r="1350" spans="1:9" x14ac:dyDescent="0.25">
      <c r="A1350">
        <v>396</v>
      </c>
      <c r="B1350" t="s">
        <v>2979</v>
      </c>
      <c r="C1350">
        <v>5310</v>
      </c>
      <c r="D1350" t="s">
        <v>2980</v>
      </c>
      <c r="E1350" t="s">
        <v>2187</v>
      </c>
      <c r="F1350" t="s">
        <v>220</v>
      </c>
      <c r="G1350" t="s">
        <v>964</v>
      </c>
      <c r="H1350" s="4">
        <v>35164</v>
      </c>
      <c r="I1350" t="s">
        <v>254</v>
      </c>
    </row>
    <row r="1351" spans="1:9" x14ac:dyDescent="0.25">
      <c r="A1351">
        <v>397</v>
      </c>
      <c r="B1351" t="s">
        <v>2981</v>
      </c>
      <c r="C1351">
        <v>5312</v>
      </c>
      <c r="D1351" t="s">
        <v>2982</v>
      </c>
      <c r="E1351" t="s">
        <v>2187</v>
      </c>
      <c r="F1351" t="s">
        <v>220</v>
      </c>
      <c r="G1351" t="s">
        <v>546</v>
      </c>
      <c r="H1351" s="4">
        <v>35210</v>
      </c>
      <c r="I1351" t="s">
        <v>254</v>
      </c>
    </row>
    <row r="1352" spans="1:9" x14ac:dyDescent="0.25">
      <c r="A1352">
        <v>398</v>
      </c>
      <c r="B1352" t="s">
        <v>2983</v>
      </c>
      <c r="C1352">
        <v>5314</v>
      </c>
      <c r="D1352" t="s">
        <v>2984</v>
      </c>
      <c r="E1352" t="s">
        <v>2187</v>
      </c>
      <c r="F1352" t="s">
        <v>220</v>
      </c>
      <c r="G1352" t="s">
        <v>795</v>
      </c>
      <c r="H1352" s="4">
        <v>35324</v>
      </c>
      <c r="I1352" t="s">
        <v>254</v>
      </c>
    </row>
    <row r="1353" spans="1:9" x14ac:dyDescent="0.25">
      <c r="A1353">
        <v>399</v>
      </c>
      <c r="B1353" t="s">
        <v>2985</v>
      </c>
      <c r="C1353">
        <v>5315</v>
      </c>
      <c r="D1353" t="s">
        <v>2986</v>
      </c>
      <c r="E1353" t="s">
        <v>2187</v>
      </c>
      <c r="F1353" t="s">
        <v>220</v>
      </c>
      <c r="G1353" t="s">
        <v>818</v>
      </c>
      <c r="H1353" s="4">
        <v>35371</v>
      </c>
      <c r="I1353" t="s">
        <v>254</v>
      </c>
    </row>
    <row r="1354" spans="1:9" x14ac:dyDescent="0.25">
      <c r="A1354">
        <v>400</v>
      </c>
      <c r="B1354" t="s">
        <v>2987</v>
      </c>
      <c r="C1354">
        <v>5321</v>
      </c>
      <c r="D1354" t="s">
        <v>2988</v>
      </c>
      <c r="E1354" t="s">
        <v>2187</v>
      </c>
      <c r="F1354" t="s">
        <v>220</v>
      </c>
      <c r="G1354" t="s">
        <v>450</v>
      </c>
      <c r="H1354" s="4">
        <v>35429</v>
      </c>
      <c r="I1354" t="s">
        <v>254</v>
      </c>
    </row>
    <row r="1355" spans="1:9" x14ac:dyDescent="0.25">
      <c r="A1355">
        <v>401</v>
      </c>
      <c r="B1355" t="s">
        <v>2989</v>
      </c>
      <c r="C1355">
        <v>5324</v>
      </c>
      <c r="D1355" t="s">
        <v>2990</v>
      </c>
      <c r="E1355" t="s">
        <v>2187</v>
      </c>
      <c r="F1355" t="s">
        <v>220</v>
      </c>
      <c r="G1355" t="s">
        <v>335</v>
      </c>
      <c r="H1355" s="4">
        <v>35460</v>
      </c>
      <c r="I1355" t="s">
        <v>254</v>
      </c>
    </row>
    <row r="1356" spans="1:9" x14ac:dyDescent="0.25">
      <c r="A1356">
        <v>402</v>
      </c>
      <c r="B1356" t="s">
        <v>2991</v>
      </c>
      <c r="C1356">
        <v>5328</v>
      </c>
      <c r="D1356" t="s">
        <v>2992</v>
      </c>
      <c r="E1356" t="s">
        <v>2187</v>
      </c>
      <c r="F1356" t="s">
        <v>220</v>
      </c>
      <c r="G1356" t="s">
        <v>450</v>
      </c>
      <c r="H1356" s="4">
        <v>35670</v>
      </c>
      <c r="I1356" t="s">
        <v>254</v>
      </c>
    </row>
    <row r="1357" spans="1:9" x14ac:dyDescent="0.25">
      <c r="A1357">
        <v>403</v>
      </c>
      <c r="B1357" t="s">
        <v>2993</v>
      </c>
      <c r="C1357">
        <v>5340</v>
      </c>
      <c r="D1357" t="s">
        <v>2994</v>
      </c>
      <c r="E1357" t="s">
        <v>2187</v>
      </c>
      <c r="F1357" t="s">
        <v>220</v>
      </c>
      <c r="G1357" t="s">
        <v>450</v>
      </c>
      <c r="H1357" s="4">
        <v>35815</v>
      </c>
      <c r="I1357" t="s">
        <v>254</v>
      </c>
    </row>
    <row r="1358" spans="1:9" x14ac:dyDescent="0.25">
      <c r="A1358">
        <v>404</v>
      </c>
      <c r="B1358" t="s">
        <v>2995</v>
      </c>
      <c r="C1358">
        <v>5344</v>
      </c>
      <c r="D1358" t="s">
        <v>2996</v>
      </c>
      <c r="E1358" t="s">
        <v>2187</v>
      </c>
      <c r="F1358" t="s">
        <v>220</v>
      </c>
      <c r="G1358" t="s">
        <v>795</v>
      </c>
      <c r="H1358" s="4">
        <v>35877</v>
      </c>
      <c r="I1358" t="s">
        <v>254</v>
      </c>
    </row>
    <row r="1359" spans="1:9" x14ac:dyDescent="0.25">
      <c r="A1359">
        <v>405</v>
      </c>
      <c r="B1359" t="s">
        <v>2997</v>
      </c>
      <c r="C1359">
        <v>5345</v>
      </c>
      <c r="D1359" t="s">
        <v>2998</v>
      </c>
      <c r="E1359" t="s">
        <v>2187</v>
      </c>
      <c r="F1359" t="s">
        <v>220</v>
      </c>
      <c r="G1359" t="s">
        <v>361</v>
      </c>
      <c r="H1359" s="4">
        <v>35877</v>
      </c>
      <c r="I1359" t="s">
        <v>254</v>
      </c>
    </row>
    <row r="1360" spans="1:9" x14ac:dyDescent="0.25">
      <c r="A1360">
        <v>406</v>
      </c>
      <c r="B1360" t="s">
        <v>2999</v>
      </c>
      <c r="C1360">
        <v>5347</v>
      </c>
      <c r="D1360" t="s">
        <v>3000</v>
      </c>
      <c r="E1360" t="s">
        <v>2187</v>
      </c>
      <c r="F1360" t="s">
        <v>220</v>
      </c>
      <c r="G1360" t="s">
        <v>795</v>
      </c>
      <c r="H1360" s="4">
        <v>35879</v>
      </c>
      <c r="I1360" t="s">
        <v>254</v>
      </c>
    </row>
    <row r="1361" spans="1:9" x14ac:dyDescent="0.25">
      <c r="A1361">
        <v>407</v>
      </c>
      <c r="B1361" t="s">
        <v>3001</v>
      </c>
      <c r="C1361">
        <v>5348</v>
      </c>
      <c r="D1361" t="s">
        <v>3002</v>
      </c>
      <c r="E1361" t="s">
        <v>2187</v>
      </c>
      <c r="F1361" t="s">
        <v>220</v>
      </c>
      <c r="G1361" t="s">
        <v>809</v>
      </c>
      <c r="H1361" s="4">
        <v>35914</v>
      </c>
      <c r="I1361" t="s">
        <v>254</v>
      </c>
    </row>
    <row r="1362" spans="1:9" x14ac:dyDescent="0.25">
      <c r="A1362">
        <v>408</v>
      </c>
      <c r="B1362" t="s">
        <v>3003</v>
      </c>
      <c r="C1362">
        <v>5351</v>
      </c>
      <c r="D1362" t="s">
        <v>3004</v>
      </c>
      <c r="E1362" t="s">
        <v>2187</v>
      </c>
      <c r="F1362" t="s">
        <v>220</v>
      </c>
      <c r="G1362" t="s">
        <v>795</v>
      </c>
      <c r="H1362" s="4">
        <v>35930</v>
      </c>
      <c r="I1362" t="s">
        <v>254</v>
      </c>
    </row>
    <row r="1363" spans="1:9" x14ac:dyDescent="0.25">
      <c r="A1363">
        <v>409</v>
      </c>
      <c r="B1363" t="s">
        <v>3005</v>
      </c>
      <c r="C1363">
        <v>5353</v>
      </c>
      <c r="D1363" t="s">
        <v>3006</v>
      </c>
      <c r="E1363" t="s">
        <v>2187</v>
      </c>
      <c r="F1363" t="s">
        <v>220</v>
      </c>
      <c r="G1363" t="s">
        <v>809</v>
      </c>
      <c r="H1363" s="4">
        <v>35933</v>
      </c>
      <c r="I1363" t="s">
        <v>254</v>
      </c>
    </row>
    <row r="1364" spans="1:9" x14ac:dyDescent="0.25">
      <c r="A1364">
        <v>410</v>
      </c>
      <c r="B1364" t="s">
        <v>3007</v>
      </c>
      <c r="C1364">
        <v>5355</v>
      </c>
      <c r="D1364" t="s">
        <v>3008</v>
      </c>
      <c r="E1364" t="s">
        <v>2187</v>
      </c>
      <c r="F1364" t="s">
        <v>220</v>
      </c>
      <c r="G1364" t="s">
        <v>450</v>
      </c>
      <c r="H1364" s="4">
        <v>35969</v>
      </c>
      <c r="I1364" t="s">
        <v>254</v>
      </c>
    </row>
    <row r="1365" spans="1:9" x14ac:dyDescent="0.25">
      <c r="A1365">
        <v>411</v>
      </c>
      <c r="B1365" t="s">
        <v>3009</v>
      </c>
      <c r="C1365">
        <v>5356</v>
      </c>
      <c r="D1365" t="s">
        <v>3010</v>
      </c>
      <c r="E1365" t="s">
        <v>2187</v>
      </c>
      <c r="F1365" t="s">
        <v>220</v>
      </c>
      <c r="G1365" t="s">
        <v>792</v>
      </c>
      <c r="H1365" s="4">
        <v>35996</v>
      </c>
      <c r="I1365" t="s">
        <v>254</v>
      </c>
    </row>
    <row r="1366" spans="1:9" x14ac:dyDescent="0.25">
      <c r="A1366">
        <v>412</v>
      </c>
      <c r="B1366" t="s">
        <v>3011</v>
      </c>
      <c r="C1366">
        <v>5364</v>
      </c>
      <c r="D1366" t="s">
        <v>3012</v>
      </c>
      <c r="E1366" t="s">
        <v>2187</v>
      </c>
      <c r="F1366" t="s">
        <v>220</v>
      </c>
      <c r="G1366" t="s">
        <v>1176</v>
      </c>
      <c r="H1366" s="4">
        <v>41512</v>
      </c>
      <c r="I1366" t="s">
        <v>254</v>
      </c>
    </row>
    <row r="1367" spans="1:9" x14ac:dyDescent="0.25">
      <c r="A1367">
        <v>413</v>
      </c>
      <c r="B1367" t="s">
        <v>3013</v>
      </c>
      <c r="C1367">
        <v>5371</v>
      </c>
      <c r="D1367" t="s">
        <v>3014</v>
      </c>
      <c r="E1367" t="s">
        <v>2187</v>
      </c>
      <c r="F1367" t="s">
        <v>220</v>
      </c>
      <c r="G1367" t="s">
        <v>818</v>
      </c>
      <c r="H1367" s="4">
        <v>36180</v>
      </c>
      <c r="I1367" t="s">
        <v>254</v>
      </c>
    </row>
    <row r="1368" spans="1:9" x14ac:dyDescent="0.25">
      <c r="A1368">
        <v>414</v>
      </c>
      <c r="B1368" t="s">
        <v>3015</v>
      </c>
      <c r="C1368">
        <v>5381</v>
      </c>
      <c r="D1368" t="s">
        <v>3016</v>
      </c>
      <c r="E1368" t="s">
        <v>2187</v>
      </c>
      <c r="F1368" t="s">
        <v>220</v>
      </c>
      <c r="G1368" t="s">
        <v>450</v>
      </c>
      <c r="H1368" s="4">
        <v>36238</v>
      </c>
      <c r="I1368" t="s">
        <v>254</v>
      </c>
    </row>
    <row r="1369" spans="1:9" x14ac:dyDescent="0.25">
      <c r="A1369">
        <v>415</v>
      </c>
      <c r="B1369" t="s">
        <v>3017</v>
      </c>
      <c r="C1369">
        <v>5383</v>
      </c>
      <c r="D1369" t="s">
        <v>3018</v>
      </c>
      <c r="E1369" t="s">
        <v>2187</v>
      </c>
      <c r="F1369" t="s">
        <v>220</v>
      </c>
      <c r="G1369" t="s">
        <v>804</v>
      </c>
      <c r="H1369" s="4">
        <v>36264</v>
      </c>
      <c r="I1369" t="s">
        <v>254</v>
      </c>
    </row>
    <row r="1370" spans="1:9" x14ac:dyDescent="0.25">
      <c r="A1370">
        <v>416</v>
      </c>
      <c r="B1370" t="s">
        <v>3019</v>
      </c>
      <c r="C1370">
        <v>5386</v>
      </c>
      <c r="D1370" t="s">
        <v>3020</v>
      </c>
      <c r="E1370" t="s">
        <v>2187</v>
      </c>
      <c r="F1370" t="s">
        <v>220</v>
      </c>
      <c r="G1370" t="s">
        <v>792</v>
      </c>
      <c r="H1370" s="4">
        <v>36293</v>
      </c>
      <c r="I1370" t="s">
        <v>254</v>
      </c>
    </row>
    <row r="1371" spans="1:9" x14ac:dyDescent="0.25">
      <c r="A1371">
        <v>417</v>
      </c>
      <c r="B1371" t="s">
        <v>3021</v>
      </c>
      <c r="C1371">
        <v>5392</v>
      </c>
      <c r="D1371" t="s">
        <v>3022</v>
      </c>
      <c r="E1371" t="s">
        <v>2187</v>
      </c>
      <c r="F1371" t="s">
        <v>220</v>
      </c>
      <c r="G1371" t="s">
        <v>818</v>
      </c>
      <c r="H1371" s="4">
        <v>36325</v>
      </c>
      <c r="I1371" t="s">
        <v>254</v>
      </c>
    </row>
    <row r="1372" spans="1:9" x14ac:dyDescent="0.25">
      <c r="A1372">
        <v>418</v>
      </c>
      <c r="B1372" t="s">
        <v>3023</v>
      </c>
      <c r="C1372">
        <v>5398</v>
      </c>
      <c r="D1372" t="s">
        <v>3024</v>
      </c>
      <c r="E1372" t="s">
        <v>2187</v>
      </c>
      <c r="F1372" t="s">
        <v>220</v>
      </c>
      <c r="G1372" t="s">
        <v>361</v>
      </c>
      <c r="H1372" s="4">
        <v>36444</v>
      </c>
      <c r="I1372" t="s">
        <v>254</v>
      </c>
    </row>
    <row r="1373" spans="1:9" x14ac:dyDescent="0.25">
      <c r="A1373">
        <v>419</v>
      </c>
      <c r="B1373" t="s">
        <v>3025</v>
      </c>
      <c r="C1373">
        <v>5403</v>
      </c>
      <c r="D1373" t="s">
        <v>3026</v>
      </c>
      <c r="E1373" t="s">
        <v>2187</v>
      </c>
      <c r="F1373" t="s">
        <v>220</v>
      </c>
      <c r="G1373" t="s">
        <v>964</v>
      </c>
      <c r="H1373" s="4">
        <v>36448</v>
      </c>
      <c r="I1373" t="s">
        <v>254</v>
      </c>
    </row>
    <row r="1374" spans="1:9" x14ac:dyDescent="0.25">
      <c r="A1374">
        <v>420</v>
      </c>
      <c r="B1374" t="s">
        <v>3027</v>
      </c>
      <c r="C1374">
        <v>5410</v>
      </c>
      <c r="D1374" t="s">
        <v>3028</v>
      </c>
      <c r="E1374" t="s">
        <v>2187</v>
      </c>
      <c r="F1374" t="s">
        <v>220</v>
      </c>
      <c r="G1374" t="s">
        <v>964</v>
      </c>
      <c r="H1374" s="4">
        <v>36490</v>
      </c>
      <c r="I1374" t="s">
        <v>254</v>
      </c>
    </row>
    <row r="1375" spans="1:9" x14ac:dyDescent="0.25">
      <c r="A1375">
        <v>421</v>
      </c>
      <c r="B1375" t="s">
        <v>3029</v>
      </c>
      <c r="C1375">
        <v>5425</v>
      </c>
      <c r="D1375" t="s">
        <v>3030</v>
      </c>
      <c r="E1375" t="s">
        <v>2187</v>
      </c>
      <c r="F1375" t="s">
        <v>220</v>
      </c>
      <c r="G1375" t="s">
        <v>795</v>
      </c>
      <c r="H1375" s="4">
        <v>36577</v>
      </c>
      <c r="I1375" t="s">
        <v>254</v>
      </c>
    </row>
    <row r="1376" spans="1:9" x14ac:dyDescent="0.25">
      <c r="A1376">
        <v>422</v>
      </c>
      <c r="B1376" t="s">
        <v>3031</v>
      </c>
      <c r="C1376">
        <v>5426</v>
      </c>
      <c r="D1376" t="s">
        <v>3032</v>
      </c>
      <c r="E1376" t="s">
        <v>2187</v>
      </c>
      <c r="F1376" t="s">
        <v>220</v>
      </c>
      <c r="G1376" t="s">
        <v>792</v>
      </c>
      <c r="H1376" s="4">
        <v>36565</v>
      </c>
      <c r="I1376" t="s">
        <v>254</v>
      </c>
    </row>
    <row r="1377" spans="1:9" x14ac:dyDescent="0.25">
      <c r="A1377">
        <v>423</v>
      </c>
      <c r="B1377" t="s">
        <v>3033</v>
      </c>
      <c r="C1377">
        <v>5432</v>
      </c>
      <c r="D1377" t="s">
        <v>3034</v>
      </c>
      <c r="E1377" t="s">
        <v>2187</v>
      </c>
      <c r="F1377" t="s">
        <v>220</v>
      </c>
      <c r="G1377" t="s">
        <v>818</v>
      </c>
      <c r="H1377" s="4">
        <v>36606</v>
      </c>
      <c r="I1377" t="s">
        <v>254</v>
      </c>
    </row>
    <row r="1378" spans="1:9" x14ac:dyDescent="0.25">
      <c r="A1378">
        <v>424</v>
      </c>
      <c r="B1378" t="s">
        <v>3035</v>
      </c>
      <c r="C1378">
        <v>5438</v>
      </c>
      <c r="D1378" t="s">
        <v>3036</v>
      </c>
      <c r="E1378" t="s">
        <v>2187</v>
      </c>
      <c r="F1378" t="s">
        <v>220</v>
      </c>
      <c r="G1378" t="s">
        <v>792</v>
      </c>
      <c r="H1378" s="4">
        <v>36694</v>
      </c>
      <c r="I1378" t="s">
        <v>254</v>
      </c>
    </row>
    <row r="1379" spans="1:9" x14ac:dyDescent="0.25">
      <c r="A1379">
        <v>425</v>
      </c>
      <c r="B1379" t="s">
        <v>3037</v>
      </c>
      <c r="C1379">
        <v>5439</v>
      </c>
      <c r="D1379" t="s">
        <v>3038</v>
      </c>
      <c r="E1379" t="s">
        <v>2187</v>
      </c>
      <c r="F1379" t="s">
        <v>220</v>
      </c>
      <c r="G1379" t="s">
        <v>450</v>
      </c>
      <c r="H1379" s="4">
        <v>36703</v>
      </c>
      <c r="I1379" t="s">
        <v>254</v>
      </c>
    </row>
    <row r="1380" spans="1:9" x14ac:dyDescent="0.25">
      <c r="A1380">
        <v>426</v>
      </c>
      <c r="B1380" t="s">
        <v>3039</v>
      </c>
      <c r="C1380">
        <v>5443</v>
      </c>
      <c r="D1380" t="s">
        <v>3040</v>
      </c>
      <c r="E1380" t="s">
        <v>2187</v>
      </c>
      <c r="F1380" t="s">
        <v>220</v>
      </c>
      <c r="G1380" t="s">
        <v>818</v>
      </c>
      <c r="H1380" s="4">
        <v>35835</v>
      </c>
      <c r="I1380" t="s">
        <v>254</v>
      </c>
    </row>
    <row r="1381" spans="1:9" x14ac:dyDescent="0.25">
      <c r="A1381">
        <v>427</v>
      </c>
      <c r="B1381" t="s">
        <v>3041</v>
      </c>
      <c r="C1381">
        <v>5450</v>
      </c>
      <c r="D1381" t="s">
        <v>3042</v>
      </c>
      <c r="E1381" t="s">
        <v>2187</v>
      </c>
      <c r="F1381" t="s">
        <v>220</v>
      </c>
      <c r="G1381" t="s">
        <v>361</v>
      </c>
      <c r="H1381" s="4">
        <v>43983</v>
      </c>
      <c r="I1381" t="s">
        <v>254</v>
      </c>
    </row>
    <row r="1382" spans="1:9" x14ac:dyDescent="0.25">
      <c r="A1382">
        <v>428</v>
      </c>
      <c r="B1382" t="s">
        <v>3043</v>
      </c>
      <c r="C1382">
        <v>5452</v>
      </c>
      <c r="D1382" t="s">
        <v>3044</v>
      </c>
      <c r="E1382" t="s">
        <v>2187</v>
      </c>
      <c r="F1382" t="s">
        <v>220</v>
      </c>
      <c r="G1382" t="s">
        <v>804</v>
      </c>
      <c r="H1382" s="4">
        <v>36801</v>
      </c>
      <c r="I1382" t="s">
        <v>254</v>
      </c>
    </row>
    <row r="1383" spans="1:9" x14ac:dyDescent="0.25">
      <c r="A1383">
        <v>429</v>
      </c>
      <c r="B1383" t="s">
        <v>3045</v>
      </c>
      <c r="C1383">
        <v>5455</v>
      </c>
      <c r="D1383" t="s">
        <v>3046</v>
      </c>
      <c r="E1383" t="s">
        <v>2187</v>
      </c>
      <c r="F1383" t="s">
        <v>220</v>
      </c>
      <c r="G1383" t="s">
        <v>335</v>
      </c>
      <c r="H1383" s="4">
        <v>36818</v>
      </c>
      <c r="I1383" t="s">
        <v>254</v>
      </c>
    </row>
    <row r="1384" spans="1:9" x14ac:dyDescent="0.25">
      <c r="A1384">
        <v>430</v>
      </c>
      <c r="B1384" t="s">
        <v>3047</v>
      </c>
      <c r="C1384">
        <v>5457</v>
      </c>
      <c r="D1384" t="s">
        <v>3048</v>
      </c>
      <c r="E1384" t="s">
        <v>2187</v>
      </c>
      <c r="F1384" t="s">
        <v>220</v>
      </c>
      <c r="G1384" t="s">
        <v>450</v>
      </c>
      <c r="H1384" s="4">
        <v>36798</v>
      </c>
      <c r="I1384" t="s">
        <v>254</v>
      </c>
    </row>
    <row r="1385" spans="1:9" x14ac:dyDescent="0.25">
      <c r="A1385">
        <v>431</v>
      </c>
      <c r="B1385" t="s">
        <v>3049</v>
      </c>
      <c r="C1385">
        <v>5460</v>
      </c>
      <c r="D1385" t="s">
        <v>3050</v>
      </c>
      <c r="E1385" t="s">
        <v>2187</v>
      </c>
      <c r="F1385" t="s">
        <v>220</v>
      </c>
      <c r="G1385" t="s">
        <v>450</v>
      </c>
      <c r="H1385" s="4">
        <v>36797</v>
      </c>
      <c r="I1385" t="s">
        <v>254</v>
      </c>
    </row>
    <row r="1386" spans="1:9" x14ac:dyDescent="0.25">
      <c r="A1386">
        <v>432</v>
      </c>
      <c r="B1386" t="s">
        <v>3051</v>
      </c>
      <c r="C1386">
        <v>5464</v>
      </c>
      <c r="D1386" t="s">
        <v>3052</v>
      </c>
      <c r="E1386" t="s">
        <v>2187</v>
      </c>
      <c r="F1386" t="s">
        <v>220</v>
      </c>
      <c r="G1386" t="s">
        <v>450</v>
      </c>
      <c r="H1386" s="4">
        <v>36838</v>
      </c>
      <c r="I1386" t="s">
        <v>254</v>
      </c>
    </row>
    <row r="1387" spans="1:9" x14ac:dyDescent="0.25">
      <c r="A1387">
        <v>433</v>
      </c>
      <c r="B1387" t="s">
        <v>3053</v>
      </c>
      <c r="C1387">
        <v>5465</v>
      </c>
      <c r="D1387" t="s">
        <v>3054</v>
      </c>
      <c r="E1387" t="s">
        <v>2187</v>
      </c>
      <c r="F1387" t="s">
        <v>220</v>
      </c>
      <c r="G1387" t="s">
        <v>792</v>
      </c>
      <c r="H1387" s="4">
        <v>36838</v>
      </c>
      <c r="I1387" t="s">
        <v>254</v>
      </c>
    </row>
    <row r="1388" spans="1:9" x14ac:dyDescent="0.25">
      <c r="A1388">
        <v>434</v>
      </c>
      <c r="B1388" t="s">
        <v>3055</v>
      </c>
      <c r="C1388">
        <v>5468</v>
      </c>
      <c r="D1388" t="s">
        <v>3056</v>
      </c>
      <c r="E1388" t="s">
        <v>2187</v>
      </c>
      <c r="F1388" t="s">
        <v>220</v>
      </c>
      <c r="G1388" t="s">
        <v>795</v>
      </c>
      <c r="H1388" s="4">
        <v>36908</v>
      </c>
      <c r="I1388" t="s">
        <v>254</v>
      </c>
    </row>
    <row r="1389" spans="1:9" x14ac:dyDescent="0.25">
      <c r="A1389">
        <v>435</v>
      </c>
      <c r="B1389" t="s">
        <v>3057</v>
      </c>
      <c r="C1389">
        <v>5474</v>
      </c>
      <c r="D1389" t="s">
        <v>3058</v>
      </c>
      <c r="E1389" t="s">
        <v>2187</v>
      </c>
      <c r="F1389" t="s">
        <v>220</v>
      </c>
      <c r="G1389" t="s">
        <v>792</v>
      </c>
      <c r="H1389" s="4">
        <v>36970</v>
      </c>
      <c r="I1389" t="s">
        <v>254</v>
      </c>
    </row>
    <row r="1390" spans="1:9" x14ac:dyDescent="0.25">
      <c r="A1390">
        <v>436</v>
      </c>
      <c r="B1390" t="s">
        <v>3059</v>
      </c>
      <c r="C1390">
        <v>5475</v>
      </c>
      <c r="D1390" t="s">
        <v>3060</v>
      </c>
      <c r="E1390" t="s">
        <v>2187</v>
      </c>
      <c r="F1390" t="s">
        <v>220</v>
      </c>
      <c r="G1390" t="s">
        <v>450</v>
      </c>
      <c r="H1390" s="4">
        <v>36907</v>
      </c>
      <c r="I1390" t="s">
        <v>254</v>
      </c>
    </row>
    <row r="1391" spans="1:9" x14ac:dyDescent="0.25">
      <c r="A1391">
        <v>437</v>
      </c>
      <c r="B1391" t="s">
        <v>3061</v>
      </c>
      <c r="C1391">
        <v>5478</v>
      </c>
      <c r="D1391" t="s">
        <v>3062</v>
      </c>
      <c r="E1391" t="s">
        <v>2187</v>
      </c>
      <c r="F1391" t="s">
        <v>220</v>
      </c>
      <c r="G1391" t="s">
        <v>2305</v>
      </c>
      <c r="H1391" s="4">
        <v>36979</v>
      </c>
      <c r="I1391" t="s">
        <v>254</v>
      </c>
    </row>
    <row r="1392" spans="1:9" x14ac:dyDescent="0.25">
      <c r="A1392">
        <v>438</v>
      </c>
      <c r="B1392" t="s">
        <v>3063</v>
      </c>
      <c r="C1392">
        <v>5481</v>
      </c>
      <c r="D1392" t="s">
        <v>3064</v>
      </c>
      <c r="E1392" t="s">
        <v>2187</v>
      </c>
      <c r="F1392" t="s">
        <v>220</v>
      </c>
      <c r="G1392" t="s">
        <v>361</v>
      </c>
      <c r="H1392" s="4">
        <v>43983</v>
      </c>
      <c r="I1392" t="s">
        <v>254</v>
      </c>
    </row>
    <row r="1393" spans="1:9" x14ac:dyDescent="0.25">
      <c r="A1393">
        <v>439</v>
      </c>
      <c r="B1393" t="s">
        <v>3065</v>
      </c>
      <c r="C1393">
        <v>5483</v>
      </c>
      <c r="D1393" t="s">
        <v>3066</v>
      </c>
      <c r="E1393" t="s">
        <v>2187</v>
      </c>
      <c r="F1393" t="s">
        <v>220</v>
      </c>
      <c r="G1393" t="s">
        <v>795</v>
      </c>
      <c r="H1393" s="4">
        <v>36952</v>
      </c>
      <c r="I1393" t="s">
        <v>254</v>
      </c>
    </row>
    <row r="1394" spans="1:9" x14ac:dyDescent="0.25">
      <c r="A1394">
        <v>440</v>
      </c>
      <c r="B1394" t="s">
        <v>3067</v>
      </c>
      <c r="C1394">
        <v>5487</v>
      </c>
      <c r="D1394" t="s">
        <v>3068</v>
      </c>
      <c r="E1394" t="s">
        <v>2187</v>
      </c>
      <c r="F1394" t="s">
        <v>220</v>
      </c>
      <c r="G1394" t="s">
        <v>795</v>
      </c>
      <c r="H1394" s="4">
        <v>36942</v>
      </c>
      <c r="I1394" t="s">
        <v>254</v>
      </c>
    </row>
    <row r="1395" spans="1:9" x14ac:dyDescent="0.25">
      <c r="A1395">
        <v>441</v>
      </c>
      <c r="B1395" t="s">
        <v>3069</v>
      </c>
      <c r="C1395">
        <v>5488</v>
      </c>
      <c r="D1395" t="s">
        <v>3070</v>
      </c>
      <c r="E1395" t="s">
        <v>2187</v>
      </c>
      <c r="F1395" t="s">
        <v>220</v>
      </c>
      <c r="G1395" t="s">
        <v>450</v>
      </c>
      <c r="H1395" s="4">
        <v>36962</v>
      </c>
      <c r="I1395" t="s">
        <v>254</v>
      </c>
    </row>
    <row r="1396" spans="1:9" x14ac:dyDescent="0.25">
      <c r="A1396">
        <v>442</v>
      </c>
      <c r="B1396" t="s">
        <v>3071</v>
      </c>
      <c r="C1396">
        <v>5489</v>
      </c>
      <c r="D1396" t="s">
        <v>3072</v>
      </c>
      <c r="E1396" t="s">
        <v>2187</v>
      </c>
      <c r="F1396" t="s">
        <v>220</v>
      </c>
      <c r="G1396" t="s">
        <v>804</v>
      </c>
      <c r="H1396" s="4">
        <v>36962</v>
      </c>
      <c r="I1396" t="s">
        <v>254</v>
      </c>
    </row>
    <row r="1397" spans="1:9" x14ac:dyDescent="0.25">
      <c r="A1397">
        <v>443</v>
      </c>
      <c r="B1397" t="s">
        <v>3073</v>
      </c>
      <c r="C1397">
        <v>5490</v>
      </c>
      <c r="D1397" t="s">
        <v>3074</v>
      </c>
      <c r="E1397" t="s">
        <v>2187</v>
      </c>
      <c r="F1397" t="s">
        <v>220</v>
      </c>
      <c r="G1397" t="s">
        <v>792</v>
      </c>
      <c r="H1397" s="4">
        <v>37025</v>
      </c>
      <c r="I1397" t="s">
        <v>254</v>
      </c>
    </row>
    <row r="1398" spans="1:9" x14ac:dyDescent="0.25">
      <c r="A1398">
        <v>444</v>
      </c>
      <c r="B1398" t="s">
        <v>3075</v>
      </c>
      <c r="C1398">
        <v>5493</v>
      </c>
      <c r="D1398" t="s">
        <v>3076</v>
      </c>
      <c r="E1398" t="s">
        <v>2187</v>
      </c>
      <c r="F1398" t="s">
        <v>220</v>
      </c>
      <c r="G1398" t="s">
        <v>804</v>
      </c>
      <c r="H1398" s="4">
        <v>37014</v>
      </c>
      <c r="I1398" t="s">
        <v>254</v>
      </c>
    </row>
    <row r="1399" spans="1:9" x14ac:dyDescent="0.25">
      <c r="A1399">
        <v>445</v>
      </c>
      <c r="B1399" t="s">
        <v>3077</v>
      </c>
      <c r="C1399">
        <v>5498</v>
      </c>
      <c r="D1399" t="s">
        <v>3078</v>
      </c>
      <c r="E1399" t="s">
        <v>2187</v>
      </c>
      <c r="F1399" t="s">
        <v>220</v>
      </c>
      <c r="G1399" t="s">
        <v>450</v>
      </c>
      <c r="H1399" s="4">
        <v>36979</v>
      </c>
      <c r="I1399" t="s">
        <v>254</v>
      </c>
    </row>
    <row r="1400" spans="1:9" x14ac:dyDescent="0.25">
      <c r="A1400">
        <v>446</v>
      </c>
      <c r="B1400" t="s">
        <v>3079</v>
      </c>
      <c r="C1400">
        <v>5508</v>
      </c>
      <c r="D1400" t="s">
        <v>3080</v>
      </c>
      <c r="E1400" t="s">
        <v>2187</v>
      </c>
      <c r="F1400" t="s">
        <v>220</v>
      </c>
      <c r="G1400" t="s">
        <v>335</v>
      </c>
      <c r="H1400" s="4">
        <v>35928</v>
      </c>
      <c r="I1400" t="s">
        <v>254</v>
      </c>
    </row>
    <row r="1401" spans="1:9" x14ac:dyDescent="0.25">
      <c r="A1401">
        <v>447</v>
      </c>
      <c r="B1401" t="s">
        <v>3081</v>
      </c>
      <c r="C1401">
        <v>5511</v>
      </c>
      <c r="D1401" t="s">
        <v>3082</v>
      </c>
      <c r="E1401" t="s">
        <v>2187</v>
      </c>
      <c r="F1401" t="s">
        <v>220</v>
      </c>
      <c r="G1401" t="s">
        <v>335</v>
      </c>
      <c r="H1401" s="4">
        <v>36138</v>
      </c>
      <c r="I1401" t="s">
        <v>254</v>
      </c>
    </row>
    <row r="1402" spans="1:9" x14ac:dyDescent="0.25">
      <c r="A1402">
        <v>448</v>
      </c>
      <c r="B1402" t="s">
        <v>3083</v>
      </c>
      <c r="C1402">
        <v>5512</v>
      </c>
      <c r="D1402" t="s">
        <v>3084</v>
      </c>
      <c r="E1402" t="s">
        <v>2187</v>
      </c>
      <c r="F1402" t="s">
        <v>220</v>
      </c>
      <c r="G1402" t="s">
        <v>335</v>
      </c>
      <c r="H1402" s="4">
        <v>36133</v>
      </c>
      <c r="I1402" t="s">
        <v>254</v>
      </c>
    </row>
    <row r="1403" spans="1:9" x14ac:dyDescent="0.25">
      <c r="A1403">
        <v>449</v>
      </c>
      <c r="B1403" t="s">
        <v>3085</v>
      </c>
      <c r="C1403">
        <v>5514</v>
      </c>
      <c r="D1403" t="s">
        <v>3086</v>
      </c>
      <c r="E1403" t="s">
        <v>2187</v>
      </c>
      <c r="F1403" t="s">
        <v>220</v>
      </c>
      <c r="G1403" t="s">
        <v>335</v>
      </c>
      <c r="H1403" s="4">
        <v>36158</v>
      </c>
      <c r="I1403" t="s">
        <v>254</v>
      </c>
    </row>
    <row r="1404" spans="1:9" x14ac:dyDescent="0.25">
      <c r="A1404">
        <v>450</v>
      </c>
      <c r="B1404" t="s">
        <v>3087</v>
      </c>
      <c r="C1404">
        <v>5516</v>
      </c>
      <c r="D1404" t="s">
        <v>3088</v>
      </c>
      <c r="E1404" t="s">
        <v>2187</v>
      </c>
      <c r="F1404" t="s">
        <v>220</v>
      </c>
      <c r="G1404" t="s">
        <v>335</v>
      </c>
      <c r="H1404" s="4">
        <v>36242</v>
      </c>
      <c r="I1404" t="s">
        <v>254</v>
      </c>
    </row>
    <row r="1405" spans="1:9" x14ac:dyDescent="0.25">
      <c r="A1405">
        <v>451</v>
      </c>
      <c r="B1405" t="s">
        <v>3089</v>
      </c>
      <c r="C1405">
        <v>5520</v>
      </c>
      <c r="D1405" t="s">
        <v>3090</v>
      </c>
      <c r="E1405" t="s">
        <v>2187</v>
      </c>
      <c r="F1405" t="s">
        <v>220</v>
      </c>
      <c r="G1405" t="s">
        <v>335</v>
      </c>
      <c r="H1405" s="4">
        <v>36460</v>
      </c>
      <c r="I1405" t="s">
        <v>254</v>
      </c>
    </row>
    <row r="1406" spans="1:9" x14ac:dyDescent="0.25">
      <c r="A1406">
        <v>452</v>
      </c>
      <c r="B1406" t="s">
        <v>3091</v>
      </c>
      <c r="C1406">
        <v>5523</v>
      </c>
      <c r="D1406" t="s">
        <v>3092</v>
      </c>
      <c r="E1406" t="s">
        <v>2187</v>
      </c>
      <c r="F1406" t="s">
        <v>220</v>
      </c>
      <c r="G1406" t="s">
        <v>335</v>
      </c>
      <c r="H1406" s="4">
        <v>36521</v>
      </c>
      <c r="I1406" t="s">
        <v>254</v>
      </c>
    </row>
    <row r="1407" spans="1:9" x14ac:dyDescent="0.25">
      <c r="A1407">
        <v>453</v>
      </c>
      <c r="B1407" t="s">
        <v>3093</v>
      </c>
      <c r="C1407">
        <v>5529</v>
      </c>
      <c r="D1407" t="s">
        <v>3094</v>
      </c>
      <c r="E1407" t="s">
        <v>2187</v>
      </c>
      <c r="F1407" t="s">
        <v>220</v>
      </c>
      <c r="G1407" t="s">
        <v>335</v>
      </c>
      <c r="H1407" s="4">
        <v>35076</v>
      </c>
      <c r="I1407" t="s">
        <v>254</v>
      </c>
    </row>
    <row r="1408" spans="1:9" x14ac:dyDescent="0.25">
      <c r="A1408">
        <v>454</v>
      </c>
      <c r="B1408" t="s">
        <v>3095</v>
      </c>
      <c r="C1408">
        <v>5530</v>
      </c>
      <c r="D1408" t="s">
        <v>3096</v>
      </c>
      <c r="E1408" t="s">
        <v>2187</v>
      </c>
      <c r="F1408" t="s">
        <v>220</v>
      </c>
      <c r="G1408" t="s">
        <v>361</v>
      </c>
      <c r="H1408" s="4">
        <v>36803</v>
      </c>
      <c r="I1408" t="s">
        <v>254</v>
      </c>
    </row>
    <row r="1409" spans="1:9" x14ac:dyDescent="0.25">
      <c r="A1409">
        <v>455</v>
      </c>
      <c r="B1409" t="s">
        <v>3097</v>
      </c>
      <c r="C1409">
        <v>5536</v>
      </c>
      <c r="D1409" t="s">
        <v>3098</v>
      </c>
      <c r="E1409" t="s">
        <v>2187</v>
      </c>
      <c r="F1409" t="s">
        <v>220</v>
      </c>
      <c r="G1409" t="s">
        <v>804</v>
      </c>
      <c r="H1409" s="4">
        <v>40492</v>
      </c>
      <c r="I1409" t="s">
        <v>254</v>
      </c>
    </row>
    <row r="1410" spans="1:9" x14ac:dyDescent="0.25">
      <c r="A1410">
        <v>456</v>
      </c>
      <c r="B1410" t="s">
        <v>3099</v>
      </c>
      <c r="C1410">
        <v>5543</v>
      </c>
      <c r="D1410" t="s">
        <v>3100</v>
      </c>
      <c r="E1410" t="s">
        <v>2187</v>
      </c>
      <c r="F1410" t="s">
        <v>220</v>
      </c>
      <c r="G1410" t="s">
        <v>335</v>
      </c>
      <c r="H1410" s="4">
        <v>42499</v>
      </c>
      <c r="I1410" t="s">
        <v>254</v>
      </c>
    </row>
    <row r="1411" spans="1:9" x14ac:dyDescent="0.25">
      <c r="A1411">
        <v>457</v>
      </c>
      <c r="B1411" t="s">
        <v>3101</v>
      </c>
      <c r="C1411">
        <v>5601</v>
      </c>
      <c r="D1411" t="s">
        <v>3102</v>
      </c>
      <c r="E1411" t="s">
        <v>2187</v>
      </c>
      <c r="F1411" t="s">
        <v>220</v>
      </c>
      <c r="G1411" t="s">
        <v>767</v>
      </c>
      <c r="H1411" s="4">
        <v>34662</v>
      </c>
      <c r="I1411" t="s">
        <v>254</v>
      </c>
    </row>
    <row r="1412" spans="1:9" x14ac:dyDescent="0.25">
      <c r="A1412">
        <v>458</v>
      </c>
      <c r="B1412" t="s">
        <v>3103</v>
      </c>
      <c r="C1412">
        <v>5603</v>
      </c>
      <c r="D1412" t="s">
        <v>3104</v>
      </c>
      <c r="E1412" t="s">
        <v>2187</v>
      </c>
      <c r="F1412" t="s">
        <v>220</v>
      </c>
      <c r="G1412" t="s">
        <v>767</v>
      </c>
      <c r="H1412" s="4">
        <v>35455</v>
      </c>
      <c r="I1412" t="s">
        <v>254</v>
      </c>
    </row>
    <row r="1413" spans="1:9" x14ac:dyDescent="0.25">
      <c r="A1413">
        <v>459</v>
      </c>
      <c r="B1413" t="s">
        <v>3105</v>
      </c>
      <c r="C1413">
        <v>5604</v>
      </c>
      <c r="D1413" t="s">
        <v>3106</v>
      </c>
      <c r="E1413" t="s">
        <v>2187</v>
      </c>
      <c r="F1413" t="s">
        <v>220</v>
      </c>
      <c r="G1413" t="s">
        <v>361</v>
      </c>
      <c r="H1413" s="4">
        <v>35572</v>
      </c>
      <c r="I1413" t="s">
        <v>254</v>
      </c>
    </row>
    <row r="1414" spans="1:9" x14ac:dyDescent="0.25">
      <c r="A1414">
        <v>460</v>
      </c>
      <c r="B1414" t="s">
        <v>3107</v>
      </c>
      <c r="C1414">
        <v>5609</v>
      </c>
      <c r="D1414" t="s">
        <v>3108</v>
      </c>
      <c r="E1414" t="s">
        <v>2187</v>
      </c>
      <c r="F1414" t="s">
        <v>220</v>
      </c>
      <c r="G1414" t="s">
        <v>767</v>
      </c>
      <c r="H1414" s="4">
        <v>37179</v>
      </c>
      <c r="I1414" t="s">
        <v>254</v>
      </c>
    </row>
    <row r="1415" spans="1:9" x14ac:dyDescent="0.25">
      <c r="A1415">
        <v>461</v>
      </c>
      <c r="B1415" t="s">
        <v>3109</v>
      </c>
      <c r="C1415">
        <v>5701</v>
      </c>
      <c r="D1415" t="s">
        <v>3110</v>
      </c>
      <c r="E1415" t="s">
        <v>2187</v>
      </c>
      <c r="F1415" t="s">
        <v>220</v>
      </c>
      <c r="G1415" t="s">
        <v>1176</v>
      </c>
      <c r="H1415" s="4">
        <v>35866</v>
      </c>
      <c r="I1415" t="s">
        <v>254</v>
      </c>
    </row>
    <row r="1416" spans="1:9" x14ac:dyDescent="0.25">
      <c r="A1416">
        <v>462</v>
      </c>
      <c r="B1416" t="s">
        <v>3111</v>
      </c>
      <c r="C1416">
        <v>5703</v>
      </c>
      <c r="D1416" t="s">
        <v>3112</v>
      </c>
      <c r="E1416" t="s">
        <v>2187</v>
      </c>
      <c r="F1416" t="s">
        <v>220</v>
      </c>
      <c r="G1416" t="s">
        <v>1176</v>
      </c>
      <c r="H1416" s="4">
        <v>36326</v>
      </c>
      <c r="I1416" t="s">
        <v>254</v>
      </c>
    </row>
    <row r="1417" spans="1:9" x14ac:dyDescent="0.25">
      <c r="A1417">
        <v>463</v>
      </c>
      <c r="B1417" t="s">
        <v>3113</v>
      </c>
      <c r="C1417">
        <v>5704</v>
      </c>
      <c r="D1417" t="s">
        <v>3114</v>
      </c>
      <c r="E1417" t="s">
        <v>2187</v>
      </c>
      <c r="F1417" t="s">
        <v>220</v>
      </c>
      <c r="G1417" t="s">
        <v>1176</v>
      </c>
      <c r="H1417" s="4">
        <v>36515</v>
      </c>
      <c r="I1417" t="s">
        <v>254</v>
      </c>
    </row>
    <row r="1418" spans="1:9" x14ac:dyDescent="0.25">
      <c r="A1418">
        <v>464</v>
      </c>
      <c r="B1418" t="s">
        <v>3115</v>
      </c>
      <c r="C1418">
        <v>5820</v>
      </c>
      <c r="D1418" t="s">
        <v>3116</v>
      </c>
      <c r="E1418" t="s">
        <v>2187</v>
      </c>
      <c r="F1418" t="s">
        <v>220</v>
      </c>
      <c r="G1418" t="s">
        <v>1203</v>
      </c>
      <c r="H1418" s="4">
        <v>37292</v>
      </c>
      <c r="I1418" t="s">
        <v>254</v>
      </c>
    </row>
    <row r="1419" spans="1:9" x14ac:dyDescent="0.25">
      <c r="A1419">
        <v>465</v>
      </c>
      <c r="B1419" t="s">
        <v>3117</v>
      </c>
      <c r="C1419">
        <v>5864</v>
      </c>
      <c r="D1419" t="s">
        <v>3118</v>
      </c>
      <c r="E1419" t="s">
        <v>2187</v>
      </c>
      <c r="F1419" t="s">
        <v>220</v>
      </c>
      <c r="G1419" t="s">
        <v>1203</v>
      </c>
      <c r="H1419" s="4">
        <v>43192</v>
      </c>
      <c r="I1419" t="s">
        <v>254</v>
      </c>
    </row>
    <row r="1420" spans="1:9" x14ac:dyDescent="0.25">
      <c r="A1420">
        <v>466</v>
      </c>
      <c r="B1420" t="s">
        <v>3119</v>
      </c>
      <c r="C1420">
        <v>5878</v>
      </c>
      <c r="D1420" t="s">
        <v>3120</v>
      </c>
      <c r="E1420" t="s">
        <v>2187</v>
      </c>
      <c r="F1420" t="s">
        <v>220</v>
      </c>
      <c r="G1420" t="s">
        <v>1203</v>
      </c>
      <c r="H1420" s="4">
        <v>41940</v>
      </c>
      <c r="I1420" t="s">
        <v>254</v>
      </c>
    </row>
    <row r="1421" spans="1:9" x14ac:dyDescent="0.25">
      <c r="A1421">
        <v>467</v>
      </c>
      <c r="B1421" t="s">
        <v>3121</v>
      </c>
      <c r="C1421">
        <v>5902</v>
      </c>
      <c r="D1421" t="s">
        <v>3122</v>
      </c>
      <c r="E1421" t="s">
        <v>2187</v>
      </c>
      <c r="F1421" t="s">
        <v>220</v>
      </c>
      <c r="G1421" t="s">
        <v>385</v>
      </c>
      <c r="H1421" s="4">
        <v>35833</v>
      </c>
      <c r="I1421" t="s">
        <v>254</v>
      </c>
    </row>
    <row r="1422" spans="1:9" x14ac:dyDescent="0.25">
      <c r="A1422">
        <v>468</v>
      </c>
      <c r="B1422" t="s">
        <v>3123</v>
      </c>
      <c r="C1422">
        <v>5903</v>
      </c>
      <c r="D1422" t="s">
        <v>3124</v>
      </c>
      <c r="E1422" t="s">
        <v>2187</v>
      </c>
      <c r="F1422" t="s">
        <v>220</v>
      </c>
      <c r="G1422" t="s">
        <v>385</v>
      </c>
      <c r="H1422" s="4">
        <v>37312</v>
      </c>
      <c r="I1422" t="s">
        <v>254</v>
      </c>
    </row>
    <row r="1423" spans="1:9" x14ac:dyDescent="0.25">
      <c r="A1423">
        <v>469</v>
      </c>
      <c r="B1423" t="s">
        <v>3125</v>
      </c>
      <c r="C1423">
        <v>5904</v>
      </c>
      <c r="D1423" t="s">
        <v>3126</v>
      </c>
      <c r="E1423" t="s">
        <v>2187</v>
      </c>
      <c r="F1423" t="s">
        <v>220</v>
      </c>
      <c r="G1423" t="s">
        <v>385</v>
      </c>
      <c r="H1423" s="4">
        <v>37505</v>
      </c>
      <c r="I1423" t="s">
        <v>254</v>
      </c>
    </row>
    <row r="1424" spans="1:9" x14ac:dyDescent="0.25">
      <c r="A1424">
        <v>470</v>
      </c>
      <c r="B1424" t="s">
        <v>3127</v>
      </c>
      <c r="C1424">
        <v>5905</v>
      </c>
      <c r="D1424" t="s">
        <v>3128</v>
      </c>
      <c r="E1424" t="s">
        <v>2187</v>
      </c>
      <c r="F1424" t="s">
        <v>220</v>
      </c>
      <c r="G1424" t="s">
        <v>385</v>
      </c>
      <c r="H1424" s="4">
        <v>37789</v>
      </c>
      <c r="I1424" t="s">
        <v>254</v>
      </c>
    </row>
    <row r="1425" spans="1:9" x14ac:dyDescent="0.25">
      <c r="A1425">
        <v>471</v>
      </c>
      <c r="B1425" t="s">
        <v>3129</v>
      </c>
      <c r="C1425">
        <v>6015</v>
      </c>
      <c r="D1425" t="s">
        <v>3130</v>
      </c>
      <c r="E1425" t="s">
        <v>2187</v>
      </c>
      <c r="F1425" t="s">
        <v>220</v>
      </c>
      <c r="G1425" t="s">
        <v>1203</v>
      </c>
      <c r="H1425" s="4">
        <v>35271</v>
      </c>
      <c r="I1425" t="s">
        <v>254</v>
      </c>
    </row>
    <row r="1426" spans="1:9" x14ac:dyDescent="0.25">
      <c r="A1426">
        <v>472</v>
      </c>
      <c r="B1426" t="s">
        <v>3131</v>
      </c>
      <c r="C1426">
        <v>6016</v>
      </c>
      <c r="D1426" t="s">
        <v>3132</v>
      </c>
      <c r="E1426" t="s">
        <v>2187</v>
      </c>
      <c r="F1426" t="s">
        <v>220</v>
      </c>
      <c r="G1426" t="s">
        <v>1203</v>
      </c>
      <c r="H1426" s="4">
        <v>35403</v>
      </c>
      <c r="I1426" t="s">
        <v>254</v>
      </c>
    </row>
    <row r="1427" spans="1:9" x14ac:dyDescent="0.25">
      <c r="A1427">
        <v>473</v>
      </c>
      <c r="B1427" t="s">
        <v>3133</v>
      </c>
      <c r="C1427">
        <v>6020</v>
      </c>
      <c r="D1427" t="s">
        <v>3134</v>
      </c>
      <c r="E1427" t="s">
        <v>2187</v>
      </c>
      <c r="F1427" t="s">
        <v>220</v>
      </c>
      <c r="G1427" t="s">
        <v>1203</v>
      </c>
      <c r="H1427" s="4">
        <v>37644</v>
      </c>
      <c r="I1427" t="s">
        <v>254</v>
      </c>
    </row>
    <row r="1428" spans="1:9" x14ac:dyDescent="0.25">
      <c r="A1428">
        <v>474</v>
      </c>
      <c r="B1428" t="s">
        <v>3135</v>
      </c>
      <c r="C1428">
        <v>6021</v>
      </c>
      <c r="D1428" t="s">
        <v>3136</v>
      </c>
      <c r="E1428" t="s">
        <v>2187</v>
      </c>
      <c r="F1428" t="s">
        <v>220</v>
      </c>
      <c r="G1428" t="s">
        <v>1203</v>
      </c>
      <c r="H1428" s="4">
        <v>37732</v>
      </c>
      <c r="I1428" t="s">
        <v>254</v>
      </c>
    </row>
    <row r="1429" spans="1:9" x14ac:dyDescent="0.25">
      <c r="A1429">
        <v>475</v>
      </c>
      <c r="B1429" t="s">
        <v>3137</v>
      </c>
      <c r="C1429">
        <v>6023</v>
      </c>
      <c r="D1429" t="s">
        <v>3138</v>
      </c>
      <c r="E1429" t="s">
        <v>2187</v>
      </c>
      <c r="F1429" t="s">
        <v>220</v>
      </c>
      <c r="G1429" t="s">
        <v>1203</v>
      </c>
      <c r="H1429" s="4">
        <v>39414</v>
      </c>
      <c r="I1429" t="s">
        <v>254</v>
      </c>
    </row>
    <row r="1430" spans="1:9" x14ac:dyDescent="0.25">
      <c r="A1430">
        <v>476</v>
      </c>
      <c r="B1430" t="s">
        <v>3139</v>
      </c>
      <c r="C1430">
        <v>6026</v>
      </c>
      <c r="D1430" t="s">
        <v>3140</v>
      </c>
      <c r="E1430" t="s">
        <v>2187</v>
      </c>
      <c r="F1430" t="s">
        <v>220</v>
      </c>
      <c r="G1430" t="s">
        <v>1203</v>
      </c>
      <c r="H1430" s="4">
        <v>42396</v>
      </c>
      <c r="I1430" t="s">
        <v>254</v>
      </c>
    </row>
    <row r="1431" spans="1:9" x14ac:dyDescent="0.25">
      <c r="A1431">
        <v>477</v>
      </c>
      <c r="B1431" t="s">
        <v>3141</v>
      </c>
      <c r="C1431">
        <v>6101</v>
      </c>
      <c r="D1431" t="s">
        <v>3142</v>
      </c>
      <c r="E1431" t="s">
        <v>2187</v>
      </c>
      <c r="F1431" t="s">
        <v>220</v>
      </c>
      <c r="G1431" t="s">
        <v>2305</v>
      </c>
      <c r="H1431" s="4">
        <v>36979</v>
      </c>
      <c r="I1431" t="s">
        <v>254</v>
      </c>
    </row>
    <row r="1432" spans="1:9" x14ac:dyDescent="0.25">
      <c r="A1432">
        <v>478</v>
      </c>
      <c r="B1432" t="s">
        <v>3143</v>
      </c>
      <c r="C1432">
        <v>6103</v>
      </c>
      <c r="D1432" t="s">
        <v>3144</v>
      </c>
      <c r="E1432" t="s">
        <v>2187</v>
      </c>
      <c r="F1432" t="s">
        <v>220</v>
      </c>
      <c r="G1432" t="s">
        <v>795</v>
      </c>
      <c r="H1432" s="4">
        <v>37018</v>
      </c>
      <c r="I1432" t="s">
        <v>254</v>
      </c>
    </row>
    <row r="1433" spans="1:9" x14ac:dyDescent="0.25">
      <c r="A1433">
        <v>479</v>
      </c>
      <c r="B1433" t="s">
        <v>3145</v>
      </c>
      <c r="C1433">
        <v>6104</v>
      </c>
      <c r="D1433" t="s">
        <v>3146</v>
      </c>
      <c r="E1433" t="s">
        <v>2187</v>
      </c>
      <c r="F1433" t="s">
        <v>220</v>
      </c>
      <c r="G1433" t="s">
        <v>795</v>
      </c>
      <c r="H1433" s="4">
        <v>37033</v>
      </c>
      <c r="I1433" t="s">
        <v>254</v>
      </c>
    </row>
    <row r="1434" spans="1:9" x14ac:dyDescent="0.25">
      <c r="A1434">
        <v>480</v>
      </c>
      <c r="B1434" t="s">
        <v>3147</v>
      </c>
      <c r="C1434">
        <v>6109</v>
      </c>
      <c r="D1434" t="s">
        <v>3148</v>
      </c>
      <c r="E1434" t="s">
        <v>2187</v>
      </c>
      <c r="F1434" t="s">
        <v>220</v>
      </c>
      <c r="G1434" t="s">
        <v>809</v>
      </c>
      <c r="H1434" s="4">
        <v>37098</v>
      </c>
      <c r="I1434" t="s">
        <v>254</v>
      </c>
    </row>
    <row r="1435" spans="1:9" x14ac:dyDescent="0.25">
      <c r="A1435">
        <v>481</v>
      </c>
      <c r="B1435" t="s">
        <v>3149</v>
      </c>
      <c r="C1435">
        <v>6111</v>
      </c>
      <c r="D1435" t="s">
        <v>3150</v>
      </c>
      <c r="E1435" t="s">
        <v>2187</v>
      </c>
      <c r="F1435" t="s">
        <v>220</v>
      </c>
      <c r="G1435" t="s">
        <v>2305</v>
      </c>
      <c r="H1435" s="4">
        <v>37111</v>
      </c>
      <c r="I1435" t="s">
        <v>254</v>
      </c>
    </row>
    <row r="1436" spans="1:9" x14ac:dyDescent="0.25">
      <c r="A1436">
        <v>482</v>
      </c>
      <c r="B1436" t="s">
        <v>3151</v>
      </c>
      <c r="C1436">
        <v>6113</v>
      </c>
      <c r="D1436" t="s">
        <v>3152</v>
      </c>
      <c r="E1436" t="s">
        <v>2187</v>
      </c>
      <c r="F1436" t="s">
        <v>220</v>
      </c>
      <c r="G1436" t="s">
        <v>847</v>
      </c>
      <c r="H1436" s="4">
        <v>37113</v>
      </c>
      <c r="I1436" t="s">
        <v>254</v>
      </c>
    </row>
    <row r="1437" spans="1:9" x14ac:dyDescent="0.25">
      <c r="A1437">
        <v>483</v>
      </c>
      <c r="B1437" t="s">
        <v>3153</v>
      </c>
      <c r="C1437">
        <v>6114</v>
      </c>
      <c r="D1437" t="s">
        <v>3154</v>
      </c>
      <c r="E1437" t="s">
        <v>2187</v>
      </c>
      <c r="F1437" t="s">
        <v>220</v>
      </c>
      <c r="G1437" t="s">
        <v>450</v>
      </c>
      <c r="H1437" s="4">
        <v>37161</v>
      </c>
      <c r="I1437" t="s">
        <v>254</v>
      </c>
    </row>
    <row r="1438" spans="1:9" x14ac:dyDescent="0.25">
      <c r="A1438">
        <v>484</v>
      </c>
      <c r="B1438" t="s">
        <v>3155</v>
      </c>
      <c r="C1438">
        <v>6118</v>
      </c>
      <c r="D1438" t="s">
        <v>3156</v>
      </c>
      <c r="E1438" t="s">
        <v>2187</v>
      </c>
      <c r="F1438" t="s">
        <v>220</v>
      </c>
      <c r="G1438" t="s">
        <v>847</v>
      </c>
      <c r="H1438" s="4">
        <v>37189</v>
      </c>
      <c r="I1438" t="s">
        <v>254</v>
      </c>
    </row>
    <row r="1439" spans="1:9" x14ac:dyDescent="0.25">
      <c r="A1439">
        <v>485</v>
      </c>
      <c r="B1439" t="s">
        <v>3157</v>
      </c>
      <c r="C1439">
        <v>6121</v>
      </c>
      <c r="D1439" t="s">
        <v>3158</v>
      </c>
      <c r="E1439" t="s">
        <v>2187</v>
      </c>
      <c r="F1439" t="s">
        <v>220</v>
      </c>
      <c r="G1439" t="s">
        <v>792</v>
      </c>
      <c r="H1439" s="4">
        <v>37222</v>
      </c>
      <c r="I1439" t="s">
        <v>254</v>
      </c>
    </row>
    <row r="1440" spans="1:9" x14ac:dyDescent="0.25">
      <c r="A1440">
        <v>486</v>
      </c>
      <c r="B1440" t="s">
        <v>3159</v>
      </c>
      <c r="C1440">
        <v>6122</v>
      </c>
      <c r="D1440" t="s">
        <v>3160</v>
      </c>
      <c r="E1440" t="s">
        <v>2187</v>
      </c>
      <c r="F1440" t="s">
        <v>220</v>
      </c>
      <c r="G1440" t="s">
        <v>465</v>
      </c>
      <c r="H1440" s="4">
        <v>36721</v>
      </c>
      <c r="I1440" t="s">
        <v>254</v>
      </c>
    </row>
    <row r="1441" spans="1:9" x14ac:dyDescent="0.25">
      <c r="A1441">
        <v>487</v>
      </c>
      <c r="B1441" t="s">
        <v>3161</v>
      </c>
      <c r="C1441">
        <v>6123</v>
      </c>
      <c r="D1441" t="s">
        <v>3162</v>
      </c>
      <c r="E1441" t="s">
        <v>2187</v>
      </c>
      <c r="F1441" t="s">
        <v>220</v>
      </c>
      <c r="G1441" t="s">
        <v>792</v>
      </c>
      <c r="H1441" s="4">
        <v>37279</v>
      </c>
      <c r="I1441" t="s">
        <v>254</v>
      </c>
    </row>
    <row r="1442" spans="1:9" x14ac:dyDescent="0.25">
      <c r="A1442">
        <v>488</v>
      </c>
      <c r="B1442" t="s">
        <v>3163</v>
      </c>
      <c r="C1442">
        <v>6124</v>
      </c>
      <c r="D1442" t="s">
        <v>3164</v>
      </c>
      <c r="E1442" t="s">
        <v>2187</v>
      </c>
      <c r="F1442" t="s">
        <v>220</v>
      </c>
      <c r="G1442" t="s">
        <v>450</v>
      </c>
      <c r="H1442" s="4">
        <v>37334</v>
      </c>
      <c r="I1442" t="s">
        <v>254</v>
      </c>
    </row>
    <row r="1443" spans="1:9" x14ac:dyDescent="0.25">
      <c r="A1443">
        <v>489</v>
      </c>
      <c r="B1443" t="s">
        <v>3165</v>
      </c>
      <c r="C1443">
        <v>6125</v>
      </c>
      <c r="D1443" t="s">
        <v>3166</v>
      </c>
      <c r="E1443" t="s">
        <v>2187</v>
      </c>
      <c r="F1443" t="s">
        <v>220</v>
      </c>
      <c r="G1443" t="s">
        <v>818</v>
      </c>
      <c r="H1443" s="4">
        <v>37279</v>
      </c>
      <c r="I1443" t="s">
        <v>254</v>
      </c>
    </row>
    <row r="1444" spans="1:9" x14ac:dyDescent="0.25">
      <c r="A1444">
        <v>490</v>
      </c>
      <c r="B1444" t="s">
        <v>3167</v>
      </c>
      <c r="C1444">
        <v>6126</v>
      </c>
      <c r="D1444" t="s">
        <v>3168</v>
      </c>
      <c r="E1444" t="s">
        <v>2187</v>
      </c>
      <c r="F1444" t="s">
        <v>220</v>
      </c>
      <c r="G1444" t="s">
        <v>450</v>
      </c>
      <c r="H1444" s="4">
        <v>37274</v>
      </c>
      <c r="I1444" t="s">
        <v>254</v>
      </c>
    </row>
    <row r="1445" spans="1:9" x14ac:dyDescent="0.25">
      <c r="A1445">
        <v>491</v>
      </c>
      <c r="B1445" t="s">
        <v>3169</v>
      </c>
      <c r="C1445">
        <v>6127</v>
      </c>
      <c r="D1445" t="s">
        <v>3170</v>
      </c>
      <c r="E1445" t="s">
        <v>2187</v>
      </c>
      <c r="F1445" t="s">
        <v>220</v>
      </c>
      <c r="G1445" t="s">
        <v>450</v>
      </c>
      <c r="H1445" s="4">
        <v>37266</v>
      </c>
      <c r="I1445" t="s">
        <v>254</v>
      </c>
    </row>
    <row r="1446" spans="1:9" x14ac:dyDescent="0.25">
      <c r="A1446">
        <v>492</v>
      </c>
      <c r="B1446" t="s">
        <v>3171</v>
      </c>
      <c r="C1446">
        <v>6129</v>
      </c>
      <c r="D1446" t="s">
        <v>3172</v>
      </c>
      <c r="E1446" t="s">
        <v>2187</v>
      </c>
      <c r="F1446" t="s">
        <v>220</v>
      </c>
      <c r="G1446" t="s">
        <v>795</v>
      </c>
      <c r="H1446" s="4">
        <v>37250</v>
      </c>
      <c r="I1446" t="s">
        <v>254</v>
      </c>
    </row>
    <row r="1447" spans="1:9" x14ac:dyDescent="0.25">
      <c r="A1447">
        <v>493</v>
      </c>
      <c r="B1447" t="s">
        <v>3173</v>
      </c>
      <c r="C1447">
        <v>6130</v>
      </c>
      <c r="D1447" t="s">
        <v>3174</v>
      </c>
      <c r="E1447" t="s">
        <v>2187</v>
      </c>
      <c r="F1447" t="s">
        <v>220</v>
      </c>
      <c r="G1447" t="s">
        <v>546</v>
      </c>
      <c r="H1447" s="4">
        <v>37341</v>
      </c>
      <c r="I1447" t="s">
        <v>254</v>
      </c>
    </row>
    <row r="1448" spans="1:9" x14ac:dyDescent="0.25">
      <c r="A1448">
        <v>494</v>
      </c>
      <c r="B1448" t="s">
        <v>3175</v>
      </c>
      <c r="C1448">
        <v>6134</v>
      </c>
      <c r="D1448" t="s">
        <v>3176</v>
      </c>
      <c r="E1448" t="s">
        <v>2187</v>
      </c>
      <c r="F1448" t="s">
        <v>220</v>
      </c>
      <c r="G1448" t="s">
        <v>450</v>
      </c>
      <c r="H1448" s="4">
        <v>37264</v>
      </c>
      <c r="I1448" t="s">
        <v>254</v>
      </c>
    </row>
    <row r="1449" spans="1:9" x14ac:dyDescent="0.25">
      <c r="A1449">
        <v>495</v>
      </c>
      <c r="B1449" t="s">
        <v>3177</v>
      </c>
      <c r="C1449">
        <v>6138</v>
      </c>
      <c r="D1449" t="s">
        <v>3178</v>
      </c>
      <c r="E1449" t="s">
        <v>2187</v>
      </c>
      <c r="F1449" t="s">
        <v>220</v>
      </c>
      <c r="G1449" t="s">
        <v>795</v>
      </c>
      <c r="H1449" s="4">
        <v>37274</v>
      </c>
      <c r="I1449" t="s">
        <v>254</v>
      </c>
    </row>
    <row r="1450" spans="1:9" x14ac:dyDescent="0.25">
      <c r="A1450">
        <v>496</v>
      </c>
      <c r="B1450" t="s">
        <v>3179</v>
      </c>
      <c r="C1450">
        <v>6140</v>
      </c>
      <c r="D1450" t="s">
        <v>3180</v>
      </c>
      <c r="E1450" t="s">
        <v>2187</v>
      </c>
      <c r="F1450" t="s">
        <v>220</v>
      </c>
      <c r="G1450" t="s">
        <v>964</v>
      </c>
      <c r="H1450" s="4">
        <v>37291</v>
      </c>
      <c r="I1450" t="s">
        <v>254</v>
      </c>
    </row>
    <row r="1451" spans="1:9" x14ac:dyDescent="0.25">
      <c r="A1451">
        <v>497</v>
      </c>
      <c r="B1451" t="s">
        <v>3181</v>
      </c>
      <c r="C1451">
        <v>6143</v>
      </c>
      <c r="D1451" t="s">
        <v>3182</v>
      </c>
      <c r="E1451" t="s">
        <v>2187</v>
      </c>
      <c r="F1451" t="s">
        <v>220</v>
      </c>
      <c r="G1451" t="s">
        <v>809</v>
      </c>
      <c r="H1451" s="4">
        <v>37284</v>
      </c>
      <c r="I1451" t="s">
        <v>254</v>
      </c>
    </row>
    <row r="1452" spans="1:9" x14ac:dyDescent="0.25">
      <c r="A1452">
        <v>498</v>
      </c>
      <c r="B1452" t="s">
        <v>3183</v>
      </c>
      <c r="C1452">
        <v>6144</v>
      </c>
      <c r="D1452" t="s">
        <v>3184</v>
      </c>
      <c r="E1452" t="s">
        <v>2187</v>
      </c>
      <c r="F1452" t="s">
        <v>220</v>
      </c>
      <c r="G1452" t="s">
        <v>2305</v>
      </c>
      <c r="H1452" s="4">
        <v>37279</v>
      </c>
      <c r="I1452" t="s">
        <v>254</v>
      </c>
    </row>
    <row r="1453" spans="1:9" x14ac:dyDescent="0.25">
      <c r="A1453">
        <v>499</v>
      </c>
      <c r="B1453" t="s">
        <v>3185</v>
      </c>
      <c r="C1453">
        <v>6146</v>
      </c>
      <c r="D1453" t="s">
        <v>3186</v>
      </c>
      <c r="E1453" t="s">
        <v>2187</v>
      </c>
      <c r="F1453" t="s">
        <v>220</v>
      </c>
      <c r="G1453" t="s">
        <v>804</v>
      </c>
      <c r="H1453" s="4">
        <v>37279</v>
      </c>
      <c r="I1453" t="s">
        <v>254</v>
      </c>
    </row>
    <row r="1454" spans="1:9" x14ac:dyDescent="0.25">
      <c r="A1454">
        <v>500</v>
      </c>
      <c r="B1454" t="s">
        <v>3187</v>
      </c>
      <c r="C1454">
        <v>6147</v>
      </c>
      <c r="D1454" t="s">
        <v>3188</v>
      </c>
      <c r="E1454" t="s">
        <v>2187</v>
      </c>
      <c r="F1454" t="s">
        <v>220</v>
      </c>
      <c r="G1454" t="s">
        <v>795</v>
      </c>
      <c r="H1454" s="4">
        <v>37287</v>
      </c>
      <c r="I1454" t="s">
        <v>254</v>
      </c>
    </row>
    <row r="1455" spans="1:9" x14ac:dyDescent="0.25">
      <c r="A1455">
        <v>501</v>
      </c>
      <c r="B1455" t="s">
        <v>3189</v>
      </c>
      <c r="C1455">
        <v>6148</v>
      </c>
      <c r="D1455" t="s">
        <v>3190</v>
      </c>
      <c r="E1455" t="s">
        <v>2187</v>
      </c>
      <c r="F1455" t="s">
        <v>220</v>
      </c>
      <c r="G1455" t="s">
        <v>964</v>
      </c>
      <c r="H1455" s="4">
        <v>37288</v>
      </c>
      <c r="I1455" t="s">
        <v>254</v>
      </c>
    </row>
    <row r="1456" spans="1:9" x14ac:dyDescent="0.25">
      <c r="A1456">
        <v>502</v>
      </c>
      <c r="B1456" t="s">
        <v>3191</v>
      </c>
      <c r="C1456">
        <v>6150</v>
      </c>
      <c r="D1456" t="s">
        <v>3192</v>
      </c>
      <c r="E1456" t="s">
        <v>2187</v>
      </c>
      <c r="F1456" t="s">
        <v>220</v>
      </c>
      <c r="G1456" t="s">
        <v>792</v>
      </c>
      <c r="H1456" s="4">
        <v>37326</v>
      </c>
      <c r="I1456" t="s">
        <v>254</v>
      </c>
    </row>
    <row r="1457" spans="1:9" x14ac:dyDescent="0.25">
      <c r="A1457">
        <v>503</v>
      </c>
      <c r="B1457" t="s">
        <v>3193</v>
      </c>
      <c r="C1457">
        <v>6151</v>
      </c>
      <c r="D1457" t="s">
        <v>3194</v>
      </c>
      <c r="E1457" t="s">
        <v>2187</v>
      </c>
      <c r="F1457" t="s">
        <v>220</v>
      </c>
      <c r="G1457" t="s">
        <v>804</v>
      </c>
      <c r="H1457" s="4">
        <v>37312</v>
      </c>
      <c r="I1457" t="s">
        <v>254</v>
      </c>
    </row>
    <row r="1458" spans="1:9" x14ac:dyDescent="0.25">
      <c r="A1458">
        <v>504</v>
      </c>
      <c r="B1458" t="s">
        <v>3195</v>
      </c>
      <c r="C1458">
        <v>6154</v>
      </c>
      <c r="D1458" t="s">
        <v>3196</v>
      </c>
      <c r="E1458" t="s">
        <v>2187</v>
      </c>
      <c r="F1458" t="s">
        <v>220</v>
      </c>
      <c r="G1458" t="s">
        <v>847</v>
      </c>
      <c r="H1458" s="4">
        <v>37305</v>
      </c>
      <c r="I1458" t="s">
        <v>254</v>
      </c>
    </row>
    <row r="1459" spans="1:9" x14ac:dyDescent="0.25">
      <c r="A1459">
        <v>505</v>
      </c>
      <c r="B1459" t="s">
        <v>3197</v>
      </c>
      <c r="C1459">
        <v>6156</v>
      </c>
      <c r="D1459" t="s">
        <v>3198</v>
      </c>
      <c r="E1459" t="s">
        <v>2187</v>
      </c>
      <c r="F1459" t="s">
        <v>220</v>
      </c>
      <c r="G1459" t="s">
        <v>450</v>
      </c>
      <c r="H1459" s="4">
        <v>37306</v>
      </c>
      <c r="I1459" t="s">
        <v>254</v>
      </c>
    </row>
    <row r="1460" spans="1:9" x14ac:dyDescent="0.25">
      <c r="A1460">
        <v>506</v>
      </c>
      <c r="B1460" t="s">
        <v>3199</v>
      </c>
      <c r="C1460">
        <v>6158</v>
      </c>
      <c r="D1460" t="s">
        <v>3200</v>
      </c>
      <c r="E1460" t="s">
        <v>2187</v>
      </c>
      <c r="F1460" t="s">
        <v>220</v>
      </c>
      <c r="G1460" t="s">
        <v>450</v>
      </c>
      <c r="H1460" s="4">
        <v>37306</v>
      </c>
      <c r="I1460" t="s">
        <v>254</v>
      </c>
    </row>
    <row r="1461" spans="1:9" x14ac:dyDescent="0.25">
      <c r="A1461">
        <v>507</v>
      </c>
      <c r="B1461" t="s">
        <v>3201</v>
      </c>
      <c r="C1461">
        <v>6160</v>
      </c>
      <c r="D1461" t="s">
        <v>3202</v>
      </c>
      <c r="E1461" t="s">
        <v>2187</v>
      </c>
      <c r="F1461" t="s">
        <v>220</v>
      </c>
      <c r="G1461" t="s">
        <v>792</v>
      </c>
      <c r="H1461" s="4">
        <v>37316</v>
      </c>
      <c r="I1461" t="s">
        <v>254</v>
      </c>
    </row>
    <row r="1462" spans="1:9" x14ac:dyDescent="0.25">
      <c r="A1462">
        <v>508</v>
      </c>
      <c r="B1462" t="s">
        <v>3203</v>
      </c>
      <c r="C1462">
        <v>6161</v>
      </c>
      <c r="D1462" t="s">
        <v>3204</v>
      </c>
      <c r="E1462" t="s">
        <v>2187</v>
      </c>
      <c r="F1462" t="s">
        <v>220</v>
      </c>
      <c r="G1462" t="s">
        <v>792</v>
      </c>
      <c r="H1462" s="4">
        <v>37316</v>
      </c>
      <c r="I1462" t="s">
        <v>254</v>
      </c>
    </row>
    <row r="1463" spans="1:9" x14ac:dyDescent="0.25">
      <c r="A1463">
        <v>509</v>
      </c>
      <c r="B1463" t="s">
        <v>3205</v>
      </c>
      <c r="C1463">
        <v>6163</v>
      </c>
      <c r="D1463" t="s">
        <v>3206</v>
      </c>
      <c r="E1463" t="s">
        <v>2187</v>
      </c>
      <c r="F1463" t="s">
        <v>220</v>
      </c>
      <c r="G1463" t="s">
        <v>809</v>
      </c>
      <c r="H1463" s="4">
        <v>37334</v>
      </c>
      <c r="I1463" t="s">
        <v>254</v>
      </c>
    </row>
    <row r="1464" spans="1:9" x14ac:dyDescent="0.25">
      <c r="A1464">
        <v>510</v>
      </c>
      <c r="B1464" t="s">
        <v>3207</v>
      </c>
      <c r="C1464">
        <v>6167</v>
      </c>
      <c r="D1464" t="s">
        <v>3208</v>
      </c>
      <c r="E1464" t="s">
        <v>2187</v>
      </c>
      <c r="F1464" t="s">
        <v>220</v>
      </c>
      <c r="G1464" t="s">
        <v>818</v>
      </c>
      <c r="H1464" s="4">
        <v>37341</v>
      </c>
      <c r="I1464" t="s">
        <v>254</v>
      </c>
    </row>
    <row r="1465" spans="1:9" x14ac:dyDescent="0.25">
      <c r="A1465">
        <v>511</v>
      </c>
      <c r="B1465" t="s">
        <v>3209</v>
      </c>
      <c r="C1465">
        <v>6169</v>
      </c>
      <c r="D1465" t="s">
        <v>3210</v>
      </c>
      <c r="E1465" t="s">
        <v>2187</v>
      </c>
      <c r="F1465" t="s">
        <v>220</v>
      </c>
      <c r="G1465" t="s">
        <v>2305</v>
      </c>
      <c r="H1465" s="4">
        <v>37337</v>
      </c>
      <c r="I1465" t="s">
        <v>254</v>
      </c>
    </row>
    <row r="1466" spans="1:9" x14ac:dyDescent="0.25">
      <c r="A1466">
        <v>512</v>
      </c>
      <c r="B1466" t="s">
        <v>3211</v>
      </c>
      <c r="C1466">
        <v>6170</v>
      </c>
      <c r="D1466" t="s">
        <v>3212</v>
      </c>
      <c r="E1466" t="s">
        <v>2187</v>
      </c>
      <c r="F1466" t="s">
        <v>220</v>
      </c>
      <c r="G1466" t="s">
        <v>809</v>
      </c>
      <c r="H1466" s="4">
        <v>37362</v>
      </c>
      <c r="I1466" t="s">
        <v>254</v>
      </c>
    </row>
    <row r="1467" spans="1:9" x14ac:dyDescent="0.25">
      <c r="A1467">
        <v>513</v>
      </c>
      <c r="B1467" t="s">
        <v>3213</v>
      </c>
      <c r="C1467">
        <v>6171</v>
      </c>
      <c r="D1467" t="s">
        <v>3214</v>
      </c>
      <c r="E1467" t="s">
        <v>2187</v>
      </c>
      <c r="F1467" t="s">
        <v>220</v>
      </c>
      <c r="G1467" t="s">
        <v>335</v>
      </c>
      <c r="H1467" s="4">
        <v>37368</v>
      </c>
      <c r="I1467" t="s">
        <v>254</v>
      </c>
    </row>
    <row r="1468" spans="1:9" x14ac:dyDescent="0.25">
      <c r="A1468">
        <v>514</v>
      </c>
      <c r="B1468" t="s">
        <v>3215</v>
      </c>
      <c r="C1468">
        <v>6173</v>
      </c>
      <c r="D1468" t="s">
        <v>3216</v>
      </c>
      <c r="E1468" t="s">
        <v>2187</v>
      </c>
      <c r="F1468" t="s">
        <v>220</v>
      </c>
      <c r="G1468" t="s">
        <v>450</v>
      </c>
      <c r="H1468" s="4">
        <v>37365</v>
      </c>
      <c r="I1468" t="s">
        <v>254</v>
      </c>
    </row>
    <row r="1469" spans="1:9" x14ac:dyDescent="0.25">
      <c r="A1469">
        <v>515</v>
      </c>
      <c r="B1469" t="s">
        <v>3217</v>
      </c>
      <c r="C1469">
        <v>6174</v>
      </c>
      <c r="D1469" t="s">
        <v>3218</v>
      </c>
      <c r="E1469" t="s">
        <v>2187</v>
      </c>
      <c r="F1469" t="s">
        <v>220</v>
      </c>
      <c r="G1469" t="s">
        <v>450</v>
      </c>
      <c r="H1469" s="4">
        <v>37378</v>
      </c>
      <c r="I1469" t="s">
        <v>254</v>
      </c>
    </row>
    <row r="1470" spans="1:9" x14ac:dyDescent="0.25">
      <c r="A1470">
        <v>516</v>
      </c>
      <c r="B1470" t="s">
        <v>3219</v>
      </c>
      <c r="C1470">
        <v>6175</v>
      </c>
      <c r="D1470" t="s">
        <v>3220</v>
      </c>
      <c r="E1470" t="s">
        <v>2187</v>
      </c>
      <c r="F1470" t="s">
        <v>220</v>
      </c>
      <c r="G1470" t="s">
        <v>450</v>
      </c>
      <c r="H1470" s="4">
        <v>37417</v>
      </c>
      <c r="I1470" t="s">
        <v>254</v>
      </c>
    </row>
    <row r="1471" spans="1:9" x14ac:dyDescent="0.25">
      <c r="A1471">
        <v>517</v>
      </c>
      <c r="B1471" t="s">
        <v>3221</v>
      </c>
      <c r="C1471">
        <v>6179</v>
      </c>
      <c r="D1471" t="s">
        <v>3222</v>
      </c>
      <c r="E1471" t="s">
        <v>2187</v>
      </c>
      <c r="F1471" t="s">
        <v>220</v>
      </c>
      <c r="G1471" t="s">
        <v>361</v>
      </c>
      <c r="H1471" s="4">
        <v>37393</v>
      </c>
      <c r="I1471" t="s">
        <v>254</v>
      </c>
    </row>
    <row r="1472" spans="1:9" x14ac:dyDescent="0.25">
      <c r="A1472">
        <v>518</v>
      </c>
      <c r="B1472" t="s">
        <v>3223</v>
      </c>
      <c r="C1472">
        <v>6180</v>
      </c>
      <c r="D1472" t="s">
        <v>3224</v>
      </c>
      <c r="E1472" t="s">
        <v>2187</v>
      </c>
      <c r="F1472" t="s">
        <v>220</v>
      </c>
      <c r="G1472" t="s">
        <v>2305</v>
      </c>
      <c r="H1472" s="4">
        <v>37397</v>
      </c>
      <c r="I1472" t="s">
        <v>254</v>
      </c>
    </row>
    <row r="1473" spans="1:9" x14ac:dyDescent="0.25">
      <c r="A1473">
        <v>519</v>
      </c>
      <c r="B1473" t="s">
        <v>3225</v>
      </c>
      <c r="C1473">
        <v>6182</v>
      </c>
      <c r="D1473" t="s">
        <v>3226</v>
      </c>
      <c r="E1473" t="s">
        <v>2187</v>
      </c>
      <c r="F1473" t="s">
        <v>220</v>
      </c>
      <c r="G1473" t="s">
        <v>795</v>
      </c>
      <c r="H1473" s="4">
        <v>37392</v>
      </c>
      <c r="I1473" t="s">
        <v>254</v>
      </c>
    </row>
    <row r="1474" spans="1:9" x14ac:dyDescent="0.25">
      <c r="A1474">
        <v>520</v>
      </c>
      <c r="B1474" t="s">
        <v>3227</v>
      </c>
      <c r="C1474">
        <v>6185</v>
      </c>
      <c r="D1474" t="s">
        <v>3228</v>
      </c>
      <c r="E1474" t="s">
        <v>2187</v>
      </c>
      <c r="F1474" t="s">
        <v>220</v>
      </c>
      <c r="G1474" t="s">
        <v>450</v>
      </c>
      <c r="H1474" s="4">
        <v>37477</v>
      </c>
      <c r="I1474" t="s">
        <v>254</v>
      </c>
    </row>
    <row r="1475" spans="1:9" x14ac:dyDescent="0.25">
      <c r="A1475">
        <v>521</v>
      </c>
      <c r="B1475" t="s">
        <v>3229</v>
      </c>
      <c r="C1475">
        <v>6186</v>
      </c>
      <c r="D1475" t="s">
        <v>3230</v>
      </c>
      <c r="E1475" t="s">
        <v>2187</v>
      </c>
      <c r="F1475" t="s">
        <v>220</v>
      </c>
      <c r="G1475" t="s">
        <v>335</v>
      </c>
      <c r="H1475" s="4">
        <v>37470</v>
      </c>
      <c r="I1475" t="s">
        <v>254</v>
      </c>
    </row>
    <row r="1476" spans="1:9" x14ac:dyDescent="0.25">
      <c r="A1476">
        <v>522</v>
      </c>
      <c r="B1476" t="s">
        <v>3231</v>
      </c>
      <c r="C1476">
        <v>6187</v>
      </c>
      <c r="D1476" t="s">
        <v>3232</v>
      </c>
      <c r="E1476" t="s">
        <v>2187</v>
      </c>
      <c r="F1476" t="s">
        <v>220</v>
      </c>
      <c r="G1476" t="s">
        <v>804</v>
      </c>
      <c r="H1476" s="4">
        <v>37526</v>
      </c>
      <c r="I1476" t="s">
        <v>254</v>
      </c>
    </row>
    <row r="1477" spans="1:9" x14ac:dyDescent="0.25">
      <c r="A1477">
        <v>523</v>
      </c>
      <c r="B1477" t="s">
        <v>3233</v>
      </c>
      <c r="C1477">
        <v>6188</v>
      </c>
      <c r="D1477" t="s">
        <v>3234</v>
      </c>
      <c r="E1477" t="s">
        <v>2187</v>
      </c>
      <c r="F1477" t="s">
        <v>220</v>
      </c>
      <c r="G1477" t="s">
        <v>792</v>
      </c>
      <c r="H1477" s="4">
        <v>37495</v>
      </c>
      <c r="I1477" t="s">
        <v>254</v>
      </c>
    </row>
    <row r="1478" spans="1:9" x14ac:dyDescent="0.25">
      <c r="A1478">
        <v>524</v>
      </c>
      <c r="B1478" t="s">
        <v>3235</v>
      </c>
      <c r="C1478">
        <v>6190</v>
      </c>
      <c r="D1478" t="s">
        <v>3236</v>
      </c>
      <c r="E1478" t="s">
        <v>2187</v>
      </c>
      <c r="F1478" t="s">
        <v>220</v>
      </c>
      <c r="G1478" t="s">
        <v>809</v>
      </c>
      <c r="H1478" s="4">
        <v>35830</v>
      </c>
      <c r="I1478" t="s">
        <v>254</v>
      </c>
    </row>
    <row r="1479" spans="1:9" x14ac:dyDescent="0.25">
      <c r="A1479">
        <v>525</v>
      </c>
      <c r="B1479" t="s">
        <v>3237</v>
      </c>
      <c r="C1479">
        <v>6194</v>
      </c>
      <c r="D1479" t="s">
        <v>3238</v>
      </c>
      <c r="E1479" t="s">
        <v>2187</v>
      </c>
      <c r="F1479" t="s">
        <v>220</v>
      </c>
      <c r="G1479" t="s">
        <v>450</v>
      </c>
      <c r="H1479" s="4">
        <v>37595</v>
      </c>
      <c r="I1479" t="s">
        <v>254</v>
      </c>
    </row>
    <row r="1480" spans="1:9" x14ac:dyDescent="0.25">
      <c r="A1480">
        <v>526</v>
      </c>
      <c r="B1480" t="s">
        <v>3239</v>
      </c>
      <c r="C1480">
        <v>6195</v>
      </c>
      <c r="D1480" t="s">
        <v>3240</v>
      </c>
      <c r="E1480" t="s">
        <v>2187</v>
      </c>
      <c r="F1480" t="s">
        <v>220</v>
      </c>
      <c r="G1480" t="s">
        <v>385</v>
      </c>
      <c r="H1480" s="4">
        <v>37550</v>
      </c>
      <c r="I1480" t="s">
        <v>254</v>
      </c>
    </row>
    <row r="1481" spans="1:9" x14ac:dyDescent="0.25">
      <c r="A1481">
        <v>527</v>
      </c>
      <c r="B1481" t="s">
        <v>3241</v>
      </c>
      <c r="C1481">
        <v>6198</v>
      </c>
      <c r="D1481" t="s">
        <v>3242</v>
      </c>
      <c r="E1481" t="s">
        <v>2187</v>
      </c>
      <c r="F1481" t="s">
        <v>220</v>
      </c>
      <c r="G1481" t="s">
        <v>795</v>
      </c>
      <c r="H1481" s="4">
        <v>37616</v>
      </c>
      <c r="I1481" t="s">
        <v>254</v>
      </c>
    </row>
    <row r="1482" spans="1:9" x14ac:dyDescent="0.25">
      <c r="A1482">
        <v>528</v>
      </c>
      <c r="B1482" t="s">
        <v>3243</v>
      </c>
      <c r="C1482">
        <v>6199</v>
      </c>
      <c r="D1482" t="s">
        <v>3244</v>
      </c>
      <c r="E1482" t="s">
        <v>2187</v>
      </c>
      <c r="F1482" t="s">
        <v>220</v>
      </c>
      <c r="G1482" t="s">
        <v>361</v>
      </c>
      <c r="H1482" s="4">
        <v>42650</v>
      </c>
      <c r="I1482" t="s">
        <v>254</v>
      </c>
    </row>
    <row r="1483" spans="1:9" x14ac:dyDescent="0.25">
      <c r="A1483">
        <v>529</v>
      </c>
      <c r="B1483" t="s">
        <v>3245</v>
      </c>
      <c r="C1483">
        <v>6203</v>
      </c>
      <c r="D1483" t="s">
        <v>3246</v>
      </c>
      <c r="E1483" t="s">
        <v>2187</v>
      </c>
      <c r="F1483" t="s">
        <v>220</v>
      </c>
      <c r="G1483" t="s">
        <v>450</v>
      </c>
      <c r="H1483" s="4">
        <v>37616</v>
      </c>
      <c r="I1483" t="s">
        <v>254</v>
      </c>
    </row>
    <row r="1484" spans="1:9" x14ac:dyDescent="0.25">
      <c r="A1484">
        <v>530</v>
      </c>
      <c r="B1484" t="s">
        <v>3247</v>
      </c>
      <c r="C1484">
        <v>6204</v>
      </c>
      <c r="D1484" t="s">
        <v>3248</v>
      </c>
      <c r="E1484" t="s">
        <v>2187</v>
      </c>
      <c r="F1484" t="s">
        <v>220</v>
      </c>
      <c r="G1484" t="s">
        <v>450</v>
      </c>
      <c r="H1484" s="4">
        <v>37573</v>
      </c>
      <c r="I1484" t="s">
        <v>254</v>
      </c>
    </row>
    <row r="1485" spans="1:9" x14ac:dyDescent="0.25">
      <c r="A1485">
        <v>531</v>
      </c>
      <c r="B1485" t="s">
        <v>3249</v>
      </c>
      <c r="C1485">
        <v>6207</v>
      </c>
      <c r="D1485" t="s">
        <v>3250</v>
      </c>
      <c r="E1485" t="s">
        <v>2187</v>
      </c>
      <c r="F1485" t="s">
        <v>220</v>
      </c>
      <c r="G1485" t="s">
        <v>450</v>
      </c>
      <c r="H1485" s="4">
        <v>37613</v>
      </c>
      <c r="I1485" t="s">
        <v>254</v>
      </c>
    </row>
    <row r="1486" spans="1:9" x14ac:dyDescent="0.25">
      <c r="A1486">
        <v>532</v>
      </c>
      <c r="B1486" t="s">
        <v>3251</v>
      </c>
      <c r="C1486">
        <v>6208</v>
      </c>
      <c r="D1486" t="s">
        <v>3252</v>
      </c>
      <c r="E1486" t="s">
        <v>2187</v>
      </c>
      <c r="F1486" t="s">
        <v>220</v>
      </c>
      <c r="G1486" t="s">
        <v>450</v>
      </c>
      <c r="H1486" s="4">
        <v>37613</v>
      </c>
      <c r="I1486" t="s">
        <v>254</v>
      </c>
    </row>
    <row r="1487" spans="1:9" x14ac:dyDescent="0.25">
      <c r="A1487">
        <v>533</v>
      </c>
      <c r="B1487" t="s">
        <v>3253</v>
      </c>
      <c r="C1487">
        <v>6210</v>
      </c>
      <c r="D1487" t="s">
        <v>3254</v>
      </c>
      <c r="E1487" t="s">
        <v>2187</v>
      </c>
      <c r="F1487" t="s">
        <v>220</v>
      </c>
      <c r="G1487" t="s">
        <v>450</v>
      </c>
      <c r="H1487" s="4">
        <v>37666</v>
      </c>
      <c r="I1487" t="s">
        <v>254</v>
      </c>
    </row>
    <row r="1488" spans="1:9" x14ac:dyDescent="0.25">
      <c r="A1488">
        <v>534</v>
      </c>
      <c r="B1488" t="s">
        <v>3255</v>
      </c>
      <c r="C1488">
        <v>6212</v>
      </c>
      <c r="D1488" t="s">
        <v>3256</v>
      </c>
      <c r="E1488" t="s">
        <v>2187</v>
      </c>
      <c r="F1488" t="s">
        <v>220</v>
      </c>
      <c r="G1488" t="s">
        <v>335</v>
      </c>
      <c r="H1488" s="4">
        <v>37616</v>
      </c>
      <c r="I1488" t="s">
        <v>254</v>
      </c>
    </row>
    <row r="1489" spans="1:9" x14ac:dyDescent="0.25">
      <c r="A1489">
        <v>535</v>
      </c>
      <c r="B1489" t="s">
        <v>3257</v>
      </c>
      <c r="C1489">
        <v>6217</v>
      </c>
      <c r="D1489" t="s">
        <v>3258</v>
      </c>
      <c r="E1489" t="s">
        <v>2187</v>
      </c>
      <c r="F1489" t="s">
        <v>220</v>
      </c>
      <c r="G1489" t="s">
        <v>450</v>
      </c>
      <c r="H1489" s="4">
        <v>37630</v>
      </c>
      <c r="I1489" t="s">
        <v>254</v>
      </c>
    </row>
    <row r="1490" spans="1:9" x14ac:dyDescent="0.25">
      <c r="A1490">
        <v>536</v>
      </c>
      <c r="B1490" t="s">
        <v>3259</v>
      </c>
      <c r="C1490">
        <v>6218</v>
      </c>
      <c r="D1490" t="s">
        <v>3260</v>
      </c>
      <c r="E1490" t="s">
        <v>2187</v>
      </c>
      <c r="F1490" t="s">
        <v>220</v>
      </c>
      <c r="G1490" t="s">
        <v>809</v>
      </c>
      <c r="H1490" s="4">
        <v>37635</v>
      </c>
      <c r="I1490" t="s">
        <v>254</v>
      </c>
    </row>
    <row r="1491" spans="1:9" x14ac:dyDescent="0.25">
      <c r="A1491">
        <v>537</v>
      </c>
      <c r="B1491" t="s">
        <v>3261</v>
      </c>
      <c r="C1491">
        <v>6219</v>
      </c>
      <c r="D1491" t="s">
        <v>3262</v>
      </c>
      <c r="E1491" t="s">
        <v>2187</v>
      </c>
      <c r="F1491" t="s">
        <v>220</v>
      </c>
      <c r="G1491" t="s">
        <v>335</v>
      </c>
      <c r="H1491" s="4">
        <v>37678</v>
      </c>
      <c r="I1491" t="s">
        <v>254</v>
      </c>
    </row>
    <row r="1492" spans="1:9" x14ac:dyDescent="0.25">
      <c r="A1492">
        <v>538</v>
      </c>
      <c r="B1492" t="s">
        <v>3263</v>
      </c>
      <c r="C1492">
        <v>6220</v>
      </c>
      <c r="D1492" t="s">
        <v>3264</v>
      </c>
      <c r="E1492" t="s">
        <v>2187</v>
      </c>
      <c r="F1492" t="s">
        <v>220</v>
      </c>
      <c r="G1492" t="s">
        <v>450</v>
      </c>
      <c r="H1492" s="4">
        <v>37630</v>
      </c>
      <c r="I1492" t="s">
        <v>254</v>
      </c>
    </row>
    <row r="1493" spans="1:9" x14ac:dyDescent="0.25">
      <c r="A1493">
        <v>539</v>
      </c>
      <c r="B1493" t="s">
        <v>3265</v>
      </c>
      <c r="C1493">
        <v>6221</v>
      </c>
      <c r="D1493" t="s">
        <v>3266</v>
      </c>
      <c r="E1493" t="s">
        <v>2187</v>
      </c>
      <c r="F1493" t="s">
        <v>220</v>
      </c>
      <c r="G1493" t="s">
        <v>964</v>
      </c>
      <c r="H1493" s="4">
        <v>37627</v>
      </c>
      <c r="I1493" t="s">
        <v>254</v>
      </c>
    </row>
    <row r="1494" spans="1:9" x14ac:dyDescent="0.25">
      <c r="A1494">
        <v>540</v>
      </c>
      <c r="B1494" t="s">
        <v>3267</v>
      </c>
      <c r="C1494">
        <v>6222</v>
      </c>
      <c r="D1494" t="s">
        <v>3268</v>
      </c>
      <c r="E1494" t="s">
        <v>2187</v>
      </c>
      <c r="F1494" t="s">
        <v>220</v>
      </c>
      <c r="G1494" t="s">
        <v>818</v>
      </c>
      <c r="H1494" s="4">
        <v>37630</v>
      </c>
      <c r="I1494" t="s">
        <v>254</v>
      </c>
    </row>
    <row r="1495" spans="1:9" x14ac:dyDescent="0.25">
      <c r="A1495">
        <v>541</v>
      </c>
      <c r="B1495" t="s">
        <v>3269</v>
      </c>
      <c r="C1495">
        <v>6223</v>
      </c>
      <c r="D1495" t="s">
        <v>3270</v>
      </c>
      <c r="E1495" t="s">
        <v>2187</v>
      </c>
      <c r="F1495" t="s">
        <v>220</v>
      </c>
      <c r="G1495" t="s">
        <v>795</v>
      </c>
      <c r="H1495" s="4">
        <v>37627</v>
      </c>
      <c r="I1495" t="s">
        <v>254</v>
      </c>
    </row>
    <row r="1496" spans="1:9" x14ac:dyDescent="0.25">
      <c r="A1496">
        <v>542</v>
      </c>
      <c r="B1496" t="s">
        <v>3271</v>
      </c>
      <c r="C1496">
        <v>6227</v>
      </c>
      <c r="D1496" t="s">
        <v>3272</v>
      </c>
      <c r="E1496" t="s">
        <v>2187</v>
      </c>
      <c r="F1496" t="s">
        <v>220</v>
      </c>
      <c r="G1496" t="s">
        <v>847</v>
      </c>
      <c r="H1496" s="4">
        <v>37635</v>
      </c>
      <c r="I1496" t="s">
        <v>254</v>
      </c>
    </row>
    <row r="1497" spans="1:9" x14ac:dyDescent="0.25">
      <c r="A1497">
        <v>543</v>
      </c>
      <c r="B1497" t="s">
        <v>3273</v>
      </c>
      <c r="C1497">
        <v>6228</v>
      </c>
      <c r="D1497" t="s">
        <v>3274</v>
      </c>
      <c r="E1497" t="s">
        <v>2187</v>
      </c>
      <c r="F1497" t="s">
        <v>220</v>
      </c>
      <c r="G1497" t="s">
        <v>792</v>
      </c>
      <c r="H1497" s="4">
        <v>37642</v>
      </c>
      <c r="I1497" t="s">
        <v>254</v>
      </c>
    </row>
    <row r="1498" spans="1:9" x14ac:dyDescent="0.25">
      <c r="A1498">
        <v>544</v>
      </c>
      <c r="B1498" t="s">
        <v>3275</v>
      </c>
      <c r="C1498">
        <v>6229</v>
      </c>
      <c r="D1498" t="s">
        <v>3276</v>
      </c>
      <c r="E1498" t="s">
        <v>2187</v>
      </c>
      <c r="F1498" t="s">
        <v>220</v>
      </c>
      <c r="G1498" t="s">
        <v>795</v>
      </c>
      <c r="H1498" s="4">
        <v>37635</v>
      </c>
      <c r="I1498" t="s">
        <v>254</v>
      </c>
    </row>
    <row r="1499" spans="1:9" x14ac:dyDescent="0.25">
      <c r="A1499">
        <v>545</v>
      </c>
      <c r="B1499" t="s">
        <v>3277</v>
      </c>
      <c r="C1499">
        <v>6231</v>
      </c>
      <c r="D1499" t="s">
        <v>3278</v>
      </c>
      <c r="E1499" t="s">
        <v>2187</v>
      </c>
      <c r="F1499" t="s">
        <v>220</v>
      </c>
      <c r="G1499" t="s">
        <v>964</v>
      </c>
      <c r="H1499" s="4">
        <v>37644</v>
      </c>
      <c r="I1499" t="s">
        <v>254</v>
      </c>
    </row>
    <row r="1500" spans="1:9" x14ac:dyDescent="0.25">
      <c r="A1500">
        <v>546</v>
      </c>
      <c r="B1500" t="s">
        <v>3279</v>
      </c>
      <c r="C1500">
        <v>6233</v>
      </c>
      <c r="D1500" t="s">
        <v>3280</v>
      </c>
      <c r="E1500" t="s">
        <v>2187</v>
      </c>
      <c r="F1500" t="s">
        <v>220</v>
      </c>
      <c r="G1500" t="s">
        <v>795</v>
      </c>
      <c r="H1500" s="4">
        <v>37672</v>
      </c>
      <c r="I1500" t="s">
        <v>254</v>
      </c>
    </row>
    <row r="1501" spans="1:9" x14ac:dyDescent="0.25">
      <c r="A1501">
        <v>547</v>
      </c>
      <c r="B1501" t="s">
        <v>3281</v>
      </c>
      <c r="C1501">
        <v>6234</v>
      </c>
      <c r="D1501" t="s">
        <v>3282</v>
      </c>
      <c r="E1501" t="s">
        <v>2187</v>
      </c>
      <c r="F1501" t="s">
        <v>220</v>
      </c>
      <c r="G1501" t="s">
        <v>818</v>
      </c>
      <c r="H1501" s="4">
        <v>37692</v>
      </c>
      <c r="I1501" t="s">
        <v>254</v>
      </c>
    </row>
    <row r="1502" spans="1:9" x14ac:dyDescent="0.25">
      <c r="A1502">
        <v>548</v>
      </c>
      <c r="B1502" t="s">
        <v>3283</v>
      </c>
      <c r="C1502">
        <v>6236</v>
      </c>
      <c r="D1502" t="s">
        <v>3284</v>
      </c>
      <c r="E1502" t="s">
        <v>2187</v>
      </c>
      <c r="F1502" t="s">
        <v>220</v>
      </c>
      <c r="G1502" t="s">
        <v>361</v>
      </c>
      <c r="H1502" s="4">
        <v>37711</v>
      </c>
      <c r="I1502" t="s">
        <v>254</v>
      </c>
    </row>
    <row r="1503" spans="1:9" x14ac:dyDescent="0.25">
      <c r="A1503">
        <v>549</v>
      </c>
      <c r="B1503" t="s">
        <v>3285</v>
      </c>
      <c r="C1503">
        <v>6237</v>
      </c>
      <c r="D1503" t="s">
        <v>3286</v>
      </c>
      <c r="E1503" t="s">
        <v>2187</v>
      </c>
      <c r="F1503" t="s">
        <v>220</v>
      </c>
      <c r="G1503" t="s">
        <v>795</v>
      </c>
      <c r="H1503" s="4">
        <v>37732</v>
      </c>
      <c r="I1503" t="s">
        <v>254</v>
      </c>
    </row>
    <row r="1504" spans="1:9" x14ac:dyDescent="0.25">
      <c r="A1504">
        <v>550</v>
      </c>
      <c r="B1504" t="s">
        <v>3287</v>
      </c>
      <c r="C1504">
        <v>6240</v>
      </c>
      <c r="D1504" t="s">
        <v>3288</v>
      </c>
      <c r="E1504" t="s">
        <v>2187</v>
      </c>
      <c r="F1504" t="s">
        <v>220</v>
      </c>
      <c r="G1504" t="s">
        <v>361</v>
      </c>
      <c r="H1504" s="4">
        <v>37771</v>
      </c>
      <c r="I1504" t="s">
        <v>254</v>
      </c>
    </row>
    <row r="1505" spans="1:9" x14ac:dyDescent="0.25">
      <c r="A1505">
        <v>551</v>
      </c>
      <c r="B1505" t="s">
        <v>3289</v>
      </c>
      <c r="C1505">
        <v>6241</v>
      </c>
      <c r="D1505" t="s">
        <v>3290</v>
      </c>
      <c r="E1505" t="s">
        <v>2187</v>
      </c>
      <c r="F1505" t="s">
        <v>220</v>
      </c>
      <c r="G1505" t="s">
        <v>809</v>
      </c>
      <c r="H1505" s="4">
        <v>37719</v>
      </c>
      <c r="I1505" t="s">
        <v>254</v>
      </c>
    </row>
    <row r="1506" spans="1:9" x14ac:dyDescent="0.25">
      <c r="A1506">
        <v>552</v>
      </c>
      <c r="B1506" t="s">
        <v>3291</v>
      </c>
      <c r="C1506">
        <v>6242</v>
      </c>
      <c r="D1506" t="s">
        <v>3292</v>
      </c>
      <c r="E1506" t="s">
        <v>2187</v>
      </c>
      <c r="F1506" t="s">
        <v>220</v>
      </c>
      <c r="G1506" t="s">
        <v>546</v>
      </c>
      <c r="H1506" s="4">
        <v>37734</v>
      </c>
      <c r="I1506" t="s">
        <v>254</v>
      </c>
    </row>
    <row r="1507" spans="1:9" x14ac:dyDescent="0.25">
      <c r="A1507">
        <v>553</v>
      </c>
      <c r="B1507" t="s">
        <v>3293</v>
      </c>
      <c r="C1507">
        <v>6244</v>
      </c>
      <c r="D1507" t="s">
        <v>3294</v>
      </c>
      <c r="E1507" t="s">
        <v>2187</v>
      </c>
      <c r="F1507" t="s">
        <v>220</v>
      </c>
      <c r="G1507" t="s">
        <v>818</v>
      </c>
      <c r="H1507" s="4">
        <v>37756</v>
      </c>
      <c r="I1507" t="s">
        <v>254</v>
      </c>
    </row>
    <row r="1508" spans="1:9" x14ac:dyDescent="0.25">
      <c r="A1508">
        <v>554</v>
      </c>
      <c r="B1508" t="s">
        <v>3295</v>
      </c>
      <c r="C1508">
        <v>6245</v>
      </c>
      <c r="D1508" t="s">
        <v>3296</v>
      </c>
      <c r="E1508" t="s">
        <v>2187</v>
      </c>
      <c r="F1508" t="s">
        <v>220</v>
      </c>
      <c r="G1508" t="s">
        <v>809</v>
      </c>
      <c r="H1508" s="4">
        <v>37760</v>
      </c>
      <c r="I1508" t="s">
        <v>254</v>
      </c>
    </row>
    <row r="1509" spans="1:9" x14ac:dyDescent="0.25">
      <c r="A1509">
        <v>555</v>
      </c>
      <c r="B1509" t="s">
        <v>3297</v>
      </c>
      <c r="C1509">
        <v>6246</v>
      </c>
      <c r="D1509" t="s">
        <v>3298</v>
      </c>
      <c r="E1509" t="s">
        <v>2187</v>
      </c>
      <c r="F1509" t="s">
        <v>220</v>
      </c>
      <c r="G1509" t="s">
        <v>818</v>
      </c>
      <c r="H1509" s="4">
        <v>37790</v>
      </c>
      <c r="I1509" t="s">
        <v>254</v>
      </c>
    </row>
    <row r="1510" spans="1:9" x14ac:dyDescent="0.25">
      <c r="A1510">
        <v>556</v>
      </c>
      <c r="B1510" t="s">
        <v>3299</v>
      </c>
      <c r="C1510">
        <v>6247</v>
      </c>
      <c r="D1510" t="s">
        <v>3300</v>
      </c>
      <c r="E1510" t="s">
        <v>2187</v>
      </c>
      <c r="F1510" t="s">
        <v>220</v>
      </c>
      <c r="G1510" t="s">
        <v>804</v>
      </c>
      <c r="H1510" s="4">
        <v>37806</v>
      </c>
      <c r="I1510" t="s">
        <v>254</v>
      </c>
    </row>
    <row r="1511" spans="1:9" x14ac:dyDescent="0.25">
      <c r="A1511">
        <v>557</v>
      </c>
      <c r="B1511" t="s">
        <v>3301</v>
      </c>
      <c r="C1511">
        <v>6248</v>
      </c>
      <c r="D1511" t="s">
        <v>3302</v>
      </c>
      <c r="E1511" t="s">
        <v>2187</v>
      </c>
      <c r="F1511" t="s">
        <v>220</v>
      </c>
      <c r="G1511" t="s">
        <v>677</v>
      </c>
      <c r="H1511" s="4">
        <v>37867</v>
      </c>
      <c r="I1511" t="s">
        <v>254</v>
      </c>
    </row>
    <row r="1512" spans="1:9" x14ac:dyDescent="0.25">
      <c r="A1512">
        <v>558</v>
      </c>
      <c r="B1512" t="s">
        <v>3303</v>
      </c>
      <c r="C1512">
        <v>6259</v>
      </c>
      <c r="D1512" t="s">
        <v>3304</v>
      </c>
      <c r="E1512" t="s">
        <v>2187</v>
      </c>
      <c r="F1512" t="s">
        <v>220</v>
      </c>
      <c r="G1512" t="s">
        <v>450</v>
      </c>
      <c r="H1512" s="4">
        <v>37881</v>
      </c>
      <c r="I1512" t="s">
        <v>254</v>
      </c>
    </row>
    <row r="1513" spans="1:9" x14ac:dyDescent="0.25">
      <c r="A1513">
        <v>559</v>
      </c>
      <c r="B1513" t="s">
        <v>3305</v>
      </c>
      <c r="C1513">
        <v>6261</v>
      </c>
      <c r="D1513" t="s">
        <v>3306</v>
      </c>
      <c r="E1513" t="s">
        <v>2187</v>
      </c>
      <c r="F1513" t="s">
        <v>220</v>
      </c>
      <c r="G1513" t="s">
        <v>795</v>
      </c>
      <c r="H1513" s="4">
        <v>38075</v>
      </c>
      <c r="I1513" t="s">
        <v>254</v>
      </c>
    </row>
    <row r="1514" spans="1:9" x14ac:dyDescent="0.25">
      <c r="A1514">
        <v>560</v>
      </c>
      <c r="B1514" t="s">
        <v>3307</v>
      </c>
      <c r="C1514">
        <v>6263</v>
      </c>
      <c r="D1514" t="s">
        <v>3308</v>
      </c>
      <c r="E1514" t="s">
        <v>2187</v>
      </c>
      <c r="F1514" t="s">
        <v>220</v>
      </c>
      <c r="G1514" t="s">
        <v>809</v>
      </c>
      <c r="H1514" s="4">
        <v>37881</v>
      </c>
      <c r="I1514" t="s">
        <v>254</v>
      </c>
    </row>
    <row r="1515" spans="1:9" x14ac:dyDescent="0.25">
      <c r="A1515">
        <v>561</v>
      </c>
      <c r="B1515" t="s">
        <v>3309</v>
      </c>
      <c r="C1515">
        <v>6264</v>
      </c>
      <c r="D1515" t="s">
        <v>3310</v>
      </c>
      <c r="E1515" t="s">
        <v>2187</v>
      </c>
      <c r="F1515" t="s">
        <v>220</v>
      </c>
      <c r="G1515" t="s">
        <v>335</v>
      </c>
      <c r="H1515" s="4">
        <v>38041</v>
      </c>
      <c r="I1515" t="s">
        <v>254</v>
      </c>
    </row>
    <row r="1516" spans="1:9" x14ac:dyDescent="0.25">
      <c r="A1516">
        <v>562</v>
      </c>
      <c r="B1516" t="s">
        <v>3311</v>
      </c>
      <c r="C1516">
        <v>6265</v>
      </c>
      <c r="D1516" t="s">
        <v>3312</v>
      </c>
      <c r="E1516" t="s">
        <v>2187</v>
      </c>
      <c r="F1516" t="s">
        <v>220</v>
      </c>
      <c r="G1516" t="s">
        <v>847</v>
      </c>
      <c r="H1516" s="4">
        <v>37918</v>
      </c>
      <c r="I1516" t="s">
        <v>254</v>
      </c>
    </row>
    <row r="1517" spans="1:9" x14ac:dyDescent="0.25">
      <c r="A1517">
        <v>563</v>
      </c>
      <c r="B1517" t="s">
        <v>3313</v>
      </c>
      <c r="C1517">
        <v>6266</v>
      </c>
      <c r="D1517" t="s">
        <v>3314</v>
      </c>
      <c r="E1517" t="s">
        <v>2187</v>
      </c>
      <c r="F1517" t="s">
        <v>220</v>
      </c>
      <c r="G1517" t="s">
        <v>450</v>
      </c>
      <c r="H1517" s="4">
        <v>38106</v>
      </c>
      <c r="I1517" t="s">
        <v>254</v>
      </c>
    </row>
    <row r="1518" spans="1:9" x14ac:dyDescent="0.25">
      <c r="A1518">
        <v>564</v>
      </c>
      <c r="B1518" t="s">
        <v>3315</v>
      </c>
      <c r="C1518">
        <v>6270</v>
      </c>
      <c r="D1518" t="s">
        <v>3316</v>
      </c>
      <c r="E1518" t="s">
        <v>2187</v>
      </c>
      <c r="F1518" t="s">
        <v>220</v>
      </c>
      <c r="G1518" t="s">
        <v>847</v>
      </c>
      <c r="H1518" s="4">
        <v>37881</v>
      </c>
      <c r="I1518" t="s">
        <v>254</v>
      </c>
    </row>
    <row r="1519" spans="1:9" x14ac:dyDescent="0.25">
      <c r="A1519">
        <v>565</v>
      </c>
      <c r="B1519" t="s">
        <v>3317</v>
      </c>
      <c r="C1519">
        <v>6274</v>
      </c>
      <c r="D1519" t="s">
        <v>3318</v>
      </c>
      <c r="E1519" t="s">
        <v>2187</v>
      </c>
      <c r="F1519" t="s">
        <v>220</v>
      </c>
      <c r="G1519" t="s">
        <v>450</v>
      </c>
      <c r="H1519" s="4">
        <v>37973</v>
      </c>
      <c r="I1519" t="s">
        <v>254</v>
      </c>
    </row>
    <row r="1520" spans="1:9" x14ac:dyDescent="0.25">
      <c r="A1520">
        <v>566</v>
      </c>
      <c r="B1520" t="s">
        <v>3319</v>
      </c>
      <c r="C1520">
        <v>6275</v>
      </c>
      <c r="D1520" t="s">
        <v>3320</v>
      </c>
      <c r="E1520" t="s">
        <v>2187</v>
      </c>
      <c r="F1520" t="s">
        <v>220</v>
      </c>
      <c r="G1520" t="s">
        <v>450</v>
      </c>
      <c r="H1520" s="4">
        <v>38344</v>
      </c>
      <c r="I1520" t="s">
        <v>254</v>
      </c>
    </row>
    <row r="1521" spans="1:9" x14ac:dyDescent="0.25">
      <c r="A1521">
        <v>567</v>
      </c>
      <c r="B1521" t="s">
        <v>3321</v>
      </c>
      <c r="C1521">
        <v>6276</v>
      </c>
      <c r="D1521" t="s">
        <v>3322</v>
      </c>
      <c r="E1521" t="s">
        <v>2187</v>
      </c>
      <c r="F1521" t="s">
        <v>220</v>
      </c>
      <c r="G1521" t="s">
        <v>792</v>
      </c>
      <c r="H1521" s="4">
        <v>37924</v>
      </c>
      <c r="I1521" t="s">
        <v>254</v>
      </c>
    </row>
    <row r="1522" spans="1:9" x14ac:dyDescent="0.25">
      <c r="A1522">
        <v>568</v>
      </c>
      <c r="B1522" t="s">
        <v>3323</v>
      </c>
      <c r="C1522">
        <v>6279</v>
      </c>
      <c r="D1522" t="s">
        <v>3324</v>
      </c>
      <c r="E1522" t="s">
        <v>2187</v>
      </c>
      <c r="F1522" t="s">
        <v>220</v>
      </c>
      <c r="G1522" t="s">
        <v>450</v>
      </c>
      <c r="H1522" s="4">
        <v>37951</v>
      </c>
      <c r="I1522" t="s">
        <v>254</v>
      </c>
    </row>
    <row r="1523" spans="1:9" x14ac:dyDescent="0.25">
      <c r="A1523">
        <v>569</v>
      </c>
      <c r="B1523" t="s">
        <v>3325</v>
      </c>
      <c r="C1523">
        <v>6284</v>
      </c>
      <c r="D1523" t="s">
        <v>3326</v>
      </c>
      <c r="E1523" t="s">
        <v>2187</v>
      </c>
      <c r="F1523" t="s">
        <v>220</v>
      </c>
      <c r="G1523" t="s">
        <v>450</v>
      </c>
      <c r="H1523" s="4">
        <v>38167</v>
      </c>
      <c r="I1523" t="s">
        <v>254</v>
      </c>
    </row>
    <row r="1524" spans="1:9" x14ac:dyDescent="0.25">
      <c r="A1524">
        <v>570</v>
      </c>
      <c r="B1524" t="s">
        <v>3327</v>
      </c>
      <c r="C1524">
        <v>6287</v>
      </c>
      <c r="D1524" t="s">
        <v>3328</v>
      </c>
      <c r="E1524" t="s">
        <v>2187</v>
      </c>
      <c r="F1524" t="s">
        <v>220</v>
      </c>
      <c r="G1524" t="s">
        <v>795</v>
      </c>
      <c r="H1524" s="4">
        <v>37896</v>
      </c>
      <c r="I1524" t="s">
        <v>254</v>
      </c>
    </row>
    <row r="1525" spans="1:9" x14ac:dyDescent="0.25">
      <c r="A1525">
        <v>571</v>
      </c>
      <c r="B1525" t="s">
        <v>3329</v>
      </c>
      <c r="C1525">
        <v>6290</v>
      </c>
      <c r="D1525" t="s">
        <v>3330</v>
      </c>
      <c r="E1525" t="s">
        <v>2187</v>
      </c>
      <c r="F1525" t="s">
        <v>220</v>
      </c>
      <c r="G1525" t="s">
        <v>450</v>
      </c>
      <c r="H1525" s="4">
        <v>38506</v>
      </c>
      <c r="I1525" t="s">
        <v>254</v>
      </c>
    </row>
    <row r="1526" spans="1:9" x14ac:dyDescent="0.25">
      <c r="A1526">
        <v>572</v>
      </c>
      <c r="B1526" t="s">
        <v>3331</v>
      </c>
      <c r="C1526">
        <v>6291</v>
      </c>
      <c r="D1526" t="s">
        <v>3332</v>
      </c>
      <c r="E1526" t="s">
        <v>2187</v>
      </c>
      <c r="F1526" t="s">
        <v>220</v>
      </c>
      <c r="G1526" t="s">
        <v>795</v>
      </c>
      <c r="H1526" s="4">
        <v>38014</v>
      </c>
      <c r="I1526" t="s">
        <v>254</v>
      </c>
    </row>
    <row r="1527" spans="1:9" x14ac:dyDescent="0.25">
      <c r="A1527">
        <v>573</v>
      </c>
      <c r="B1527" t="s">
        <v>3333</v>
      </c>
      <c r="C1527">
        <v>6292</v>
      </c>
      <c r="D1527" t="s">
        <v>3334</v>
      </c>
      <c r="E1527" t="s">
        <v>2187</v>
      </c>
      <c r="F1527" t="s">
        <v>220</v>
      </c>
      <c r="G1527" t="s">
        <v>450</v>
      </c>
      <c r="H1527" s="4">
        <v>37951</v>
      </c>
      <c r="I1527" t="s">
        <v>254</v>
      </c>
    </row>
    <row r="1528" spans="1:9" x14ac:dyDescent="0.25">
      <c r="A1528">
        <v>574</v>
      </c>
      <c r="B1528" t="s">
        <v>3335</v>
      </c>
      <c r="C1528">
        <v>6294</v>
      </c>
      <c r="D1528" t="s">
        <v>3336</v>
      </c>
      <c r="E1528" t="s">
        <v>2187</v>
      </c>
      <c r="F1528" t="s">
        <v>220</v>
      </c>
      <c r="G1528" t="s">
        <v>2305</v>
      </c>
      <c r="H1528" s="4">
        <v>37999</v>
      </c>
      <c r="I1528" t="s">
        <v>254</v>
      </c>
    </row>
    <row r="1529" spans="1:9" x14ac:dyDescent="0.25">
      <c r="A1529">
        <v>575</v>
      </c>
      <c r="B1529" t="s">
        <v>3337</v>
      </c>
      <c r="C1529">
        <v>6404</v>
      </c>
      <c r="D1529" t="s">
        <v>3338</v>
      </c>
      <c r="E1529" t="s">
        <v>2187</v>
      </c>
      <c r="F1529" t="s">
        <v>220</v>
      </c>
      <c r="G1529" t="s">
        <v>964</v>
      </c>
      <c r="H1529" s="4">
        <v>41843</v>
      </c>
      <c r="I1529" t="s">
        <v>254</v>
      </c>
    </row>
    <row r="1530" spans="1:9" x14ac:dyDescent="0.25">
      <c r="A1530">
        <v>576</v>
      </c>
      <c r="B1530" t="s">
        <v>3339</v>
      </c>
      <c r="C1530">
        <v>6411</v>
      </c>
      <c r="D1530" t="s">
        <v>3340</v>
      </c>
      <c r="E1530" t="s">
        <v>2187</v>
      </c>
      <c r="F1530" t="s">
        <v>220</v>
      </c>
      <c r="G1530" t="s">
        <v>795</v>
      </c>
      <c r="H1530" s="4">
        <v>41709</v>
      </c>
      <c r="I1530" t="s">
        <v>254</v>
      </c>
    </row>
    <row r="1531" spans="1:9" x14ac:dyDescent="0.25">
      <c r="A1531">
        <v>577</v>
      </c>
      <c r="B1531" t="s">
        <v>3341</v>
      </c>
      <c r="C1531">
        <v>6417</v>
      </c>
      <c r="D1531" t="s">
        <v>3342</v>
      </c>
      <c r="E1531" t="s">
        <v>2187</v>
      </c>
      <c r="F1531" t="s">
        <v>220</v>
      </c>
      <c r="G1531" t="s">
        <v>809</v>
      </c>
      <c r="H1531" s="4">
        <v>42285</v>
      </c>
      <c r="I1531" t="s">
        <v>254</v>
      </c>
    </row>
    <row r="1532" spans="1:9" x14ac:dyDescent="0.25">
      <c r="A1532">
        <v>578</v>
      </c>
      <c r="B1532" t="s">
        <v>3343</v>
      </c>
      <c r="C1532">
        <v>6418</v>
      </c>
      <c r="D1532" t="s">
        <v>3344</v>
      </c>
      <c r="E1532" t="s">
        <v>2187</v>
      </c>
      <c r="F1532" t="s">
        <v>220</v>
      </c>
      <c r="G1532" t="s">
        <v>450</v>
      </c>
      <c r="H1532" s="4">
        <v>43514</v>
      </c>
      <c r="I1532" t="s">
        <v>254</v>
      </c>
    </row>
    <row r="1533" spans="1:9" x14ac:dyDescent="0.25">
      <c r="A1533">
        <v>579</v>
      </c>
      <c r="B1533" t="s">
        <v>3345</v>
      </c>
      <c r="C1533">
        <v>6419</v>
      </c>
      <c r="D1533" t="s">
        <v>3346</v>
      </c>
      <c r="E1533" t="s">
        <v>2187</v>
      </c>
      <c r="F1533" t="s">
        <v>220</v>
      </c>
      <c r="G1533" t="s">
        <v>818</v>
      </c>
      <c r="H1533" s="4">
        <v>42002</v>
      </c>
      <c r="I1533" t="s">
        <v>254</v>
      </c>
    </row>
    <row r="1534" spans="1:9" x14ac:dyDescent="0.25">
      <c r="A1534">
        <v>580</v>
      </c>
      <c r="B1534" t="s">
        <v>3347</v>
      </c>
      <c r="C1534">
        <v>6425</v>
      </c>
      <c r="D1534" t="s">
        <v>3348</v>
      </c>
      <c r="E1534" t="s">
        <v>2187</v>
      </c>
      <c r="F1534" t="s">
        <v>220</v>
      </c>
      <c r="G1534" t="s">
        <v>465</v>
      </c>
      <c r="H1534" s="4">
        <v>43483</v>
      </c>
      <c r="I1534" t="s">
        <v>254</v>
      </c>
    </row>
    <row r="1535" spans="1:9" x14ac:dyDescent="0.25">
      <c r="A1535">
        <v>581</v>
      </c>
      <c r="B1535" t="s">
        <v>3349</v>
      </c>
      <c r="C1535">
        <v>6432</v>
      </c>
      <c r="D1535" t="s">
        <v>3350</v>
      </c>
      <c r="E1535" t="s">
        <v>2187</v>
      </c>
      <c r="F1535" t="s">
        <v>220</v>
      </c>
      <c r="G1535" t="s">
        <v>450</v>
      </c>
      <c r="H1535" s="4">
        <v>42144</v>
      </c>
      <c r="I1535" t="s">
        <v>254</v>
      </c>
    </row>
    <row r="1536" spans="1:9" x14ac:dyDescent="0.25">
      <c r="A1536">
        <v>582</v>
      </c>
      <c r="B1536" t="s">
        <v>3351</v>
      </c>
      <c r="C1536">
        <v>6435</v>
      </c>
      <c r="D1536" t="s">
        <v>3352</v>
      </c>
      <c r="E1536" t="s">
        <v>2187</v>
      </c>
      <c r="F1536" t="s">
        <v>220</v>
      </c>
      <c r="G1536" t="s">
        <v>795</v>
      </c>
      <c r="H1536" s="4">
        <v>42376</v>
      </c>
      <c r="I1536" t="s">
        <v>254</v>
      </c>
    </row>
    <row r="1537" spans="1:9" x14ac:dyDescent="0.25">
      <c r="A1537">
        <v>583</v>
      </c>
      <c r="B1537" t="s">
        <v>3353</v>
      </c>
      <c r="C1537">
        <v>6441</v>
      </c>
      <c r="D1537" t="s">
        <v>3354</v>
      </c>
      <c r="E1537" t="s">
        <v>2187</v>
      </c>
      <c r="F1537" t="s">
        <v>220</v>
      </c>
      <c r="G1537" t="s">
        <v>792</v>
      </c>
      <c r="H1537" s="4">
        <v>43005</v>
      </c>
      <c r="I1537" t="s">
        <v>254</v>
      </c>
    </row>
    <row r="1538" spans="1:9" x14ac:dyDescent="0.25">
      <c r="A1538">
        <v>584</v>
      </c>
      <c r="B1538" t="s">
        <v>3355</v>
      </c>
      <c r="C1538">
        <v>6446</v>
      </c>
      <c r="D1538" t="s">
        <v>3356</v>
      </c>
      <c r="E1538" t="s">
        <v>2187</v>
      </c>
      <c r="F1538" t="s">
        <v>220</v>
      </c>
      <c r="G1538" t="s">
        <v>546</v>
      </c>
      <c r="H1538" s="4">
        <v>42570</v>
      </c>
      <c r="I1538" t="s">
        <v>254</v>
      </c>
    </row>
    <row r="1539" spans="1:9" x14ac:dyDescent="0.25">
      <c r="A1539">
        <v>585</v>
      </c>
      <c r="B1539" t="s">
        <v>3357</v>
      </c>
      <c r="C1539">
        <v>6457</v>
      </c>
      <c r="D1539" t="s">
        <v>3358</v>
      </c>
      <c r="E1539" t="s">
        <v>2187</v>
      </c>
      <c r="F1539" t="s">
        <v>220</v>
      </c>
      <c r="G1539" t="s">
        <v>795</v>
      </c>
      <c r="H1539" s="4">
        <v>42167</v>
      </c>
      <c r="I1539" t="s">
        <v>254</v>
      </c>
    </row>
    <row r="1540" spans="1:9" x14ac:dyDescent="0.25">
      <c r="A1540">
        <v>586</v>
      </c>
      <c r="B1540" t="s">
        <v>3359</v>
      </c>
      <c r="C1540">
        <v>6461</v>
      </c>
      <c r="D1540" t="s">
        <v>3360</v>
      </c>
      <c r="E1540" t="s">
        <v>2187</v>
      </c>
      <c r="F1540" t="s">
        <v>220</v>
      </c>
      <c r="G1540" t="s">
        <v>546</v>
      </c>
      <c r="H1540" s="4">
        <v>43187</v>
      </c>
      <c r="I1540" t="s">
        <v>254</v>
      </c>
    </row>
    <row r="1541" spans="1:9" x14ac:dyDescent="0.25">
      <c r="A1541">
        <v>587</v>
      </c>
      <c r="B1541" t="s">
        <v>3361</v>
      </c>
      <c r="C1541">
        <v>6462</v>
      </c>
      <c r="D1541" t="s">
        <v>3362</v>
      </c>
      <c r="E1541" t="s">
        <v>2187</v>
      </c>
      <c r="F1541" t="s">
        <v>220</v>
      </c>
      <c r="G1541" t="s">
        <v>795</v>
      </c>
      <c r="H1541" s="4">
        <v>42361</v>
      </c>
      <c r="I1541" t="s">
        <v>254</v>
      </c>
    </row>
    <row r="1542" spans="1:9" x14ac:dyDescent="0.25">
      <c r="A1542">
        <v>588</v>
      </c>
      <c r="B1542" t="s">
        <v>3363</v>
      </c>
      <c r="C1542">
        <v>6465</v>
      </c>
      <c r="D1542" t="s">
        <v>3364</v>
      </c>
      <c r="E1542" t="s">
        <v>2187</v>
      </c>
      <c r="F1542" t="s">
        <v>220</v>
      </c>
      <c r="G1542" t="s">
        <v>809</v>
      </c>
      <c r="H1542" s="4">
        <v>42328</v>
      </c>
      <c r="I1542" t="s">
        <v>254</v>
      </c>
    </row>
    <row r="1543" spans="1:9" x14ac:dyDescent="0.25">
      <c r="A1543">
        <v>589</v>
      </c>
      <c r="B1543" t="s">
        <v>3365</v>
      </c>
      <c r="C1543">
        <v>6469</v>
      </c>
      <c r="D1543" t="s">
        <v>3366</v>
      </c>
      <c r="E1543" t="s">
        <v>2187</v>
      </c>
      <c r="F1543" t="s">
        <v>220</v>
      </c>
      <c r="G1543" t="s">
        <v>546</v>
      </c>
      <c r="H1543" s="4">
        <v>42459</v>
      </c>
      <c r="I1543" t="s">
        <v>254</v>
      </c>
    </row>
    <row r="1544" spans="1:9" x14ac:dyDescent="0.25">
      <c r="A1544">
        <v>590</v>
      </c>
      <c r="B1544" t="s">
        <v>3367</v>
      </c>
      <c r="C1544">
        <v>6470</v>
      </c>
      <c r="D1544" t="s">
        <v>3368</v>
      </c>
      <c r="E1544" t="s">
        <v>2187</v>
      </c>
      <c r="F1544" t="s">
        <v>220</v>
      </c>
      <c r="G1544" t="s">
        <v>809</v>
      </c>
      <c r="H1544" s="4">
        <v>42311</v>
      </c>
      <c r="I1544" t="s">
        <v>254</v>
      </c>
    </row>
    <row r="1545" spans="1:9" x14ac:dyDescent="0.25">
      <c r="A1545">
        <v>591</v>
      </c>
      <c r="B1545" t="s">
        <v>3369</v>
      </c>
      <c r="C1545">
        <v>6472</v>
      </c>
      <c r="D1545" t="s">
        <v>3370</v>
      </c>
      <c r="E1545" t="s">
        <v>2187</v>
      </c>
      <c r="F1545" t="s">
        <v>220</v>
      </c>
      <c r="G1545" t="s">
        <v>546</v>
      </c>
      <c r="H1545" s="4">
        <v>42844</v>
      </c>
      <c r="I1545" t="s">
        <v>254</v>
      </c>
    </row>
    <row r="1546" spans="1:9" x14ac:dyDescent="0.25">
      <c r="A1546">
        <v>592</v>
      </c>
      <c r="B1546" t="s">
        <v>3371</v>
      </c>
      <c r="C1546">
        <v>6482</v>
      </c>
      <c r="D1546" t="s">
        <v>3372</v>
      </c>
      <c r="E1546" t="s">
        <v>2187</v>
      </c>
      <c r="F1546" t="s">
        <v>220</v>
      </c>
      <c r="G1546" t="s">
        <v>2305</v>
      </c>
      <c r="H1546" s="4">
        <v>42534</v>
      </c>
      <c r="I1546" t="s">
        <v>254</v>
      </c>
    </row>
    <row r="1547" spans="1:9" x14ac:dyDescent="0.25">
      <c r="A1547">
        <v>593</v>
      </c>
      <c r="B1547" t="s">
        <v>3373</v>
      </c>
      <c r="C1547">
        <v>6485</v>
      </c>
      <c r="D1547" t="s">
        <v>3374</v>
      </c>
      <c r="E1547" t="s">
        <v>2187</v>
      </c>
      <c r="F1547" t="s">
        <v>220</v>
      </c>
      <c r="G1547" t="s">
        <v>795</v>
      </c>
      <c r="H1547" s="4">
        <v>42325</v>
      </c>
      <c r="I1547" t="s">
        <v>254</v>
      </c>
    </row>
    <row r="1548" spans="1:9" x14ac:dyDescent="0.25">
      <c r="A1548">
        <v>594</v>
      </c>
      <c r="B1548" t="s">
        <v>3375</v>
      </c>
      <c r="C1548">
        <v>6486</v>
      </c>
      <c r="D1548" t="s">
        <v>3376</v>
      </c>
      <c r="E1548" t="s">
        <v>2187</v>
      </c>
      <c r="F1548" t="s">
        <v>220</v>
      </c>
      <c r="G1548" t="s">
        <v>809</v>
      </c>
      <c r="H1548" s="4">
        <v>42626</v>
      </c>
      <c r="I1548" t="s">
        <v>254</v>
      </c>
    </row>
    <row r="1549" spans="1:9" x14ac:dyDescent="0.25">
      <c r="A1549">
        <v>595</v>
      </c>
      <c r="B1549" t="s">
        <v>3377</v>
      </c>
      <c r="C1549">
        <v>6488</v>
      </c>
      <c r="D1549" t="s">
        <v>3378</v>
      </c>
      <c r="E1549" t="s">
        <v>2187</v>
      </c>
      <c r="F1549" t="s">
        <v>220</v>
      </c>
      <c r="G1549" t="s">
        <v>795</v>
      </c>
      <c r="H1549" s="4">
        <v>42272</v>
      </c>
      <c r="I1549" t="s">
        <v>254</v>
      </c>
    </row>
    <row r="1550" spans="1:9" x14ac:dyDescent="0.25">
      <c r="A1550">
        <v>596</v>
      </c>
      <c r="B1550" t="s">
        <v>3379</v>
      </c>
      <c r="C1550">
        <v>6492</v>
      </c>
      <c r="D1550" t="s">
        <v>3380</v>
      </c>
      <c r="E1550" t="s">
        <v>2187</v>
      </c>
      <c r="F1550" t="s">
        <v>220</v>
      </c>
      <c r="G1550" t="s">
        <v>546</v>
      </c>
      <c r="H1550" s="4">
        <v>42849</v>
      </c>
      <c r="I1550" t="s">
        <v>254</v>
      </c>
    </row>
    <row r="1551" spans="1:9" x14ac:dyDescent="0.25">
      <c r="A1551">
        <v>597</v>
      </c>
      <c r="B1551" t="s">
        <v>3381</v>
      </c>
      <c r="C1551">
        <v>6494</v>
      </c>
      <c r="D1551" t="s">
        <v>3382</v>
      </c>
      <c r="E1551" t="s">
        <v>2187</v>
      </c>
      <c r="F1551" t="s">
        <v>220</v>
      </c>
      <c r="G1551" t="s">
        <v>795</v>
      </c>
      <c r="H1551" s="4">
        <v>42499</v>
      </c>
      <c r="I1551" t="s">
        <v>254</v>
      </c>
    </row>
    <row r="1552" spans="1:9" x14ac:dyDescent="0.25">
      <c r="A1552">
        <v>598</v>
      </c>
      <c r="B1552" t="s">
        <v>3383</v>
      </c>
      <c r="C1552">
        <v>6496</v>
      </c>
      <c r="D1552" t="s">
        <v>3384</v>
      </c>
      <c r="E1552" t="s">
        <v>2187</v>
      </c>
      <c r="F1552" t="s">
        <v>220</v>
      </c>
      <c r="G1552" t="s">
        <v>546</v>
      </c>
      <c r="H1552" s="4">
        <v>42376</v>
      </c>
      <c r="I1552" t="s">
        <v>254</v>
      </c>
    </row>
    <row r="1553" spans="1:9" x14ac:dyDescent="0.25">
      <c r="A1553">
        <v>599</v>
      </c>
      <c r="B1553" t="s">
        <v>3385</v>
      </c>
      <c r="C1553">
        <v>6499</v>
      </c>
      <c r="D1553" t="s">
        <v>3386</v>
      </c>
      <c r="E1553" t="s">
        <v>2187</v>
      </c>
      <c r="F1553" t="s">
        <v>220</v>
      </c>
      <c r="G1553" t="s">
        <v>546</v>
      </c>
      <c r="H1553" s="4">
        <v>42578</v>
      </c>
      <c r="I1553" t="s">
        <v>254</v>
      </c>
    </row>
    <row r="1554" spans="1:9" x14ac:dyDescent="0.25">
      <c r="A1554">
        <v>600</v>
      </c>
      <c r="B1554" t="s">
        <v>3387</v>
      </c>
      <c r="C1554">
        <v>6506</v>
      </c>
      <c r="D1554" t="s">
        <v>3388</v>
      </c>
      <c r="E1554" t="s">
        <v>2187</v>
      </c>
      <c r="F1554" t="s">
        <v>220</v>
      </c>
      <c r="G1554" t="s">
        <v>364</v>
      </c>
      <c r="H1554" s="4">
        <v>40666</v>
      </c>
      <c r="I1554" t="s">
        <v>254</v>
      </c>
    </row>
    <row r="1555" spans="1:9" x14ac:dyDescent="0.25">
      <c r="A1555">
        <v>601</v>
      </c>
      <c r="B1555" t="s">
        <v>3389</v>
      </c>
      <c r="C1555">
        <v>6508</v>
      </c>
      <c r="D1555" t="s">
        <v>3390</v>
      </c>
      <c r="E1555" t="s">
        <v>2187</v>
      </c>
      <c r="F1555" t="s">
        <v>220</v>
      </c>
      <c r="G1555" t="s">
        <v>2188</v>
      </c>
      <c r="H1555" s="4">
        <v>38068</v>
      </c>
      <c r="I1555" t="s">
        <v>254</v>
      </c>
    </row>
    <row r="1556" spans="1:9" x14ac:dyDescent="0.25">
      <c r="A1556">
        <v>602</v>
      </c>
      <c r="B1556" t="s">
        <v>3391</v>
      </c>
      <c r="C1556">
        <v>6509</v>
      </c>
      <c r="D1556" t="s">
        <v>3392</v>
      </c>
      <c r="E1556" t="s">
        <v>2187</v>
      </c>
      <c r="F1556" t="s">
        <v>220</v>
      </c>
      <c r="G1556" t="s">
        <v>582</v>
      </c>
      <c r="H1556" s="4">
        <v>38089</v>
      </c>
      <c r="I1556" t="s">
        <v>254</v>
      </c>
    </row>
    <row r="1557" spans="1:9" x14ac:dyDescent="0.25">
      <c r="A1557">
        <v>603</v>
      </c>
      <c r="B1557" t="s">
        <v>3393</v>
      </c>
      <c r="C1557">
        <v>6510</v>
      </c>
      <c r="D1557" t="s">
        <v>3394</v>
      </c>
      <c r="E1557" t="s">
        <v>2187</v>
      </c>
      <c r="F1557" t="s">
        <v>220</v>
      </c>
      <c r="G1557" t="s">
        <v>795</v>
      </c>
      <c r="H1557" s="4">
        <v>42453</v>
      </c>
      <c r="I1557" t="s">
        <v>254</v>
      </c>
    </row>
    <row r="1558" spans="1:9" x14ac:dyDescent="0.25">
      <c r="A1558">
        <v>604</v>
      </c>
      <c r="B1558" t="s">
        <v>3395</v>
      </c>
      <c r="C1558">
        <v>6512</v>
      </c>
      <c r="D1558" t="s">
        <v>3396</v>
      </c>
      <c r="E1558" t="s">
        <v>2187</v>
      </c>
      <c r="F1558" t="s">
        <v>220</v>
      </c>
      <c r="G1558" t="s">
        <v>804</v>
      </c>
      <c r="H1558" s="4">
        <v>42454</v>
      </c>
      <c r="I1558" t="s">
        <v>254</v>
      </c>
    </row>
    <row r="1559" spans="1:9" x14ac:dyDescent="0.25">
      <c r="A1559">
        <v>605</v>
      </c>
      <c r="B1559" t="s">
        <v>3397</v>
      </c>
      <c r="C1559">
        <v>6514</v>
      </c>
      <c r="D1559" t="s">
        <v>3398</v>
      </c>
      <c r="E1559" t="s">
        <v>2187</v>
      </c>
      <c r="F1559" t="s">
        <v>220</v>
      </c>
      <c r="G1559" t="s">
        <v>809</v>
      </c>
      <c r="H1559" s="4">
        <v>42340</v>
      </c>
      <c r="I1559" t="s">
        <v>254</v>
      </c>
    </row>
    <row r="1560" spans="1:9" x14ac:dyDescent="0.25">
      <c r="A1560">
        <v>606</v>
      </c>
      <c r="B1560" t="s">
        <v>3399</v>
      </c>
      <c r="C1560">
        <v>6516</v>
      </c>
      <c r="D1560" t="s">
        <v>3400</v>
      </c>
      <c r="E1560" t="s">
        <v>2187</v>
      </c>
      <c r="F1560" t="s">
        <v>220</v>
      </c>
      <c r="G1560" t="s">
        <v>964</v>
      </c>
      <c r="H1560" s="4">
        <v>43591</v>
      </c>
      <c r="I1560" t="s">
        <v>254</v>
      </c>
    </row>
    <row r="1561" spans="1:9" x14ac:dyDescent="0.25">
      <c r="A1561">
        <v>607</v>
      </c>
      <c r="B1561" t="s">
        <v>3401</v>
      </c>
      <c r="C1561">
        <v>6523</v>
      </c>
      <c r="D1561" t="s">
        <v>3402</v>
      </c>
      <c r="E1561" t="s">
        <v>2187</v>
      </c>
      <c r="F1561" t="s">
        <v>220</v>
      </c>
      <c r="G1561" t="s">
        <v>546</v>
      </c>
      <c r="H1561" s="4">
        <v>42537</v>
      </c>
      <c r="I1561" t="s">
        <v>254</v>
      </c>
    </row>
    <row r="1562" spans="1:9" x14ac:dyDescent="0.25">
      <c r="A1562">
        <v>608</v>
      </c>
      <c r="B1562" t="s">
        <v>3403</v>
      </c>
      <c r="C1562">
        <v>6527</v>
      </c>
      <c r="D1562" t="s">
        <v>3404</v>
      </c>
      <c r="E1562" t="s">
        <v>2187</v>
      </c>
      <c r="F1562" t="s">
        <v>220</v>
      </c>
      <c r="G1562" t="s">
        <v>546</v>
      </c>
      <c r="H1562" s="4">
        <v>43824</v>
      </c>
      <c r="I1562" t="s">
        <v>254</v>
      </c>
    </row>
    <row r="1563" spans="1:9" x14ac:dyDescent="0.25">
      <c r="A1563">
        <v>609</v>
      </c>
      <c r="B1563" t="s">
        <v>3405</v>
      </c>
      <c r="C1563">
        <v>6530</v>
      </c>
      <c r="D1563" t="s">
        <v>3406</v>
      </c>
      <c r="E1563" t="s">
        <v>2187</v>
      </c>
      <c r="F1563" t="s">
        <v>220</v>
      </c>
      <c r="G1563" t="s">
        <v>809</v>
      </c>
      <c r="H1563" s="4">
        <v>43123</v>
      </c>
      <c r="I1563" t="s">
        <v>254</v>
      </c>
    </row>
    <row r="1564" spans="1:9" x14ac:dyDescent="0.25">
      <c r="A1564">
        <v>610</v>
      </c>
      <c r="B1564" t="s">
        <v>3407</v>
      </c>
      <c r="C1564">
        <v>6532</v>
      </c>
      <c r="D1564" t="s">
        <v>3408</v>
      </c>
      <c r="E1564" t="s">
        <v>2187</v>
      </c>
      <c r="F1564" t="s">
        <v>220</v>
      </c>
      <c r="G1564" t="s">
        <v>795</v>
      </c>
      <c r="H1564" s="4">
        <v>42639</v>
      </c>
      <c r="I1564" t="s">
        <v>254</v>
      </c>
    </row>
    <row r="1565" spans="1:9" x14ac:dyDescent="0.25">
      <c r="A1565">
        <v>611</v>
      </c>
      <c r="B1565" t="s">
        <v>3409</v>
      </c>
      <c r="C1565">
        <v>6535</v>
      </c>
      <c r="D1565" t="s">
        <v>3410</v>
      </c>
      <c r="E1565" t="s">
        <v>2187</v>
      </c>
      <c r="F1565" t="s">
        <v>220</v>
      </c>
      <c r="G1565" t="s">
        <v>546</v>
      </c>
      <c r="H1565" s="4">
        <v>42639</v>
      </c>
      <c r="I1565" t="s">
        <v>254</v>
      </c>
    </row>
    <row r="1566" spans="1:9" x14ac:dyDescent="0.25">
      <c r="A1566">
        <v>612</v>
      </c>
      <c r="B1566" t="s">
        <v>3411</v>
      </c>
      <c r="C1566">
        <v>6538</v>
      </c>
      <c r="D1566" t="s">
        <v>3412</v>
      </c>
      <c r="E1566" t="s">
        <v>2187</v>
      </c>
      <c r="F1566" t="s">
        <v>220</v>
      </c>
      <c r="G1566" t="s">
        <v>450</v>
      </c>
      <c r="H1566" s="4">
        <v>42664</v>
      </c>
      <c r="I1566" t="s">
        <v>254</v>
      </c>
    </row>
    <row r="1567" spans="1:9" x14ac:dyDescent="0.25">
      <c r="A1567">
        <v>613</v>
      </c>
      <c r="B1567" t="s">
        <v>3413</v>
      </c>
      <c r="C1567">
        <v>6542</v>
      </c>
      <c r="D1567" t="s">
        <v>3414</v>
      </c>
      <c r="E1567" t="s">
        <v>2187</v>
      </c>
      <c r="F1567" t="s">
        <v>220</v>
      </c>
      <c r="G1567" t="s">
        <v>2305</v>
      </c>
      <c r="H1567" s="4">
        <v>42621</v>
      </c>
      <c r="I1567" t="s">
        <v>254</v>
      </c>
    </row>
    <row r="1568" spans="1:9" x14ac:dyDescent="0.25">
      <c r="A1568">
        <v>614</v>
      </c>
      <c r="B1568" t="s">
        <v>3415</v>
      </c>
      <c r="C1568">
        <v>6547</v>
      </c>
      <c r="D1568" t="s">
        <v>3416</v>
      </c>
      <c r="E1568" t="s">
        <v>2187</v>
      </c>
      <c r="F1568" t="s">
        <v>220</v>
      </c>
      <c r="G1568" t="s">
        <v>546</v>
      </c>
      <c r="H1568" s="4">
        <v>43207</v>
      </c>
      <c r="I1568" t="s">
        <v>254</v>
      </c>
    </row>
    <row r="1569" spans="1:9" x14ac:dyDescent="0.25">
      <c r="A1569">
        <v>615</v>
      </c>
      <c r="B1569" t="s">
        <v>3417</v>
      </c>
      <c r="C1569">
        <v>6548</v>
      </c>
      <c r="D1569" t="s">
        <v>3418</v>
      </c>
      <c r="E1569" t="s">
        <v>2187</v>
      </c>
      <c r="F1569" t="s">
        <v>220</v>
      </c>
      <c r="G1569" t="s">
        <v>795</v>
      </c>
      <c r="H1569" s="4">
        <v>42626</v>
      </c>
      <c r="I1569" t="s">
        <v>254</v>
      </c>
    </row>
    <row r="1570" spans="1:9" x14ac:dyDescent="0.25">
      <c r="A1570">
        <v>616</v>
      </c>
      <c r="B1570" t="s">
        <v>3419</v>
      </c>
      <c r="C1570">
        <v>6556</v>
      </c>
      <c r="D1570" t="s">
        <v>3420</v>
      </c>
      <c r="E1570" t="s">
        <v>2187</v>
      </c>
      <c r="F1570" t="s">
        <v>220</v>
      </c>
      <c r="G1570" t="s">
        <v>818</v>
      </c>
      <c r="H1570" s="4">
        <v>43039</v>
      </c>
      <c r="I1570" t="s">
        <v>254</v>
      </c>
    </row>
    <row r="1571" spans="1:9" x14ac:dyDescent="0.25">
      <c r="A1571">
        <v>617</v>
      </c>
      <c r="B1571" t="s">
        <v>3421</v>
      </c>
      <c r="C1571">
        <v>6560</v>
      </c>
      <c r="D1571" t="s">
        <v>3422</v>
      </c>
      <c r="E1571" t="s">
        <v>2187</v>
      </c>
      <c r="F1571" t="s">
        <v>220</v>
      </c>
      <c r="G1571" t="s">
        <v>818</v>
      </c>
      <c r="H1571" s="4">
        <v>42759</v>
      </c>
      <c r="I1571" t="s">
        <v>254</v>
      </c>
    </row>
    <row r="1572" spans="1:9" x14ac:dyDescent="0.25">
      <c r="A1572">
        <v>618</v>
      </c>
      <c r="B1572" t="s">
        <v>3423</v>
      </c>
      <c r="C1572">
        <v>6561</v>
      </c>
      <c r="D1572" t="s">
        <v>3424</v>
      </c>
      <c r="E1572" t="s">
        <v>2187</v>
      </c>
      <c r="F1572" t="s">
        <v>220</v>
      </c>
      <c r="G1572" t="s">
        <v>809</v>
      </c>
      <c r="H1572" s="4">
        <v>43256</v>
      </c>
      <c r="I1572" t="s">
        <v>254</v>
      </c>
    </row>
    <row r="1573" spans="1:9" x14ac:dyDescent="0.25">
      <c r="A1573">
        <v>619</v>
      </c>
      <c r="B1573" t="s">
        <v>3425</v>
      </c>
      <c r="C1573">
        <v>6568</v>
      </c>
      <c r="D1573" t="s">
        <v>3426</v>
      </c>
      <c r="E1573" t="s">
        <v>2187</v>
      </c>
      <c r="F1573" t="s">
        <v>220</v>
      </c>
      <c r="G1573" t="s">
        <v>795</v>
      </c>
      <c r="H1573" s="4">
        <v>42732</v>
      </c>
      <c r="I1573" t="s">
        <v>254</v>
      </c>
    </row>
    <row r="1574" spans="1:9" x14ac:dyDescent="0.25">
      <c r="A1574">
        <v>620</v>
      </c>
      <c r="B1574" t="s">
        <v>3427</v>
      </c>
      <c r="C1574">
        <v>6569</v>
      </c>
      <c r="D1574" t="s">
        <v>3428</v>
      </c>
      <c r="E1574" t="s">
        <v>2187</v>
      </c>
      <c r="F1574" t="s">
        <v>220</v>
      </c>
      <c r="G1574" t="s">
        <v>546</v>
      </c>
      <c r="H1574" s="4">
        <v>42725</v>
      </c>
      <c r="I1574" t="s">
        <v>254</v>
      </c>
    </row>
    <row r="1575" spans="1:9" x14ac:dyDescent="0.25">
      <c r="A1575">
        <v>621</v>
      </c>
      <c r="B1575" t="s">
        <v>3429</v>
      </c>
      <c r="C1575">
        <v>6570</v>
      </c>
      <c r="D1575" t="s">
        <v>3430</v>
      </c>
      <c r="E1575" t="s">
        <v>2187</v>
      </c>
      <c r="F1575" t="s">
        <v>220</v>
      </c>
      <c r="G1575" t="s">
        <v>792</v>
      </c>
      <c r="H1575" s="4">
        <v>43080</v>
      </c>
      <c r="I1575" t="s">
        <v>254</v>
      </c>
    </row>
    <row r="1576" spans="1:9" x14ac:dyDescent="0.25">
      <c r="A1576">
        <v>622</v>
      </c>
      <c r="B1576" t="s">
        <v>3431</v>
      </c>
      <c r="C1576">
        <v>6574</v>
      </c>
      <c r="D1576" t="s">
        <v>3432</v>
      </c>
      <c r="E1576" t="s">
        <v>2187</v>
      </c>
      <c r="F1576" t="s">
        <v>220</v>
      </c>
      <c r="G1576" t="s">
        <v>546</v>
      </c>
      <c r="H1576" s="4">
        <v>42982</v>
      </c>
      <c r="I1576" t="s">
        <v>254</v>
      </c>
    </row>
    <row r="1577" spans="1:9" x14ac:dyDescent="0.25">
      <c r="A1577">
        <v>623</v>
      </c>
      <c r="B1577" t="s">
        <v>3433</v>
      </c>
      <c r="C1577">
        <v>6576</v>
      </c>
      <c r="D1577" t="s">
        <v>3434</v>
      </c>
      <c r="E1577" t="s">
        <v>2187</v>
      </c>
      <c r="F1577" t="s">
        <v>220</v>
      </c>
      <c r="G1577" t="s">
        <v>546</v>
      </c>
      <c r="H1577" s="4">
        <v>43280</v>
      </c>
      <c r="I1577" t="s">
        <v>254</v>
      </c>
    </row>
    <row r="1578" spans="1:9" x14ac:dyDescent="0.25">
      <c r="A1578">
        <v>624</v>
      </c>
      <c r="B1578" t="s">
        <v>3435</v>
      </c>
      <c r="C1578">
        <v>6577</v>
      </c>
      <c r="D1578" t="s">
        <v>3436</v>
      </c>
      <c r="E1578" t="s">
        <v>2187</v>
      </c>
      <c r="F1578" t="s">
        <v>220</v>
      </c>
      <c r="G1578" t="s">
        <v>792</v>
      </c>
      <c r="H1578" s="4">
        <v>42815</v>
      </c>
      <c r="I1578" t="s">
        <v>254</v>
      </c>
    </row>
    <row r="1579" spans="1:9" x14ac:dyDescent="0.25">
      <c r="A1579">
        <v>625</v>
      </c>
      <c r="B1579" t="s">
        <v>3437</v>
      </c>
      <c r="C1579">
        <v>6578</v>
      </c>
      <c r="D1579" t="s">
        <v>3438</v>
      </c>
      <c r="E1579" t="s">
        <v>2187</v>
      </c>
      <c r="F1579" t="s">
        <v>220</v>
      </c>
      <c r="G1579" t="s">
        <v>2188</v>
      </c>
      <c r="H1579" s="4">
        <v>43361</v>
      </c>
      <c r="I1579" t="s">
        <v>254</v>
      </c>
    </row>
    <row r="1580" spans="1:9" x14ac:dyDescent="0.25">
      <c r="A1580">
        <v>626</v>
      </c>
      <c r="B1580" t="s">
        <v>3439</v>
      </c>
      <c r="C1580">
        <v>6588</v>
      </c>
      <c r="D1580" t="s">
        <v>3440</v>
      </c>
      <c r="E1580" t="s">
        <v>2187</v>
      </c>
      <c r="F1580" t="s">
        <v>220</v>
      </c>
      <c r="G1580" t="s">
        <v>809</v>
      </c>
      <c r="H1580" s="4">
        <v>44013</v>
      </c>
      <c r="I1580" t="s">
        <v>254</v>
      </c>
    </row>
    <row r="1581" spans="1:9" x14ac:dyDescent="0.25">
      <c r="A1581">
        <v>627</v>
      </c>
      <c r="B1581" t="s">
        <v>3441</v>
      </c>
      <c r="C1581">
        <v>6589</v>
      </c>
      <c r="D1581" t="s">
        <v>3442</v>
      </c>
      <c r="E1581" t="s">
        <v>2187</v>
      </c>
      <c r="F1581" t="s">
        <v>220</v>
      </c>
      <c r="G1581" t="s">
        <v>546</v>
      </c>
      <c r="H1581" s="4">
        <v>43644</v>
      </c>
      <c r="I1581" t="s">
        <v>254</v>
      </c>
    </row>
    <row r="1582" spans="1:9" x14ac:dyDescent="0.25">
      <c r="A1582">
        <v>628</v>
      </c>
      <c r="B1582" t="s">
        <v>3443</v>
      </c>
      <c r="C1582">
        <v>6590</v>
      </c>
      <c r="D1582" t="s">
        <v>3444</v>
      </c>
      <c r="E1582" t="s">
        <v>2187</v>
      </c>
      <c r="F1582" t="s">
        <v>220</v>
      </c>
      <c r="G1582" t="s">
        <v>964</v>
      </c>
      <c r="H1582" s="4">
        <v>43458</v>
      </c>
      <c r="I1582" t="s">
        <v>254</v>
      </c>
    </row>
    <row r="1583" spans="1:9" x14ac:dyDescent="0.25">
      <c r="A1583">
        <v>629</v>
      </c>
      <c r="B1583" t="s">
        <v>3445</v>
      </c>
      <c r="C1583">
        <v>6593</v>
      </c>
      <c r="D1583" t="s">
        <v>3446</v>
      </c>
      <c r="E1583" t="s">
        <v>2187</v>
      </c>
      <c r="F1583" t="s">
        <v>220</v>
      </c>
      <c r="G1583" t="s">
        <v>964</v>
      </c>
      <c r="H1583" s="4">
        <v>43042</v>
      </c>
      <c r="I1583" t="s">
        <v>254</v>
      </c>
    </row>
    <row r="1584" spans="1:9" x14ac:dyDescent="0.25">
      <c r="A1584">
        <v>630</v>
      </c>
      <c r="B1584" t="s">
        <v>3447</v>
      </c>
      <c r="C1584">
        <v>6594</v>
      </c>
      <c r="D1584" t="s">
        <v>3448</v>
      </c>
      <c r="E1584" t="s">
        <v>2187</v>
      </c>
      <c r="F1584" t="s">
        <v>220</v>
      </c>
      <c r="G1584" t="s">
        <v>795</v>
      </c>
      <c r="H1584" s="4">
        <v>42853</v>
      </c>
      <c r="I1584" t="s">
        <v>254</v>
      </c>
    </row>
    <row r="1585" spans="1:9" x14ac:dyDescent="0.25">
      <c r="A1585">
        <v>631</v>
      </c>
      <c r="B1585" t="s">
        <v>3449</v>
      </c>
      <c r="C1585">
        <v>6596</v>
      </c>
      <c r="D1585" t="s">
        <v>3450</v>
      </c>
      <c r="E1585" t="s">
        <v>2187</v>
      </c>
      <c r="F1585" t="s">
        <v>220</v>
      </c>
      <c r="G1585" t="s">
        <v>2305</v>
      </c>
      <c r="H1585" s="4">
        <v>43104</v>
      </c>
      <c r="I1585" t="s">
        <v>254</v>
      </c>
    </row>
    <row r="1586" spans="1:9" x14ac:dyDescent="0.25">
      <c r="A1586">
        <v>632</v>
      </c>
      <c r="B1586" t="s">
        <v>3451</v>
      </c>
      <c r="C1586">
        <v>6603</v>
      </c>
      <c r="D1586" t="s">
        <v>3452</v>
      </c>
      <c r="E1586" t="s">
        <v>2187</v>
      </c>
      <c r="F1586" t="s">
        <v>220</v>
      </c>
      <c r="G1586" t="s">
        <v>465</v>
      </c>
      <c r="H1586" s="4">
        <v>38082</v>
      </c>
      <c r="I1586" t="s">
        <v>254</v>
      </c>
    </row>
    <row r="1587" spans="1:9" x14ac:dyDescent="0.25">
      <c r="A1587">
        <v>633</v>
      </c>
      <c r="B1587" t="s">
        <v>3453</v>
      </c>
      <c r="C1587">
        <v>6609</v>
      </c>
      <c r="D1587" t="s">
        <v>3454</v>
      </c>
      <c r="E1587" t="s">
        <v>2187</v>
      </c>
      <c r="F1587" t="s">
        <v>220</v>
      </c>
      <c r="G1587" t="s">
        <v>465</v>
      </c>
      <c r="H1587" s="4">
        <v>37887</v>
      </c>
      <c r="I1587" t="s">
        <v>254</v>
      </c>
    </row>
    <row r="1588" spans="1:9" x14ac:dyDescent="0.25">
      <c r="A1588">
        <v>634</v>
      </c>
      <c r="B1588" t="s">
        <v>3455</v>
      </c>
      <c r="C1588">
        <v>6612</v>
      </c>
      <c r="D1588" t="s">
        <v>3456</v>
      </c>
      <c r="E1588" t="s">
        <v>2187</v>
      </c>
      <c r="F1588" t="s">
        <v>220</v>
      </c>
      <c r="G1588" t="s">
        <v>546</v>
      </c>
      <c r="H1588" s="4">
        <v>43299</v>
      </c>
      <c r="I1588" t="s">
        <v>254</v>
      </c>
    </row>
    <row r="1589" spans="1:9" x14ac:dyDescent="0.25">
      <c r="A1589">
        <v>635</v>
      </c>
      <c r="B1589" t="s">
        <v>3457</v>
      </c>
      <c r="C1589">
        <v>6613</v>
      </c>
      <c r="D1589" t="s">
        <v>3458</v>
      </c>
      <c r="E1589" t="s">
        <v>2187</v>
      </c>
      <c r="F1589" t="s">
        <v>220</v>
      </c>
      <c r="G1589" t="s">
        <v>804</v>
      </c>
      <c r="H1589" s="4">
        <v>43097</v>
      </c>
      <c r="I1589" t="s">
        <v>254</v>
      </c>
    </row>
    <row r="1590" spans="1:9" x14ac:dyDescent="0.25">
      <c r="A1590">
        <v>636</v>
      </c>
      <c r="B1590" t="s">
        <v>3459</v>
      </c>
      <c r="C1590">
        <v>6615</v>
      </c>
      <c r="D1590" t="s">
        <v>3460</v>
      </c>
      <c r="E1590" t="s">
        <v>2187</v>
      </c>
      <c r="F1590" t="s">
        <v>220</v>
      </c>
      <c r="G1590" t="s">
        <v>546</v>
      </c>
      <c r="H1590" s="4">
        <v>43122</v>
      </c>
      <c r="I1590" t="s">
        <v>254</v>
      </c>
    </row>
    <row r="1591" spans="1:9" x14ac:dyDescent="0.25">
      <c r="A1591">
        <v>637</v>
      </c>
      <c r="B1591" t="s">
        <v>3461</v>
      </c>
      <c r="C1591">
        <v>6616</v>
      </c>
      <c r="D1591" t="s">
        <v>3462</v>
      </c>
      <c r="E1591" t="s">
        <v>2187</v>
      </c>
      <c r="F1591" t="s">
        <v>220</v>
      </c>
      <c r="G1591" t="s">
        <v>361</v>
      </c>
      <c r="H1591" s="4">
        <v>43110</v>
      </c>
      <c r="I1591" t="s">
        <v>254</v>
      </c>
    </row>
    <row r="1592" spans="1:9" x14ac:dyDescent="0.25">
      <c r="A1592">
        <v>638</v>
      </c>
      <c r="B1592" t="s">
        <v>3463</v>
      </c>
      <c r="C1592">
        <v>6624</v>
      </c>
      <c r="D1592" t="s">
        <v>3464</v>
      </c>
      <c r="E1592" t="s">
        <v>2187</v>
      </c>
      <c r="F1592" t="s">
        <v>220</v>
      </c>
      <c r="G1592" t="s">
        <v>361</v>
      </c>
      <c r="H1592" s="4">
        <v>43613</v>
      </c>
      <c r="I1592" t="s">
        <v>254</v>
      </c>
    </row>
    <row r="1593" spans="1:9" x14ac:dyDescent="0.25">
      <c r="A1593">
        <v>639</v>
      </c>
      <c r="B1593" t="s">
        <v>3465</v>
      </c>
      <c r="C1593">
        <v>6629</v>
      </c>
      <c r="D1593" t="s">
        <v>3466</v>
      </c>
      <c r="E1593" t="s">
        <v>2187</v>
      </c>
      <c r="F1593" t="s">
        <v>220</v>
      </c>
      <c r="G1593" t="s">
        <v>361</v>
      </c>
      <c r="H1593" s="4">
        <v>43622</v>
      </c>
      <c r="I1593" t="s">
        <v>254</v>
      </c>
    </row>
    <row r="1594" spans="1:9" x14ac:dyDescent="0.25">
      <c r="A1594">
        <v>640</v>
      </c>
      <c r="B1594" t="s">
        <v>3467</v>
      </c>
      <c r="C1594">
        <v>6640</v>
      </c>
      <c r="D1594" t="s">
        <v>3468</v>
      </c>
      <c r="E1594" t="s">
        <v>2187</v>
      </c>
      <c r="F1594" t="s">
        <v>220</v>
      </c>
      <c r="G1594" t="s">
        <v>795</v>
      </c>
      <c r="H1594" s="4">
        <v>43396</v>
      </c>
      <c r="I1594" t="s">
        <v>254</v>
      </c>
    </row>
    <row r="1595" spans="1:9" x14ac:dyDescent="0.25">
      <c r="A1595">
        <v>641</v>
      </c>
      <c r="B1595" t="s">
        <v>3469</v>
      </c>
      <c r="C1595">
        <v>6642</v>
      </c>
      <c r="D1595" t="s">
        <v>3470</v>
      </c>
      <c r="E1595" t="s">
        <v>2187</v>
      </c>
      <c r="F1595" t="s">
        <v>220</v>
      </c>
      <c r="G1595" t="s">
        <v>450</v>
      </c>
      <c r="H1595" s="4">
        <v>43731</v>
      </c>
      <c r="I1595" t="s">
        <v>254</v>
      </c>
    </row>
    <row r="1596" spans="1:9" x14ac:dyDescent="0.25">
      <c r="A1596">
        <v>642</v>
      </c>
      <c r="B1596" t="s">
        <v>3471</v>
      </c>
      <c r="C1596">
        <v>6643</v>
      </c>
      <c r="D1596" t="s">
        <v>3472</v>
      </c>
      <c r="E1596" t="s">
        <v>2187</v>
      </c>
      <c r="F1596" t="s">
        <v>220</v>
      </c>
      <c r="G1596" t="s">
        <v>795</v>
      </c>
      <c r="H1596" s="4">
        <v>43488</v>
      </c>
      <c r="I1596" t="s">
        <v>254</v>
      </c>
    </row>
    <row r="1597" spans="1:9" x14ac:dyDescent="0.25">
      <c r="A1597">
        <v>643</v>
      </c>
      <c r="B1597" t="s">
        <v>3473</v>
      </c>
      <c r="C1597">
        <v>6649</v>
      </c>
      <c r="D1597" t="s">
        <v>3474</v>
      </c>
      <c r="E1597" t="s">
        <v>2187</v>
      </c>
      <c r="F1597" t="s">
        <v>220</v>
      </c>
      <c r="G1597" t="s">
        <v>546</v>
      </c>
      <c r="H1597" s="4">
        <v>43621</v>
      </c>
      <c r="I1597" t="s">
        <v>254</v>
      </c>
    </row>
    <row r="1598" spans="1:9" x14ac:dyDescent="0.25">
      <c r="A1598">
        <v>644</v>
      </c>
      <c r="B1598" t="s">
        <v>3475</v>
      </c>
      <c r="C1598">
        <v>6651</v>
      </c>
      <c r="D1598" t="s">
        <v>3476</v>
      </c>
      <c r="E1598" t="s">
        <v>2187</v>
      </c>
      <c r="F1598" t="s">
        <v>220</v>
      </c>
      <c r="G1598" t="s">
        <v>795</v>
      </c>
      <c r="H1598" s="4">
        <v>44228</v>
      </c>
      <c r="I1598" t="s">
        <v>254</v>
      </c>
    </row>
    <row r="1599" spans="1:9" x14ac:dyDescent="0.25">
      <c r="A1599">
        <v>645</v>
      </c>
      <c r="B1599" t="s">
        <v>3477</v>
      </c>
      <c r="C1599">
        <v>6654</v>
      </c>
      <c r="D1599" t="s">
        <v>3478</v>
      </c>
      <c r="E1599" t="s">
        <v>2187</v>
      </c>
      <c r="F1599" t="s">
        <v>220</v>
      </c>
      <c r="G1599" t="s">
        <v>804</v>
      </c>
      <c r="H1599" s="4">
        <v>43396</v>
      </c>
      <c r="I1599" t="s">
        <v>254</v>
      </c>
    </row>
    <row r="1600" spans="1:9" x14ac:dyDescent="0.25">
      <c r="A1600">
        <v>646</v>
      </c>
      <c r="B1600" t="s">
        <v>3479</v>
      </c>
      <c r="C1600">
        <v>6661</v>
      </c>
      <c r="D1600" t="s">
        <v>3480</v>
      </c>
      <c r="E1600" t="s">
        <v>2187</v>
      </c>
      <c r="F1600" t="s">
        <v>220</v>
      </c>
      <c r="G1600" t="s">
        <v>546</v>
      </c>
      <c r="H1600" s="4">
        <v>44223</v>
      </c>
      <c r="I1600" t="s">
        <v>254</v>
      </c>
    </row>
    <row r="1601" spans="1:9" x14ac:dyDescent="0.25">
      <c r="A1601">
        <v>647</v>
      </c>
      <c r="B1601" t="s">
        <v>3481</v>
      </c>
      <c r="C1601">
        <v>6662</v>
      </c>
      <c r="D1601" t="s">
        <v>3482</v>
      </c>
      <c r="E1601" t="s">
        <v>2187</v>
      </c>
      <c r="F1601" t="s">
        <v>220</v>
      </c>
      <c r="G1601" t="s">
        <v>546</v>
      </c>
      <c r="H1601" s="4">
        <v>43550</v>
      </c>
      <c r="I1601" t="s">
        <v>254</v>
      </c>
    </row>
    <row r="1602" spans="1:9" x14ac:dyDescent="0.25">
      <c r="A1602">
        <v>648</v>
      </c>
      <c r="B1602" t="s">
        <v>3483</v>
      </c>
      <c r="C1602">
        <v>6664</v>
      </c>
      <c r="D1602" t="s">
        <v>3484</v>
      </c>
      <c r="E1602" t="s">
        <v>2187</v>
      </c>
      <c r="F1602" t="s">
        <v>220</v>
      </c>
      <c r="G1602" t="s">
        <v>450</v>
      </c>
      <c r="H1602" s="4">
        <v>43355</v>
      </c>
      <c r="I1602" t="s">
        <v>254</v>
      </c>
    </row>
    <row r="1603" spans="1:9" x14ac:dyDescent="0.25">
      <c r="A1603">
        <v>649</v>
      </c>
      <c r="B1603" t="s">
        <v>3485</v>
      </c>
      <c r="C1603">
        <v>6667</v>
      </c>
      <c r="D1603" t="s">
        <v>3486</v>
      </c>
      <c r="E1603" t="s">
        <v>2187</v>
      </c>
      <c r="F1603" t="s">
        <v>220</v>
      </c>
      <c r="G1603" t="s">
        <v>804</v>
      </c>
      <c r="H1603" s="4">
        <v>43417</v>
      </c>
      <c r="I1603" t="s">
        <v>254</v>
      </c>
    </row>
    <row r="1604" spans="1:9" x14ac:dyDescent="0.25">
      <c r="A1604">
        <v>650</v>
      </c>
      <c r="B1604" t="s">
        <v>3487</v>
      </c>
      <c r="C1604">
        <v>6679</v>
      </c>
      <c r="D1604" t="s">
        <v>3488</v>
      </c>
      <c r="E1604" t="s">
        <v>2187</v>
      </c>
      <c r="F1604" t="s">
        <v>220</v>
      </c>
      <c r="G1604" t="s">
        <v>795</v>
      </c>
      <c r="H1604" s="4">
        <v>43594</v>
      </c>
      <c r="I1604" t="s">
        <v>254</v>
      </c>
    </row>
    <row r="1605" spans="1:9" x14ac:dyDescent="0.25">
      <c r="A1605">
        <v>651</v>
      </c>
      <c r="B1605" t="s">
        <v>3489</v>
      </c>
      <c r="C1605">
        <v>6680</v>
      </c>
      <c r="D1605" t="s">
        <v>3490</v>
      </c>
      <c r="E1605" t="s">
        <v>2187</v>
      </c>
      <c r="F1605" t="s">
        <v>220</v>
      </c>
      <c r="G1605" t="s">
        <v>792</v>
      </c>
      <c r="H1605" s="4">
        <v>43724</v>
      </c>
      <c r="I1605" t="s">
        <v>254</v>
      </c>
    </row>
    <row r="1606" spans="1:9" x14ac:dyDescent="0.25">
      <c r="A1606">
        <v>652</v>
      </c>
      <c r="B1606" t="s">
        <v>3491</v>
      </c>
      <c r="C1606">
        <v>6683</v>
      </c>
      <c r="D1606" t="s">
        <v>3492</v>
      </c>
      <c r="E1606" t="s">
        <v>2187</v>
      </c>
      <c r="F1606" t="s">
        <v>220</v>
      </c>
      <c r="G1606" t="s">
        <v>795</v>
      </c>
      <c r="H1606" s="4">
        <v>43578</v>
      </c>
      <c r="I1606" t="s">
        <v>254</v>
      </c>
    </row>
    <row r="1607" spans="1:9" x14ac:dyDescent="0.25">
      <c r="A1607">
        <v>653</v>
      </c>
      <c r="B1607" t="s">
        <v>3493</v>
      </c>
      <c r="C1607">
        <v>6690</v>
      </c>
      <c r="D1607" t="s">
        <v>3494</v>
      </c>
      <c r="E1607" t="s">
        <v>2187</v>
      </c>
      <c r="F1607" t="s">
        <v>220</v>
      </c>
      <c r="G1607" t="s">
        <v>964</v>
      </c>
      <c r="H1607" s="4">
        <v>43768</v>
      </c>
      <c r="I1607" t="s">
        <v>254</v>
      </c>
    </row>
    <row r="1608" spans="1:9" x14ac:dyDescent="0.25">
      <c r="A1608">
        <v>654</v>
      </c>
      <c r="B1608" t="s">
        <v>3495</v>
      </c>
      <c r="C1608">
        <v>6697</v>
      </c>
      <c r="D1608" t="s">
        <v>3496</v>
      </c>
      <c r="E1608" t="s">
        <v>2187</v>
      </c>
      <c r="F1608" t="s">
        <v>220</v>
      </c>
      <c r="G1608" t="s">
        <v>964</v>
      </c>
      <c r="H1608" s="4">
        <v>43825</v>
      </c>
      <c r="I1608" t="s">
        <v>254</v>
      </c>
    </row>
    <row r="1609" spans="1:9" x14ac:dyDescent="0.25">
      <c r="A1609">
        <v>655</v>
      </c>
      <c r="B1609" t="s">
        <v>3497</v>
      </c>
      <c r="C1609">
        <v>6703</v>
      </c>
      <c r="D1609" t="s">
        <v>3498</v>
      </c>
      <c r="E1609" t="s">
        <v>2187</v>
      </c>
      <c r="F1609" t="s">
        <v>220</v>
      </c>
      <c r="G1609" t="s">
        <v>546</v>
      </c>
      <c r="H1609" s="4">
        <v>44124</v>
      </c>
      <c r="I1609" t="s">
        <v>254</v>
      </c>
    </row>
    <row r="1610" spans="1:9" x14ac:dyDescent="0.25">
      <c r="A1610">
        <v>656</v>
      </c>
      <c r="B1610" t="s">
        <v>3499</v>
      </c>
      <c r="C1610">
        <v>6712</v>
      </c>
      <c r="D1610" t="s">
        <v>3500</v>
      </c>
      <c r="E1610" t="s">
        <v>2187</v>
      </c>
      <c r="F1610" t="s">
        <v>220</v>
      </c>
      <c r="G1610" t="s">
        <v>546</v>
      </c>
      <c r="H1610" s="4">
        <v>44204</v>
      </c>
      <c r="I1610" t="s">
        <v>254</v>
      </c>
    </row>
    <row r="1611" spans="1:9" x14ac:dyDescent="0.25">
      <c r="A1611">
        <v>657</v>
      </c>
      <c r="B1611" t="s">
        <v>3501</v>
      </c>
      <c r="C1611">
        <v>6716</v>
      </c>
      <c r="D1611" t="s">
        <v>3502</v>
      </c>
      <c r="E1611" t="s">
        <v>2187</v>
      </c>
      <c r="F1611" t="s">
        <v>220</v>
      </c>
      <c r="G1611" t="s">
        <v>795</v>
      </c>
      <c r="H1611" s="4">
        <v>43917</v>
      </c>
      <c r="I1611" t="s">
        <v>254</v>
      </c>
    </row>
    <row r="1612" spans="1:9" x14ac:dyDescent="0.25">
      <c r="A1612">
        <v>658</v>
      </c>
      <c r="B1612" t="s">
        <v>3503</v>
      </c>
      <c r="C1612">
        <v>6727</v>
      </c>
      <c r="D1612" t="s">
        <v>3504</v>
      </c>
      <c r="E1612" t="s">
        <v>2187</v>
      </c>
      <c r="F1612" t="s">
        <v>220</v>
      </c>
      <c r="G1612" t="s">
        <v>450</v>
      </c>
      <c r="H1612" s="4">
        <v>44166</v>
      </c>
      <c r="I1612" t="s">
        <v>254</v>
      </c>
    </row>
    <row r="1613" spans="1:9" x14ac:dyDescent="0.25">
      <c r="A1613">
        <v>659</v>
      </c>
      <c r="B1613" t="s">
        <v>3505</v>
      </c>
      <c r="C1613">
        <v>6728</v>
      </c>
      <c r="D1613" t="s">
        <v>3506</v>
      </c>
      <c r="E1613" t="s">
        <v>2187</v>
      </c>
      <c r="F1613" t="s">
        <v>220</v>
      </c>
      <c r="G1613" t="s">
        <v>385</v>
      </c>
      <c r="H1613" s="4">
        <v>44190</v>
      </c>
      <c r="I1613" t="s">
        <v>254</v>
      </c>
    </row>
    <row r="1614" spans="1:9" x14ac:dyDescent="0.25">
      <c r="A1614">
        <v>660</v>
      </c>
      <c r="B1614" t="s">
        <v>3507</v>
      </c>
      <c r="C1614">
        <v>6732</v>
      </c>
      <c r="D1614" t="s">
        <v>3508</v>
      </c>
      <c r="E1614" t="s">
        <v>2187</v>
      </c>
      <c r="F1614" t="s">
        <v>220</v>
      </c>
      <c r="G1614" t="s">
        <v>795</v>
      </c>
      <c r="H1614" s="4">
        <v>43990</v>
      </c>
      <c r="I1614" t="s">
        <v>254</v>
      </c>
    </row>
    <row r="1615" spans="1:9" x14ac:dyDescent="0.25">
      <c r="A1615">
        <v>661</v>
      </c>
      <c r="B1615" t="s">
        <v>3509</v>
      </c>
      <c r="C1615">
        <v>6733</v>
      </c>
      <c r="D1615" t="s">
        <v>3510</v>
      </c>
      <c r="E1615" t="s">
        <v>2187</v>
      </c>
      <c r="F1615" t="s">
        <v>220</v>
      </c>
      <c r="G1615" t="s">
        <v>546</v>
      </c>
      <c r="H1615" s="4">
        <v>44224</v>
      </c>
      <c r="I1615" t="s">
        <v>254</v>
      </c>
    </row>
    <row r="1616" spans="1:9" x14ac:dyDescent="0.25">
      <c r="A1616">
        <v>662</v>
      </c>
      <c r="B1616" t="s">
        <v>3511</v>
      </c>
      <c r="C1616">
        <v>6741</v>
      </c>
      <c r="D1616" t="s">
        <v>3512</v>
      </c>
      <c r="E1616" t="s">
        <v>2187</v>
      </c>
      <c r="F1616" t="s">
        <v>220</v>
      </c>
      <c r="G1616" t="s">
        <v>2328</v>
      </c>
      <c r="H1616" s="4">
        <v>44341</v>
      </c>
      <c r="I1616" t="s">
        <v>254</v>
      </c>
    </row>
    <row r="1617" spans="1:9" x14ac:dyDescent="0.25">
      <c r="A1617">
        <v>663</v>
      </c>
      <c r="B1617" t="s">
        <v>3513</v>
      </c>
      <c r="C1617">
        <v>6747</v>
      </c>
      <c r="D1617" t="s">
        <v>3514</v>
      </c>
      <c r="E1617" t="s">
        <v>2187</v>
      </c>
      <c r="F1617" t="s">
        <v>220</v>
      </c>
      <c r="G1617" t="s">
        <v>546</v>
      </c>
      <c r="H1617" s="4">
        <v>44215</v>
      </c>
      <c r="I1617" t="s">
        <v>254</v>
      </c>
    </row>
    <row r="1618" spans="1:9" x14ac:dyDescent="0.25">
      <c r="A1618">
        <v>664</v>
      </c>
      <c r="B1618" t="s">
        <v>3515</v>
      </c>
      <c r="C1618">
        <v>6751</v>
      </c>
      <c r="D1618" t="s">
        <v>3516</v>
      </c>
      <c r="E1618" t="s">
        <v>2187</v>
      </c>
      <c r="F1618" t="s">
        <v>220</v>
      </c>
      <c r="G1618" t="s">
        <v>964</v>
      </c>
      <c r="H1618" s="4">
        <v>44190</v>
      </c>
      <c r="I1618" t="s">
        <v>254</v>
      </c>
    </row>
    <row r="1619" spans="1:9" x14ac:dyDescent="0.25">
      <c r="A1619">
        <v>665</v>
      </c>
      <c r="B1619" t="s">
        <v>3517</v>
      </c>
      <c r="C1619">
        <v>6752</v>
      </c>
      <c r="D1619" t="s">
        <v>3518</v>
      </c>
      <c r="E1619" t="s">
        <v>2187</v>
      </c>
      <c r="F1619" t="s">
        <v>220</v>
      </c>
      <c r="G1619" t="s">
        <v>964</v>
      </c>
      <c r="H1619" s="4">
        <v>44175</v>
      </c>
      <c r="I1619" t="s">
        <v>254</v>
      </c>
    </row>
    <row r="1620" spans="1:9" x14ac:dyDescent="0.25">
      <c r="A1620">
        <v>666</v>
      </c>
      <c r="B1620" t="s">
        <v>3519</v>
      </c>
      <c r="C1620">
        <v>6762</v>
      </c>
      <c r="D1620" t="s">
        <v>3520</v>
      </c>
      <c r="E1620" t="s">
        <v>2187</v>
      </c>
      <c r="F1620" t="s">
        <v>220</v>
      </c>
      <c r="G1620" t="s">
        <v>546</v>
      </c>
      <c r="H1620" s="4">
        <v>44183</v>
      </c>
      <c r="I1620" t="s">
        <v>254</v>
      </c>
    </row>
    <row r="1621" spans="1:9" x14ac:dyDescent="0.25">
      <c r="A1621">
        <v>667</v>
      </c>
      <c r="B1621" t="s">
        <v>3521</v>
      </c>
      <c r="C1621">
        <v>6767</v>
      </c>
      <c r="D1621" t="s">
        <v>3522</v>
      </c>
      <c r="E1621" t="s">
        <v>2187</v>
      </c>
      <c r="F1621" t="s">
        <v>220</v>
      </c>
      <c r="G1621" t="s">
        <v>546</v>
      </c>
      <c r="H1621" s="4">
        <v>44221</v>
      </c>
      <c r="I1621" t="s">
        <v>254</v>
      </c>
    </row>
    <row r="1622" spans="1:9" x14ac:dyDescent="0.25">
      <c r="A1622">
        <v>668</v>
      </c>
      <c r="B1622" t="s">
        <v>3523</v>
      </c>
      <c r="C1622">
        <v>6803</v>
      </c>
      <c r="D1622" t="s">
        <v>3524</v>
      </c>
      <c r="E1622" t="s">
        <v>2187</v>
      </c>
      <c r="F1622" t="s">
        <v>220</v>
      </c>
      <c r="G1622" t="s">
        <v>361</v>
      </c>
      <c r="H1622" s="4">
        <v>40325</v>
      </c>
      <c r="I1622" t="s">
        <v>254</v>
      </c>
    </row>
    <row r="1623" spans="1:9" x14ac:dyDescent="0.25">
      <c r="A1623">
        <v>669</v>
      </c>
      <c r="B1623" t="s">
        <v>3525</v>
      </c>
      <c r="C1623">
        <v>7402</v>
      </c>
      <c r="D1623" t="s">
        <v>3526</v>
      </c>
      <c r="E1623" t="s">
        <v>2187</v>
      </c>
      <c r="F1623" t="s">
        <v>220</v>
      </c>
      <c r="G1623" t="s">
        <v>818</v>
      </c>
      <c r="H1623" s="4">
        <v>42367</v>
      </c>
      <c r="I1623" t="s">
        <v>254</v>
      </c>
    </row>
    <row r="1624" spans="1:9" x14ac:dyDescent="0.25">
      <c r="A1624">
        <v>670</v>
      </c>
      <c r="B1624" t="s">
        <v>3527</v>
      </c>
      <c r="C1624">
        <v>7556</v>
      </c>
      <c r="D1624" t="s">
        <v>3528</v>
      </c>
      <c r="E1624" t="s">
        <v>2187</v>
      </c>
      <c r="F1624" t="s">
        <v>220</v>
      </c>
      <c r="G1624" t="s">
        <v>795</v>
      </c>
      <c r="H1624" s="4">
        <v>44134</v>
      </c>
      <c r="I1624" t="s">
        <v>254</v>
      </c>
    </row>
    <row r="1625" spans="1:9" x14ac:dyDescent="0.25">
      <c r="A1625">
        <v>671</v>
      </c>
      <c r="B1625" t="s">
        <v>3529</v>
      </c>
      <c r="C1625">
        <v>8024</v>
      </c>
      <c r="D1625" t="s">
        <v>3530</v>
      </c>
      <c r="E1625" t="s">
        <v>2187</v>
      </c>
      <c r="F1625" t="s">
        <v>220</v>
      </c>
      <c r="G1625" t="s">
        <v>795</v>
      </c>
      <c r="H1625" s="4">
        <v>38985</v>
      </c>
      <c r="I1625" t="s">
        <v>254</v>
      </c>
    </row>
    <row r="1626" spans="1:9" x14ac:dyDescent="0.25">
      <c r="A1626">
        <v>672</v>
      </c>
      <c r="B1626" t="s">
        <v>3531</v>
      </c>
      <c r="C1626">
        <v>8027</v>
      </c>
      <c r="D1626" t="s">
        <v>3532</v>
      </c>
      <c r="E1626" t="s">
        <v>2187</v>
      </c>
      <c r="F1626" t="s">
        <v>220</v>
      </c>
      <c r="G1626" t="s">
        <v>465</v>
      </c>
      <c r="H1626" s="4">
        <v>42164</v>
      </c>
      <c r="I1626" t="s">
        <v>254</v>
      </c>
    </row>
    <row r="1627" spans="1:9" x14ac:dyDescent="0.25">
      <c r="A1627">
        <v>673</v>
      </c>
      <c r="B1627" t="s">
        <v>3533</v>
      </c>
      <c r="C1627">
        <v>8032</v>
      </c>
      <c r="D1627" t="s">
        <v>3534</v>
      </c>
      <c r="E1627" t="s">
        <v>2187</v>
      </c>
      <c r="F1627" t="s">
        <v>220</v>
      </c>
      <c r="G1627" t="s">
        <v>847</v>
      </c>
      <c r="H1627" s="4">
        <v>37896</v>
      </c>
      <c r="I1627" t="s">
        <v>254</v>
      </c>
    </row>
    <row r="1628" spans="1:9" x14ac:dyDescent="0.25">
      <c r="A1628">
        <v>674</v>
      </c>
      <c r="B1628" t="s">
        <v>3535</v>
      </c>
      <c r="C1628">
        <v>8034</v>
      </c>
      <c r="D1628" t="s">
        <v>3536</v>
      </c>
      <c r="E1628" t="s">
        <v>2187</v>
      </c>
      <c r="F1628" t="s">
        <v>220</v>
      </c>
      <c r="G1628" t="s">
        <v>809</v>
      </c>
      <c r="H1628" s="4">
        <v>38113</v>
      </c>
      <c r="I1628" t="s">
        <v>254</v>
      </c>
    </row>
    <row r="1629" spans="1:9" x14ac:dyDescent="0.25">
      <c r="A1629">
        <v>675</v>
      </c>
      <c r="B1629" t="s">
        <v>3537</v>
      </c>
      <c r="C1629">
        <v>8038</v>
      </c>
      <c r="D1629" t="s">
        <v>3538</v>
      </c>
      <c r="E1629" t="s">
        <v>2187</v>
      </c>
      <c r="F1629" t="s">
        <v>220</v>
      </c>
      <c r="G1629" t="s">
        <v>450</v>
      </c>
      <c r="H1629" s="4">
        <v>41599</v>
      </c>
      <c r="I1629" t="s">
        <v>254</v>
      </c>
    </row>
    <row r="1630" spans="1:9" x14ac:dyDescent="0.25">
      <c r="A1630">
        <v>676</v>
      </c>
      <c r="B1630" t="s">
        <v>3539</v>
      </c>
      <c r="C1630">
        <v>8040</v>
      </c>
      <c r="D1630" t="s">
        <v>3540</v>
      </c>
      <c r="E1630" t="s">
        <v>2187</v>
      </c>
      <c r="F1630" t="s">
        <v>220</v>
      </c>
      <c r="G1630" t="s">
        <v>795</v>
      </c>
      <c r="H1630" s="4">
        <v>39202</v>
      </c>
      <c r="I1630" t="s">
        <v>254</v>
      </c>
    </row>
    <row r="1631" spans="1:9" x14ac:dyDescent="0.25">
      <c r="A1631">
        <v>677</v>
      </c>
      <c r="B1631" t="s">
        <v>3541</v>
      </c>
      <c r="C1631">
        <v>8042</v>
      </c>
      <c r="D1631" t="s">
        <v>3542</v>
      </c>
      <c r="E1631" t="s">
        <v>2187</v>
      </c>
      <c r="F1631" t="s">
        <v>220</v>
      </c>
      <c r="G1631" t="s">
        <v>450</v>
      </c>
      <c r="H1631" s="4">
        <v>38068</v>
      </c>
      <c r="I1631" t="s">
        <v>254</v>
      </c>
    </row>
    <row r="1632" spans="1:9" x14ac:dyDescent="0.25">
      <c r="A1632">
        <v>678</v>
      </c>
      <c r="B1632" t="s">
        <v>3543</v>
      </c>
      <c r="C1632">
        <v>8043</v>
      </c>
      <c r="D1632" t="s">
        <v>3544</v>
      </c>
      <c r="E1632" t="s">
        <v>2187</v>
      </c>
      <c r="F1632" t="s">
        <v>220</v>
      </c>
      <c r="G1632" t="s">
        <v>450</v>
      </c>
      <c r="H1632" s="4">
        <v>37918</v>
      </c>
      <c r="I1632" t="s">
        <v>254</v>
      </c>
    </row>
    <row r="1633" spans="1:9" x14ac:dyDescent="0.25">
      <c r="A1633">
        <v>679</v>
      </c>
      <c r="B1633" t="s">
        <v>3545</v>
      </c>
      <c r="C1633">
        <v>8044</v>
      </c>
      <c r="D1633" t="s">
        <v>3546</v>
      </c>
      <c r="E1633" t="s">
        <v>2187</v>
      </c>
      <c r="F1633" t="s">
        <v>220</v>
      </c>
      <c r="G1633" t="s">
        <v>2328</v>
      </c>
      <c r="H1633" s="4">
        <v>38376</v>
      </c>
      <c r="I1633" t="s">
        <v>254</v>
      </c>
    </row>
    <row r="1634" spans="1:9" x14ac:dyDescent="0.25">
      <c r="A1634">
        <v>680</v>
      </c>
      <c r="B1634" t="s">
        <v>3547</v>
      </c>
      <c r="C1634">
        <v>8047</v>
      </c>
      <c r="D1634" t="s">
        <v>3548</v>
      </c>
      <c r="E1634" t="s">
        <v>2187</v>
      </c>
      <c r="F1634" t="s">
        <v>220</v>
      </c>
      <c r="G1634" t="s">
        <v>804</v>
      </c>
      <c r="H1634" s="4">
        <v>38026</v>
      </c>
      <c r="I1634" t="s">
        <v>254</v>
      </c>
    </row>
    <row r="1635" spans="1:9" x14ac:dyDescent="0.25">
      <c r="A1635">
        <v>681</v>
      </c>
      <c r="B1635" t="s">
        <v>3549</v>
      </c>
      <c r="C1635">
        <v>8048</v>
      </c>
      <c r="D1635" t="s">
        <v>3550</v>
      </c>
      <c r="E1635" t="s">
        <v>2187</v>
      </c>
      <c r="F1635" t="s">
        <v>220</v>
      </c>
      <c r="G1635" t="s">
        <v>809</v>
      </c>
      <c r="H1635" s="4">
        <v>40064</v>
      </c>
      <c r="I1635" t="s">
        <v>254</v>
      </c>
    </row>
    <row r="1636" spans="1:9" x14ac:dyDescent="0.25">
      <c r="A1636">
        <v>682</v>
      </c>
      <c r="B1636" t="s">
        <v>3551</v>
      </c>
      <c r="C1636">
        <v>8049</v>
      </c>
      <c r="D1636" t="s">
        <v>3552</v>
      </c>
      <c r="E1636" t="s">
        <v>2187</v>
      </c>
      <c r="F1636" t="s">
        <v>220</v>
      </c>
      <c r="G1636" t="s">
        <v>818</v>
      </c>
      <c r="H1636" s="4">
        <v>38019</v>
      </c>
      <c r="I1636" t="s">
        <v>254</v>
      </c>
    </row>
    <row r="1637" spans="1:9" x14ac:dyDescent="0.25">
      <c r="A1637">
        <v>683</v>
      </c>
      <c r="B1637" t="s">
        <v>3553</v>
      </c>
      <c r="C1637">
        <v>8050</v>
      </c>
      <c r="D1637" t="s">
        <v>3554</v>
      </c>
      <c r="E1637" t="s">
        <v>2187</v>
      </c>
      <c r="F1637" t="s">
        <v>220</v>
      </c>
      <c r="G1637" t="s">
        <v>792</v>
      </c>
      <c r="H1637" s="4">
        <v>37918</v>
      </c>
      <c r="I1637" t="s">
        <v>254</v>
      </c>
    </row>
    <row r="1638" spans="1:9" x14ac:dyDescent="0.25">
      <c r="A1638">
        <v>684</v>
      </c>
      <c r="B1638" t="s">
        <v>3555</v>
      </c>
      <c r="C1638">
        <v>8054</v>
      </c>
      <c r="D1638" t="s">
        <v>3556</v>
      </c>
      <c r="E1638" t="s">
        <v>2187</v>
      </c>
      <c r="F1638" t="s">
        <v>220</v>
      </c>
      <c r="G1638" t="s">
        <v>795</v>
      </c>
      <c r="H1638" s="4">
        <v>38299</v>
      </c>
      <c r="I1638" t="s">
        <v>254</v>
      </c>
    </row>
    <row r="1639" spans="1:9" x14ac:dyDescent="0.25">
      <c r="A1639">
        <v>685</v>
      </c>
      <c r="B1639" t="s">
        <v>3557</v>
      </c>
      <c r="C1639">
        <v>8059</v>
      </c>
      <c r="D1639" t="s">
        <v>3558</v>
      </c>
      <c r="E1639" t="s">
        <v>2187</v>
      </c>
      <c r="F1639" t="s">
        <v>220</v>
      </c>
      <c r="G1639" t="s">
        <v>809</v>
      </c>
      <c r="H1639" s="4">
        <v>40253</v>
      </c>
      <c r="I1639" t="s">
        <v>254</v>
      </c>
    </row>
    <row r="1640" spans="1:9" x14ac:dyDescent="0.25">
      <c r="A1640">
        <v>686</v>
      </c>
      <c r="B1640" t="s">
        <v>3559</v>
      </c>
      <c r="C1640">
        <v>8064</v>
      </c>
      <c r="D1640" t="s">
        <v>3560</v>
      </c>
      <c r="E1640" t="s">
        <v>2187</v>
      </c>
      <c r="F1640" t="s">
        <v>220</v>
      </c>
      <c r="G1640" t="s">
        <v>818</v>
      </c>
      <c r="H1640" s="4">
        <v>38985</v>
      </c>
      <c r="I1640" t="s">
        <v>254</v>
      </c>
    </row>
    <row r="1641" spans="1:9" x14ac:dyDescent="0.25">
      <c r="A1641">
        <v>687</v>
      </c>
      <c r="B1641" t="s">
        <v>3561</v>
      </c>
      <c r="C1641">
        <v>8066</v>
      </c>
      <c r="D1641" t="s">
        <v>3562</v>
      </c>
      <c r="E1641" t="s">
        <v>2187</v>
      </c>
      <c r="F1641" t="s">
        <v>220</v>
      </c>
      <c r="G1641" t="s">
        <v>385</v>
      </c>
      <c r="H1641" s="4">
        <v>38345</v>
      </c>
      <c r="I1641" t="s">
        <v>254</v>
      </c>
    </row>
    <row r="1642" spans="1:9" x14ac:dyDescent="0.25">
      <c r="A1642">
        <v>688</v>
      </c>
      <c r="B1642" t="s">
        <v>3563</v>
      </c>
      <c r="C1642">
        <v>8067</v>
      </c>
      <c r="D1642" t="s">
        <v>3564</v>
      </c>
      <c r="E1642" t="s">
        <v>2187</v>
      </c>
      <c r="F1642" t="s">
        <v>220</v>
      </c>
      <c r="G1642" t="s">
        <v>847</v>
      </c>
      <c r="H1642" s="4">
        <v>38100</v>
      </c>
      <c r="I1642" t="s">
        <v>254</v>
      </c>
    </row>
    <row r="1643" spans="1:9" x14ac:dyDescent="0.25">
      <c r="A1643">
        <v>689</v>
      </c>
      <c r="B1643" t="s">
        <v>3565</v>
      </c>
      <c r="C1643">
        <v>8068</v>
      </c>
      <c r="D1643" t="s">
        <v>3566</v>
      </c>
      <c r="E1643" t="s">
        <v>2187</v>
      </c>
      <c r="F1643" t="s">
        <v>220</v>
      </c>
      <c r="G1643" t="s">
        <v>847</v>
      </c>
      <c r="H1643" s="4">
        <v>38071</v>
      </c>
      <c r="I1643" t="s">
        <v>254</v>
      </c>
    </row>
    <row r="1644" spans="1:9" x14ac:dyDescent="0.25">
      <c r="A1644">
        <v>690</v>
      </c>
      <c r="B1644" t="s">
        <v>3567</v>
      </c>
      <c r="C1644">
        <v>8069</v>
      </c>
      <c r="D1644" t="s">
        <v>3568</v>
      </c>
      <c r="E1644" t="s">
        <v>2187</v>
      </c>
      <c r="F1644" t="s">
        <v>220</v>
      </c>
      <c r="G1644" t="s">
        <v>818</v>
      </c>
      <c r="H1644" s="4">
        <v>38076</v>
      </c>
      <c r="I1644" t="s">
        <v>254</v>
      </c>
    </row>
    <row r="1645" spans="1:9" x14ac:dyDescent="0.25">
      <c r="A1645">
        <v>691</v>
      </c>
      <c r="B1645" t="s">
        <v>3569</v>
      </c>
      <c r="C1645">
        <v>8071</v>
      </c>
      <c r="D1645" t="s">
        <v>3570</v>
      </c>
      <c r="E1645" t="s">
        <v>2187</v>
      </c>
      <c r="F1645" t="s">
        <v>220</v>
      </c>
      <c r="G1645" t="s">
        <v>450</v>
      </c>
      <c r="H1645" s="4">
        <v>37984</v>
      </c>
      <c r="I1645" t="s">
        <v>254</v>
      </c>
    </row>
    <row r="1646" spans="1:9" x14ac:dyDescent="0.25">
      <c r="A1646">
        <v>692</v>
      </c>
      <c r="B1646" t="s">
        <v>3571</v>
      </c>
      <c r="C1646">
        <v>8074</v>
      </c>
      <c r="D1646" t="s">
        <v>3572</v>
      </c>
      <c r="E1646" t="s">
        <v>2187</v>
      </c>
      <c r="F1646" t="s">
        <v>220</v>
      </c>
      <c r="G1646" t="s">
        <v>450</v>
      </c>
      <c r="H1646" s="4">
        <v>38013</v>
      </c>
      <c r="I1646" t="s">
        <v>254</v>
      </c>
    </row>
    <row r="1647" spans="1:9" x14ac:dyDescent="0.25">
      <c r="A1647">
        <v>693</v>
      </c>
      <c r="B1647" t="s">
        <v>3573</v>
      </c>
      <c r="C1647">
        <v>8076</v>
      </c>
      <c r="D1647" t="s">
        <v>3574</v>
      </c>
      <c r="E1647" t="s">
        <v>2187</v>
      </c>
      <c r="F1647" t="s">
        <v>220</v>
      </c>
      <c r="G1647" t="s">
        <v>792</v>
      </c>
      <c r="H1647" s="4">
        <v>37970</v>
      </c>
      <c r="I1647" t="s">
        <v>254</v>
      </c>
    </row>
    <row r="1648" spans="1:9" x14ac:dyDescent="0.25">
      <c r="A1648">
        <v>694</v>
      </c>
      <c r="B1648" t="s">
        <v>3575</v>
      </c>
      <c r="C1648">
        <v>8077</v>
      </c>
      <c r="D1648" t="s">
        <v>3576</v>
      </c>
      <c r="E1648" t="s">
        <v>2187</v>
      </c>
      <c r="F1648" t="s">
        <v>220</v>
      </c>
      <c r="G1648" t="s">
        <v>1176</v>
      </c>
      <c r="H1648" s="4">
        <v>38327</v>
      </c>
      <c r="I1648" t="s">
        <v>254</v>
      </c>
    </row>
    <row r="1649" spans="1:9" x14ac:dyDescent="0.25">
      <c r="A1649">
        <v>695</v>
      </c>
      <c r="B1649" t="s">
        <v>3577</v>
      </c>
      <c r="C1649">
        <v>8080</v>
      </c>
      <c r="D1649" t="s">
        <v>3578</v>
      </c>
      <c r="E1649" t="s">
        <v>2187</v>
      </c>
      <c r="F1649" t="s">
        <v>220</v>
      </c>
      <c r="G1649" t="s">
        <v>450</v>
      </c>
      <c r="H1649" s="4">
        <v>44293</v>
      </c>
      <c r="I1649" t="s">
        <v>254</v>
      </c>
    </row>
    <row r="1650" spans="1:9" x14ac:dyDescent="0.25">
      <c r="A1650">
        <v>696</v>
      </c>
      <c r="B1650" t="s">
        <v>3579</v>
      </c>
      <c r="C1650">
        <v>8083</v>
      </c>
      <c r="D1650" t="s">
        <v>3580</v>
      </c>
      <c r="E1650" t="s">
        <v>2187</v>
      </c>
      <c r="F1650" t="s">
        <v>220</v>
      </c>
      <c r="G1650" t="s">
        <v>465</v>
      </c>
      <c r="H1650" s="4">
        <v>38253</v>
      </c>
      <c r="I1650" t="s">
        <v>254</v>
      </c>
    </row>
    <row r="1651" spans="1:9" x14ac:dyDescent="0.25">
      <c r="A1651">
        <v>697</v>
      </c>
      <c r="B1651" t="s">
        <v>3581</v>
      </c>
      <c r="C1651">
        <v>8084</v>
      </c>
      <c r="D1651" t="s">
        <v>3582</v>
      </c>
      <c r="E1651" t="s">
        <v>2187</v>
      </c>
      <c r="F1651" t="s">
        <v>220</v>
      </c>
      <c r="G1651" t="s">
        <v>847</v>
      </c>
      <c r="H1651" s="4">
        <v>38054</v>
      </c>
      <c r="I1651" t="s">
        <v>254</v>
      </c>
    </row>
    <row r="1652" spans="1:9" x14ac:dyDescent="0.25">
      <c r="A1652">
        <v>698</v>
      </c>
      <c r="B1652" t="s">
        <v>3583</v>
      </c>
      <c r="C1652">
        <v>8085</v>
      </c>
      <c r="D1652" t="s">
        <v>3584</v>
      </c>
      <c r="E1652" t="s">
        <v>2187</v>
      </c>
      <c r="F1652" t="s">
        <v>220</v>
      </c>
      <c r="G1652" t="s">
        <v>804</v>
      </c>
      <c r="H1652" s="4">
        <v>38047</v>
      </c>
      <c r="I1652" t="s">
        <v>254</v>
      </c>
    </row>
    <row r="1653" spans="1:9" x14ac:dyDescent="0.25">
      <c r="A1653">
        <v>699</v>
      </c>
      <c r="B1653" t="s">
        <v>3585</v>
      </c>
      <c r="C1653">
        <v>8086</v>
      </c>
      <c r="D1653" t="s">
        <v>3586</v>
      </c>
      <c r="E1653" t="s">
        <v>2187</v>
      </c>
      <c r="F1653" t="s">
        <v>220</v>
      </c>
      <c r="G1653" t="s">
        <v>795</v>
      </c>
      <c r="H1653" s="4">
        <v>39965</v>
      </c>
      <c r="I1653" t="s">
        <v>254</v>
      </c>
    </row>
    <row r="1654" spans="1:9" x14ac:dyDescent="0.25">
      <c r="A1654">
        <v>700</v>
      </c>
      <c r="B1654" t="s">
        <v>3587</v>
      </c>
      <c r="C1654">
        <v>8087</v>
      </c>
      <c r="D1654" t="s">
        <v>3588</v>
      </c>
      <c r="E1654" t="s">
        <v>2187</v>
      </c>
      <c r="F1654" t="s">
        <v>220</v>
      </c>
      <c r="G1654" t="s">
        <v>818</v>
      </c>
      <c r="H1654" s="4">
        <v>38042</v>
      </c>
      <c r="I1654" t="s">
        <v>254</v>
      </c>
    </row>
    <row r="1655" spans="1:9" x14ac:dyDescent="0.25">
      <c r="A1655">
        <v>701</v>
      </c>
      <c r="B1655" t="s">
        <v>3589</v>
      </c>
      <c r="C1655">
        <v>8088</v>
      </c>
      <c r="D1655" t="s">
        <v>3590</v>
      </c>
      <c r="E1655" t="s">
        <v>2187</v>
      </c>
      <c r="F1655" t="s">
        <v>220</v>
      </c>
      <c r="G1655" t="s">
        <v>795</v>
      </c>
      <c r="H1655" s="4">
        <v>38044</v>
      </c>
      <c r="I1655" t="s">
        <v>254</v>
      </c>
    </row>
    <row r="1656" spans="1:9" x14ac:dyDescent="0.25">
      <c r="A1656">
        <v>702</v>
      </c>
      <c r="B1656" t="s">
        <v>3591</v>
      </c>
      <c r="C1656">
        <v>8089</v>
      </c>
      <c r="D1656" t="s">
        <v>3592</v>
      </c>
      <c r="E1656" t="s">
        <v>2187</v>
      </c>
      <c r="F1656" t="s">
        <v>220</v>
      </c>
      <c r="G1656" t="s">
        <v>809</v>
      </c>
      <c r="H1656" s="4">
        <v>44097</v>
      </c>
      <c r="I1656" t="s">
        <v>254</v>
      </c>
    </row>
    <row r="1657" spans="1:9" x14ac:dyDescent="0.25">
      <c r="A1657">
        <v>703</v>
      </c>
      <c r="B1657" t="s">
        <v>3593</v>
      </c>
      <c r="C1657">
        <v>8091</v>
      </c>
      <c r="D1657" t="s">
        <v>3594</v>
      </c>
      <c r="E1657" t="s">
        <v>2187</v>
      </c>
      <c r="F1657" t="s">
        <v>220</v>
      </c>
      <c r="G1657" t="s">
        <v>450</v>
      </c>
      <c r="H1657" s="4">
        <v>38162</v>
      </c>
      <c r="I1657" t="s">
        <v>254</v>
      </c>
    </row>
    <row r="1658" spans="1:9" x14ac:dyDescent="0.25">
      <c r="A1658">
        <v>704</v>
      </c>
      <c r="B1658" t="s">
        <v>3595</v>
      </c>
      <c r="C1658">
        <v>8092</v>
      </c>
      <c r="D1658" t="s">
        <v>3596</v>
      </c>
      <c r="E1658" t="s">
        <v>2187</v>
      </c>
      <c r="F1658" t="s">
        <v>220</v>
      </c>
      <c r="G1658" t="s">
        <v>804</v>
      </c>
      <c r="H1658" s="4">
        <v>38019</v>
      </c>
      <c r="I1658" t="s">
        <v>254</v>
      </c>
    </row>
    <row r="1659" spans="1:9" x14ac:dyDescent="0.25">
      <c r="A1659">
        <v>705</v>
      </c>
      <c r="B1659" t="s">
        <v>3597</v>
      </c>
      <c r="C1659">
        <v>8093</v>
      </c>
      <c r="D1659" t="s">
        <v>3598</v>
      </c>
      <c r="E1659" t="s">
        <v>2187</v>
      </c>
      <c r="F1659" t="s">
        <v>220</v>
      </c>
      <c r="G1659" t="s">
        <v>450</v>
      </c>
      <c r="H1659" s="4">
        <v>38352</v>
      </c>
      <c r="I1659" t="s">
        <v>254</v>
      </c>
    </row>
    <row r="1660" spans="1:9" x14ac:dyDescent="0.25">
      <c r="A1660">
        <v>706</v>
      </c>
      <c r="B1660" t="s">
        <v>3599</v>
      </c>
      <c r="C1660">
        <v>8096</v>
      </c>
      <c r="D1660" t="s">
        <v>3600</v>
      </c>
      <c r="E1660" t="s">
        <v>2187</v>
      </c>
      <c r="F1660" t="s">
        <v>220</v>
      </c>
      <c r="G1660" t="s">
        <v>847</v>
      </c>
      <c r="H1660" s="4">
        <v>38183</v>
      </c>
      <c r="I1660" t="s">
        <v>254</v>
      </c>
    </row>
    <row r="1661" spans="1:9" x14ac:dyDescent="0.25">
      <c r="A1661">
        <v>707</v>
      </c>
      <c r="B1661" t="s">
        <v>3601</v>
      </c>
      <c r="C1661">
        <v>8097</v>
      </c>
      <c r="D1661" t="s">
        <v>3602</v>
      </c>
      <c r="E1661" t="s">
        <v>2187</v>
      </c>
      <c r="F1661" t="s">
        <v>220</v>
      </c>
      <c r="G1661" t="s">
        <v>809</v>
      </c>
      <c r="H1661" s="4">
        <v>38047</v>
      </c>
      <c r="I1661" t="s">
        <v>254</v>
      </c>
    </row>
    <row r="1662" spans="1:9" x14ac:dyDescent="0.25">
      <c r="A1662">
        <v>708</v>
      </c>
      <c r="B1662" t="s">
        <v>3603</v>
      </c>
      <c r="C1662">
        <v>8099</v>
      </c>
      <c r="D1662" t="s">
        <v>3604</v>
      </c>
      <c r="E1662" t="s">
        <v>2187</v>
      </c>
      <c r="F1662" t="s">
        <v>220</v>
      </c>
      <c r="G1662" t="s">
        <v>964</v>
      </c>
      <c r="H1662" s="4">
        <v>38075</v>
      </c>
      <c r="I1662" t="s">
        <v>254</v>
      </c>
    </row>
    <row r="1663" spans="1:9" x14ac:dyDescent="0.25">
      <c r="A1663">
        <v>709</v>
      </c>
      <c r="B1663" t="s">
        <v>3605</v>
      </c>
      <c r="C1663">
        <v>8107</v>
      </c>
      <c r="D1663" t="s">
        <v>3606</v>
      </c>
      <c r="E1663" t="s">
        <v>2187</v>
      </c>
      <c r="F1663" t="s">
        <v>220</v>
      </c>
      <c r="G1663" t="s">
        <v>465</v>
      </c>
      <c r="H1663" s="4">
        <v>38671</v>
      </c>
      <c r="I1663" t="s">
        <v>254</v>
      </c>
    </row>
    <row r="1664" spans="1:9" x14ac:dyDescent="0.25">
      <c r="A1664">
        <v>710</v>
      </c>
      <c r="B1664" t="s">
        <v>3607</v>
      </c>
      <c r="C1664">
        <v>8109</v>
      </c>
      <c r="D1664" t="s">
        <v>3608</v>
      </c>
      <c r="E1664" t="s">
        <v>2187</v>
      </c>
      <c r="F1664" t="s">
        <v>220</v>
      </c>
      <c r="G1664" t="s">
        <v>450</v>
      </c>
      <c r="H1664" s="4">
        <v>38433</v>
      </c>
      <c r="I1664" t="s">
        <v>254</v>
      </c>
    </row>
    <row r="1665" spans="1:9" x14ac:dyDescent="0.25">
      <c r="A1665">
        <v>711</v>
      </c>
      <c r="B1665" t="s">
        <v>3609</v>
      </c>
      <c r="C1665">
        <v>8111</v>
      </c>
      <c r="D1665" t="s">
        <v>3610</v>
      </c>
      <c r="E1665" t="s">
        <v>2187</v>
      </c>
      <c r="F1665" t="s">
        <v>220</v>
      </c>
      <c r="G1665" t="s">
        <v>818</v>
      </c>
      <c r="H1665" s="4">
        <v>38026</v>
      </c>
      <c r="I1665" t="s">
        <v>254</v>
      </c>
    </row>
    <row r="1666" spans="1:9" x14ac:dyDescent="0.25">
      <c r="A1666">
        <v>712</v>
      </c>
      <c r="B1666" t="s">
        <v>3611</v>
      </c>
      <c r="C1666">
        <v>8121</v>
      </c>
      <c r="D1666" t="s">
        <v>3612</v>
      </c>
      <c r="E1666" t="s">
        <v>2187</v>
      </c>
      <c r="F1666" t="s">
        <v>220</v>
      </c>
      <c r="G1666" t="s">
        <v>450</v>
      </c>
      <c r="H1666" s="4">
        <v>38400</v>
      </c>
      <c r="I1666" t="s">
        <v>254</v>
      </c>
    </row>
    <row r="1667" spans="1:9" x14ac:dyDescent="0.25">
      <c r="A1667">
        <v>713</v>
      </c>
      <c r="B1667" t="s">
        <v>3613</v>
      </c>
      <c r="C1667">
        <v>8147</v>
      </c>
      <c r="D1667" t="s">
        <v>3614</v>
      </c>
      <c r="E1667" t="s">
        <v>2187</v>
      </c>
      <c r="F1667" t="s">
        <v>220</v>
      </c>
      <c r="G1667" t="s">
        <v>450</v>
      </c>
      <c r="H1667" s="4">
        <v>41394</v>
      </c>
      <c r="I1667" t="s">
        <v>254</v>
      </c>
    </row>
    <row r="1668" spans="1:9" x14ac:dyDescent="0.25">
      <c r="A1668">
        <v>714</v>
      </c>
      <c r="B1668" t="s">
        <v>3615</v>
      </c>
      <c r="C1668">
        <v>8155</v>
      </c>
      <c r="D1668" t="s">
        <v>3616</v>
      </c>
      <c r="E1668" t="s">
        <v>2187</v>
      </c>
      <c r="F1668" t="s">
        <v>220</v>
      </c>
      <c r="G1668" t="s">
        <v>450</v>
      </c>
      <c r="H1668" s="4">
        <v>41261</v>
      </c>
      <c r="I1668" t="s">
        <v>254</v>
      </c>
    </row>
    <row r="1669" spans="1:9" x14ac:dyDescent="0.25">
      <c r="A1669">
        <v>715</v>
      </c>
      <c r="B1669" t="s">
        <v>3617</v>
      </c>
      <c r="C1669">
        <v>8171</v>
      </c>
      <c r="D1669" t="s">
        <v>3618</v>
      </c>
      <c r="E1669" t="s">
        <v>2187</v>
      </c>
      <c r="F1669" t="s">
        <v>220</v>
      </c>
      <c r="G1669" t="s">
        <v>809</v>
      </c>
      <c r="H1669" s="4">
        <v>40896</v>
      </c>
      <c r="I1669" t="s">
        <v>254</v>
      </c>
    </row>
    <row r="1670" spans="1:9" x14ac:dyDescent="0.25">
      <c r="A1670">
        <v>716</v>
      </c>
      <c r="B1670" t="s">
        <v>3619</v>
      </c>
      <c r="C1670">
        <v>8176</v>
      </c>
      <c r="D1670" t="s">
        <v>3620</v>
      </c>
      <c r="E1670" t="s">
        <v>2187</v>
      </c>
      <c r="F1670" t="s">
        <v>220</v>
      </c>
      <c r="G1670" t="s">
        <v>809</v>
      </c>
      <c r="H1670" s="4">
        <v>41450</v>
      </c>
      <c r="I1670" t="s">
        <v>254</v>
      </c>
    </row>
    <row r="1671" spans="1:9" x14ac:dyDescent="0.25">
      <c r="A1671">
        <v>717</v>
      </c>
      <c r="B1671" t="s">
        <v>3621</v>
      </c>
      <c r="C1671">
        <v>8182</v>
      </c>
      <c r="D1671" t="s">
        <v>3622</v>
      </c>
      <c r="E1671" t="s">
        <v>2187</v>
      </c>
      <c r="F1671" t="s">
        <v>220</v>
      </c>
      <c r="G1671" t="s">
        <v>450</v>
      </c>
      <c r="H1671" s="4">
        <v>38862</v>
      </c>
      <c r="I1671" t="s">
        <v>254</v>
      </c>
    </row>
    <row r="1672" spans="1:9" x14ac:dyDescent="0.25">
      <c r="A1672">
        <v>718</v>
      </c>
      <c r="B1672" t="s">
        <v>3623</v>
      </c>
      <c r="C1672">
        <v>8183</v>
      </c>
      <c r="D1672" t="s">
        <v>3624</v>
      </c>
      <c r="E1672" t="s">
        <v>2187</v>
      </c>
      <c r="F1672" t="s">
        <v>220</v>
      </c>
      <c r="G1672" t="s">
        <v>804</v>
      </c>
      <c r="H1672" s="4">
        <v>38441</v>
      </c>
      <c r="I1672" t="s">
        <v>254</v>
      </c>
    </row>
    <row r="1673" spans="1:9" x14ac:dyDescent="0.25">
      <c r="A1673">
        <v>719</v>
      </c>
      <c r="B1673" t="s">
        <v>3625</v>
      </c>
      <c r="C1673">
        <v>8234</v>
      </c>
      <c r="D1673" t="s">
        <v>3626</v>
      </c>
      <c r="E1673" t="s">
        <v>2187</v>
      </c>
      <c r="F1673" t="s">
        <v>220</v>
      </c>
      <c r="G1673" t="s">
        <v>792</v>
      </c>
      <c r="H1673" s="4">
        <v>39240</v>
      </c>
      <c r="I1673" t="s">
        <v>254</v>
      </c>
    </row>
    <row r="1674" spans="1:9" x14ac:dyDescent="0.25">
      <c r="A1674">
        <v>720</v>
      </c>
      <c r="B1674" t="s">
        <v>3627</v>
      </c>
      <c r="C1674">
        <v>8240</v>
      </c>
      <c r="D1674" t="s">
        <v>3628</v>
      </c>
      <c r="E1674" t="s">
        <v>2187</v>
      </c>
      <c r="F1674" t="s">
        <v>220</v>
      </c>
      <c r="G1674" t="s">
        <v>818</v>
      </c>
      <c r="H1674" s="4">
        <v>38526</v>
      </c>
      <c r="I1674" t="s">
        <v>254</v>
      </c>
    </row>
    <row r="1675" spans="1:9" x14ac:dyDescent="0.25">
      <c r="A1675">
        <v>721</v>
      </c>
      <c r="B1675" t="s">
        <v>3629</v>
      </c>
      <c r="C1675">
        <v>8255</v>
      </c>
      <c r="D1675" t="s">
        <v>3630</v>
      </c>
      <c r="E1675" t="s">
        <v>2187</v>
      </c>
      <c r="F1675" t="s">
        <v>220</v>
      </c>
      <c r="G1675" t="s">
        <v>465</v>
      </c>
      <c r="H1675" s="4">
        <v>38832</v>
      </c>
      <c r="I1675" t="s">
        <v>254</v>
      </c>
    </row>
    <row r="1676" spans="1:9" x14ac:dyDescent="0.25">
      <c r="A1676">
        <v>722</v>
      </c>
      <c r="B1676" t="s">
        <v>3631</v>
      </c>
      <c r="C1676">
        <v>8277</v>
      </c>
      <c r="D1676" t="s">
        <v>3632</v>
      </c>
      <c r="E1676" t="s">
        <v>2187</v>
      </c>
      <c r="F1676" t="s">
        <v>220</v>
      </c>
      <c r="G1676" t="s">
        <v>795</v>
      </c>
      <c r="H1676" s="4">
        <v>38348</v>
      </c>
      <c r="I1676" t="s">
        <v>254</v>
      </c>
    </row>
    <row r="1677" spans="1:9" x14ac:dyDescent="0.25">
      <c r="A1677">
        <v>723</v>
      </c>
      <c r="B1677" t="s">
        <v>3633</v>
      </c>
      <c r="C1677">
        <v>8279</v>
      </c>
      <c r="D1677" t="s">
        <v>3634</v>
      </c>
      <c r="E1677" t="s">
        <v>2187</v>
      </c>
      <c r="F1677" t="s">
        <v>220</v>
      </c>
      <c r="G1677" t="s">
        <v>546</v>
      </c>
      <c r="H1677" s="4">
        <v>42639</v>
      </c>
      <c r="I1677" t="s">
        <v>254</v>
      </c>
    </row>
    <row r="1678" spans="1:9" x14ac:dyDescent="0.25">
      <c r="A1678">
        <v>724</v>
      </c>
      <c r="B1678" t="s">
        <v>3635</v>
      </c>
      <c r="C1678">
        <v>8284</v>
      </c>
      <c r="D1678" t="s">
        <v>3636</v>
      </c>
      <c r="E1678" t="s">
        <v>2187</v>
      </c>
      <c r="F1678" t="s">
        <v>220</v>
      </c>
      <c r="G1678" t="s">
        <v>964</v>
      </c>
      <c r="H1678" s="4">
        <v>43969</v>
      </c>
      <c r="I1678" t="s">
        <v>254</v>
      </c>
    </row>
    <row r="1679" spans="1:9" x14ac:dyDescent="0.25">
      <c r="A1679">
        <v>725</v>
      </c>
      <c r="B1679" t="s">
        <v>3637</v>
      </c>
      <c r="C1679">
        <v>8289</v>
      </c>
      <c r="D1679" t="s">
        <v>3638</v>
      </c>
      <c r="E1679" t="s">
        <v>2187</v>
      </c>
      <c r="F1679" t="s">
        <v>220</v>
      </c>
      <c r="G1679" t="s">
        <v>450</v>
      </c>
      <c r="H1679" s="4">
        <v>39562</v>
      </c>
      <c r="I1679" t="s">
        <v>254</v>
      </c>
    </row>
    <row r="1680" spans="1:9" x14ac:dyDescent="0.25">
      <c r="A1680">
        <v>726</v>
      </c>
      <c r="B1680" t="s">
        <v>3639</v>
      </c>
      <c r="C1680">
        <v>8291</v>
      </c>
      <c r="D1680" t="s">
        <v>3640</v>
      </c>
      <c r="E1680" t="s">
        <v>2187</v>
      </c>
      <c r="F1680" t="s">
        <v>220</v>
      </c>
      <c r="G1680" t="s">
        <v>450</v>
      </c>
      <c r="H1680" s="4">
        <v>40876</v>
      </c>
      <c r="I1680" t="s">
        <v>254</v>
      </c>
    </row>
    <row r="1681" spans="1:9" x14ac:dyDescent="0.25">
      <c r="A1681">
        <v>727</v>
      </c>
      <c r="B1681" t="s">
        <v>3641</v>
      </c>
      <c r="C1681">
        <v>8299</v>
      </c>
      <c r="D1681" t="s">
        <v>3642</v>
      </c>
      <c r="E1681" t="s">
        <v>2187</v>
      </c>
      <c r="F1681" t="s">
        <v>220</v>
      </c>
      <c r="G1681" t="s">
        <v>795</v>
      </c>
      <c r="H1681" s="4">
        <v>38327</v>
      </c>
      <c r="I1681" t="s">
        <v>254</v>
      </c>
    </row>
    <row r="1682" spans="1:9" x14ac:dyDescent="0.25">
      <c r="A1682">
        <v>728</v>
      </c>
      <c r="B1682" t="s">
        <v>3643</v>
      </c>
      <c r="C1682">
        <v>8342</v>
      </c>
      <c r="D1682" t="s">
        <v>3644</v>
      </c>
      <c r="E1682" t="s">
        <v>2187</v>
      </c>
      <c r="F1682" t="s">
        <v>220</v>
      </c>
      <c r="G1682" t="s">
        <v>361</v>
      </c>
      <c r="H1682" s="4">
        <v>43062</v>
      </c>
      <c r="I1682" t="s">
        <v>254</v>
      </c>
    </row>
    <row r="1683" spans="1:9" x14ac:dyDescent="0.25">
      <c r="A1683">
        <v>729</v>
      </c>
      <c r="B1683" t="s">
        <v>3645</v>
      </c>
      <c r="C1683">
        <v>8349</v>
      </c>
      <c r="D1683" t="s">
        <v>3646</v>
      </c>
      <c r="E1683" t="s">
        <v>2187</v>
      </c>
      <c r="F1683" t="s">
        <v>220</v>
      </c>
      <c r="G1683" t="s">
        <v>677</v>
      </c>
      <c r="H1683" s="4">
        <v>38786</v>
      </c>
      <c r="I1683" t="s">
        <v>254</v>
      </c>
    </row>
    <row r="1684" spans="1:9" x14ac:dyDescent="0.25">
      <c r="A1684">
        <v>730</v>
      </c>
      <c r="B1684" t="s">
        <v>3647</v>
      </c>
      <c r="C1684">
        <v>8354</v>
      </c>
      <c r="D1684" t="s">
        <v>3648</v>
      </c>
      <c r="E1684" t="s">
        <v>2187</v>
      </c>
      <c r="F1684" t="s">
        <v>220</v>
      </c>
      <c r="G1684" t="s">
        <v>361</v>
      </c>
      <c r="H1684" s="4">
        <v>38092</v>
      </c>
      <c r="I1684" t="s">
        <v>254</v>
      </c>
    </row>
    <row r="1685" spans="1:9" x14ac:dyDescent="0.25">
      <c r="A1685">
        <v>731</v>
      </c>
      <c r="B1685" t="s">
        <v>3649</v>
      </c>
      <c r="C1685">
        <v>8358</v>
      </c>
      <c r="D1685" t="s">
        <v>3650</v>
      </c>
      <c r="E1685" t="s">
        <v>2187</v>
      </c>
      <c r="F1685" t="s">
        <v>220</v>
      </c>
      <c r="G1685" t="s">
        <v>450</v>
      </c>
      <c r="H1685" s="4">
        <v>40448</v>
      </c>
      <c r="I1685" t="s">
        <v>254</v>
      </c>
    </row>
    <row r="1686" spans="1:9" x14ac:dyDescent="0.25">
      <c r="A1686">
        <v>732</v>
      </c>
      <c r="B1686" t="s">
        <v>3651</v>
      </c>
      <c r="C1686">
        <v>8383</v>
      </c>
      <c r="D1686" t="s">
        <v>3652</v>
      </c>
      <c r="E1686" t="s">
        <v>2187</v>
      </c>
      <c r="F1686" t="s">
        <v>220</v>
      </c>
      <c r="G1686" t="s">
        <v>804</v>
      </c>
      <c r="H1686" s="4">
        <v>38240</v>
      </c>
      <c r="I1686" t="s">
        <v>254</v>
      </c>
    </row>
    <row r="1687" spans="1:9" x14ac:dyDescent="0.25">
      <c r="A1687">
        <v>733</v>
      </c>
      <c r="B1687" t="s">
        <v>3653</v>
      </c>
      <c r="C1687">
        <v>8390</v>
      </c>
      <c r="D1687" t="s">
        <v>3654</v>
      </c>
      <c r="E1687" t="s">
        <v>2187</v>
      </c>
      <c r="F1687" t="s">
        <v>220</v>
      </c>
      <c r="G1687" t="s">
        <v>361</v>
      </c>
      <c r="H1687" s="4">
        <v>39589</v>
      </c>
      <c r="I1687" t="s">
        <v>254</v>
      </c>
    </row>
    <row r="1688" spans="1:9" x14ac:dyDescent="0.25">
      <c r="A1688">
        <v>734</v>
      </c>
      <c r="B1688" t="s">
        <v>3655</v>
      </c>
      <c r="C1688">
        <v>8401</v>
      </c>
      <c r="D1688" t="s">
        <v>3656</v>
      </c>
      <c r="E1688" t="s">
        <v>2187</v>
      </c>
      <c r="F1688" t="s">
        <v>220</v>
      </c>
      <c r="G1688" t="s">
        <v>361</v>
      </c>
      <c r="H1688" s="4">
        <v>40266</v>
      </c>
      <c r="I1688" t="s">
        <v>254</v>
      </c>
    </row>
    <row r="1689" spans="1:9" x14ac:dyDescent="0.25">
      <c r="A1689">
        <v>735</v>
      </c>
      <c r="B1689" t="s">
        <v>3657</v>
      </c>
      <c r="C1689">
        <v>8403</v>
      </c>
      <c r="D1689" t="s">
        <v>3658</v>
      </c>
      <c r="E1689" t="s">
        <v>2187</v>
      </c>
      <c r="F1689" t="s">
        <v>220</v>
      </c>
      <c r="G1689" t="s">
        <v>546</v>
      </c>
      <c r="H1689" s="4">
        <v>40603</v>
      </c>
      <c r="I1689" t="s">
        <v>254</v>
      </c>
    </row>
    <row r="1690" spans="1:9" x14ac:dyDescent="0.25">
      <c r="A1690">
        <v>736</v>
      </c>
      <c r="B1690" t="s">
        <v>3659</v>
      </c>
      <c r="C1690">
        <v>8406</v>
      </c>
      <c r="D1690" t="s">
        <v>3660</v>
      </c>
      <c r="E1690" t="s">
        <v>2187</v>
      </c>
      <c r="F1690" t="s">
        <v>220</v>
      </c>
      <c r="G1690" t="s">
        <v>546</v>
      </c>
      <c r="H1690" s="4">
        <v>41026</v>
      </c>
      <c r="I1690" t="s">
        <v>254</v>
      </c>
    </row>
    <row r="1691" spans="1:9" x14ac:dyDescent="0.25">
      <c r="A1691">
        <v>737</v>
      </c>
      <c r="B1691" t="s">
        <v>3661</v>
      </c>
      <c r="C1691">
        <v>8409</v>
      </c>
      <c r="D1691" t="s">
        <v>3662</v>
      </c>
      <c r="E1691" t="s">
        <v>2187</v>
      </c>
      <c r="F1691" t="s">
        <v>220</v>
      </c>
      <c r="G1691" t="s">
        <v>546</v>
      </c>
      <c r="H1691" s="4">
        <v>41603</v>
      </c>
      <c r="I1691" t="s">
        <v>254</v>
      </c>
    </row>
    <row r="1692" spans="1:9" x14ac:dyDescent="0.25">
      <c r="A1692">
        <v>738</v>
      </c>
      <c r="B1692" t="s">
        <v>3663</v>
      </c>
      <c r="C1692">
        <v>8410</v>
      </c>
      <c r="D1692" t="s">
        <v>3664</v>
      </c>
      <c r="E1692" t="s">
        <v>2187</v>
      </c>
      <c r="F1692" t="s">
        <v>220</v>
      </c>
      <c r="G1692" t="s">
        <v>792</v>
      </c>
      <c r="H1692" s="4">
        <v>40597</v>
      </c>
      <c r="I1692" t="s">
        <v>254</v>
      </c>
    </row>
    <row r="1693" spans="1:9" x14ac:dyDescent="0.25">
      <c r="A1693">
        <v>739</v>
      </c>
      <c r="B1693" t="s">
        <v>3665</v>
      </c>
      <c r="C1693">
        <v>8415</v>
      </c>
      <c r="D1693" t="s">
        <v>3666</v>
      </c>
      <c r="E1693" t="s">
        <v>2187</v>
      </c>
      <c r="F1693" t="s">
        <v>220</v>
      </c>
      <c r="G1693" t="s">
        <v>677</v>
      </c>
      <c r="H1693" s="4">
        <v>42620</v>
      </c>
      <c r="I1693" t="s">
        <v>254</v>
      </c>
    </row>
    <row r="1694" spans="1:9" x14ac:dyDescent="0.25">
      <c r="A1694">
        <v>740</v>
      </c>
      <c r="B1694" t="s">
        <v>3667</v>
      </c>
      <c r="C1694">
        <v>8416</v>
      </c>
      <c r="D1694" t="s">
        <v>3668</v>
      </c>
      <c r="E1694" t="s">
        <v>2187</v>
      </c>
      <c r="F1694" t="s">
        <v>220</v>
      </c>
      <c r="G1694" t="s">
        <v>964</v>
      </c>
      <c r="H1694" s="4">
        <v>41171</v>
      </c>
      <c r="I1694" t="s">
        <v>254</v>
      </c>
    </row>
    <row r="1695" spans="1:9" x14ac:dyDescent="0.25">
      <c r="A1695">
        <v>741</v>
      </c>
      <c r="B1695" t="s">
        <v>3669</v>
      </c>
      <c r="C1695">
        <v>8418</v>
      </c>
      <c r="D1695" t="s">
        <v>3670</v>
      </c>
      <c r="E1695" t="s">
        <v>2187</v>
      </c>
      <c r="F1695" t="s">
        <v>220</v>
      </c>
      <c r="G1695" t="s">
        <v>361</v>
      </c>
      <c r="H1695" s="4">
        <v>40883</v>
      </c>
      <c r="I1695" t="s">
        <v>254</v>
      </c>
    </row>
    <row r="1696" spans="1:9" x14ac:dyDescent="0.25">
      <c r="A1696">
        <v>742</v>
      </c>
      <c r="B1696" t="s">
        <v>3671</v>
      </c>
      <c r="C1696">
        <v>8420</v>
      </c>
      <c r="D1696" t="s">
        <v>3672</v>
      </c>
      <c r="E1696" t="s">
        <v>2187</v>
      </c>
      <c r="F1696" t="s">
        <v>220</v>
      </c>
      <c r="G1696" t="s">
        <v>361</v>
      </c>
      <c r="H1696" s="4">
        <v>41953</v>
      </c>
      <c r="I1696" t="s">
        <v>254</v>
      </c>
    </row>
    <row r="1697" spans="1:9" x14ac:dyDescent="0.25">
      <c r="A1697">
        <v>743</v>
      </c>
      <c r="B1697" t="s">
        <v>3673</v>
      </c>
      <c r="C1697">
        <v>8421</v>
      </c>
      <c r="D1697" t="s">
        <v>3674</v>
      </c>
      <c r="E1697" t="s">
        <v>2187</v>
      </c>
      <c r="F1697" t="s">
        <v>220</v>
      </c>
      <c r="G1697" t="s">
        <v>361</v>
      </c>
      <c r="H1697" s="4">
        <v>41236</v>
      </c>
      <c r="I1697" t="s">
        <v>254</v>
      </c>
    </row>
    <row r="1698" spans="1:9" x14ac:dyDescent="0.25">
      <c r="A1698">
        <v>744</v>
      </c>
      <c r="B1698" t="s">
        <v>3675</v>
      </c>
      <c r="C1698">
        <v>8423</v>
      </c>
      <c r="D1698" t="s">
        <v>3676</v>
      </c>
      <c r="E1698" t="s">
        <v>2187</v>
      </c>
      <c r="F1698" t="s">
        <v>220</v>
      </c>
      <c r="G1698" t="s">
        <v>361</v>
      </c>
      <c r="H1698" s="4">
        <v>40982</v>
      </c>
      <c r="I1698" t="s">
        <v>254</v>
      </c>
    </row>
    <row r="1699" spans="1:9" x14ac:dyDescent="0.25">
      <c r="A1699">
        <v>745</v>
      </c>
      <c r="B1699" t="s">
        <v>3677</v>
      </c>
      <c r="C1699">
        <v>8424</v>
      </c>
      <c r="D1699" t="s">
        <v>3678</v>
      </c>
      <c r="E1699" t="s">
        <v>2187</v>
      </c>
      <c r="F1699" t="s">
        <v>220</v>
      </c>
      <c r="G1699" t="s">
        <v>335</v>
      </c>
      <c r="H1699" s="4">
        <v>41261</v>
      </c>
      <c r="I1699" t="s">
        <v>254</v>
      </c>
    </row>
    <row r="1700" spans="1:9" x14ac:dyDescent="0.25">
      <c r="A1700">
        <v>746</v>
      </c>
      <c r="B1700" t="s">
        <v>3679</v>
      </c>
      <c r="C1700">
        <v>8426</v>
      </c>
      <c r="D1700" t="s">
        <v>3680</v>
      </c>
      <c r="E1700" t="s">
        <v>2187</v>
      </c>
      <c r="F1700" t="s">
        <v>220</v>
      </c>
      <c r="G1700" t="s">
        <v>361</v>
      </c>
      <c r="H1700" s="4">
        <v>40890</v>
      </c>
      <c r="I1700" t="s">
        <v>254</v>
      </c>
    </row>
    <row r="1701" spans="1:9" x14ac:dyDescent="0.25">
      <c r="A1701">
        <v>747</v>
      </c>
      <c r="B1701" t="s">
        <v>3681</v>
      </c>
      <c r="C1701">
        <v>8431</v>
      </c>
      <c r="D1701" t="s">
        <v>3682</v>
      </c>
      <c r="E1701" t="s">
        <v>2187</v>
      </c>
      <c r="F1701" t="s">
        <v>220</v>
      </c>
      <c r="G1701" t="s">
        <v>804</v>
      </c>
      <c r="H1701" s="4">
        <v>42093</v>
      </c>
      <c r="I1701" t="s">
        <v>254</v>
      </c>
    </row>
    <row r="1702" spans="1:9" x14ac:dyDescent="0.25">
      <c r="A1702">
        <v>748</v>
      </c>
      <c r="B1702" t="s">
        <v>3683</v>
      </c>
      <c r="C1702">
        <v>8432</v>
      </c>
      <c r="D1702" t="s">
        <v>3684</v>
      </c>
      <c r="E1702" t="s">
        <v>2187</v>
      </c>
      <c r="F1702" t="s">
        <v>220</v>
      </c>
      <c r="G1702" t="s">
        <v>546</v>
      </c>
      <c r="H1702" s="4">
        <v>41029</v>
      </c>
      <c r="I1702" t="s">
        <v>254</v>
      </c>
    </row>
    <row r="1703" spans="1:9" x14ac:dyDescent="0.25">
      <c r="A1703">
        <v>749</v>
      </c>
      <c r="B1703" t="s">
        <v>3685</v>
      </c>
      <c r="C1703">
        <v>8433</v>
      </c>
      <c r="D1703" t="s">
        <v>3686</v>
      </c>
      <c r="E1703" t="s">
        <v>2187</v>
      </c>
      <c r="F1703" t="s">
        <v>220</v>
      </c>
      <c r="G1703" t="s">
        <v>385</v>
      </c>
      <c r="H1703" s="4">
        <v>41262</v>
      </c>
      <c r="I1703" t="s">
        <v>254</v>
      </c>
    </row>
    <row r="1704" spans="1:9" x14ac:dyDescent="0.25">
      <c r="A1704">
        <v>750</v>
      </c>
      <c r="B1704" t="s">
        <v>3687</v>
      </c>
      <c r="C1704">
        <v>8435</v>
      </c>
      <c r="D1704" t="s">
        <v>3688</v>
      </c>
      <c r="E1704" t="s">
        <v>2187</v>
      </c>
      <c r="F1704" t="s">
        <v>220</v>
      </c>
      <c r="G1704" t="s">
        <v>361</v>
      </c>
      <c r="H1704" s="4">
        <v>41271</v>
      </c>
      <c r="I1704" t="s">
        <v>254</v>
      </c>
    </row>
    <row r="1705" spans="1:9" x14ac:dyDescent="0.25">
      <c r="A1705">
        <v>751</v>
      </c>
      <c r="B1705" t="s">
        <v>3689</v>
      </c>
      <c r="C1705">
        <v>8436</v>
      </c>
      <c r="D1705" t="s">
        <v>3690</v>
      </c>
      <c r="E1705" t="s">
        <v>2187</v>
      </c>
      <c r="F1705" t="s">
        <v>220</v>
      </c>
      <c r="G1705" t="s">
        <v>546</v>
      </c>
      <c r="H1705" s="4">
        <v>41529</v>
      </c>
      <c r="I1705" t="s">
        <v>254</v>
      </c>
    </row>
    <row r="1706" spans="1:9" x14ac:dyDescent="0.25">
      <c r="A1706">
        <v>752</v>
      </c>
      <c r="B1706" t="s">
        <v>3691</v>
      </c>
      <c r="C1706">
        <v>8437</v>
      </c>
      <c r="D1706" t="s">
        <v>3692</v>
      </c>
      <c r="E1706" t="s">
        <v>2187</v>
      </c>
      <c r="F1706" t="s">
        <v>220</v>
      </c>
      <c r="G1706" t="s">
        <v>361</v>
      </c>
      <c r="H1706" s="4">
        <v>42130</v>
      </c>
      <c r="I1706" t="s">
        <v>254</v>
      </c>
    </row>
    <row r="1707" spans="1:9" x14ac:dyDescent="0.25">
      <c r="A1707">
        <v>753</v>
      </c>
      <c r="B1707" t="s">
        <v>3693</v>
      </c>
      <c r="C1707">
        <v>8440</v>
      </c>
      <c r="D1707" t="s">
        <v>3694</v>
      </c>
      <c r="E1707" t="s">
        <v>2187</v>
      </c>
      <c r="F1707" t="s">
        <v>220</v>
      </c>
      <c r="G1707" t="s">
        <v>361</v>
      </c>
      <c r="H1707" s="4">
        <v>43187</v>
      </c>
      <c r="I1707" t="s">
        <v>254</v>
      </c>
    </row>
    <row r="1708" spans="1:9" x14ac:dyDescent="0.25">
      <c r="A1708">
        <v>754</v>
      </c>
      <c r="B1708" t="s">
        <v>3695</v>
      </c>
      <c r="C1708">
        <v>8444</v>
      </c>
      <c r="D1708" t="s">
        <v>3696</v>
      </c>
      <c r="E1708" t="s">
        <v>2187</v>
      </c>
      <c r="F1708" t="s">
        <v>220</v>
      </c>
      <c r="G1708" t="s">
        <v>361</v>
      </c>
      <c r="H1708" s="4">
        <v>42304</v>
      </c>
      <c r="I1708" t="s">
        <v>254</v>
      </c>
    </row>
    <row r="1709" spans="1:9" x14ac:dyDescent="0.25">
      <c r="A1709">
        <v>755</v>
      </c>
      <c r="B1709" t="s">
        <v>3697</v>
      </c>
      <c r="C1709">
        <v>8446</v>
      </c>
      <c r="D1709" t="s">
        <v>3698</v>
      </c>
      <c r="E1709" t="s">
        <v>2187</v>
      </c>
      <c r="F1709" t="s">
        <v>220</v>
      </c>
      <c r="G1709" t="s">
        <v>2305</v>
      </c>
      <c r="H1709" s="4">
        <v>41627</v>
      </c>
      <c r="I1709" t="s">
        <v>254</v>
      </c>
    </row>
    <row r="1710" spans="1:9" x14ac:dyDescent="0.25">
      <c r="A1710">
        <v>756</v>
      </c>
      <c r="B1710" t="s">
        <v>3699</v>
      </c>
      <c r="C1710">
        <v>8450</v>
      </c>
      <c r="D1710" t="s">
        <v>3700</v>
      </c>
      <c r="E1710" t="s">
        <v>2187</v>
      </c>
      <c r="F1710" t="s">
        <v>220</v>
      </c>
      <c r="G1710" t="s">
        <v>2305</v>
      </c>
      <c r="H1710" s="4">
        <v>41919</v>
      </c>
      <c r="I1710" t="s">
        <v>254</v>
      </c>
    </row>
    <row r="1711" spans="1:9" x14ac:dyDescent="0.25">
      <c r="A1711">
        <v>757</v>
      </c>
      <c r="B1711" t="s">
        <v>3701</v>
      </c>
      <c r="C1711">
        <v>8455</v>
      </c>
      <c r="D1711" t="s">
        <v>3702</v>
      </c>
      <c r="E1711" t="s">
        <v>2187</v>
      </c>
      <c r="F1711" t="s">
        <v>220</v>
      </c>
      <c r="G1711" t="s">
        <v>804</v>
      </c>
      <c r="H1711" s="4">
        <v>42377</v>
      </c>
      <c r="I1711" t="s">
        <v>254</v>
      </c>
    </row>
    <row r="1712" spans="1:9" x14ac:dyDescent="0.25">
      <c r="A1712">
        <v>758</v>
      </c>
      <c r="B1712" t="s">
        <v>3703</v>
      </c>
      <c r="C1712">
        <v>8472</v>
      </c>
      <c r="D1712" t="s">
        <v>3704</v>
      </c>
      <c r="E1712" t="s">
        <v>2187</v>
      </c>
      <c r="F1712" t="s">
        <v>220</v>
      </c>
      <c r="G1712" t="s">
        <v>2328</v>
      </c>
      <c r="H1712" s="4">
        <v>42380</v>
      </c>
      <c r="I1712" t="s">
        <v>254</v>
      </c>
    </row>
    <row r="1713" spans="1:9" x14ac:dyDescent="0.25">
      <c r="A1713">
        <v>759</v>
      </c>
      <c r="B1713" t="s">
        <v>3705</v>
      </c>
      <c r="C1713">
        <v>8476</v>
      </c>
      <c r="D1713" t="s">
        <v>3706</v>
      </c>
      <c r="E1713" t="s">
        <v>2187</v>
      </c>
      <c r="F1713" t="s">
        <v>220</v>
      </c>
      <c r="G1713" t="s">
        <v>361</v>
      </c>
      <c r="H1713" s="4">
        <v>42822</v>
      </c>
      <c r="I1713" t="s">
        <v>254</v>
      </c>
    </row>
    <row r="1714" spans="1:9" x14ac:dyDescent="0.25">
      <c r="A1714">
        <v>760</v>
      </c>
      <c r="B1714" t="s">
        <v>3707</v>
      </c>
      <c r="C1714">
        <v>8477</v>
      </c>
      <c r="D1714" t="s">
        <v>3708</v>
      </c>
      <c r="E1714" t="s">
        <v>2187</v>
      </c>
      <c r="F1714" t="s">
        <v>220</v>
      </c>
      <c r="G1714" t="s">
        <v>2328</v>
      </c>
      <c r="H1714" s="4">
        <v>42674</v>
      </c>
      <c r="I1714" t="s">
        <v>254</v>
      </c>
    </row>
    <row r="1715" spans="1:9" x14ac:dyDescent="0.25">
      <c r="A1715">
        <v>761</v>
      </c>
      <c r="B1715" t="s">
        <v>3709</v>
      </c>
      <c r="C1715">
        <v>8489</v>
      </c>
      <c r="D1715" t="s">
        <v>3710</v>
      </c>
      <c r="E1715" t="s">
        <v>2187</v>
      </c>
      <c r="F1715" t="s">
        <v>220</v>
      </c>
      <c r="G1715" t="s">
        <v>361</v>
      </c>
      <c r="H1715" s="4">
        <v>42852</v>
      </c>
      <c r="I1715" t="s">
        <v>254</v>
      </c>
    </row>
    <row r="1716" spans="1:9" x14ac:dyDescent="0.25">
      <c r="A1716">
        <v>762</v>
      </c>
      <c r="B1716" t="s">
        <v>3711</v>
      </c>
      <c r="C1716">
        <v>8905</v>
      </c>
      <c r="D1716" t="s">
        <v>3712</v>
      </c>
      <c r="E1716" t="s">
        <v>2187</v>
      </c>
      <c r="F1716" t="s">
        <v>220</v>
      </c>
      <c r="G1716" t="s">
        <v>361</v>
      </c>
      <c r="H1716" s="4">
        <v>35095</v>
      </c>
      <c r="I1716" t="s">
        <v>254</v>
      </c>
    </row>
    <row r="1717" spans="1:9" x14ac:dyDescent="0.25">
      <c r="A1717">
        <v>763</v>
      </c>
      <c r="B1717" t="s">
        <v>3713</v>
      </c>
      <c r="C1717">
        <v>8906</v>
      </c>
      <c r="D1717" t="s">
        <v>3714</v>
      </c>
      <c r="E1717" t="s">
        <v>2187</v>
      </c>
      <c r="F1717" t="s">
        <v>220</v>
      </c>
      <c r="G1717" t="s">
        <v>361</v>
      </c>
      <c r="H1717" s="4">
        <v>35178</v>
      </c>
      <c r="I1717" t="s">
        <v>254</v>
      </c>
    </row>
    <row r="1718" spans="1:9" x14ac:dyDescent="0.25">
      <c r="A1718">
        <v>764</v>
      </c>
      <c r="B1718" t="s">
        <v>3715</v>
      </c>
      <c r="C1718">
        <v>8908</v>
      </c>
      <c r="D1718" t="s">
        <v>3716</v>
      </c>
      <c r="E1718" t="s">
        <v>2187</v>
      </c>
      <c r="F1718" t="s">
        <v>220</v>
      </c>
      <c r="G1718" t="s">
        <v>1157</v>
      </c>
      <c r="H1718" s="4">
        <v>35475</v>
      </c>
      <c r="I1718" t="s">
        <v>254</v>
      </c>
    </row>
    <row r="1719" spans="1:9" x14ac:dyDescent="0.25">
      <c r="A1719">
        <v>765</v>
      </c>
      <c r="B1719" t="s">
        <v>3717</v>
      </c>
      <c r="C1719">
        <v>8916</v>
      </c>
      <c r="D1719" t="s">
        <v>3718</v>
      </c>
      <c r="E1719" t="s">
        <v>2187</v>
      </c>
      <c r="F1719" t="s">
        <v>220</v>
      </c>
      <c r="G1719" t="s">
        <v>361</v>
      </c>
      <c r="H1719" s="4">
        <v>36270</v>
      </c>
      <c r="I1719" t="s">
        <v>254</v>
      </c>
    </row>
    <row r="1720" spans="1:9" x14ac:dyDescent="0.25">
      <c r="A1720">
        <v>766</v>
      </c>
      <c r="B1720" t="s">
        <v>3719</v>
      </c>
      <c r="C1720">
        <v>8917</v>
      </c>
      <c r="D1720" t="s">
        <v>3720</v>
      </c>
      <c r="E1720" t="s">
        <v>2187</v>
      </c>
      <c r="F1720" t="s">
        <v>220</v>
      </c>
      <c r="G1720" t="s">
        <v>1157</v>
      </c>
      <c r="H1720" s="4">
        <v>36286</v>
      </c>
      <c r="I1720" t="s">
        <v>254</v>
      </c>
    </row>
    <row r="1721" spans="1:9" x14ac:dyDescent="0.25">
      <c r="A1721">
        <v>767</v>
      </c>
      <c r="B1721" t="s">
        <v>3721</v>
      </c>
      <c r="C1721">
        <v>8921</v>
      </c>
      <c r="D1721" t="s">
        <v>3722</v>
      </c>
      <c r="E1721" t="s">
        <v>2187</v>
      </c>
      <c r="F1721" t="s">
        <v>220</v>
      </c>
      <c r="G1721" t="s">
        <v>361</v>
      </c>
      <c r="H1721" s="4">
        <v>36606</v>
      </c>
      <c r="I1721" t="s">
        <v>254</v>
      </c>
    </row>
    <row r="1722" spans="1:9" x14ac:dyDescent="0.25">
      <c r="A1722">
        <v>768</v>
      </c>
      <c r="B1722" t="s">
        <v>3723</v>
      </c>
      <c r="C1722">
        <v>8923</v>
      </c>
      <c r="D1722" t="s">
        <v>3724</v>
      </c>
      <c r="E1722" t="s">
        <v>2187</v>
      </c>
      <c r="F1722" t="s">
        <v>220</v>
      </c>
      <c r="G1722" t="s">
        <v>2305</v>
      </c>
      <c r="H1722" s="4">
        <v>36521</v>
      </c>
      <c r="I1722" t="s">
        <v>254</v>
      </c>
    </row>
    <row r="1723" spans="1:9" x14ac:dyDescent="0.25">
      <c r="A1723">
        <v>769</v>
      </c>
      <c r="B1723" t="s">
        <v>3725</v>
      </c>
      <c r="C1723">
        <v>8924</v>
      </c>
      <c r="D1723" t="s">
        <v>3726</v>
      </c>
      <c r="E1723" t="s">
        <v>2187</v>
      </c>
      <c r="F1723" t="s">
        <v>220</v>
      </c>
      <c r="G1723" t="s">
        <v>361</v>
      </c>
      <c r="H1723" s="4">
        <v>36565</v>
      </c>
      <c r="I1723" t="s">
        <v>254</v>
      </c>
    </row>
    <row r="1724" spans="1:9" x14ac:dyDescent="0.25">
      <c r="A1724">
        <v>770</v>
      </c>
      <c r="B1724" t="s">
        <v>3727</v>
      </c>
      <c r="C1724">
        <v>8927</v>
      </c>
      <c r="D1724" t="s">
        <v>3728</v>
      </c>
      <c r="E1724" t="s">
        <v>2187</v>
      </c>
      <c r="F1724" t="s">
        <v>220</v>
      </c>
      <c r="G1724" t="s">
        <v>1157</v>
      </c>
      <c r="H1724" s="4">
        <v>36832</v>
      </c>
      <c r="I1724" t="s">
        <v>254</v>
      </c>
    </row>
    <row r="1725" spans="1:9" x14ac:dyDescent="0.25">
      <c r="A1725">
        <v>771</v>
      </c>
      <c r="B1725" t="s">
        <v>3729</v>
      </c>
      <c r="C1725">
        <v>8928</v>
      </c>
      <c r="D1725" t="s">
        <v>3730</v>
      </c>
      <c r="E1725" t="s">
        <v>2187</v>
      </c>
      <c r="F1725" t="s">
        <v>220</v>
      </c>
      <c r="G1725" t="s">
        <v>361</v>
      </c>
      <c r="H1725" s="4">
        <v>36924</v>
      </c>
      <c r="I1725" t="s">
        <v>254</v>
      </c>
    </row>
    <row r="1726" spans="1:9" x14ac:dyDescent="0.25">
      <c r="A1726">
        <v>772</v>
      </c>
      <c r="B1726" t="s">
        <v>3731</v>
      </c>
      <c r="C1726">
        <v>8929</v>
      </c>
      <c r="D1726" t="s">
        <v>3732</v>
      </c>
      <c r="E1726" t="s">
        <v>2187</v>
      </c>
      <c r="F1726" t="s">
        <v>220</v>
      </c>
      <c r="G1726" t="s">
        <v>361</v>
      </c>
      <c r="H1726" s="4">
        <v>36860</v>
      </c>
      <c r="I1726" t="s">
        <v>254</v>
      </c>
    </row>
    <row r="1727" spans="1:9" x14ac:dyDescent="0.25">
      <c r="A1727">
        <v>773</v>
      </c>
      <c r="B1727" t="s">
        <v>3733</v>
      </c>
      <c r="C1727">
        <v>8930</v>
      </c>
      <c r="D1727" t="s">
        <v>3734</v>
      </c>
      <c r="E1727" t="s">
        <v>2187</v>
      </c>
      <c r="F1727" t="s">
        <v>220</v>
      </c>
      <c r="G1727" t="s">
        <v>677</v>
      </c>
      <c r="H1727" s="4">
        <v>36866</v>
      </c>
      <c r="I1727" t="s">
        <v>254</v>
      </c>
    </row>
    <row r="1728" spans="1:9" x14ac:dyDescent="0.25">
      <c r="A1728">
        <v>774</v>
      </c>
      <c r="B1728" t="s">
        <v>3735</v>
      </c>
      <c r="C1728">
        <v>8931</v>
      </c>
      <c r="D1728" t="s">
        <v>3736</v>
      </c>
      <c r="E1728" t="s">
        <v>2187</v>
      </c>
      <c r="F1728" t="s">
        <v>220</v>
      </c>
      <c r="G1728" t="s">
        <v>1157</v>
      </c>
      <c r="H1728" s="4">
        <v>37021</v>
      </c>
      <c r="I1728" t="s">
        <v>254</v>
      </c>
    </row>
    <row r="1729" spans="1:9" x14ac:dyDescent="0.25">
      <c r="A1729">
        <v>775</v>
      </c>
      <c r="B1729" t="s">
        <v>3737</v>
      </c>
      <c r="C1729">
        <v>8932</v>
      </c>
      <c r="D1729" t="s">
        <v>3738</v>
      </c>
      <c r="E1729" t="s">
        <v>2187</v>
      </c>
      <c r="F1729" t="s">
        <v>220</v>
      </c>
      <c r="G1729" t="s">
        <v>361</v>
      </c>
      <c r="H1729" s="4">
        <v>36979</v>
      </c>
      <c r="I1729" t="s">
        <v>254</v>
      </c>
    </row>
    <row r="1730" spans="1:9" x14ac:dyDescent="0.25">
      <c r="A1730">
        <v>776</v>
      </c>
      <c r="B1730" t="s">
        <v>3739</v>
      </c>
      <c r="C1730">
        <v>8933</v>
      </c>
      <c r="D1730" t="s">
        <v>3740</v>
      </c>
      <c r="E1730" t="s">
        <v>2187</v>
      </c>
      <c r="F1730" t="s">
        <v>220</v>
      </c>
      <c r="G1730" t="s">
        <v>361</v>
      </c>
      <c r="H1730" s="4">
        <v>36978</v>
      </c>
      <c r="I1730" t="s">
        <v>254</v>
      </c>
    </row>
    <row r="1731" spans="1:9" x14ac:dyDescent="0.25">
      <c r="A1731">
        <v>777</v>
      </c>
      <c r="B1731" t="s">
        <v>3741</v>
      </c>
      <c r="C1731">
        <v>8935</v>
      </c>
      <c r="D1731" t="s">
        <v>3742</v>
      </c>
      <c r="E1731" t="s">
        <v>2187</v>
      </c>
      <c r="F1731" t="s">
        <v>220</v>
      </c>
      <c r="G1731" t="s">
        <v>361</v>
      </c>
      <c r="H1731" s="4">
        <v>37341</v>
      </c>
      <c r="I1731" t="s">
        <v>254</v>
      </c>
    </row>
    <row r="1732" spans="1:9" x14ac:dyDescent="0.25">
      <c r="A1732">
        <v>778</v>
      </c>
      <c r="B1732" t="s">
        <v>3743</v>
      </c>
      <c r="C1732">
        <v>8936</v>
      </c>
      <c r="D1732" t="s">
        <v>3744</v>
      </c>
      <c r="E1732" t="s">
        <v>2187</v>
      </c>
      <c r="F1732" t="s">
        <v>220</v>
      </c>
      <c r="G1732" t="s">
        <v>361</v>
      </c>
      <c r="H1732" s="4">
        <v>37508</v>
      </c>
      <c r="I1732" t="s">
        <v>254</v>
      </c>
    </row>
    <row r="1733" spans="1:9" x14ac:dyDescent="0.25">
      <c r="A1733">
        <v>779</v>
      </c>
      <c r="B1733" t="s">
        <v>3745</v>
      </c>
      <c r="C1733">
        <v>8937</v>
      </c>
      <c r="D1733" t="s">
        <v>3746</v>
      </c>
      <c r="E1733" t="s">
        <v>2187</v>
      </c>
      <c r="F1733" t="s">
        <v>220</v>
      </c>
      <c r="G1733" t="s">
        <v>361</v>
      </c>
      <c r="H1733" s="4">
        <v>37558</v>
      </c>
      <c r="I1733" t="s">
        <v>254</v>
      </c>
    </row>
    <row r="1734" spans="1:9" x14ac:dyDescent="0.25">
      <c r="A1734">
        <v>780</v>
      </c>
      <c r="B1734" t="s">
        <v>3747</v>
      </c>
      <c r="C1734">
        <v>8938</v>
      </c>
      <c r="D1734" t="s">
        <v>3748</v>
      </c>
      <c r="E1734" t="s">
        <v>2187</v>
      </c>
      <c r="F1734" t="s">
        <v>220</v>
      </c>
      <c r="G1734" t="s">
        <v>361</v>
      </c>
      <c r="H1734" s="4">
        <v>37592</v>
      </c>
      <c r="I1734" t="s">
        <v>254</v>
      </c>
    </row>
    <row r="1735" spans="1:9" x14ac:dyDescent="0.25">
      <c r="A1735">
        <v>781</v>
      </c>
      <c r="B1735" t="s">
        <v>3749</v>
      </c>
      <c r="C1735">
        <v>8941</v>
      </c>
      <c r="D1735" t="s">
        <v>3750</v>
      </c>
      <c r="E1735" t="s">
        <v>2187</v>
      </c>
      <c r="F1735" t="s">
        <v>220</v>
      </c>
      <c r="G1735" t="s">
        <v>385</v>
      </c>
      <c r="H1735" s="4">
        <v>37641</v>
      </c>
      <c r="I1735" t="s">
        <v>254</v>
      </c>
    </row>
    <row r="1736" spans="1:9" x14ac:dyDescent="0.25">
      <c r="A1736">
        <v>782</v>
      </c>
      <c r="B1736" t="s">
        <v>3751</v>
      </c>
      <c r="C1736">
        <v>8942</v>
      </c>
      <c r="D1736" t="s">
        <v>3752</v>
      </c>
      <c r="E1736" t="s">
        <v>2187</v>
      </c>
      <c r="F1736" t="s">
        <v>220</v>
      </c>
      <c r="G1736" t="s">
        <v>361</v>
      </c>
      <c r="H1736" s="4">
        <v>37757</v>
      </c>
      <c r="I1736" t="s">
        <v>254</v>
      </c>
    </row>
    <row r="1737" spans="1:9" x14ac:dyDescent="0.25">
      <c r="A1737">
        <v>783</v>
      </c>
      <c r="B1737" t="s">
        <v>3753</v>
      </c>
      <c r="C1737">
        <v>9949</v>
      </c>
      <c r="D1737" t="s">
        <v>3754</v>
      </c>
      <c r="E1737" t="s">
        <v>2187</v>
      </c>
      <c r="F1737" t="s">
        <v>220</v>
      </c>
      <c r="G1737" t="s">
        <v>2305</v>
      </c>
      <c r="H1737" s="4">
        <v>37946</v>
      </c>
      <c r="I1737" t="s">
        <v>254</v>
      </c>
    </row>
    <row r="1738" spans="1:9" x14ac:dyDescent="0.25">
      <c r="A1738">
        <v>784</v>
      </c>
      <c r="B1738" t="s">
        <v>3755</v>
      </c>
      <c r="C1738">
        <v>9950</v>
      </c>
      <c r="D1738" t="s">
        <v>3756</v>
      </c>
      <c r="E1738" t="s">
        <v>2187</v>
      </c>
      <c r="F1738" t="s">
        <v>220</v>
      </c>
      <c r="G1738" t="s">
        <v>310</v>
      </c>
      <c r="H1738" s="4">
        <v>38034</v>
      </c>
      <c r="I1738" t="s">
        <v>254</v>
      </c>
    </row>
    <row r="1739" spans="1:9" x14ac:dyDescent="0.25">
      <c r="A1739">
        <v>785</v>
      </c>
      <c r="B1739" t="s">
        <v>3757</v>
      </c>
      <c r="C1739">
        <v>9951</v>
      </c>
      <c r="D1739" t="s">
        <v>3758</v>
      </c>
      <c r="E1739" t="s">
        <v>2187</v>
      </c>
      <c r="F1739" t="s">
        <v>220</v>
      </c>
      <c r="G1739" t="s">
        <v>465</v>
      </c>
      <c r="H1739" s="4">
        <v>37973</v>
      </c>
      <c r="I1739" t="s">
        <v>254</v>
      </c>
    </row>
    <row r="1740" spans="1:9" x14ac:dyDescent="0.25">
      <c r="A1740">
        <v>786</v>
      </c>
      <c r="B1740" t="s">
        <v>3759</v>
      </c>
      <c r="C1740">
        <v>9960</v>
      </c>
      <c r="D1740" t="s">
        <v>3760</v>
      </c>
      <c r="E1740" t="s">
        <v>2187</v>
      </c>
      <c r="F1740" t="s">
        <v>220</v>
      </c>
      <c r="G1740" t="s">
        <v>385</v>
      </c>
      <c r="H1740" s="4">
        <v>38327</v>
      </c>
      <c r="I1740" t="s">
        <v>254</v>
      </c>
    </row>
    <row r="1741" spans="1:9" x14ac:dyDescent="0.25">
      <c r="A1741">
        <v>787</v>
      </c>
      <c r="B1741" t="s">
        <v>3761</v>
      </c>
      <c r="C1741">
        <v>9962</v>
      </c>
      <c r="D1741" t="s">
        <v>3762</v>
      </c>
      <c r="E1741" t="s">
        <v>2187</v>
      </c>
      <c r="F1741" t="s">
        <v>220</v>
      </c>
      <c r="G1741" t="s">
        <v>677</v>
      </c>
      <c r="H1741" s="4">
        <v>38908</v>
      </c>
      <c r="I1741" t="s">
        <v>254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10</xdr:col>
                <xdr:colOff>400050</xdr:colOff>
                <xdr:row>1</xdr:row>
                <xdr:rowOff>76200</xdr:rowOff>
              </from>
              <to>
                <xdr:col>12</xdr:col>
                <xdr:colOff>276225</xdr:colOff>
                <xdr:row>3</xdr:row>
                <xdr:rowOff>114300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BF7C-750C-44FC-A775-186C61387ADB}">
  <sheetPr codeName="工作表3"/>
  <dimension ref="A2:B11"/>
  <sheetViews>
    <sheetView workbookViewId="0">
      <selection activeCell="M27" sqref="M27"/>
    </sheetView>
  </sheetViews>
  <sheetFormatPr defaultRowHeight="16.5" x14ac:dyDescent="0.25"/>
  <sheetData>
    <row r="2" spans="1:2" x14ac:dyDescent="0.25">
      <c r="A2">
        <v>7</v>
      </c>
      <c r="B2" t="str">
        <f>VLOOKUP(A2,A5:B12,2,0)</f>
        <v>http://newjust.masterlink.com.tw/</v>
      </c>
    </row>
    <row r="5" spans="1:2" x14ac:dyDescent="0.25">
      <c r="A5">
        <v>1</v>
      </c>
      <c r="B5" s="1" t="s">
        <v>1</v>
      </c>
    </row>
    <row r="6" spans="1:2" x14ac:dyDescent="0.25">
      <c r="A6">
        <v>2</v>
      </c>
      <c r="B6" s="1" t="s">
        <v>2</v>
      </c>
    </row>
    <row r="7" spans="1:2" x14ac:dyDescent="0.25">
      <c r="A7">
        <v>3</v>
      </c>
      <c r="B7" s="1" t="s">
        <v>3</v>
      </c>
    </row>
    <row r="8" spans="1:2" x14ac:dyDescent="0.25">
      <c r="A8">
        <v>4</v>
      </c>
      <c r="B8" s="1" t="s">
        <v>4</v>
      </c>
    </row>
    <row r="9" spans="1:2" x14ac:dyDescent="0.25">
      <c r="A9">
        <v>5</v>
      </c>
      <c r="B9" s="1" t="s">
        <v>5</v>
      </c>
    </row>
    <row r="10" spans="1:2" x14ac:dyDescent="0.25">
      <c r="A10">
        <v>6</v>
      </c>
      <c r="B10" s="1" t="s">
        <v>6</v>
      </c>
    </row>
    <row r="11" spans="1:2" x14ac:dyDescent="0.25">
      <c r="A11">
        <v>7</v>
      </c>
      <c r="B11" s="1" t="s">
        <v>7</v>
      </c>
    </row>
  </sheetData>
  <phoneticPr fontId="3" type="noConversion"/>
  <hyperlinks>
    <hyperlink ref="B5" r:id="rId1" xr:uid="{9D1ABE7D-2B8A-4C80-BB0A-AE8C7F675878}"/>
    <hyperlink ref="B6" r:id="rId2" xr:uid="{4ED548E3-02AB-4714-ADCD-7B5D9D3CE396}"/>
    <hyperlink ref="B7" r:id="rId3" xr:uid="{21245823-BD8E-40A3-B15E-650F97454B6F}"/>
    <hyperlink ref="B8" r:id="rId4" xr:uid="{C3850506-07F2-48C5-9AE5-47DF4C3F8190}"/>
    <hyperlink ref="B9" r:id="rId5" xr:uid="{58D1C212-F820-4CF9-B63D-5C13A13CEB20}"/>
    <hyperlink ref="B10" r:id="rId6" xr:uid="{F14265C9-279B-4CEE-8C46-DC2A242422B5}"/>
    <hyperlink ref="B11" r:id="rId7" xr:uid="{285530CB-6804-4B5D-9DCA-C6D39B0182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總表</vt:lpstr>
      <vt:lpstr>工作底稿</vt:lpstr>
      <vt:lpstr>財務比率季表</vt:lpstr>
      <vt:lpstr>現金流量季表</vt:lpstr>
      <vt:lpstr>月營收</vt:lpstr>
      <vt:lpstr>日K</vt:lpstr>
      <vt:lpstr>周K</vt:lpstr>
      <vt:lpstr>股利政策與本益比</vt:lpstr>
      <vt:lpstr>神秘金字塔</vt:lpstr>
      <vt:lpstr>股票代號</vt:lpstr>
      <vt:lpstr>券商名單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YisenP YisenP</dc:creator>
  <cp:lastModifiedBy>FNU LNU</cp:lastModifiedBy>
  <dcterms:created xsi:type="dcterms:W3CDTF">2021-07-25T05:09:26Z</dcterms:created>
  <dcterms:modified xsi:type="dcterms:W3CDTF">2022-04-19T12:09:24Z</dcterms:modified>
</cp:coreProperties>
</file>