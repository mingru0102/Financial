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s0102-my.sharepoint.com/personal/m5271384265_aps0102_onmicrosoft_com/Documents/git/"/>
    </mc:Choice>
  </mc:AlternateContent>
  <xr:revisionPtr revIDLastSave="186" documentId="11_3E2F727D279A871601466066FA6E3CA7B1D15D28" xr6:coauthVersionLast="47" xr6:coauthVersionMax="47" xr10:uidLastSave="{AD554AA5-14B2-426F-9AD8-99E3445A46FF}"/>
  <bookViews>
    <workbookView xWindow="-120" yWindow="-120" windowWidth="29040" windowHeight="15840" activeTab="1" xr2:uid="{00000000-000D-0000-FFFF-FFFF00000000}"/>
  </bookViews>
  <sheets>
    <sheet name="Strategy_CALL" sheetId="32" r:id="rId1"/>
    <sheet name="Strategy_PUT" sheetId="31" r:id="rId2"/>
    <sheet name="code" sheetId="33" r:id="rId3"/>
    <sheet name="h961l4" sheetId="30" r:id="rId4"/>
    <sheet name="工作表1" sheetId="34" r:id="rId5"/>
  </sheets>
  <functionGroups builtInGroupCount="19"/>
  <externalReferences>
    <externalReference r:id="rId6"/>
  </externalReferences>
  <definedNames>
    <definedName name="_xlnm._FilterDatabase" localSheetId="3" hidden="1">h961l4!$A$1:$D$1</definedName>
    <definedName name="_xlnm._FilterDatabase" localSheetId="0" hidden="1">Strategy_CALL!$B$1:$I$1</definedName>
    <definedName name="_xlnm._FilterDatabase" localSheetId="1" hidden="1">Strategy_PUT!$B$1:$L$55</definedName>
    <definedName name="call">code!$A:$H</definedName>
    <definedName name="put">code!$I:$P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31" l="1"/>
  <c r="J2" i="31"/>
  <c r="L7" i="34"/>
  <c r="I7" i="34"/>
  <c r="D7" i="34"/>
  <c r="F7" i="34" s="1"/>
  <c r="L6" i="34"/>
  <c r="I6" i="34"/>
  <c r="D6" i="34"/>
  <c r="F6" i="34" s="1"/>
  <c r="L5" i="34"/>
  <c r="I5" i="34"/>
  <c r="D5" i="34"/>
  <c r="F5" i="34" s="1"/>
  <c r="L4" i="34"/>
  <c r="I4" i="34"/>
  <c r="D4" i="34"/>
  <c r="F4" i="34" s="1"/>
  <c r="L3" i="34"/>
  <c r="I3" i="34"/>
  <c r="D3" i="34"/>
  <c r="F3" i="34" s="1"/>
  <c r="L2" i="34"/>
  <c r="I2" i="34"/>
  <c r="D2" i="34"/>
  <c r="E2" i="34" s="1"/>
  <c r="K3" i="31"/>
  <c r="H7" i="34"/>
  <c r="H6" i="34"/>
  <c r="H5" i="34"/>
  <c r="H4" i="34"/>
  <c r="H3" i="34"/>
  <c r="H2" i="34"/>
  <c r="E4" i="34" l="1"/>
  <c r="F2" i="34"/>
  <c r="E7" i="34"/>
  <c r="E3" i="34"/>
  <c r="J6" i="34"/>
  <c r="M6" i="34" s="1"/>
  <c r="J2" i="34"/>
  <c r="M2" i="34" s="1"/>
  <c r="J3" i="34"/>
  <c r="K3" i="34" s="1"/>
  <c r="J4" i="34"/>
  <c r="K4" i="34" s="1"/>
  <c r="E5" i="34"/>
  <c r="J7" i="34"/>
  <c r="K7" i="34" s="1"/>
  <c r="J5" i="34"/>
  <c r="K5" i="34" s="1"/>
  <c r="E6" i="34"/>
  <c r="K6" i="34" l="1"/>
  <c r="K2" i="34"/>
  <c r="M3" i="34"/>
  <c r="M7" i="34"/>
  <c r="M4" i="34"/>
  <c r="M5" i="34"/>
  <c r="K6" i="31" l="1"/>
  <c r="L6" i="31" s="1"/>
  <c r="J18" i="31"/>
  <c r="K18" i="31"/>
  <c r="L18" i="31" s="1"/>
  <c r="H18" i="31" s="1"/>
  <c r="K19" i="31"/>
  <c r="L19" i="31" s="1"/>
  <c r="K20" i="31"/>
  <c r="L20" i="31" s="1"/>
  <c r="K21" i="31"/>
  <c r="L21" i="31" s="1"/>
  <c r="K22" i="31"/>
  <c r="L22" i="31" s="1"/>
  <c r="K23" i="31"/>
  <c r="L23" i="31" s="1"/>
  <c r="K24" i="31"/>
  <c r="L24" i="31" s="1"/>
  <c r="K25" i="31"/>
  <c r="L25" i="31" s="1"/>
  <c r="K26" i="31"/>
  <c r="L26" i="31" s="1"/>
  <c r="K27" i="31"/>
  <c r="L27" i="31" s="1"/>
  <c r="K28" i="31"/>
  <c r="L28" i="31" s="1"/>
  <c r="K29" i="31"/>
  <c r="L29" i="31" s="1"/>
  <c r="K30" i="31"/>
  <c r="L30" i="31" s="1"/>
  <c r="K31" i="31"/>
  <c r="L31" i="31" s="1"/>
  <c r="K32" i="31"/>
  <c r="L32" i="31" s="1"/>
  <c r="K33" i="31"/>
  <c r="L33" i="31" s="1"/>
  <c r="K34" i="31"/>
  <c r="L34" i="31" s="1"/>
  <c r="K35" i="31"/>
  <c r="L35" i="31" s="1"/>
  <c r="K36" i="31"/>
  <c r="L36" i="31" s="1"/>
  <c r="K37" i="31"/>
  <c r="L37" i="31" s="1"/>
  <c r="K38" i="31"/>
  <c r="L38" i="31" s="1"/>
  <c r="K39" i="31"/>
  <c r="L39" i="31" s="1"/>
  <c r="K40" i="31"/>
  <c r="L40" i="31" s="1"/>
  <c r="K41" i="31"/>
  <c r="L41" i="31" s="1"/>
  <c r="K42" i="31"/>
  <c r="L42" i="31" s="1"/>
  <c r="K43" i="31"/>
  <c r="L43" i="31" s="1"/>
  <c r="K44" i="31"/>
  <c r="L44" i="31" s="1"/>
  <c r="K45" i="31"/>
  <c r="L45" i="31" s="1"/>
  <c r="K46" i="31"/>
  <c r="L46" i="31" s="1"/>
  <c r="K47" i="31"/>
  <c r="L47" i="31" s="1"/>
  <c r="K48" i="31"/>
  <c r="L48" i="31" s="1"/>
  <c r="K49" i="31"/>
  <c r="L49" i="31" s="1"/>
  <c r="K50" i="31"/>
  <c r="L50" i="31" s="1"/>
  <c r="K51" i="31"/>
  <c r="L51" i="31" s="1"/>
  <c r="K52" i="31"/>
  <c r="L52" i="31" s="1"/>
  <c r="K53" i="31"/>
  <c r="L53" i="31" s="1"/>
  <c r="K54" i="31"/>
  <c r="L54" i="31" s="1"/>
  <c r="K55" i="31"/>
  <c r="L55" i="31" s="1"/>
  <c r="K17" i="31" l="1"/>
  <c r="J6" i="31"/>
  <c r="J5" i="31"/>
  <c r="J10" i="31"/>
  <c r="J9" i="31"/>
  <c r="J8" i="31"/>
  <c r="J16" i="31"/>
  <c r="J15" i="31"/>
  <c r="J14" i="31"/>
  <c r="J13" i="31"/>
  <c r="J12" i="31"/>
  <c r="J11" i="31"/>
  <c r="J3" i="31"/>
  <c r="J22" i="31"/>
  <c r="J21" i="31"/>
  <c r="J20" i="31"/>
  <c r="J26" i="31"/>
  <c r="J25" i="31"/>
  <c r="J23" i="31"/>
  <c r="J31" i="31"/>
  <c r="J30" i="31"/>
  <c r="J29" i="31"/>
  <c r="J28" i="31"/>
  <c r="J27" i="31"/>
  <c r="J24" i="31"/>
  <c r="J19" i="31"/>
  <c r="J17" i="31"/>
  <c r="J32" i="31"/>
  <c r="J33" i="31"/>
  <c r="J34" i="31"/>
  <c r="J35" i="31"/>
  <c r="J36" i="31"/>
  <c r="J37" i="31"/>
  <c r="J38" i="31"/>
  <c r="J39" i="3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K7" i="31"/>
  <c r="K11" i="31"/>
  <c r="K12" i="31"/>
  <c r="K13" i="31"/>
  <c r="K14" i="31"/>
  <c r="K15" i="31"/>
  <c r="K16" i="31"/>
  <c r="K2" i="31"/>
  <c r="K4" i="31"/>
  <c r="K8" i="31"/>
  <c r="K9" i="31"/>
  <c r="K10" i="31"/>
  <c r="K5" i="31"/>
  <c r="I17" i="31" a="1"/>
  <c r="I7" i="31" a="1"/>
  <c r="I11" i="31" a="1"/>
  <c r="I33" i="31" a="1"/>
  <c r="I41" i="31" a="1"/>
  <c r="I49" i="31" a="1"/>
  <c r="I16" i="31" a="1"/>
  <c r="I19" i="31" a="1"/>
  <c r="I4" i="31" a="1"/>
  <c r="I20" i="31" a="1"/>
  <c r="I25" i="31" a="1"/>
  <c r="I6" i="31" a="1"/>
  <c r="I35" i="31" a="1"/>
  <c r="I43" i="31" a="1"/>
  <c r="I51" i="31" a="1"/>
  <c r="I28" i="31" a="1"/>
  <c r="I5" i="31" a="1"/>
  <c r="I53" i="31" a="1"/>
  <c r="I18" i="31" a="1"/>
  <c r="I3" i="31" a="1"/>
  <c r="I29" i="31" a="1"/>
  <c r="I9" i="31" a="1"/>
  <c r="I36" i="31" a="1"/>
  <c r="I44" i="31" a="1"/>
  <c r="I52" i="31" a="1"/>
  <c r="I14" i="31" a="1"/>
  <c r="I45" i="31" a="1"/>
  <c r="I13" i="31" a="1"/>
  <c r="I22" i="31" a="1"/>
  <c r="I30" i="31" a="1"/>
  <c r="I23" i="31" a="1"/>
  <c r="I24" i="31" a="1"/>
  <c r="I38" i="31" a="1"/>
  <c r="I46" i="31" a="1"/>
  <c r="I54" i="31" a="1"/>
  <c r="I55" i="31" a="1"/>
  <c r="I34" i="31" a="1"/>
  <c r="I37" i="31" a="1"/>
  <c r="I31" i="31" a="1"/>
  <c r="I26" i="31" a="1"/>
  <c r="I2" i="31" a="1"/>
  <c r="I8" i="31" a="1"/>
  <c r="I39" i="31" a="1"/>
  <c r="I47" i="31" a="1"/>
  <c r="I27" i="31" a="1"/>
  <c r="I42" i="31" a="1"/>
  <c r="I21" i="31" a="1"/>
  <c r="I15" i="31" a="1"/>
  <c r="I10" i="31" a="1"/>
  <c r="I32" i="31" a="1"/>
  <c r="I40" i="31" a="1"/>
  <c r="I48" i="31" a="1"/>
  <c r="I12" i="31" a="1"/>
  <c r="I50" i="31" a="1"/>
  <c r="I50" i="31" l="1"/>
  <c r="I12" i="31"/>
  <c r="I48" i="31"/>
  <c r="I40" i="31"/>
  <c r="I32" i="31"/>
  <c r="I10" i="31"/>
  <c r="I15" i="31"/>
  <c r="I21" i="31"/>
  <c r="I42" i="31"/>
  <c r="I27" i="31"/>
  <c r="I47" i="31"/>
  <c r="I39" i="31"/>
  <c r="I8" i="31"/>
  <c r="I2" i="31"/>
  <c r="I26" i="31"/>
  <c r="I31" i="31"/>
  <c r="I37" i="31"/>
  <c r="I34" i="31"/>
  <c r="I55" i="31"/>
  <c r="I54" i="31"/>
  <c r="I46" i="31"/>
  <c r="I38" i="31"/>
  <c r="I24" i="31"/>
  <c r="I23" i="31"/>
  <c r="I30" i="31"/>
  <c r="I22" i="31"/>
  <c r="I13" i="31"/>
  <c r="I45" i="31"/>
  <c r="I14" i="31"/>
  <c r="I52" i="31"/>
  <c r="I44" i="31"/>
  <c r="I36" i="31"/>
  <c r="I9" i="31"/>
  <c r="I29" i="31"/>
  <c r="I3" i="31"/>
  <c r="I18" i="31"/>
  <c r="I53" i="31"/>
  <c r="I5" i="31"/>
  <c r="I28" i="31"/>
  <c r="I51" i="31"/>
  <c r="I43" i="31"/>
  <c r="I35" i="31"/>
  <c r="I6" i="31"/>
  <c r="I25" i="31"/>
  <c r="I20" i="31"/>
  <c r="I4" i="31"/>
  <c r="I19" i="31"/>
  <c r="I16" i="31"/>
  <c r="I49" i="31"/>
  <c r="I41" i="31"/>
  <c r="I33" i="31"/>
  <c r="I11" i="31"/>
  <c r="I7" i="31"/>
  <c r="I17" i="31"/>
  <c r="H26" i="31"/>
  <c r="H6" i="31"/>
  <c r="J7" i="31"/>
  <c r="L7" i="31"/>
  <c r="H7" i="31" s="1"/>
  <c r="H20" i="31"/>
  <c r="H21" i="31"/>
  <c r="H22" i="31"/>
  <c r="L11" i="31"/>
  <c r="H11" i="31" s="1"/>
  <c r="L12" i="31"/>
  <c r="H12" i="31" s="1"/>
  <c r="L13" i="31"/>
  <c r="H13" i="31" s="1"/>
  <c r="H24" i="31"/>
  <c r="H27" i="31"/>
  <c r="H28" i="31"/>
  <c r="L14" i="31"/>
  <c r="H14" i="31" s="1"/>
  <c r="L15" i="31"/>
  <c r="H15" i="31" s="1"/>
  <c r="L16" i="31"/>
  <c r="H16" i="31" s="1"/>
  <c r="H29" i="31"/>
  <c r="H30" i="31"/>
  <c r="H31" i="31"/>
  <c r="L2" i="31"/>
  <c r="H2" i="31" s="1"/>
  <c r="L3" i="31"/>
  <c r="H3" i="31" s="1"/>
  <c r="L4" i="31"/>
  <c r="H4" i="31" s="1"/>
  <c r="L17" i="31"/>
  <c r="H17" i="31" s="1"/>
  <c r="H19" i="31"/>
  <c r="L8" i="31"/>
  <c r="H8" i="31" s="1"/>
  <c r="L9" i="31"/>
  <c r="H9" i="31" s="1"/>
  <c r="L10" i="31"/>
  <c r="H10" i="31" s="1"/>
  <c r="H23" i="31"/>
  <c r="H25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L5" i="31"/>
  <c r="H5" i="31" s="1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2" i="32"/>
  <c r="I7" i="32" a="1"/>
  <c r="I15" i="32" a="1"/>
  <c r="I3" i="32" a="1"/>
  <c r="I14" i="32" a="1"/>
  <c r="I8" i="32" a="1"/>
  <c r="I16" i="32" a="1"/>
  <c r="I12" i="32" a="1"/>
  <c r="I13" i="32" a="1"/>
  <c r="I9" i="32" a="1"/>
  <c r="I17" i="32" a="1"/>
  <c r="I2" i="32" a="1"/>
  <c r="I10" i="32" a="1"/>
  <c r="I18" i="32" a="1"/>
  <c r="I11" i="32" a="1"/>
  <c r="I5" i="32" a="1"/>
  <c r="I6" i="32" a="1"/>
  <c r="I4" i="32" a="1"/>
  <c r="I4" i="32" l="1"/>
  <c r="I6" i="32"/>
  <c r="I5" i="32"/>
  <c r="I11" i="32"/>
  <c r="I18" i="32"/>
  <c r="I10" i="32"/>
  <c r="I2" i="32"/>
  <c r="I17" i="32"/>
  <c r="I9" i="32"/>
  <c r="I13" i="32"/>
  <c r="I12" i="32"/>
  <c r="I16" i="32"/>
  <c r="I8" i="32"/>
  <c r="I14" i="32"/>
  <c r="I3" i="32"/>
  <c r="I15" i="32"/>
  <c r="I7" i="32"/>
  <c r="D12" i="30"/>
  <c r="D18" i="30" l="1"/>
  <c r="D32" i="30"/>
  <c r="D7" i="30"/>
  <c r="D22" i="30"/>
  <c r="D37" i="30"/>
  <c r="D8" i="30"/>
  <c r="D23" i="30"/>
  <c r="D38" i="30"/>
  <c r="D24" i="30"/>
  <c r="D30" i="30"/>
  <c r="D3" i="30"/>
  <c r="D14" i="30"/>
  <c r="D33" i="30"/>
  <c r="D4" i="30"/>
  <c r="D5" i="30"/>
  <c r="D10" i="30"/>
  <c r="D26" i="30"/>
  <c r="D15" i="30"/>
  <c r="D31" i="30"/>
  <c r="D39" i="30"/>
  <c r="D16" i="30"/>
  <c r="D34" i="30"/>
  <c r="D2" i="30"/>
  <c r="D20" i="30"/>
  <c r="D40" i="30"/>
  <c r="D21" i="30"/>
  <c r="D41" i="30"/>
  <c r="D11" i="30"/>
  <c r="D27" i="30"/>
  <c r="D9" i="30"/>
  <c r="D17" i="30"/>
  <c r="D42" i="30"/>
  <c r="D25" i="30"/>
  <c r="D35" i="30"/>
  <c r="D6" i="30"/>
  <c r="D28" i="30"/>
  <c r="D36" i="30"/>
  <c r="D13" i="30"/>
  <c r="D19" i="30"/>
  <c r="D29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<sst xmlns="http://schemas.openxmlformats.org/spreadsheetml/2006/main" count="175" uniqueCount="66">
  <si>
    <t>TradeDate</t>
    <phoneticPr fontId="2" type="noConversion"/>
  </si>
  <si>
    <t>Sym</t>
    <phoneticPr fontId="2" type="noConversion"/>
  </si>
  <si>
    <t>DTE</t>
    <phoneticPr fontId="2" type="noConversion"/>
  </si>
  <si>
    <t>StrikePrice</t>
    <phoneticPr fontId="2" type="noConversion"/>
  </si>
  <si>
    <t>Premium</t>
    <phoneticPr fontId="2" type="noConversion"/>
  </si>
  <si>
    <t>Premium (wk / share)</t>
    <phoneticPr fontId="2" type="noConversion"/>
  </si>
  <si>
    <t>JMIA</t>
    <phoneticPr fontId="2" type="noConversion"/>
  </si>
  <si>
    <t>NSPR</t>
    <phoneticPr fontId="2" type="noConversion"/>
  </si>
  <si>
    <t>SRNE</t>
    <phoneticPr fontId="2" type="noConversion"/>
  </si>
  <si>
    <t>Premium (wk/cost1000)</t>
    <phoneticPr fontId="2" type="noConversion"/>
  </si>
  <si>
    <t>Ratio</t>
    <phoneticPr fontId="2" type="noConversion"/>
  </si>
  <si>
    <t>Cost</t>
    <phoneticPr fontId="2" type="noConversion"/>
  </si>
  <si>
    <t>CALL</t>
    <phoneticPr fontId="2" type="noConversion"/>
  </si>
  <si>
    <t>PUT</t>
    <phoneticPr fontId="2" type="noConversion"/>
  </si>
  <si>
    <t>Price</t>
  </si>
  <si>
    <t>IV Index Put</t>
  </si>
  <si>
    <t>HV_High/m</t>
    <phoneticPr fontId="2" type="noConversion"/>
  </si>
  <si>
    <t>HV_Low/m</t>
    <phoneticPr fontId="2" type="noConversion"/>
  </si>
  <si>
    <t>IV_High/m</t>
    <phoneticPr fontId="2" type="noConversion"/>
  </si>
  <si>
    <t>IV_Low/m</t>
    <phoneticPr fontId="2" type="noConversion"/>
  </si>
  <si>
    <t>NOVN</t>
    <phoneticPr fontId="2" type="noConversion"/>
  </si>
  <si>
    <t>SONO</t>
    <phoneticPr fontId="2" type="noConversion"/>
  </si>
  <si>
    <t>RVLV</t>
    <phoneticPr fontId="2" type="noConversion"/>
  </si>
  <si>
    <t>syms</t>
    <phoneticPr fontId="2" type="noConversion"/>
  </si>
  <si>
    <t>timer</t>
    <phoneticPr fontId="2" type="noConversion"/>
  </si>
  <si>
    <t>item</t>
    <phoneticPr fontId="2" type="noConversion"/>
  </si>
  <si>
    <t>day</t>
    <phoneticPr fontId="2" type="noConversion"/>
  </si>
  <si>
    <t>XONE</t>
    <phoneticPr fontId="2" type="noConversion"/>
  </si>
  <si>
    <t>Q2</t>
    <phoneticPr fontId="2" type="noConversion"/>
  </si>
  <si>
    <t>NIO</t>
    <phoneticPr fontId="2" type="noConversion"/>
  </si>
  <si>
    <t>HIMS</t>
    <phoneticPr fontId="2" type="noConversion"/>
  </si>
  <si>
    <t>Q3</t>
    <phoneticPr fontId="2" type="noConversion"/>
  </si>
  <si>
    <t>DIS</t>
    <phoneticPr fontId="2" type="noConversion"/>
  </si>
  <si>
    <t>PLTR</t>
    <phoneticPr fontId="2" type="noConversion"/>
  </si>
  <si>
    <t>CHEK</t>
    <phoneticPr fontId="2" type="noConversion"/>
  </si>
  <si>
    <t>AMG</t>
    <phoneticPr fontId="2" type="noConversion"/>
  </si>
  <si>
    <t>BABA</t>
    <phoneticPr fontId="2" type="noConversion"/>
  </si>
  <si>
    <t>AGM</t>
    <phoneticPr fontId="2" type="noConversion"/>
  </si>
  <si>
    <t>PENN</t>
    <phoneticPr fontId="2" type="noConversion"/>
  </si>
  <si>
    <t>AAPL</t>
    <phoneticPr fontId="2" type="noConversion"/>
  </si>
  <si>
    <t>Q4</t>
    <phoneticPr fontId="2" type="noConversion"/>
  </si>
  <si>
    <t>ATVI</t>
    <phoneticPr fontId="2" type="noConversion"/>
  </si>
  <si>
    <t>SSYS</t>
    <phoneticPr fontId="2" type="noConversion"/>
  </si>
  <si>
    <t>U</t>
    <phoneticPr fontId="2" type="noConversion"/>
  </si>
  <si>
    <t>SENS</t>
    <phoneticPr fontId="2" type="noConversion"/>
  </si>
  <si>
    <t>Q1</t>
    <phoneticPr fontId="2" type="noConversion"/>
  </si>
  <si>
    <t>Remarks</t>
    <phoneticPr fontId="2" type="noConversion"/>
  </si>
  <si>
    <t>Syms</t>
    <phoneticPr fontId="2" type="noConversion"/>
  </si>
  <si>
    <t>DAYS</t>
    <phoneticPr fontId="2" type="noConversion"/>
  </si>
  <si>
    <t>IV Index Put</t>
    <phoneticPr fontId="2" type="noConversion"/>
  </si>
  <si>
    <t>DTE CHA</t>
    <phoneticPr fontId="2" type="noConversion"/>
  </si>
  <si>
    <t>Mkt Pri</t>
    <phoneticPr fontId="2" type="noConversion"/>
  </si>
  <si>
    <t>RVLV</t>
  </si>
  <si>
    <t>SONO</t>
  </si>
  <si>
    <t>JMIA</t>
  </si>
  <si>
    <t>SRNE</t>
  </si>
  <si>
    <t>PLTR</t>
  </si>
  <si>
    <t>NIO</t>
  </si>
  <si>
    <t>Rel IV</t>
    <phoneticPr fontId="2" type="noConversion"/>
  </si>
  <si>
    <t>Premium Size</t>
    <phoneticPr fontId="2" type="noConversion"/>
  </si>
  <si>
    <t>Current IV</t>
    <phoneticPr fontId="2" type="noConversion"/>
  </si>
  <si>
    <t>DTE Pri SP</t>
    <phoneticPr fontId="2" type="noConversion"/>
  </si>
  <si>
    <t>DTE Pri SC</t>
    <phoneticPr fontId="2" type="noConversion"/>
  </si>
  <si>
    <t>FCEL</t>
    <phoneticPr fontId="2" type="noConversion"/>
  </si>
  <si>
    <t>N/A</t>
  </si>
  <si>
    <t>N/A - 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</si>
</sst>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.000"/>
    <numFmt numFmtId="177" formatCode="0.0"/>
    <numFmt numFmtId="178" formatCode="yyyy\-mm\-dd;@"/>
    <numFmt numFmtId="179" formatCode="&quot;         &lt; &quot;General"/>
    <numFmt numFmtId="180" formatCode="mm/d\ \-\ hh:mm\ AM/PM"/>
    <numFmt numFmtId="181" formatCode="0.0\ &quot;秒&quot;"/>
    <numFmt numFmtId="182" formatCode="&quot;YTS/mth &gt; &quot;0.0%"/>
    <numFmt numFmtId="183" formatCode="0.0%"/>
    <numFmt numFmtId="184" formatCode="0.00_);[Red]\(0.00\)"/>
    <numFmt numFmtId="185" formatCode="0_);[Red]\(0\)"/>
  </numFmts>
  <fonts count="17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name val="Arial"/>
      <family val="2"/>
    </font>
    <font>
      <b/>
      <sz val="11"/>
      <color theme="1"/>
      <name val="新細明體"/>
      <family val="1"/>
      <charset val="136"/>
      <scheme val="minor"/>
    </font>
    <font>
      <sz val="11"/>
      <name val="新細明體"/>
      <family val="2"/>
      <scheme val="minor"/>
    </font>
    <font>
      <sz val="11"/>
      <color theme="1"/>
      <name val="新細明體"/>
      <family val="2"/>
      <charset val="136"/>
    </font>
    <font>
      <sz val="11"/>
      <color theme="1"/>
      <name val="新細明體"/>
      <family val="1"/>
      <charset val="136"/>
      <scheme val="minor"/>
    </font>
    <font>
      <sz val="10"/>
      <color theme="1"/>
      <name val="新細明體"/>
      <family val="2"/>
      <scheme val="minor"/>
    </font>
    <font>
      <sz val="11"/>
      <color theme="0" tint="-0.499984740745262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color rgb="FF0070C0"/>
      <name val="Arial"/>
      <family val="2"/>
    </font>
    <font>
      <sz val="11"/>
      <color rgb="FFFF000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>
      <alignment vertical="center"/>
    </xf>
    <xf numFmtId="0" fontId="3" fillId="0" borderId="0"/>
  </cellStyleXfs>
  <cellXfs count="66">
    <xf numFmtId="0" fontId="0" fillId="0" borderId="0" xfId="0"/>
    <xf numFmtId="0" fontId="0" fillId="0" borderId="0" xfId="0" applyAlignment="1">
      <alignment vertical="center"/>
    </xf>
    <xf numFmtId="9" fontId="0" fillId="0" borderId="0" xfId="1" applyFont="1" applyFill="1" applyBorder="1" applyAlignment="1">
      <alignment vertical="center"/>
    </xf>
    <xf numFmtId="0" fontId="0" fillId="3" borderId="0" xfId="0" applyFill="1" applyAlignment="1">
      <alignment vertical="center"/>
    </xf>
    <xf numFmtId="14" fontId="0" fillId="0" borderId="0" xfId="0" applyNumberFormat="1"/>
    <xf numFmtId="178" fontId="0" fillId="0" borderId="0" xfId="0" applyNumberFormat="1"/>
    <xf numFmtId="178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76" fontId="4" fillId="0" borderId="0" xfId="1" applyNumberFormat="1" applyFont="1" applyFill="1" applyBorder="1" applyAlignment="1" applyProtection="1">
      <alignment vertical="center"/>
    </xf>
    <xf numFmtId="177" fontId="4" fillId="0" borderId="2" xfId="1" applyNumberFormat="1" applyFont="1" applyFill="1" applyBorder="1" applyAlignment="1" applyProtection="1">
      <alignment horizontal="right"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5" fillId="3" borderId="0" xfId="0" applyFont="1" applyFill="1" applyAlignment="1">
      <alignment vertical="center"/>
    </xf>
    <xf numFmtId="178" fontId="0" fillId="2" borderId="4" xfId="0" applyNumberForma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79" fontId="0" fillId="2" borderId="5" xfId="0" applyNumberFormat="1" applyFill="1" applyBorder="1" applyAlignment="1" applyProtection="1">
      <alignment horizontal="center" vertical="center"/>
      <protection locked="0"/>
    </xf>
    <xf numFmtId="179" fontId="0" fillId="2" borderId="4" xfId="0" applyNumberFormat="1" applyFill="1" applyBorder="1" applyAlignment="1">
      <alignment horizontal="center" vertical="center"/>
    </xf>
    <xf numFmtId="2" fontId="4" fillId="0" borderId="0" xfId="1" applyNumberFormat="1" applyFont="1" applyFill="1" applyBorder="1" applyAlignment="1" applyProtection="1">
      <alignment vertical="center"/>
    </xf>
    <xf numFmtId="2" fontId="0" fillId="2" borderId="4" xfId="0" applyNumberFormat="1" applyFill="1" applyBorder="1" applyAlignment="1" applyProtection="1">
      <alignment horizontal="center" vertical="center"/>
      <protection locked="0"/>
    </xf>
    <xf numFmtId="10" fontId="4" fillId="0" borderId="0" xfId="1" applyNumberFormat="1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0" fillId="2" borderId="5" xfId="0" applyFill="1" applyBorder="1" applyAlignment="1">
      <alignment horizontal="center" vertical="center"/>
    </xf>
    <xf numFmtId="1" fontId="0" fillId="0" borderId="2" xfId="0" applyNumberFormat="1" applyBorder="1" applyAlignment="1">
      <alignment vertical="center"/>
    </xf>
    <xf numFmtId="0" fontId="0" fillId="0" borderId="0" xfId="0" applyAlignment="1">
      <alignment horizontal="center" vertical="center"/>
    </xf>
    <xf numFmtId="177" fontId="4" fillId="0" borderId="0" xfId="1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80" fontId="8" fillId="3" borderId="0" xfId="0" quotePrefix="1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80" fontId="6" fillId="2" borderId="3" xfId="0" applyNumberFormat="1" applyFont="1" applyFill="1" applyBorder="1" applyAlignment="1">
      <alignment horizontal="center" vertical="center"/>
    </xf>
    <xf numFmtId="181" fontId="8" fillId="3" borderId="0" xfId="0" applyNumberFormat="1" applyFont="1" applyFill="1" applyAlignment="1">
      <alignment horizontal="center" vertical="center"/>
    </xf>
    <xf numFmtId="180" fontId="8" fillId="3" borderId="0" xfId="0" applyNumberFormat="1" applyFont="1" applyFill="1" applyAlignment="1">
      <alignment horizontal="center" vertical="center"/>
    </xf>
    <xf numFmtId="182" fontId="7" fillId="2" borderId="4" xfId="1" applyNumberFormat="1" applyFont="1" applyFill="1" applyBorder="1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</xf>
    <xf numFmtId="183" fontId="12" fillId="0" borderId="0" xfId="1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185" fontId="12" fillId="0" borderId="0" xfId="0" applyNumberFormat="1" applyFont="1" applyFill="1" applyBorder="1" applyAlignment="1" applyProtection="1">
      <alignment horizontal="center" vertical="center"/>
    </xf>
    <xf numFmtId="10" fontId="12" fillId="0" borderId="0" xfId="1" applyNumberFormat="1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184" fontId="15" fillId="0" borderId="2" xfId="1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14" fillId="0" borderId="0" xfId="0" applyFont="1" applyFill="1" applyBorder="1" applyAlignment="1" applyProtection="1">
      <alignment horizontal="center" vertical="center"/>
      <protection locked="0"/>
    </xf>
    <xf numFmtId="14" fontId="14" fillId="0" borderId="0" xfId="0" applyNumberFormat="1" applyFont="1" applyFill="1" applyBorder="1" applyAlignment="1" applyProtection="1">
      <alignment horizontal="center" vertical="center"/>
      <protection locked="0"/>
    </xf>
    <xf numFmtId="184" fontId="12" fillId="0" borderId="0" xfId="1" applyNumberFormat="1" applyFont="1" applyFill="1" applyBorder="1" applyAlignment="1" applyProtection="1">
      <alignment horizontal="center" vertical="center"/>
    </xf>
    <xf numFmtId="184" fontId="15" fillId="0" borderId="0" xfId="1" applyNumberFormat="1" applyFont="1" applyFill="1" applyBorder="1" applyAlignment="1" applyProtection="1">
      <alignment horizontal="center" vertical="center"/>
    </xf>
    <xf numFmtId="0" fontId="0" fillId="0" borderId="0" xfId="0" applyFill="1" applyBorder="1"/>
    <xf numFmtId="0" fontId="0" fillId="0" borderId="1" xfId="0" applyFill="1" applyBorder="1"/>
    <xf numFmtId="0" fontId="0" fillId="0" borderId="2" xfId="0" applyFill="1" applyBorder="1"/>
    <xf numFmtId="178" fontId="0" fillId="2" borderId="3" xfId="0" applyNumberFormat="1" applyFill="1" applyBorder="1" applyAlignment="1" applyProtection="1">
      <alignment horizontal="center" vertical="center"/>
      <protection locked="0"/>
    </xf>
    <xf numFmtId="178" fontId="0" fillId="2" borderId="5" xfId="0" applyNumberForma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一般" xfId="0" builtinId="0"/>
    <cellStyle name="一般 2" xfId="2" xr:uid="{00000000-0005-0000-0000-000001000000}"/>
    <cellStyle name="百分比" xfId="1" builtinId="5"/>
  </cellStyles>
  <dxfs count="10"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  <dxf>
      <font>
        <color rgb="FFC00000"/>
      </font>
    </dxf>
    <dxf>
      <font>
        <color rgb="FFC00000"/>
      </font>
    </dxf>
    <dxf>
      <font>
        <strike/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390525</xdr:colOff>
          <xdr:row>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0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Risk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風險指數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0</xdr:rowOff>
        </xdr:from>
        <xdr:to>
          <xdr:col>8</xdr:col>
          <xdr:colOff>361950</xdr:colOff>
          <xdr:row>0</xdr:row>
          <xdr:rowOff>209550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Risk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0</xdr:row>
          <xdr:rowOff>28575</xdr:rowOff>
        </xdr:from>
        <xdr:to>
          <xdr:col>15</xdr:col>
          <xdr:colOff>9525</xdr:colOff>
          <xdr:row>1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4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endParaRPr lang="zh-TW" alt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%20-%20aps0102\02_Volatility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&amp;P500"/>
      <sheetName val="Personal"/>
      <sheetName val="Code"/>
      <sheetName val="CAGR Code"/>
      <sheetName val="h961l4"/>
      <sheetName val="Strategy_CALL"/>
      <sheetName val="Strategy_PUT"/>
      <sheetName val="工作表1"/>
      <sheetName val="02_Volatility Analysis"/>
    </sheetNames>
    <definedNames>
      <definedName name="Personal_Click"/>
    </definedNames>
    <sheetDataSet>
      <sheetData sheetId="0"/>
      <sheetData sheetId="1"/>
      <sheetData sheetId="2">
        <row r="1">
          <cell r="H1" t="str">
            <v>S&amp;P500 + Personal Database</v>
          </cell>
          <cell r="I1"/>
          <cell r="J1"/>
          <cell r="K1"/>
          <cell r="L1"/>
          <cell r="M1"/>
          <cell r="N1"/>
          <cell r="O1"/>
          <cell r="P1"/>
          <cell r="Q1"/>
        </row>
        <row r="2">
          <cell r="H2" t="str">
            <v>Dynamic Menu</v>
          </cell>
          <cell r="I2"/>
          <cell r="J2"/>
          <cell r="K2"/>
          <cell r="L2" t="str">
            <v>Current</v>
          </cell>
          <cell r="M2" t="str">
            <v>Market</v>
          </cell>
          <cell r="N2" t="str">
            <v>HV</v>
          </cell>
          <cell r="O2"/>
          <cell r="P2" t="str">
            <v>IV</v>
          </cell>
          <cell r="Q2"/>
        </row>
        <row r="3">
          <cell r="H3" t="str">
            <v>Syms</v>
          </cell>
          <cell r="I3" t="str">
            <v>Sector</v>
          </cell>
          <cell r="J3" t="str">
            <v>Industry</v>
          </cell>
          <cell r="K3" t="str">
            <v>Source</v>
          </cell>
          <cell r="L3" t="str">
            <v>IV Index Put</v>
          </cell>
          <cell r="M3" t="str">
            <v>Price</v>
          </cell>
          <cell r="N3" t="str">
            <v>Hi/m</v>
          </cell>
          <cell r="O3" t="str">
            <v>Low/m</v>
          </cell>
          <cell r="P3" t="str">
            <v>Hi/m</v>
          </cell>
          <cell r="Q3" t="str">
            <v>Low/m</v>
          </cell>
        </row>
        <row r="4">
          <cell r="H4" t="str">
            <v>A</v>
          </cell>
          <cell r="I4" t="str">
            <v>XLV</v>
          </cell>
          <cell r="J4" t="str">
            <v>診斷與研究</v>
          </cell>
          <cell r="K4" t="str">
            <v>.SPX</v>
          </cell>
          <cell r="L4">
            <v>0.24660000000000001</v>
          </cell>
          <cell r="M4">
            <v>155.04</v>
          </cell>
          <cell r="N4">
            <v>0.30159999999999998</v>
          </cell>
          <cell r="O4">
            <v>9.9000000000000005E-2</v>
          </cell>
          <cell r="P4">
            <v>0.3947</v>
          </cell>
          <cell r="Q4">
            <v>0.18729999999999999</v>
          </cell>
        </row>
        <row r="5">
          <cell r="H5" t="str">
            <v>AAL</v>
          </cell>
          <cell r="I5" t="str">
            <v>XLI</v>
          </cell>
          <cell r="J5" t="str">
            <v>航空公司</v>
          </cell>
          <cell r="K5" t="str">
            <v>.SPX</v>
          </cell>
          <cell r="L5">
            <v>0.46489999999999998</v>
          </cell>
          <cell r="M5">
            <v>20.7</v>
          </cell>
          <cell r="N5">
            <v>0.81850000000000001</v>
          </cell>
          <cell r="O5">
            <v>0.2797</v>
          </cell>
          <cell r="P5">
            <v>1.1906999999999999</v>
          </cell>
          <cell r="Q5">
            <v>0.3876</v>
          </cell>
        </row>
        <row r="6">
          <cell r="H6" t="str">
            <v>AAP</v>
          </cell>
          <cell r="I6" t="str">
            <v>XLY</v>
          </cell>
          <cell r="J6" t="str">
            <v>專業零售</v>
          </cell>
          <cell r="K6" t="str">
            <v>.SPX</v>
          </cell>
          <cell r="L6">
            <v>0.29270000000000002</v>
          </cell>
          <cell r="M6">
            <v>206.34</v>
          </cell>
          <cell r="N6">
            <v>0.41760000000000003</v>
          </cell>
          <cell r="O6">
            <v>0.1764</v>
          </cell>
          <cell r="P6">
            <v>0.52570000000000006</v>
          </cell>
          <cell r="Q6">
            <v>0.22690000000000002</v>
          </cell>
        </row>
        <row r="7">
          <cell r="H7" t="str">
            <v>AAPL</v>
          </cell>
          <cell r="I7" t="str">
            <v>XLK</v>
          </cell>
          <cell r="J7" t="str">
            <v>消費類電子</v>
          </cell>
          <cell r="K7" t="str">
            <v>.SPX</v>
          </cell>
          <cell r="L7">
            <v>0.20810000000000001</v>
          </cell>
          <cell r="M7">
            <v>147.06</v>
          </cell>
          <cell r="N7">
            <v>0.55489999999999995</v>
          </cell>
          <cell r="O7">
            <v>0.1555</v>
          </cell>
          <cell r="P7">
            <v>0.58850000000000002</v>
          </cell>
          <cell r="Q7">
            <v>0.18909999999999999</v>
          </cell>
        </row>
        <row r="8">
          <cell r="H8" t="str">
            <v>ABBV</v>
          </cell>
          <cell r="I8" t="str">
            <v>XLV</v>
          </cell>
          <cell r="J8" t="str">
            <v>藥品製造商— 常規</v>
          </cell>
          <cell r="K8" t="str">
            <v>.SPX</v>
          </cell>
          <cell r="L8">
            <v>0.192</v>
          </cell>
          <cell r="M8">
            <v>115.12</v>
          </cell>
          <cell r="N8">
            <v>0.36530000000000001</v>
          </cell>
          <cell r="O8">
            <v>0.12590000000000001</v>
          </cell>
          <cell r="P8">
            <v>0.39140000000000003</v>
          </cell>
          <cell r="Q8">
            <v>0.19109999999999999</v>
          </cell>
        </row>
        <row r="9">
          <cell r="H9" t="str">
            <v>ABC</v>
          </cell>
          <cell r="I9" t="str">
            <v>XLV</v>
          </cell>
          <cell r="J9" t="str">
            <v>醫療分銷</v>
          </cell>
          <cell r="K9" t="str">
            <v>.SPX</v>
          </cell>
          <cell r="L9">
            <v>0.2213</v>
          </cell>
          <cell r="M9">
            <v>120.49</v>
          </cell>
          <cell r="N9">
            <v>0.39660000000000001</v>
          </cell>
          <cell r="O9">
            <v>0.14810000000000001</v>
          </cell>
          <cell r="P9">
            <v>0.43829999999999997</v>
          </cell>
          <cell r="Q9">
            <v>0.21299999999999999</v>
          </cell>
        </row>
        <row r="10">
          <cell r="H10" t="str">
            <v>ABMD</v>
          </cell>
          <cell r="I10" t="str">
            <v>XLV</v>
          </cell>
          <cell r="J10" t="str">
            <v>醫療設備</v>
          </cell>
          <cell r="K10" t="str">
            <v>.SPX</v>
          </cell>
          <cell r="L10">
            <v>0.30890000000000001</v>
          </cell>
          <cell r="M10">
            <v>348.86</v>
          </cell>
          <cell r="N10">
            <v>0.46460000000000001</v>
          </cell>
          <cell r="O10">
            <v>0.2026</v>
          </cell>
          <cell r="P10">
            <v>0.60929999999999995</v>
          </cell>
          <cell r="Q10">
            <v>0.30890000000000001</v>
          </cell>
        </row>
        <row r="11">
          <cell r="H11" t="str">
            <v>ABT</v>
          </cell>
          <cell r="I11" t="str">
            <v>XLV</v>
          </cell>
          <cell r="J11" t="str">
            <v>醫療設備</v>
          </cell>
          <cell r="K11" t="str">
            <v>.SPX</v>
          </cell>
          <cell r="L11">
            <v>0.17660000000000001</v>
          </cell>
          <cell r="M11">
            <v>122.21</v>
          </cell>
          <cell r="N11">
            <v>0.3569</v>
          </cell>
          <cell r="O11">
            <v>0.1</v>
          </cell>
          <cell r="P11">
            <v>0.42270000000000002</v>
          </cell>
          <cell r="Q11">
            <v>0.17079999999999998</v>
          </cell>
        </row>
        <row r="12">
          <cell r="H12" t="str">
            <v>ACN</v>
          </cell>
          <cell r="I12" t="str">
            <v>XLK</v>
          </cell>
          <cell r="J12" t="str">
            <v>信息技術處</v>
          </cell>
          <cell r="K12" t="str">
            <v>.SPX</v>
          </cell>
          <cell r="L12">
            <v>0.156</v>
          </cell>
          <cell r="M12">
            <v>319.64</v>
          </cell>
          <cell r="N12">
            <v>0.34710000000000002</v>
          </cell>
          <cell r="O12">
            <v>9.4299999999999995E-2</v>
          </cell>
          <cell r="P12">
            <v>0.38909999999999995</v>
          </cell>
          <cell r="Q12">
            <v>0.1409</v>
          </cell>
        </row>
        <row r="13">
          <cell r="H13" t="str">
            <v>ADBE</v>
          </cell>
          <cell r="I13" t="str">
            <v>XLK</v>
          </cell>
          <cell r="J13" t="str">
            <v>軟件基礎設施</v>
          </cell>
          <cell r="K13" t="str">
            <v>.SPX</v>
          </cell>
          <cell r="L13">
            <v>0.2112</v>
          </cell>
          <cell r="M13">
            <v>632.08000000000004</v>
          </cell>
          <cell r="N13">
            <v>0.50139999999999996</v>
          </cell>
          <cell r="O13">
            <v>0.11600000000000001</v>
          </cell>
          <cell r="P13">
            <v>0.64439999999999997</v>
          </cell>
          <cell r="Q13">
            <v>0.2072</v>
          </cell>
        </row>
        <row r="14">
          <cell r="H14" t="str">
            <v>ADI</v>
          </cell>
          <cell r="I14" t="str">
            <v>XLK</v>
          </cell>
          <cell r="J14" t="str">
            <v>半導體</v>
          </cell>
          <cell r="K14" t="str">
            <v>.SPX</v>
          </cell>
          <cell r="L14">
            <v>0.33389999999999997</v>
          </cell>
          <cell r="M14">
            <v>169.93</v>
          </cell>
          <cell r="N14">
            <v>0.41520000000000001</v>
          </cell>
          <cell r="O14">
            <v>0.17030000000000001</v>
          </cell>
          <cell r="P14">
            <v>0.42100000000000004</v>
          </cell>
          <cell r="Q14">
            <v>0.21640000000000001</v>
          </cell>
        </row>
        <row r="15">
          <cell r="H15" t="str">
            <v>ADM</v>
          </cell>
          <cell r="I15" t="str">
            <v>XLP</v>
          </cell>
          <cell r="J15" t="str">
            <v>農產品</v>
          </cell>
          <cell r="K15" t="str">
            <v>.SPX</v>
          </cell>
          <cell r="L15">
            <v>0.21560000000000001</v>
          </cell>
          <cell r="M15">
            <v>59.4</v>
          </cell>
          <cell r="N15">
            <v>0.36020000000000002</v>
          </cell>
          <cell r="O15">
            <v>0.121</v>
          </cell>
          <cell r="P15">
            <v>0.36</v>
          </cell>
          <cell r="Q15">
            <v>0.18510000000000001</v>
          </cell>
        </row>
        <row r="16">
          <cell r="H16" t="str">
            <v>ADP</v>
          </cell>
          <cell r="I16" t="str">
            <v>XLK</v>
          </cell>
          <cell r="J16" t="str">
            <v>人員配置和就業服務</v>
          </cell>
          <cell r="K16" t="str">
            <v>.SPX</v>
          </cell>
          <cell r="L16">
            <v>0.17019999999999999</v>
          </cell>
          <cell r="M16">
            <v>213.29</v>
          </cell>
          <cell r="N16">
            <v>0.30599999999999999</v>
          </cell>
          <cell r="O16">
            <v>0.1234</v>
          </cell>
          <cell r="P16">
            <v>0.36469999999999997</v>
          </cell>
          <cell r="Q16">
            <v>0.16589999999999999</v>
          </cell>
        </row>
        <row r="17">
          <cell r="H17" t="str">
            <v>ADSK</v>
          </cell>
          <cell r="I17" t="str">
            <v>XLK</v>
          </cell>
          <cell r="J17" t="str">
            <v>軟件-應用</v>
          </cell>
          <cell r="K17" t="str">
            <v>.SPX</v>
          </cell>
          <cell r="L17">
            <v>0.34970000000000001</v>
          </cell>
          <cell r="M17">
            <v>328.82</v>
          </cell>
          <cell r="N17">
            <v>0.44690000000000002</v>
          </cell>
          <cell r="O17">
            <v>0.18479999999999999</v>
          </cell>
          <cell r="P17">
            <v>0.53380000000000005</v>
          </cell>
          <cell r="Q17">
            <v>0.2349</v>
          </cell>
        </row>
        <row r="18">
          <cell r="H18" t="str">
            <v>AEE</v>
          </cell>
          <cell r="I18" t="str">
            <v>XLU</v>
          </cell>
          <cell r="J18" t="str">
            <v>公用事業—受監督的電力</v>
          </cell>
          <cell r="K18" t="str">
            <v>.SPX</v>
          </cell>
          <cell r="L18">
            <v>0.217</v>
          </cell>
          <cell r="M18">
            <v>86.18</v>
          </cell>
          <cell r="N18">
            <v>0.25659999999999999</v>
          </cell>
          <cell r="O18">
            <v>0.1384</v>
          </cell>
          <cell r="P18">
            <v>0.4335</v>
          </cell>
          <cell r="Q18">
            <v>0.13470000000000001</v>
          </cell>
        </row>
        <row r="19">
          <cell r="H19" t="str">
            <v>AEP</v>
          </cell>
          <cell r="I19" t="str">
            <v>XLU</v>
          </cell>
          <cell r="J19" t="str">
            <v>公用事業—受監督的電力</v>
          </cell>
          <cell r="K19" t="str">
            <v>.SPX</v>
          </cell>
          <cell r="L19">
            <v>0.1668</v>
          </cell>
          <cell r="M19">
            <v>89.48</v>
          </cell>
          <cell r="N19">
            <v>0.27339999999999998</v>
          </cell>
          <cell r="O19">
            <v>0.1245</v>
          </cell>
          <cell r="P19">
            <v>0.31390000000000001</v>
          </cell>
          <cell r="Q19">
            <v>0.14499999999999999</v>
          </cell>
        </row>
        <row r="20">
          <cell r="H20" t="str">
            <v>AES</v>
          </cell>
          <cell r="I20" t="str">
            <v>XLU</v>
          </cell>
          <cell r="J20" t="str">
            <v>公用事業-多樣化</v>
          </cell>
          <cell r="K20" t="str">
            <v>.SPX</v>
          </cell>
          <cell r="L20">
            <v>0.27260000000000001</v>
          </cell>
          <cell r="M20">
            <v>24.85</v>
          </cell>
          <cell r="N20">
            <v>0.51080000000000003</v>
          </cell>
          <cell r="O20">
            <v>0.19489999999999999</v>
          </cell>
          <cell r="P20">
            <v>0.54149999999999998</v>
          </cell>
          <cell r="Q20">
            <v>0.2286</v>
          </cell>
        </row>
        <row r="21">
          <cell r="H21" t="str">
            <v>AFL</v>
          </cell>
          <cell r="I21" t="str">
            <v>XLF</v>
          </cell>
          <cell r="J21" t="str">
            <v>保險-人壽保險</v>
          </cell>
          <cell r="K21" t="str">
            <v>.SPX</v>
          </cell>
          <cell r="L21">
            <v>0.1981</v>
          </cell>
          <cell r="M21">
            <v>55.97</v>
          </cell>
          <cell r="N21">
            <v>0.4844</v>
          </cell>
          <cell r="O21">
            <v>0.13900000000000001</v>
          </cell>
          <cell r="P21">
            <v>0.4093</v>
          </cell>
          <cell r="Q21">
            <v>0.16699999999999998</v>
          </cell>
        </row>
        <row r="22">
          <cell r="H22" t="str">
            <v>AIG</v>
          </cell>
          <cell r="I22" t="str">
            <v>XLF</v>
          </cell>
          <cell r="J22" t="str">
            <v>保險-多樣化</v>
          </cell>
          <cell r="K22" t="str">
            <v>.SPX</v>
          </cell>
          <cell r="L22">
            <v>0.33250000000000002</v>
          </cell>
          <cell r="M22">
            <v>50.92</v>
          </cell>
          <cell r="N22">
            <v>0.58199999999999996</v>
          </cell>
          <cell r="O22">
            <v>0.22459999999999999</v>
          </cell>
          <cell r="P22">
            <v>0.57030000000000003</v>
          </cell>
          <cell r="Q22">
            <v>0.22039999999999998</v>
          </cell>
        </row>
        <row r="23">
          <cell r="H23" t="str">
            <v>AIZ</v>
          </cell>
          <cell r="I23" t="str">
            <v>XLF</v>
          </cell>
          <cell r="J23" t="str">
            <v>保險-專業</v>
          </cell>
          <cell r="K23" t="str">
            <v>.SPX</v>
          </cell>
          <cell r="L23">
            <v>0.216</v>
          </cell>
          <cell r="M23">
            <v>160.35</v>
          </cell>
          <cell r="N23">
            <v>0.47339999999999999</v>
          </cell>
          <cell r="O23">
            <v>0.13789999999999999</v>
          </cell>
          <cell r="P23">
            <v>0.57030000000000003</v>
          </cell>
          <cell r="Q23">
            <v>0.193</v>
          </cell>
        </row>
        <row r="24">
          <cell r="H24" t="str">
            <v>AJG</v>
          </cell>
          <cell r="I24" t="str">
            <v>XLF</v>
          </cell>
          <cell r="J24" t="str">
            <v>保險經紀</v>
          </cell>
          <cell r="K24" t="str">
            <v>.SPX</v>
          </cell>
          <cell r="L24">
            <v>0.2054</v>
          </cell>
          <cell r="M24">
            <v>138.62</v>
          </cell>
          <cell r="N24">
            <v>0.24610000000000001</v>
          </cell>
          <cell r="O24">
            <v>0.1249</v>
          </cell>
          <cell r="P24">
            <v>0.3589</v>
          </cell>
          <cell r="Q24">
            <v>0.1646</v>
          </cell>
        </row>
        <row r="25">
          <cell r="H25" t="str">
            <v>AKAM</v>
          </cell>
          <cell r="I25" t="str">
            <v>XLK</v>
          </cell>
          <cell r="J25" t="str">
            <v>軟件基礎設施</v>
          </cell>
          <cell r="K25" t="str">
            <v>.SPX</v>
          </cell>
          <cell r="L25">
            <v>0.2127</v>
          </cell>
          <cell r="M25">
            <v>113.38</v>
          </cell>
          <cell r="N25">
            <v>0.51390000000000002</v>
          </cell>
          <cell r="O25">
            <v>0.11260000000000001</v>
          </cell>
          <cell r="P25">
            <v>0.47450000000000003</v>
          </cell>
          <cell r="Q25">
            <v>0.18739999999999998</v>
          </cell>
        </row>
        <row r="26">
          <cell r="H26" t="str">
            <v>ALB</v>
          </cell>
          <cell r="I26" t="str">
            <v>XLB</v>
          </cell>
          <cell r="J26" t="str">
            <v>特種化學品</v>
          </cell>
          <cell r="K26" t="str">
            <v>.SPX</v>
          </cell>
          <cell r="L26">
            <v>0.41199999999999998</v>
          </cell>
          <cell r="M26">
            <v>218.62</v>
          </cell>
          <cell r="N26">
            <v>0.67769999999999997</v>
          </cell>
          <cell r="O26">
            <v>0.29899999999999999</v>
          </cell>
          <cell r="P26">
            <v>0.66430000000000011</v>
          </cell>
          <cell r="Q26">
            <v>0.32969999999999999</v>
          </cell>
        </row>
        <row r="27">
          <cell r="H27" t="str">
            <v>ALGN</v>
          </cell>
          <cell r="I27" t="str">
            <v>XLV</v>
          </cell>
          <cell r="J27" t="str">
            <v>醫療設備</v>
          </cell>
          <cell r="K27" t="str">
            <v>.SPX</v>
          </cell>
          <cell r="L27">
            <v>0.3327</v>
          </cell>
          <cell r="M27">
            <v>699.22</v>
          </cell>
          <cell r="N27">
            <v>0.96009999999999995</v>
          </cell>
          <cell r="O27">
            <v>0.23430000000000001</v>
          </cell>
          <cell r="P27">
            <v>0.77800000000000002</v>
          </cell>
          <cell r="Q27">
            <v>0.30649999999999999</v>
          </cell>
        </row>
        <row r="28">
          <cell r="H28" t="str">
            <v>ALK</v>
          </cell>
          <cell r="I28" t="str">
            <v>XLI</v>
          </cell>
          <cell r="J28" t="str">
            <v>航空公司</v>
          </cell>
          <cell r="K28" t="str">
            <v>.SPX</v>
          </cell>
          <cell r="L28">
            <v>0.3967</v>
          </cell>
          <cell r="M28">
            <v>57.45</v>
          </cell>
          <cell r="N28">
            <v>0.72829999999999995</v>
          </cell>
          <cell r="O28">
            <v>0.2359</v>
          </cell>
          <cell r="P28">
            <v>0.67480000000000007</v>
          </cell>
          <cell r="Q28">
            <v>0.3322</v>
          </cell>
        </row>
        <row r="29">
          <cell r="H29" t="str">
            <v>ALL</v>
          </cell>
          <cell r="I29" t="str">
            <v>XLF</v>
          </cell>
          <cell r="J29" t="str">
            <v>保險-財產及意外事故</v>
          </cell>
          <cell r="K29" t="str">
            <v>.SPX</v>
          </cell>
          <cell r="L29">
            <v>0.22220000000000001</v>
          </cell>
          <cell r="M29">
            <v>127.93</v>
          </cell>
          <cell r="N29">
            <v>0.32</v>
          </cell>
          <cell r="O29">
            <v>0.13869999999999999</v>
          </cell>
          <cell r="P29">
            <v>0.35389999999999999</v>
          </cell>
          <cell r="Q29">
            <v>0.18160000000000001</v>
          </cell>
        </row>
        <row r="30">
          <cell r="H30" t="str">
            <v>ALLE</v>
          </cell>
          <cell r="I30" t="str">
            <v>XLI</v>
          </cell>
          <cell r="J30" t="str">
            <v>保安及保護服務</v>
          </cell>
          <cell r="K30" t="str">
            <v>.SPX</v>
          </cell>
          <cell r="L30">
            <v>0.2238</v>
          </cell>
          <cell r="M30">
            <v>137.30000000000001</v>
          </cell>
          <cell r="N30">
            <v>0.41360000000000002</v>
          </cell>
          <cell r="O30">
            <v>0.1206</v>
          </cell>
          <cell r="P30">
            <v>0.50039999999999996</v>
          </cell>
          <cell r="Q30">
            <v>0.1963</v>
          </cell>
        </row>
        <row r="31">
          <cell r="H31" t="str">
            <v>AMAT</v>
          </cell>
          <cell r="I31" t="str">
            <v>XLK</v>
          </cell>
          <cell r="J31" t="str">
            <v>半導體設備與材料</v>
          </cell>
          <cell r="K31" t="str">
            <v>.SPX</v>
          </cell>
          <cell r="L31">
            <v>0.37169999999999997</v>
          </cell>
          <cell r="M31">
            <v>142.27000000000001</v>
          </cell>
          <cell r="N31">
            <v>0.70620000000000005</v>
          </cell>
          <cell r="O31">
            <v>0.24970000000000001</v>
          </cell>
          <cell r="P31">
            <v>0.55049999999999999</v>
          </cell>
          <cell r="Q31">
            <v>0.29199999999999998</v>
          </cell>
        </row>
        <row r="32">
          <cell r="H32" t="str">
            <v>AMCR</v>
          </cell>
          <cell r="I32" t="str">
            <v>XLB</v>
          </cell>
          <cell r="J32" t="str">
            <v>包裝和容器</v>
          </cell>
          <cell r="K32" t="str">
            <v>.SPX</v>
          </cell>
          <cell r="L32">
            <v>0.24099999999999999</v>
          </cell>
          <cell r="M32">
            <v>11.81</v>
          </cell>
          <cell r="N32">
            <v>0.33850000000000002</v>
          </cell>
          <cell r="O32">
            <v>0.125</v>
          </cell>
          <cell r="P32">
            <v>0.46679999999999999</v>
          </cell>
          <cell r="Q32">
            <v>0.21170000000000003</v>
          </cell>
        </row>
        <row r="33">
          <cell r="H33" t="str">
            <v>AMD</v>
          </cell>
          <cell r="I33" t="str">
            <v>XLK</v>
          </cell>
          <cell r="J33" t="str">
            <v>半導體</v>
          </cell>
          <cell r="K33" t="str">
            <v>.SPX</v>
          </cell>
          <cell r="L33">
            <v>0.36330000000000001</v>
          </cell>
          <cell r="M33">
            <v>106.22</v>
          </cell>
          <cell r="N33">
            <v>0.55640000000000001</v>
          </cell>
          <cell r="O33">
            <v>0.24460000000000001</v>
          </cell>
          <cell r="P33">
            <v>0.6976</v>
          </cell>
          <cell r="Q33">
            <v>0.28339999999999999</v>
          </cell>
        </row>
        <row r="34">
          <cell r="H34" t="str">
            <v>AME</v>
          </cell>
          <cell r="I34" t="str">
            <v>XLI</v>
          </cell>
          <cell r="J34" t="str">
            <v>特種工業機械</v>
          </cell>
          <cell r="K34" t="str">
            <v>.SPX</v>
          </cell>
          <cell r="L34">
            <v>0.2077</v>
          </cell>
          <cell r="M34">
            <v>136.9</v>
          </cell>
          <cell r="N34">
            <v>0.31759999999999999</v>
          </cell>
          <cell r="O34">
            <v>0.13200000000000001</v>
          </cell>
          <cell r="P34">
            <v>0.40049999999999997</v>
          </cell>
          <cell r="Q34">
            <v>0.18729999999999999</v>
          </cell>
        </row>
        <row r="35">
          <cell r="H35" t="str">
            <v>AMGN</v>
          </cell>
          <cell r="I35" t="str">
            <v>XLV</v>
          </cell>
          <cell r="J35" t="str">
            <v>藥品製造商— 常規</v>
          </cell>
          <cell r="K35" t="str">
            <v>.SPX</v>
          </cell>
          <cell r="L35">
            <v>0.1966</v>
          </cell>
          <cell r="M35">
            <v>231.97</v>
          </cell>
          <cell r="N35">
            <v>0.3705</v>
          </cell>
          <cell r="O35">
            <v>0.113</v>
          </cell>
          <cell r="P35">
            <v>0.40600000000000003</v>
          </cell>
          <cell r="Q35">
            <v>0.17050000000000001</v>
          </cell>
        </row>
        <row r="36">
          <cell r="H36" t="str">
            <v>AMP</v>
          </cell>
          <cell r="I36" t="str">
            <v>XLF</v>
          </cell>
          <cell r="J36" t="str">
            <v>資產管理</v>
          </cell>
          <cell r="K36" t="str">
            <v>.SPX</v>
          </cell>
          <cell r="L36">
            <v>0.23050000000000001</v>
          </cell>
          <cell r="M36">
            <v>261.69</v>
          </cell>
          <cell r="N36">
            <v>0.3851</v>
          </cell>
          <cell r="O36">
            <v>0.17560000000000001</v>
          </cell>
          <cell r="P36">
            <v>0.46929999999999999</v>
          </cell>
          <cell r="Q36">
            <v>0.2273</v>
          </cell>
        </row>
        <row r="37">
          <cell r="H37" t="str">
            <v>AMT</v>
          </cell>
          <cell r="I37" t="str">
            <v>XLRE</v>
          </cell>
          <cell r="J37" t="str">
            <v>REIT-專業</v>
          </cell>
          <cell r="K37" t="str">
            <v>.SPX</v>
          </cell>
          <cell r="L37">
            <v>0.18179999999999999</v>
          </cell>
          <cell r="M37">
            <v>282.76</v>
          </cell>
          <cell r="N37">
            <v>0.30580000000000002</v>
          </cell>
          <cell r="O37">
            <v>0.1134</v>
          </cell>
          <cell r="P37">
            <v>0.36590000000000006</v>
          </cell>
          <cell r="Q37">
            <v>0.16800000000000001</v>
          </cell>
        </row>
        <row r="38">
          <cell r="H38" t="str">
            <v>AMZN</v>
          </cell>
          <cell r="I38" t="str">
            <v>XLY</v>
          </cell>
          <cell r="J38" t="str">
            <v>互聯網零售</v>
          </cell>
          <cell r="K38" t="str">
            <v>.SPX</v>
          </cell>
          <cell r="L38">
            <v>0.21099999999999999</v>
          </cell>
          <cell r="M38">
            <v>3375.99</v>
          </cell>
          <cell r="N38">
            <v>0.45400000000000001</v>
          </cell>
          <cell r="O38">
            <v>0.1537</v>
          </cell>
          <cell r="P38">
            <v>0.54020000000000001</v>
          </cell>
          <cell r="Q38">
            <v>0.20149999999999998</v>
          </cell>
        </row>
        <row r="39">
          <cell r="H39" t="str">
            <v>ANET</v>
          </cell>
          <cell r="I39" t="str">
            <v>XLK</v>
          </cell>
          <cell r="J39" t="str">
            <v>計算機硬件</v>
          </cell>
          <cell r="K39" t="str">
            <v>.SPX</v>
          </cell>
          <cell r="L39">
            <v>0.2349</v>
          </cell>
          <cell r="M39">
            <v>380.6</v>
          </cell>
          <cell r="N39">
            <v>0.51349999999999996</v>
          </cell>
          <cell r="O39">
            <v>0.16270000000000001</v>
          </cell>
          <cell r="P39">
            <v>0.63340000000000007</v>
          </cell>
          <cell r="Q39">
            <v>0.2349</v>
          </cell>
        </row>
        <row r="40">
          <cell r="H40" t="str">
            <v>ANSS</v>
          </cell>
          <cell r="I40" t="str">
            <v>XLK</v>
          </cell>
          <cell r="J40" t="str">
            <v>軟件-應用</v>
          </cell>
          <cell r="K40" t="str">
            <v>.SPX</v>
          </cell>
          <cell r="L40">
            <v>0.23730000000000001</v>
          </cell>
          <cell r="M40">
            <v>373.47</v>
          </cell>
          <cell r="N40">
            <v>0.58399999999999996</v>
          </cell>
          <cell r="O40">
            <v>0.1487</v>
          </cell>
          <cell r="P40">
            <v>0.50270000000000004</v>
          </cell>
          <cell r="Q40">
            <v>0.23730000000000001</v>
          </cell>
        </row>
        <row r="41">
          <cell r="H41" t="str">
            <v>ANTM</v>
          </cell>
          <cell r="I41" t="str">
            <v>XLV</v>
          </cell>
          <cell r="J41" t="str">
            <v>醫療保健計劃</v>
          </cell>
          <cell r="K41" t="str">
            <v>.SPX</v>
          </cell>
          <cell r="L41">
            <v>0.2233</v>
          </cell>
          <cell r="M41">
            <v>376.68</v>
          </cell>
          <cell r="N41">
            <v>0.49690000000000001</v>
          </cell>
          <cell r="O41">
            <v>0.1346</v>
          </cell>
          <cell r="P41">
            <v>0.44439999999999996</v>
          </cell>
          <cell r="Q41">
            <v>0.1978</v>
          </cell>
        </row>
        <row r="42">
          <cell r="H42" t="str">
            <v>AON</v>
          </cell>
          <cell r="I42" t="str">
            <v>XLF</v>
          </cell>
          <cell r="J42" t="str">
            <v>保險經紀</v>
          </cell>
          <cell r="K42" t="str">
            <v>.SPX</v>
          </cell>
          <cell r="L42">
            <v>0.20910000000000001</v>
          </cell>
          <cell r="M42">
            <v>262.39999999999998</v>
          </cell>
          <cell r="N42">
            <v>0.34179999999999999</v>
          </cell>
          <cell r="O42">
            <v>0.12889999999999999</v>
          </cell>
          <cell r="P42">
            <v>0.3856</v>
          </cell>
          <cell r="Q42">
            <v>0.19339999999999999</v>
          </cell>
        </row>
        <row r="43">
          <cell r="H43" t="str">
            <v>AOS</v>
          </cell>
          <cell r="I43" t="str">
            <v>XLI</v>
          </cell>
          <cell r="J43" t="str">
            <v>特種工業機械</v>
          </cell>
          <cell r="K43" t="str">
            <v>.SPX</v>
          </cell>
          <cell r="L43">
            <v>0.2326</v>
          </cell>
          <cell r="M43">
            <v>71.34</v>
          </cell>
          <cell r="N43">
            <v>0.39529999999999998</v>
          </cell>
          <cell r="O43">
            <v>0.19159999999999999</v>
          </cell>
          <cell r="P43">
            <v>0.42090000000000005</v>
          </cell>
          <cell r="Q43">
            <v>0.21739999999999998</v>
          </cell>
        </row>
        <row r="44">
          <cell r="H44" t="str">
            <v>APA</v>
          </cell>
          <cell r="I44" t="str">
            <v>XLE</v>
          </cell>
          <cell r="J44" t="str">
            <v>油氣E&amp;P</v>
          </cell>
          <cell r="K44" t="str">
            <v>.SPX</v>
          </cell>
          <cell r="L44">
            <v>0.5655</v>
          </cell>
          <cell r="M44">
            <v>18.43</v>
          </cell>
          <cell r="N44">
            <v>0.63029999999999997</v>
          </cell>
          <cell r="O44">
            <v>0.42330000000000001</v>
          </cell>
          <cell r="P44">
            <v>0.7923</v>
          </cell>
          <cell r="Q44">
            <v>0.53849999999999998</v>
          </cell>
        </row>
        <row r="45">
          <cell r="H45" t="str">
            <v>APD</v>
          </cell>
          <cell r="I45" t="str">
            <v>XLB</v>
          </cell>
          <cell r="J45" t="str">
            <v>化學品</v>
          </cell>
          <cell r="K45" t="str">
            <v>.SPX</v>
          </cell>
          <cell r="L45">
            <v>0.23569999999999999</v>
          </cell>
          <cell r="M45">
            <v>289.25</v>
          </cell>
          <cell r="N45">
            <v>0.45800000000000002</v>
          </cell>
          <cell r="O45">
            <v>0.1232</v>
          </cell>
          <cell r="P45">
            <v>0.38840000000000002</v>
          </cell>
          <cell r="Q45">
            <v>0.1598</v>
          </cell>
        </row>
        <row r="46">
          <cell r="H46" t="str">
            <v>APH</v>
          </cell>
          <cell r="I46" t="str">
            <v>XLK</v>
          </cell>
          <cell r="J46" t="str">
            <v>電子元件</v>
          </cell>
          <cell r="K46" t="str">
            <v>.SPX</v>
          </cell>
          <cell r="L46">
            <v>0.2054</v>
          </cell>
          <cell r="M46">
            <v>73.680000000000007</v>
          </cell>
          <cell r="N46">
            <v>0.32790000000000002</v>
          </cell>
          <cell r="O46">
            <v>0.1134</v>
          </cell>
          <cell r="P46">
            <v>0.39319999999999999</v>
          </cell>
          <cell r="Q46">
            <v>0.19409999999999999</v>
          </cell>
        </row>
        <row r="47">
          <cell r="H47" t="str">
            <v>APTV</v>
          </cell>
          <cell r="I47" t="str">
            <v>XLY</v>
          </cell>
          <cell r="J47" t="str">
            <v>汽車零件</v>
          </cell>
          <cell r="K47" t="str">
            <v>.SPX</v>
          </cell>
          <cell r="L47">
            <v>0.3226</v>
          </cell>
          <cell r="M47">
            <v>161.02000000000001</v>
          </cell>
          <cell r="N47">
            <v>0.45929999999999999</v>
          </cell>
          <cell r="O47">
            <v>0.24329999999999999</v>
          </cell>
          <cell r="P47">
            <v>0.54259999999999997</v>
          </cell>
          <cell r="Q47">
            <v>0.28850000000000003</v>
          </cell>
        </row>
        <row r="48">
          <cell r="H48" t="str">
            <v>ARE</v>
          </cell>
          <cell r="I48" t="str">
            <v>XLRE</v>
          </cell>
          <cell r="J48" t="str">
            <v>REIT-辦公室</v>
          </cell>
          <cell r="K48" t="str">
            <v>.SPX</v>
          </cell>
          <cell r="L48">
            <v>0.18049999999999999</v>
          </cell>
          <cell r="M48">
            <v>207.58</v>
          </cell>
          <cell r="N48">
            <v>0.26250000000000001</v>
          </cell>
          <cell r="O48">
            <v>0.13320000000000001</v>
          </cell>
          <cell r="P48">
            <v>0.41289999999999999</v>
          </cell>
          <cell r="Q48">
            <v>0.15810000000000002</v>
          </cell>
        </row>
        <row r="49">
          <cell r="H49" t="str">
            <v>ATO</v>
          </cell>
          <cell r="I49" t="str">
            <v>XLU</v>
          </cell>
          <cell r="J49" t="str">
            <v>公用事業-管制氣體</v>
          </cell>
          <cell r="K49" t="str">
            <v>.SPX</v>
          </cell>
          <cell r="L49">
            <v>0.224</v>
          </cell>
          <cell r="M49">
            <v>100.95</v>
          </cell>
          <cell r="N49">
            <v>0.36890000000000001</v>
          </cell>
          <cell r="O49">
            <v>0.1343</v>
          </cell>
          <cell r="P49">
            <v>0.3911</v>
          </cell>
          <cell r="Q49">
            <v>0.1532</v>
          </cell>
        </row>
        <row r="50">
          <cell r="H50" t="str">
            <v>ATVI</v>
          </cell>
          <cell r="I50" t="str">
            <v>XLC</v>
          </cell>
          <cell r="J50" t="str">
            <v>電子游戲與多媒體</v>
          </cell>
          <cell r="K50" t="str">
            <v>.SPX</v>
          </cell>
          <cell r="L50">
            <v>0.27189999999999998</v>
          </cell>
          <cell r="M50">
            <v>80.319999999999993</v>
          </cell>
          <cell r="N50">
            <v>0.41710000000000003</v>
          </cell>
          <cell r="O50">
            <v>0.19950000000000001</v>
          </cell>
          <cell r="P50">
            <v>0.52710000000000001</v>
          </cell>
          <cell r="Q50">
            <v>0.21329999999999999</v>
          </cell>
        </row>
        <row r="51">
          <cell r="H51" t="str">
            <v>AVB</v>
          </cell>
          <cell r="I51" t="str">
            <v>XLRE</v>
          </cell>
          <cell r="J51" t="str">
            <v>-</v>
          </cell>
          <cell r="K51" t="str">
            <v>.SPX</v>
          </cell>
          <cell r="L51">
            <v>0.19650000000000001</v>
          </cell>
          <cell r="M51">
            <v>228.7</v>
          </cell>
          <cell r="N51">
            <v>0.48280000000000001</v>
          </cell>
          <cell r="O51">
            <v>0.1331</v>
          </cell>
          <cell r="P51">
            <v>0.41549999999999998</v>
          </cell>
          <cell r="Q51">
            <v>0.17749999999999999</v>
          </cell>
        </row>
        <row r="52">
          <cell r="H52" t="str">
            <v>AVGO</v>
          </cell>
          <cell r="I52" t="str">
            <v>XLK</v>
          </cell>
          <cell r="J52" t="str">
            <v>半導體</v>
          </cell>
          <cell r="K52" t="str">
            <v>.SPX</v>
          </cell>
          <cell r="L52">
            <v>0.2591</v>
          </cell>
          <cell r="M52">
            <v>487.67</v>
          </cell>
          <cell r="N52">
            <v>0.50170000000000003</v>
          </cell>
          <cell r="O52">
            <v>0.17119999999999999</v>
          </cell>
          <cell r="P52">
            <v>0.51849999999999996</v>
          </cell>
          <cell r="Q52">
            <v>0.20100000000000001</v>
          </cell>
        </row>
        <row r="53">
          <cell r="H53" t="str">
            <v>AVY</v>
          </cell>
          <cell r="I53" t="str">
            <v>XLB</v>
          </cell>
          <cell r="J53" t="str">
            <v>商業設備和用品</v>
          </cell>
          <cell r="K53" t="str">
            <v>.SPX</v>
          </cell>
          <cell r="L53">
            <v>0.2482</v>
          </cell>
          <cell r="M53">
            <v>211.9</v>
          </cell>
          <cell r="N53">
            <v>0.37719999999999998</v>
          </cell>
          <cell r="O53">
            <v>0.1633</v>
          </cell>
          <cell r="P53">
            <v>0.49490000000000001</v>
          </cell>
          <cell r="Q53">
            <v>0.20920000000000002</v>
          </cell>
        </row>
        <row r="54">
          <cell r="H54" t="str">
            <v>AWK</v>
          </cell>
          <cell r="I54" t="str">
            <v>XLU</v>
          </cell>
          <cell r="J54" t="str">
            <v>公用事業-受管制的水</v>
          </cell>
          <cell r="K54" t="str">
            <v>.SPX</v>
          </cell>
          <cell r="L54">
            <v>0.1943</v>
          </cell>
          <cell r="M54">
            <v>179.67</v>
          </cell>
          <cell r="N54">
            <v>0.31090000000000001</v>
          </cell>
          <cell r="O54">
            <v>0.1497</v>
          </cell>
          <cell r="P54">
            <v>0.33450000000000002</v>
          </cell>
          <cell r="Q54">
            <v>0.1661</v>
          </cell>
        </row>
        <row r="55">
          <cell r="H55" t="str">
            <v>AXP</v>
          </cell>
          <cell r="I55" t="str">
            <v>XLF</v>
          </cell>
          <cell r="J55" t="str">
            <v>信貸服務</v>
          </cell>
          <cell r="K55" t="str">
            <v>.SPX</v>
          </cell>
          <cell r="L55">
            <v>0.2462</v>
          </cell>
          <cell r="M55">
            <v>169.63</v>
          </cell>
          <cell r="N55">
            <v>0.68130000000000002</v>
          </cell>
          <cell r="O55">
            <v>0.16200000000000001</v>
          </cell>
          <cell r="P55">
            <v>0.41450000000000004</v>
          </cell>
          <cell r="Q55">
            <v>0.21100000000000002</v>
          </cell>
        </row>
        <row r="56">
          <cell r="H56" t="str">
            <v>AZO</v>
          </cell>
          <cell r="I56" t="str">
            <v>XLY</v>
          </cell>
          <cell r="J56" t="str">
            <v>專業零售</v>
          </cell>
          <cell r="K56" t="str">
            <v>.SPX</v>
          </cell>
          <cell r="L56">
            <v>0.2235</v>
          </cell>
          <cell r="M56">
            <v>1639.61</v>
          </cell>
          <cell r="N56">
            <v>0.3463</v>
          </cell>
          <cell r="O56">
            <v>0.1222</v>
          </cell>
          <cell r="P56">
            <v>0.4012</v>
          </cell>
          <cell r="Q56">
            <v>0.19260000000000002</v>
          </cell>
        </row>
        <row r="57">
          <cell r="H57" t="str">
            <v>BA</v>
          </cell>
          <cell r="I57" t="str">
            <v>XLI</v>
          </cell>
          <cell r="J57" t="str">
            <v>航天軍工</v>
          </cell>
          <cell r="K57" t="str">
            <v>.SPX</v>
          </cell>
          <cell r="L57">
            <v>0.3125</v>
          </cell>
          <cell r="M57">
            <v>229.94</v>
          </cell>
          <cell r="N57">
            <v>0.66859999999999997</v>
          </cell>
          <cell r="O57">
            <v>0.24429999999999999</v>
          </cell>
          <cell r="P57">
            <v>0.69389999999999996</v>
          </cell>
          <cell r="Q57">
            <v>0.2974</v>
          </cell>
        </row>
        <row r="58">
          <cell r="H58" t="str">
            <v>BAC</v>
          </cell>
          <cell r="I58" t="str">
            <v>XLF</v>
          </cell>
          <cell r="J58" t="str">
            <v>銀行-多樣化</v>
          </cell>
          <cell r="K58" t="str">
            <v>.SPX</v>
          </cell>
          <cell r="L58">
            <v>0.245</v>
          </cell>
          <cell r="M58">
            <v>39.020000000000003</v>
          </cell>
          <cell r="N58">
            <v>0.53810000000000002</v>
          </cell>
          <cell r="O58">
            <v>0.1517</v>
          </cell>
          <cell r="P58">
            <v>0.43469999999999998</v>
          </cell>
          <cell r="Q58">
            <v>0.2341</v>
          </cell>
        </row>
        <row r="59">
          <cell r="H59" t="str">
            <v>BAX</v>
          </cell>
          <cell r="I59" t="str">
            <v>XLV</v>
          </cell>
          <cell r="J59" t="str">
            <v>醫療器械及用品</v>
          </cell>
          <cell r="K59" t="str">
            <v>.SPX</v>
          </cell>
          <cell r="L59">
            <v>0.20849999999999999</v>
          </cell>
          <cell r="M59">
            <v>74.459999999999994</v>
          </cell>
          <cell r="N59">
            <v>0.312</v>
          </cell>
          <cell r="O59">
            <v>0.1188</v>
          </cell>
          <cell r="P59">
            <v>0.4047</v>
          </cell>
          <cell r="Q59">
            <v>0.17499999999999999</v>
          </cell>
        </row>
        <row r="60">
          <cell r="H60" t="str">
            <v>BBY</v>
          </cell>
          <cell r="I60" t="str">
            <v>XLY</v>
          </cell>
          <cell r="J60" t="str">
            <v>專業零售</v>
          </cell>
          <cell r="K60" t="str">
            <v>.SPX</v>
          </cell>
          <cell r="L60">
            <v>0.35349999999999998</v>
          </cell>
          <cell r="M60">
            <v>115.37</v>
          </cell>
          <cell r="N60">
            <v>0.4652</v>
          </cell>
          <cell r="O60">
            <v>0.2215</v>
          </cell>
          <cell r="P60">
            <v>0.5091</v>
          </cell>
          <cell r="Q60">
            <v>0.23149999999999998</v>
          </cell>
        </row>
        <row r="61">
          <cell r="H61" t="str">
            <v>BDX</v>
          </cell>
          <cell r="I61" t="str">
            <v>XLV</v>
          </cell>
          <cell r="J61" t="str">
            <v>醫療器械及用品</v>
          </cell>
          <cell r="K61" t="str">
            <v>.SPX</v>
          </cell>
          <cell r="L61">
            <v>0.1946</v>
          </cell>
          <cell r="M61">
            <v>241.06</v>
          </cell>
          <cell r="N61">
            <v>0.34389999999999998</v>
          </cell>
          <cell r="O61">
            <v>9.9199999999999997E-2</v>
          </cell>
          <cell r="P61">
            <v>0.40610000000000002</v>
          </cell>
          <cell r="Q61">
            <v>0.16969999999999999</v>
          </cell>
        </row>
        <row r="62">
          <cell r="H62" t="str">
            <v>BEN</v>
          </cell>
          <cell r="I62" t="str">
            <v>XLF</v>
          </cell>
          <cell r="J62" t="str">
            <v>資產管理</v>
          </cell>
          <cell r="K62" t="str">
            <v>.SPX</v>
          </cell>
          <cell r="L62">
            <v>0.29920000000000002</v>
          </cell>
          <cell r="M62">
            <v>31.53</v>
          </cell>
          <cell r="N62">
            <v>0.62629999999999997</v>
          </cell>
          <cell r="O62">
            <v>0.25530000000000003</v>
          </cell>
          <cell r="P62">
            <v>0.45530000000000004</v>
          </cell>
          <cell r="Q62">
            <v>0.25790000000000002</v>
          </cell>
        </row>
        <row r="63">
          <cell r="H63" t="str">
            <v>BF.B</v>
          </cell>
          <cell r="I63" t="str">
            <v>XLP</v>
          </cell>
          <cell r="J63" t="str">
            <v>飲料-酒廠和釀酒廠</v>
          </cell>
          <cell r="K63" t="str">
            <v>.SPX</v>
          </cell>
          <cell r="L63">
            <v>0.2079</v>
          </cell>
          <cell r="M63">
            <v>84.82</v>
          </cell>
          <cell r="N63">
            <v>0.61460000000000004</v>
          </cell>
          <cell r="O63">
            <v>0.13719999999999999</v>
          </cell>
          <cell r="P63">
            <v>0.47369999999999995</v>
          </cell>
          <cell r="Q63">
            <v>0.1845</v>
          </cell>
        </row>
        <row r="64">
          <cell r="H64" t="str">
            <v>BIIB</v>
          </cell>
          <cell r="I64" t="str">
            <v>XLV</v>
          </cell>
          <cell r="J64" t="str">
            <v>藥品製造商— 常規</v>
          </cell>
          <cell r="K64" t="str">
            <v>.SPX</v>
          </cell>
          <cell r="L64">
            <v>0.3659</v>
          </cell>
          <cell r="M64">
            <v>336.59</v>
          </cell>
          <cell r="N64">
            <v>1.3311999999999999</v>
          </cell>
          <cell r="O64">
            <v>0.1527</v>
          </cell>
          <cell r="P64">
            <v>1.2001999999999999</v>
          </cell>
          <cell r="Q64">
            <v>0.2898</v>
          </cell>
        </row>
        <row r="65">
          <cell r="H65" t="str">
            <v>BIO</v>
          </cell>
          <cell r="I65" t="str">
            <v>XLV</v>
          </cell>
          <cell r="J65" t="str">
            <v>醫療設備</v>
          </cell>
          <cell r="K65" t="str">
            <v>.SPX</v>
          </cell>
          <cell r="L65">
            <v>0.24390000000000001</v>
          </cell>
          <cell r="M65">
            <v>763.66</v>
          </cell>
          <cell r="N65">
            <v>0.53139999999999998</v>
          </cell>
          <cell r="O65">
            <v>0.13089999999999999</v>
          </cell>
          <cell r="P65">
            <v>0.4879</v>
          </cell>
          <cell r="Q65">
            <v>0.21660000000000001</v>
          </cell>
        </row>
        <row r="66">
          <cell r="H66" t="str">
            <v>BK</v>
          </cell>
          <cell r="I66" t="str">
            <v>XLF</v>
          </cell>
          <cell r="J66" t="str">
            <v>資產管理</v>
          </cell>
          <cell r="K66" t="str">
            <v>.SPX</v>
          </cell>
          <cell r="L66">
            <v>0.23250000000000001</v>
          </cell>
          <cell r="M66">
            <v>52.65</v>
          </cell>
          <cell r="N66">
            <v>0.4819</v>
          </cell>
          <cell r="O66">
            <v>0.16209999999999999</v>
          </cell>
          <cell r="P66">
            <v>0.41210000000000002</v>
          </cell>
          <cell r="Q66">
            <v>0.20469999999999999</v>
          </cell>
        </row>
        <row r="67">
          <cell r="H67" t="str">
            <v>BKNG</v>
          </cell>
          <cell r="I67" t="str">
            <v>XLY</v>
          </cell>
          <cell r="J67" t="str">
            <v>旅行服務</v>
          </cell>
          <cell r="K67" t="str">
            <v>.SPX</v>
          </cell>
          <cell r="L67">
            <v>0.29430000000000001</v>
          </cell>
          <cell r="M67">
            <v>2207.71</v>
          </cell>
          <cell r="N67">
            <v>0.67269999999999996</v>
          </cell>
          <cell r="O67">
            <v>0.18190000000000001</v>
          </cell>
          <cell r="P67">
            <v>0.51749999999999996</v>
          </cell>
          <cell r="Q67">
            <v>0.23449999999999999</v>
          </cell>
        </row>
        <row r="68">
          <cell r="H68" t="str">
            <v>BKR</v>
          </cell>
          <cell r="I68" t="str">
            <v>XLE</v>
          </cell>
          <cell r="J68" t="str">
            <v>石油和天然氣設備和服務</v>
          </cell>
          <cell r="K68" t="str">
            <v>.SPX</v>
          </cell>
          <cell r="L68">
            <v>0.40649999999999997</v>
          </cell>
          <cell r="M68">
            <v>21.19</v>
          </cell>
          <cell r="N68">
            <v>0.60740000000000005</v>
          </cell>
          <cell r="O68">
            <v>0.28260000000000002</v>
          </cell>
          <cell r="P68">
            <v>0.67890000000000006</v>
          </cell>
          <cell r="Q68">
            <v>0.34740000000000004</v>
          </cell>
        </row>
        <row r="69">
          <cell r="H69" t="str">
            <v>BLK</v>
          </cell>
          <cell r="I69" t="str">
            <v>XLF</v>
          </cell>
          <cell r="J69" t="str">
            <v>資產管理</v>
          </cell>
          <cell r="K69" t="str">
            <v>.SPX</v>
          </cell>
          <cell r="L69">
            <v>0.20619999999999999</v>
          </cell>
          <cell r="M69">
            <v>889.28</v>
          </cell>
          <cell r="N69">
            <v>0.31109999999999999</v>
          </cell>
          <cell r="O69">
            <v>0.1419</v>
          </cell>
          <cell r="P69">
            <v>0.38659999999999994</v>
          </cell>
          <cell r="Q69">
            <v>0.1787</v>
          </cell>
        </row>
        <row r="70">
          <cell r="H70" t="str">
            <v>BLL</v>
          </cell>
          <cell r="I70" t="str">
            <v>XLB</v>
          </cell>
          <cell r="J70" t="str">
            <v>包裝和容器</v>
          </cell>
          <cell r="K70" t="str">
            <v>.SPX</v>
          </cell>
          <cell r="L70">
            <v>0.2291</v>
          </cell>
          <cell r="M70">
            <v>80.78</v>
          </cell>
          <cell r="N70">
            <v>0.29709999999999998</v>
          </cell>
          <cell r="O70">
            <v>0.1333</v>
          </cell>
          <cell r="P70">
            <v>0.38420000000000004</v>
          </cell>
          <cell r="Q70">
            <v>0.19570000000000001</v>
          </cell>
        </row>
        <row r="71">
          <cell r="H71" t="str">
            <v>BMY</v>
          </cell>
          <cell r="I71" t="str">
            <v>XLV</v>
          </cell>
          <cell r="J71" t="str">
            <v>藥品製造商— 常規</v>
          </cell>
          <cell r="K71" t="str">
            <v>.SPX</v>
          </cell>
          <cell r="L71">
            <v>0.1686</v>
          </cell>
          <cell r="M71">
            <v>67.92</v>
          </cell>
          <cell r="N71">
            <v>0.31759999999999999</v>
          </cell>
          <cell r="O71">
            <v>0.1153</v>
          </cell>
          <cell r="P71">
            <v>0.41979999999999995</v>
          </cell>
          <cell r="Q71">
            <v>0.16539999999999999</v>
          </cell>
        </row>
        <row r="72">
          <cell r="H72" t="str">
            <v>BR</v>
          </cell>
          <cell r="I72" t="str">
            <v>XLK</v>
          </cell>
          <cell r="J72" t="str">
            <v>信息技術處</v>
          </cell>
          <cell r="K72" t="str">
            <v>.SPX</v>
          </cell>
          <cell r="L72">
            <v>0.24129999999999999</v>
          </cell>
          <cell r="M72">
            <v>173.93</v>
          </cell>
          <cell r="N72">
            <v>0.29599999999999999</v>
          </cell>
          <cell r="O72">
            <v>0.12239999999999999</v>
          </cell>
          <cell r="P72">
            <v>0.38789999999999997</v>
          </cell>
          <cell r="Q72">
            <v>0.17579999999999998</v>
          </cell>
        </row>
        <row r="73">
          <cell r="H73" t="str">
            <v>BRK.B</v>
          </cell>
          <cell r="I73" t="str">
            <v>XLF</v>
          </cell>
          <cell r="J73" t="str">
            <v>保險-多樣化</v>
          </cell>
          <cell r="K73" t="str">
            <v>.SPX</v>
          </cell>
          <cell r="L73">
            <v>0.1925</v>
          </cell>
          <cell r="M73">
            <v>193.45</v>
          </cell>
          <cell r="N73">
            <v>0.36149999999999999</v>
          </cell>
          <cell r="O73">
            <v>0.15160000000000001</v>
          </cell>
          <cell r="P73">
            <v>0.33529999999999999</v>
          </cell>
          <cell r="Q73">
            <v>0.1804</v>
          </cell>
        </row>
        <row r="74">
          <cell r="H74" t="str">
            <v>BSX</v>
          </cell>
          <cell r="I74" t="str">
            <v>XLV</v>
          </cell>
          <cell r="J74" t="str">
            <v>醫療設備</v>
          </cell>
          <cell r="K74" t="str">
            <v>.SPX</v>
          </cell>
          <cell r="L74">
            <v>0.23549999999999999</v>
          </cell>
          <cell r="M74">
            <v>44.65</v>
          </cell>
          <cell r="N74">
            <v>0.43959999999999999</v>
          </cell>
          <cell r="O74">
            <v>0.14879999999999999</v>
          </cell>
          <cell r="P74">
            <v>0.3987</v>
          </cell>
          <cell r="Q74">
            <v>0.20610000000000001</v>
          </cell>
        </row>
        <row r="75">
          <cell r="H75" t="str">
            <v>BWA</v>
          </cell>
          <cell r="I75" t="str">
            <v>XLY</v>
          </cell>
          <cell r="J75" t="str">
            <v>汽車零件</v>
          </cell>
          <cell r="K75" t="str">
            <v>.SPX</v>
          </cell>
          <cell r="L75">
            <v>0.29370000000000002</v>
          </cell>
          <cell r="M75">
            <v>45.95</v>
          </cell>
          <cell r="N75">
            <v>0.45</v>
          </cell>
          <cell r="O75">
            <v>0.24990000000000001</v>
          </cell>
          <cell r="P75">
            <v>0.52239999999999998</v>
          </cell>
          <cell r="Q75">
            <v>0.27839999999999998</v>
          </cell>
        </row>
        <row r="76">
          <cell r="H76" t="str">
            <v>BXP</v>
          </cell>
          <cell r="I76" t="str">
            <v>XLRE</v>
          </cell>
          <cell r="J76" t="str">
            <v>REIT-辦公室</v>
          </cell>
          <cell r="K76" t="str">
            <v>.SPX</v>
          </cell>
          <cell r="L76">
            <v>0.27179999999999999</v>
          </cell>
          <cell r="M76">
            <v>117.68</v>
          </cell>
          <cell r="N76">
            <v>0.70989999999999998</v>
          </cell>
          <cell r="O76">
            <v>0.16059999999999999</v>
          </cell>
          <cell r="P76">
            <v>0.4733</v>
          </cell>
          <cell r="Q76">
            <v>0.22399999999999998</v>
          </cell>
        </row>
        <row r="77">
          <cell r="H77" t="str">
            <v>C</v>
          </cell>
          <cell r="I77" t="str">
            <v>XLF</v>
          </cell>
          <cell r="J77" t="str">
            <v>銀行-多樣化</v>
          </cell>
          <cell r="K77" t="str">
            <v>.SPX</v>
          </cell>
          <cell r="L77">
            <v>0.25580000000000003</v>
          </cell>
          <cell r="M77">
            <v>69.69</v>
          </cell>
          <cell r="N77">
            <v>0.47489999999999999</v>
          </cell>
          <cell r="O77">
            <v>0.1638</v>
          </cell>
          <cell r="P77">
            <v>0.4703</v>
          </cell>
          <cell r="Q77">
            <v>0.2407</v>
          </cell>
        </row>
        <row r="78">
          <cell r="H78" t="str">
            <v>CAG</v>
          </cell>
          <cell r="I78" t="str">
            <v>XLP</v>
          </cell>
          <cell r="J78" t="str">
            <v>包裝食品</v>
          </cell>
          <cell r="K78" t="str">
            <v>.SPX</v>
          </cell>
          <cell r="L78">
            <v>0.20369999999999999</v>
          </cell>
          <cell r="M78">
            <v>32.86</v>
          </cell>
          <cell r="N78">
            <v>0.28360000000000002</v>
          </cell>
          <cell r="O78">
            <v>0.1205</v>
          </cell>
          <cell r="P78">
            <v>0.41090000000000004</v>
          </cell>
          <cell r="Q78">
            <v>0.17579999999999998</v>
          </cell>
        </row>
        <row r="79">
          <cell r="H79" t="str">
            <v>CAH</v>
          </cell>
          <cell r="I79" t="str">
            <v>XLV</v>
          </cell>
          <cell r="J79" t="str">
            <v>醫療分銷</v>
          </cell>
          <cell r="K79" t="str">
            <v>.SPX</v>
          </cell>
          <cell r="L79">
            <v>0.25430000000000003</v>
          </cell>
          <cell r="M79">
            <v>51.2</v>
          </cell>
          <cell r="N79">
            <v>0.47649999999999998</v>
          </cell>
          <cell r="O79">
            <v>0.153</v>
          </cell>
          <cell r="P79">
            <v>0.46850000000000003</v>
          </cell>
          <cell r="Q79">
            <v>0.2102</v>
          </cell>
        </row>
        <row r="80">
          <cell r="H80" t="str">
            <v>CARR</v>
          </cell>
          <cell r="I80" t="str">
            <v>XLI</v>
          </cell>
          <cell r="J80" t="str">
            <v>建築產品和設備</v>
          </cell>
          <cell r="K80" t="str">
            <v>.SPX</v>
          </cell>
          <cell r="L80">
            <v>0.28320000000000001</v>
          </cell>
          <cell r="M80">
            <v>56.13</v>
          </cell>
          <cell r="N80">
            <v>0.38540000000000002</v>
          </cell>
          <cell r="O80">
            <v>0.18790000000000001</v>
          </cell>
          <cell r="P80">
            <v>0.4919</v>
          </cell>
          <cell r="Q80">
            <v>0.2266</v>
          </cell>
        </row>
        <row r="81">
          <cell r="H81" t="str">
            <v>CAT</v>
          </cell>
          <cell r="I81" t="str">
            <v>XLI</v>
          </cell>
          <cell r="J81" t="str">
            <v>農重工程機械</v>
          </cell>
          <cell r="K81" t="str">
            <v>.SPX</v>
          </cell>
          <cell r="L81">
            <v>0.25540000000000002</v>
          </cell>
          <cell r="M81">
            <v>207.19</v>
          </cell>
          <cell r="N81">
            <v>0.44259999999999999</v>
          </cell>
          <cell r="O81">
            <v>0.17100000000000001</v>
          </cell>
          <cell r="P81">
            <v>0.4153</v>
          </cell>
          <cell r="Q81">
            <v>0.22640000000000002</v>
          </cell>
        </row>
        <row r="82">
          <cell r="H82" t="str">
            <v>CB</v>
          </cell>
          <cell r="I82" t="str">
            <v>XLF</v>
          </cell>
          <cell r="J82" t="str">
            <v>保險-財產及意外事故</v>
          </cell>
          <cell r="K82" t="str">
            <v>.SPX</v>
          </cell>
          <cell r="L82">
            <v>0.2165</v>
          </cell>
          <cell r="M82">
            <v>174.97</v>
          </cell>
          <cell r="N82">
            <v>0.42449999999999999</v>
          </cell>
          <cell r="O82">
            <v>0.18429999999999999</v>
          </cell>
          <cell r="P82">
            <v>0.41810000000000003</v>
          </cell>
          <cell r="Q82">
            <v>0.19969999999999999</v>
          </cell>
        </row>
        <row r="83">
          <cell r="H83" t="str">
            <v>CBOE</v>
          </cell>
          <cell r="I83" t="str">
            <v>XLF</v>
          </cell>
          <cell r="J83" t="str">
            <v>-</v>
          </cell>
          <cell r="K83" t="str">
            <v>.SPX</v>
          </cell>
          <cell r="L83">
            <v>0.27100000000000002</v>
          </cell>
          <cell r="M83">
            <v>121</v>
          </cell>
          <cell r="N83">
            <v>0.47739999999999999</v>
          </cell>
          <cell r="O83">
            <v>0.18479999999999999</v>
          </cell>
          <cell r="P83">
            <v>0.42969999999999997</v>
          </cell>
          <cell r="Q83">
            <v>0.22409999999999999</v>
          </cell>
        </row>
        <row r="84">
          <cell r="H84" t="str">
            <v>CBRE</v>
          </cell>
          <cell r="I84" t="str">
            <v>XLRE</v>
          </cell>
          <cell r="J84" t="str">
            <v>房地產服務</v>
          </cell>
          <cell r="K84" t="str">
            <v>.SPX</v>
          </cell>
          <cell r="L84">
            <v>0.26900000000000002</v>
          </cell>
          <cell r="M84">
            <v>98.13</v>
          </cell>
          <cell r="N84">
            <v>0.64980000000000004</v>
          </cell>
          <cell r="O84">
            <v>0.19489999999999999</v>
          </cell>
          <cell r="P84">
            <v>0.46310000000000001</v>
          </cell>
          <cell r="Q84">
            <v>0.23559999999999998</v>
          </cell>
        </row>
        <row r="85">
          <cell r="H85" t="str">
            <v>CCI</v>
          </cell>
          <cell r="I85" t="str">
            <v>XLRE</v>
          </cell>
          <cell r="J85" t="str">
            <v>REIT-專業</v>
          </cell>
          <cell r="K85" t="str">
            <v>.SPX</v>
          </cell>
          <cell r="L85">
            <v>0.19220000000000001</v>
          </cell>
          <cell r="M85">
            <v>194.46</v>
          </cell>
          <cell r="N85">
            <v>0.2631</v>
          </cell>
          <cell r="O85">
            <v>0.15160000000000001</v>
          </cell>
          <cell r="P85">
            <v>0.33529999999999999</v>
          </cell>
          <cell r="Q85">
            <v>0.1804</v>
          </cell>
        </row>
        <row r="86">
          <cell r="H86" t="str">
            <v>CCL</v>
          </cell>
          <cell r="I86" t="str">
            <v>XLY</v>
          </cell>
          <cell r="J86" t="str">
            <v>旅行服務</v>
          </cell>
          <cell r="K86" t="str">
            <v>.SPX</v>
          </cell>
          <cell r="L86">
            <v>0.54759999999999998</v>
          </cell>
          <cell r="M86">
            <v>22.67</v>
          </cell>
          <cell r="N86">
            <v>1.3627</v>
          </cell>
          <cell r="O86">
            <v>0.36659999999999998</v>
          </cell>
          <cell r="P86">
            <v>1.101</v>
          </cell>
          <cell r="Q86">
            <v>0.4224</v>
          </cell>
        </row>
        <row r="87">
          <cell r="H87" t="str">
            <v>CDNS</v>
          </cell>
          <cell r="I87" t="str">
            <v>XLK</v>
          </cell>
          <cell r="J87" t="str">
            <v>軟件-應用</v>
          </cell>
          <cell r="K87" t="str">
            <v>.SPX</v>
          </cell>
          <cell r="L87">
            <v>0.24160000000000001</v>
          </cell>
          <cell r="M87">
            <v>151.76</v>
          </cell>
          <cell r="N87">
            <v>0.53439999999999999</v>
          </cell>
          <cell r="O87">
            <v>0.14430000000000001</v>
          </cell>
          <cell r="P87">
            <v>0.43219999999999997</v>
          </cell>
          <cell r="Q87">
            <v>0.2271</v>
          </cell>
        </row>
        <row r="88">
          <cell r="H88" t="str">
            <v>CDW</v>
          </cell>
          <cell r="I88" t="str">
            <v>XLK</v>
          </cell>
          <cell r="J88" t="str">
            <v>信息技術處</v>
          </cell>
          <cell r="K88" t="str">
            <v>.SPX</v>
          </cell>
          <cell r="L88">
            <v>0.2293</v>
          </cell>
          <cell r="M88">
            <v>190.62</v>
          </cell>
          <cell r="N88">
            <v>0.37819999999999998</v>
          </cell>
          <cell r="O88">
            <v>0.15140000000000001</v>
          </cell>
          <cell r="P88">
            <v>0.43770000000000003</v>
          </cell>
          <cell r="Q88">
            <v>0.21299999999999999</v>
          </cell>
        </row>
        <row r="89">
          <cell r="H89" t="str">
            <v>CE</v>
          </cell>
          <cell r="I89" t="str">
            <v>XLB</v>
          </cell>
          <cell r="J89" t="str">
            <v>化學品</v>
          </cell>
          <cell r="K89" t="str">
            <v>.SPX</v>
          </cell>
          <cell r="L89">
            <v>0.26600000000000001</v>
          </cell>
          <cell r="M89">
            <v>153.05000000000001</v>
          </cell>
          <cell r="N89">
            <v>0.38129999999999997</v>
          </cell>
          <cell r="O89">
            <v>0.19259999999999999</v>
          </cell>
          <cell r="P89">
            <v>0.46149999999999997</v>
          </cell>
          <cell r="Q89">
            <v>0.22589999999999999</v>
          </cell>
        </row>
        <row r="90">
          <cell r="H90" t="str">
            <v>CERN</v>
          </cell>
          <cell r="I90" t="str">
            <v>XLV</v>
          </cell>
          <cell r="J90" t="str">
            <v>衛生信息服務</v>
          </cell>
          <cell r="K90" t="str">
            <v>.SPX</v>
          </cell>
          <cell r="L90">
            <v>0.2258</v>
          </cell>
          <cell r="M90">
            <v>79.900000000000006</v>
          </cell>
          <cell r="N90">
            <v>0.27879999999999999</v>
          </cell>
          <cell r="O90">
            <v>0.1069</v>
          </cell>
          <cell r="P90">
            <v>0.37219999999999998</v>
          </cell>
          <cell r="Q90">
            <v>0.21640000000000001</v>
          </cell>
        </row>
        <row r="91">
          <cell r="H91" t="str">
            <v>CF</v>
          </cell>
          <cell r="I91" t="str">
            <v>XLB</v>
          </cell>
          <cell r="J91" t="str">
            <v>農業投入</v>
          </cell>
          <cell r="K91" t="str">
            <v>.SPX</v>
          </cell>
          <cell r="L91">
            <v>0.40949999999999998</v>
          </cell>
          <cell r="M91">
            <v>45.7</v>
          </cell>
          <cell r="N91">
            <v>0.50770000000000004</v>
          </cell>
          <cell r="O91">
            <v>0.2326</v>
          </cell>
          <cell r="P91">
            <v>0.60809999999999997</v>
          </cell>
          <cell r="Q91">
            <v>0.30570000000000003</v>
          </cell>
        </row>
        <row r="92">
          <cell r="H92" t="str">
            <v>CFG</v>
          </cell>
          <cell r="I92" t="str">
            <v>XLF</v>
          </cell>
          <cell r="J92" t="str">
            <v>銀行-區域</v>
          </cell>
          <cell r="K92" t="str">
            <v>.SPX</v>
          </cell>
          <cell r="L92">
            <v>0.31940000000000002</v>
          </cell>
          <cell r="M92">
            <v>43.13</v>
          </cell>
          <cell r="N92">
            <v>0.73280000000000001</v>
          </cell>
          <cell r="O92">
            <v>0.22140000000000001</v>
          </cell>
          <cell r="P92">
            <v>0.53810000000000002</v>
          </cell>
          <cell r="Q92">
            <v>0.27310000000000001</v>
          </cell>
        </row>
        <row r="93">
          <cell r="H93" t="str">
            <v>CHD</v>
          </cell>
          <cell r="I93" t="str">
            <v>XLP</v>
          </cell>
          <cell r="J93" t="str">
            <v>家庭及個人產品</v>
          </cell>
          <cell r="K93" t="str">
            <v>.SPX</v>
          </cell>
          <cell r="L93">
            <v>0.20710000000000001</v>
          </cell>
          <cell r="M93">
            <v>83.72</v>
          </cell>
          <cell r="N93">
            <v>0.31630000000000003</v>
          </cell>
          <cell r="O93">
            <v>0.1178</v>
          </cell>
          <cell r="P93">
            <v>0.35729999999999995</v>
          </cell>
          <cell r="Q93">
            <v>0.18870000000000001</v>
          </cell>
        </row>
        <row r="94">
          <cell r="H94" t="str">
            <v>CHRW</v>
          </cell>
          <cell r="I94" t="str">
            <v>XLI</v>
          </cell>
          <cell r="J94" t="str">
            <v>綜合貨運物流</v>
          </cell>
          <cell r="K94" t="str">
            <v>.SPX</v>
          </cell>
          <cell r="L94">
            <v>0.21640000000000001</v>
          </cell>
          <cell r="M94">
            <v>90.87</v>
          </cell>
          <cell r="N94">
            <v>0.44819999999999999</v>
          </cell>
          <cell r="O94">
            <v>0.17050000000000001</v>
          </cell>
          <cell r="P94">
            <v>0.38600000000000001</v>
          </cell>
          <cell r="Q94">
            <v>0.19670000000000001</v>
          </cell>
        </row>
        <row r="95">
          <cell r="H95" t="str">
            <v>CHTR</v>
          </cell>
          <cell r="I95" t="str">
            <v>XLC</v>
          </cell>
          <cell r="J95" t="str">
            <v>娛樂</v>
          </cell>
          <cell r="K95" t="str">
            <v>.SPX</v>
          </cell>
          <cell r="L95">
            <v>0.21379999999999999</v>
          </cell>
          <cell r="M95">
            <v>769.91</v>
          </cell>
          <cell r="N95">
            <v>0.39800000000000002</v>
          </cell>
          <cell r="O95">
            <v>0.14050000000000001</v>
          </cell>
          <cell r="P95">
            <v>0.39130000000000004</v>
          </cell>
          <cell r="Q95">
            <v>0.20350000000000001</v>
          </cell>
        </row>
        <row r="96">
          <cell r="H96" t="str">
            <v>CI</v>
          </cell>
          <cell r="I96" t="str">
            <v>XLV</v>
          </cell>
          <cell r="J96" t="str">
            <v>醫療保健計劃</v>
          </cell>
          <cell r="K96" t="str">
            <v>.SPX</v>
          </cell>
          <cell r="L96">
            <v>0.28739999999999999</v>
          </cell>
          <cell r="M96">
            <v>206.21</v>
          </cell>
          <cell r="N96">
            <v>0.60199999999999998</v>
          </cell>
          <cell r="O96">
            <v>0.14560000000000001</v>
          </cell>
          <cell r="P96">
            <v>0.50529999999999997</v>
          </cell>
          <cell r="Q96">
            <v>0.20170000000000002</v>
          </cell>
        </row>
        <row r="97">
          <cell r="H97" t="str">
            <v>CINF</v>
          </cell>
          <cell r="I97" t="str">
            <v>XLF</v>
          </cell>
          <cell r="J97" t="str">
            <v>保險-財產及意外事故</v>
          </cell>
          <cell r="K97" t="str">
            <v>.SPX</v>
          </cell>
          <cell r="L97">
            <v>0.2641</v>
          </cell>
          <cell r="M97">
            <v>118.06</v>
          </cell>
          <cell r="N97">
            <v>0.64229999999999998</v>
          </cell>
          <cell r="O97">
            <v>0.1701</v>
          </cell>
          <cell r="P97">
            <v>0.51280000000000003</v>
          </cell>
          <cell r="Q97">
            <v>0.20379999999999998</v>
          </cell>
        </row>
        <row r="98">
          <cell r="H98" t="str">
            <v>CL</v>
          </cell>
          <cell r="I98" t="str">
            <v>XLP</v>
          </cell>
          <cell r="J98" t="str">
            <v>家庭及個人產品</v>
          </cell>
          <cell r="K98" t="str">
            <v>.SPX</v>
          </cell>
          <cell r="L98">
            <v>0.16250000000000001</v>
          </cell>
          <cell r="M98">
            <v>78.900000000000006</v>
          </cell>
          <cell r="N98">
            <v>0.21229999999999999</v>
          </cell>
          <cell r="O98">
            <v>9.0800000000000006E-2</v>
          </cell>
          <cell r="P98">
            <v>0.30790000000000001</v>
          </cell>
          <cell r="Q98">
            <v>0.13239999999999999</v>
          </cell>
        </row>
        <row r="99">
          <cell r="H99" t="str">
            <v>CLX</v>
          </cell>
          <cell r="I99" t="str">
            <v>XLP</v>
          </cell>
          <cell r="J99" t="str">
            <v>家庭及個人產品</v>
          </cell>
          <cell r="K99" t="str">
            <v>.SPX</v>
          </cell>
          <cell r="L99">
            <v>0.23089999999999999</v>
          </cell>
          <cell r="M99">
            <v>163.1</v>
          </cell>
          <cell r="N99">
            <v>0.40949999999999998</v>
          </cell>
          <cell r="O99">
            <v>9.8900000000000002E-2</v>
          </cell>
          <cell r="P99">
            <v>0.37549999999999994</v>
          </cell>
          <cell r="Q99">
            <v>0.18340000000000001</v>
          </cell>
        </row>
        <row r="100">
          <cell r="H100" t="str">
            <v>CMA</v>
          </cell>
          <cell r="I100" t="str">
            <v>XLF</v>
          </cell>
          <cell r="J100" t="str">
            <v>銀行-區域</v>
          </cell>
          <cell r="K100" t="str">
            <v>.SPX</v>
          </cell>
          <cell r="L100">
            <v>0.32040000000000002</v>
          </cell>
          <cell r="M100">
            <v>70.099999999999994</v>
          </cell>
          <cell r="N100">
            <v>0.84689999999999999</v>
          </cell>
          <cell r="O100">
            <v>0.2107</v>
          </cell>
          <cell r="P100">
            <v>0.56999999999999995</v>
          </cell>
          <cell r="Q100">
            <v>0.27149999999999996</v>
          </cell>
        </row>
        <row r="101">
          <cell r="H101" t="str">
            <v>CMCSA</v>
          </cell>
          <cell r="I101" t="str">
            <v>XLC</v>
          </cell>
          <cell r="J101" t="str">
            <v>娛樂</v>
          </cell>
          <cell r="K101" t="str">
            <v>.SPX</v>
          </cell>
          <cell r="L101">
            <v>0.21609999999999999</v>
          </cell>
          <cell r="M101">
            <v>58.34</v>
          </cell>
          <cell r="N101">
            <v>0.34660000000000002</v>
          </cell>
          <cell r="O101">
            <v>0.1288</v>
          </cell>
          <cell r="P101">
            <v>0.39450000000000002</v>
          </cell>
          <cell r="Q101">
            <v>0.18789999999999998</v>
          </cell>
        </row>
        <row r="102">
          <cell r="H102" t="str">
            <v>CME</v>
          </cell>
          <cell r="I102" t="str">
            <v>XLF</v>
          </cell>
          <cell r="J102" t="str">
            <v>金融數據與證券交易所</v>
          </cell>
          <cell r="K102" t="str">
            <v>.SPX</v>
          </cell>
          <cell r="L102">
            <v>0.19520000000000001</v>
          </cell>
          <cell r="M102">
            <v>208.25</v>
          </cell>
          <cell r="N102">
            <v>0.38150000000000001</v>
          </cell>
          <cell r="O102">
            <v>0.15210000000000001</v>
          </cell>
          <cell r="P102">
            <v>0.38009999999999999</v>
          </cell>
          <cell r="Q102">
            <v>0.1784</v>
          </cell>
        </row>
        <row r="103">
          <cell r="H103" t="str">
            <v>CMG</v>
          </cell>
          <cell r="I103" t="str">
            <v>XLY</v>
          </cell>
          <cell r="J103" t="str">
            <v>飯館</v>
          </cell>
          <cell r="K103" t="str">
            <v>.SPX</v>
          </cell>
          <cell r="L103">
            <v>0.23910000000000001</v>
          </cell>
          <cell r="M103">
            <v>1899.98</v>
          </cell>
          <cell r="N103">
            <v>0.41239999999999999</v>
          </cell>
          <cell r="O103">
            <v>0.17760000000000001</v>
          </cell>
          <cell r="P103">
            <v>0.49570000000000003</v>
          </cell>
          <cell r="Q103">
            <v>0.22210000000000002</v>
          </cell>
        </row>
        <row r="104">
          <cell r="H104" t="str">
            <v>CMI</v>
          </cell>
          <cell r="I104" t="str">
            <v>XLI</v>
          </cell>
          <cell r="J104" t="str">
            <v>特種工業機械</v>
          </cell>
          <cell r="K104" t="str">
            <v>.SPX</v>
          </cell>
          <cell r="L104">
            <v>0.2334</v>
          </cell>
          <cell r="M104">
            <v>228.27</v>
          </cell>
          <cell r="N104">
            <v>0.33179999999999998</v>
          </cell>
          <cell r="O104">
            <v>0.1575</v>
          </cell>
          <cell r="P104">
            <v>0.42299999999999999</v>
          </cell>
          <cell r="Q104">
            <v>0.20899999999999999</v>
          </cell>
        </row>
        <row r="105">
          <cell r="H105" t="str">
            <v>CMS</v>
          </cell>
          <cell r="I105" t="str">
            <v>XLU</v>
          </cell>
          <cell r="J105" t="str">
            <v>公用事業—受監督的電力</v>
          </cell>
          <cell r="K105" t="str">
            <v>.SPX</v>
          </cell>
          <cell r="L105">
            <v>0.16800000000000001</v>
          </cell>
          <cell r="M105">
            <v>63.11</v>
          </cell>
          <cell r="N105">
            <v>0.26119999999999999</v>
          </cell>
          <cell r="O105">
            <v>0.1479</v>
          </cell>
          <cell r="P105">
            <v>0.34</v>
          </cell>
          <cell r="Q105">
            <v>0.15689999999999998</v>
          </cell>
        </row>
        <row r="106">
          <cell r="H106" t="str">
            <v>CNC</v>
          </cell>
          <cell r="I106" t="str">
            <v>XLV</v>
          </cell>
          <cell r="J106" t="str">
            <v>醫療保健計劃</v>
          </cell>
          <cell r="K106" t="str">
            <v>.SPX</v>
          </cell>
          <cell r="L106">
            <v>0.25119999999999998</v>
          </cell>
          <cell r="M106">
            <v>67.23</v>
          </cell>
          <cell r="N106">
            <v>0.43330000000000002</v>
          </cell>
          <cell r="O106">
            <v>0.16639999999999999</v>
          </cell>
          <cell r="P106">
            <v>0.55399999999999994</v>
          </cell>
          <cell r="Q106">
            <v>0.23699999999999999</v>
          </cell>
        </row>
        <row r="107">
          <cell r="H107" t="str">
            <v>CNP</v>
          </cell>
          <cell r="I107" t="str">
            <v>XLU</v>
          </cell>
          <cell r="J107" t="str">
            <v>公用事業—受監督的電力</v>
          </cell>
          <cell r="K107" t="str">
            <v>.SPX</v>
          </cell>
          <cell r="L107">
            <v>0.255</v>
          </cell>
          <cell r="M107">
            <v>26.7</v>
          </cell>
          <cell r="N107">
            <v>0.39450000000000002</v>
          </cell>
          <cell r="O107">
            <v>0.14599999999999999</v>
          </cell>
          <cell r="P107">
            <v>0.43369999999999997</v>
          </cell>
          <cell r="Q107">
            <v>0.1971</v>
          </cell>
        </row>
        <row r="108">
          <cell r="H108" t="str">
            <v>COF</v>
          </cell>
          <cell r="I108" t="str">
            <v>XLF</v>
          </cell>
          <cell r="J108" t="str">
            <v>信貸服務</v>
          </cell>
          <cell r="K108" t="str">
            <v>.SPX</v>
          </cell>
          <cell r="L108">
            <v>0.30559999999999998</v>
          </cell>
          <cell r="M108">
            <v>164.66</v>
          </cell>
          <cell r="N108">
            <v>0.54430000000000001</v>
          </cell>
          <cell r="O108">
            <v>0.20130000000000001</v>
          </cell>
          <cell r="P108">
            <v>0.5655</v>
          </cell>
          <cell r="Q108">
            <v>0.26300000000000001</v>
          </cell>
        </row>
        <row r="109">
          <cell r="H109" t="str">
            <v>COG</v>
          </cell>
          <cell r="I109" t="str">
            <v>XLE</v>
          </cell>
          <cell r="J109" t="str">
            <v>油氣E&amp;P</v>
          </cell>
          <cell r="K109" t="str">
            <v>.SPX</v>
          </cell>
          <cell r="L109">
            <v>0.37669999999999998</v>
          </cell>
          <cell r="M109">
            <v>16.04</v>
          </cell>
          <cell r="N109">
            <v>0.4592</v>
          </cell>
          <cell r="O109">
            <v>0.2641</v>
          </cell>
          <cell r="P109">
            <v>0.58050000000000002</v>
          </cell>
          <cell r="Q109">
            <v>0.31209999999999999</v>
          </cell>
        </row>
        <row r="110">
          <cell r="H110" t="str">
            <v>COO</v>
          </cell>
          <cell r="I110" t="str">
            <v>XLV</v>
          </cell>
          <cell r="J110" t="str">
            <v>醫療器械及用品</v>
          </cell>
          <cell r="K110" t="str">
            <v>.SPX</v>
          </cell>
          <cell r="L110">
            <v>0.2495</v>
          </cell>
          <cell r="M110">
            <v>412.94</v>
          </cell>
          <cell r="N110">
            <v>0.34799999999999998</v>
          </cell>
          <cell r="O110">
            <v>0.1187</v>
          </cell>
          <cell r="P110">
            <v>0.43280000000000002</v>
          </cell>
          <cell r="Q110">
            <v>0.17149999999999999</v>
          </cell>
        </row>
        <row r="111">
          <cell r="H111" t="str">
            <v>COP</v>
          </cell>
          <cell r="I111" t="str">
            <v>XLE</v>
          </cell>
          <cell r="J111" t="str">
            <v>油氣E&amp;P</v>
          </cell>
          <cell r="K111" t="str">
            <v>.SPX</v>
          </cell>
          <cell r="L111">
            <v>0.35520000000000002</v>
          </cell>
          <cell r="M111">
            <v>56.98</v>
          </cell>
          <cell r="N111">
            <v>0.75160000000000005</v>
          </cell>
          <cell r="O111">
            <v>0.29659999999999997</v>
          </cell>
          <cell r="P111">
            <v>0.83750000000000002</v>
          </cell>
          <cell r="Q111">
            <v>0.31620000000000004</v>
          </cell>
        </row>
        <row r="112">
          <cell r="H112" t="str">
            <v>COST</v>
          </cell>
          <cell r="I112" t="str">
            <v>XLP</v>
          </cell>
          <cell r="J112" t="str">
            <v>折扣店</v>
          </cell>
          <cell r="K112" t="str">
            <v>.SPX</v>
          </cell>
          <cell r="L112">
            <v>0.16309999999999999</v>
          </cell>
          <cell r="M112">
            <v>443.19</v>
          </cell>
          <cell r="N112">
            <v>0.2535</v>
          </cell>
          <cell r="O112">
            <v>0.1062</v>
          </cell>
          <cell r="P112">
            <v>0.3871</v>
          </cell>
          <cell r="Q112">
            <v>0.1459</v>
          </cell>
        </row>
        <row r="113">
          <cell r="H113" t="str">
            <v>CPB</v>
          </cell>
          <cell r="I113" t="str">
            <v>XLP</v>
          </cell>
          <cell r="J113" t="str">
            <v>包裝食品</v>
          </cell>
          <cell r="K113" t="str">
            <v>.SPX</v>
          </cell>
          <cell r="L113">
            <v>0.24349999999999999</v>
          </cell>
          <cell r="M113">
            <v>42.33</v>
          </cell>
          <cell r="N113">
            <v>0.35499999999999998</v>
          </cell>
          <cell r="O113">
            <v>0.13320000000000001</v>
          </cell>
          <cell r="P113">
            <v>0.48680000000000001</v>
          </cell>
          <cell r="Q113">
            <v>0.1711</v>
          </cell>
        </row>
        <row r="114">
          <cell r="H114" t="str">
            <v>CPRT</v>
          </cell>
          <cell r="I114" t="str">
            <v>XLI</v>
          </cell>
          <cell r="J114" t="str">
            <v>專業商業服務</v>
          </cell>
          <cell r="K114" t="str">
            <v>.SPX</v>
          </cell>
          <cell r="L114">
            <v>0.26800000000000002</v>
          </cell>
          <cell r="M114">
            <v>148.21</v>
          </cell>
          <cell r="N114">
            <v>0.33479999999999999</v>
          </cell>
          <cell r="O114">
            <v>0.13869999999999999</v>
          </cell>
          <cell r="P114">
            <v>0.42100000000000004</v>
          </cell>
          <cell r="Q114">
            <v>0.20030000000000001</v>
          </cell>
        </row>
        <row r="115">
          <cell r="H115" t="str">
            <v>CRL</v>
          </cell>
          <cell r="I115" t="str">
            <v>XLV</v>
          </cell>
          <cell r="J115" t="str">
            <v>診斷與研究</v>
          </cell>
          <cell r="K115" t="str">
            <v>.SPX</v>
          </cell>
          <cell r="L115">
            <v>0.26679999999999998</v>
          </cell>
          <cell r="M115">
            <v>409.97</v>
          </cell>
          <cell r="N115">
            <v>0.39319999999999999</v>
          </cell>
          <cell r="O115">
            <v>0.14560000000000001</v>
          </cell>
          <cell r="P115">
            <v>0.47310000000000002</v>
          </cell>
          <cell r="Q115">
            <v>0.24670000000000003</v>
          </cell>
        </row>
        <row r="116">
          <cell r="H116" t="str">
            <v>CRM</v>
          </cell>
          <cell r="I116" t="str">
            <v>XLK</v>
          </cell>
          <cell r="J116" t="str">
            <v>軟件-應用</v>
          </cell>
          <cell r="K116" t="str">
            <v>.SPX</v>
          </cell>
          <cell r="L116">
            <v>0.32479999999999998</v>
          </cell>
          <cell r="M116">
            <v>250.56</v>
          </cell>
          <cell r="N116">
            <v>0.78239999999999998</v>
          </cell>
          <cell r="O116">
            <v>0.14929999999999999</v>
          </cell>
          <cell r="P116">
            <v>0.52590000000000003</v>
          </cell>
          <cell r="Q116">
            <v>0.21379999999999999</v>
          </cell>
        </row>
        <row r="117">
          <cell r="H117" t="str">
            <v>CSCO</v>
          </cell>
          <cell r="I117" t="str">
            <v>XLK</v>
          </cell>
          <cell r="J117" t="str">
            <v>通信設備</v>
          </cell>
          <cell r="K117" t="str">
            <v>.SPX</v>
          </cell>
          <cell r="L117">
            <v>0.24779999999999999</v>
          </cell>
          <cell r="M117">
            <v>55.57</v>
          </cell>
          <cell r="N117">
            <v>0.39879999999999999</v>
          </cell>
          <cell r="O117">
            <v>0.1193</v>
          </cell>
          <cell r="P117">
            <v>0.45810000000000001</v>
          </cell>
          <cell r="Q117">
            <v>0.1585</v>
          </cell>
        </row>
        <row r="118">
          <cell r="H118" t="str">
            <v>CSX</v>
          </cell>
          <cell r="I118" t="str">
            <v>XLI</v>
          </cell>
          <cell r="J118" t="str">
            <v>鐵路</v>
          </cell>
          <cell r="K118" t="str">
            <v>.SPX</v>
          </cell>
          <cell r="L118">
            <v>0.21129999999999999</v>
          </cell>
          <cell r="M118">
            <v>32.15</v>
          </cell>
          <cell r="N118">
            <v>0.31090000000000001</v>
          </cell>
          <cell r="O118">
            <v>0.13120000000000001</v>
          </cell>
          <cell r="P118">
            <v>0.37659999999999999</v>
          </cell>
          <cell r="Q118">
            <v>0.18739999999999998</v>
          </cell>
        </row>
        <row r="119">
          <cell r="H119" t="str">
            <v>CTAS</v>
          </cell>
          <cell r="I119" t="str">
            <v>XLI</v>
          </cell>
          <cell r="J119" t="str">
            <v>專業商業服務</v>
          </cell>
          <cell r="K119" t="str">
            <v>.SPX</v>
          </cell>
          <cell r="L119">
            <v>0.20749999999999999</v>
          </cell>
          <cell r="M119">
            <v>391.65</v>
          </cell>
          <cell r="N119">
            <v>0.33860000000000001</v>
          </cell>
          <cell r="O119">
            <v>0.15620000000000001</v>
          </cell>
          <cell r="P119">
            <v>0.4143</v>
          </cell>
          <cell r="Q119">
            <v>0.19839999999999999</v>
          </cell>
        </row>
        <row r="120">
          <cell r="H120" t="str">
            <v>CTLT</v>
          </cell>
          <cell r="I120" t="str">
            <v>XLV</v>
          </cell>
          <cell r="J120" t="str">
            <v>藥品製造商-專業和通用</v>
          </cell>
          <cell r="K120" t="str">
            <v>.SPX</v>
          </cell>
          <cell r="L120">
            <v>0.36349999999999999</v>
          </cell>
          <cell r="M120">
            <v>122.12</v>
          </cell>
          <cell r="N120">
            <v>0.42930000000000001</v>
          </cell>
          <cell r="O120">
            <v>0.18840000000000001</v>
          </cell>
          <cell r="P120">
            <v>0.7419</v>
          </cell>
          <cell r="Q120">
            <v>0.24890000000000001</v>
          </cell>
        </row>
        <row r="121">
          <cell r="H121" t="str">
            <v>CTSH</v>
          </cell>
          <cell r="I121" t="str">
            <v>XLK</v>
          </cell>
          <cell r="J121" t="str">
            <v>信息技術處</v>
          </cell>
          <cell r="K121" t="str">
            <v>.SPX</v>
          </cell>
          <cell r="L121">
            <v>0.20250000000000001</v>
          </cell>
          <cell r="M121">
            <v>73.28</v>
          </cell>
          <cell r="N121">
            <v>0.32940000000000003</v>
          </cell>
          <cell r="O121">
            <v>0.10780000000000001</v>
          </cell>
          <cell r="P121">
            <v>0.43569999999999998</v>
          </cell>
          <cell r="Q121">
            <v>0.18859999999999999</v>
          </cell>
        </row>
        <row r="122">
          <cell r="H122" t="str">
            <v>CTVA</v>
          </cell>
          <cell r="I122" t="str">
            <v>XLB</v>
          </cell>
          <cell r="J122" t="str">
            <v>農業投入</v>
          </cell>
          <cell r="K122" t="str">
            <v>.SPX</v>
          </cell>
          <cell r="L122">
            <v>0.3231</v>
          </cell>
          <cell r="M122">
            <v>41.44</v>
          </cell>
          <cell r="N122">
            <v>0.47360000000000002</v>
          </cell>
          <cell r="O122">
            <v>0.15160000000000001</v>
          </cell>
          <cell r="P122">
            <v>0.49180000000000001</v>
          </cell>
          <cell r="Q122">
            <v>0.24739999999999998</v>
          </cell>
        </row>
        <row r="123">
          <cell r="H123" t="str">
            <v>CTXS</v>
          </cell>
          <cell r="I123" t="str">
            <v>XLK</v>
          </cell>
          <cell r="J123" t="str">
            <v>軟件-應用</v>
          </cell>
          <cell r="K123" t="str">
            <v>.SPX</v>
          </cell>
          <cell r="L123">
            <v>0.26440000000000002</v>
          </cell>
          <cell r="M123">
            <v>101.51</v>
          </cell>
          <cell r="N123">
            <v>0.52470000000000006</v>
          </cell>
          <cell r="O123">
            <v>0.16719999999999999</v>
          </cell>
          <cell r="P123">
            <v>0.43930000000000002</v>
          </cell>
          <cell r="Q123">
            <v>0.2238</v>
          </cell>
        </row>
        <row r="124">
          <cell r="H124" t="str">
            <v>CVS</v>
          </cell>
          <cell r="I124" t="str">
            <v>XLV</v>
          </cell>
          <cell r="J124" t="str">
            <v>醫療保健計劃</v>
          </cell>
          <cell r="K124" t="str">
            <v>.SPX</v>
          </cell>
          <cell r="L124">
            <v>0.2215</v>
          </cell>
          <cell r="M124">
            <v>80.95</v>
          </cell>
          <cell r="N124">
            <v>0.44800000000000001</v>
          </cell>
          <cell r="O124">
            <v>0.13589999999999999</v>
          </cell>
          <cell r="P124">
            <v>0.40439999999999998</v>
          </cell>
          <cell r="Q124">
            <v>0.183</v>
          </cell>
        </row>
        <row r="125">
          <cell r="H125" t="str">
            <v>CVX</v>
          </cell>
          <cell r="I125" t="str">
            <v>XLE</v>
          </cell>
          <cell r="J125" t="str">
            <v>油氣一體化</v>
          </cell>
          <cell r="K125" t="str">
            <v>.SPX</v>
          </cell>
          <cell r="L125">
            <v>0.2417</v>
          </cell>
          <cell r="M125">
            <v>101.92</v>
          </cell>
          <cell r="N125">
            <v>0.57310000000000005</v>
          </cell>
          <cell r="O125">
            <v>0.2092</v>
          </cell>
          <cell r="P125">
            <v>0.48460000000000003</v>
          </cell>
          <cell r="Q125">
            <v>0.2288</v>
          </cell>
        </row>
        <row r="126">
          <cell r="H126" t="str">
            <v>CZR</v>
          </cell>
          <cell r="I126" t="str">
            <v>XLY</v>
          </cell>
          <cell r="J126" t="str">
            <v>度假村和賭場</v>
          </cell>
          <cell r="K126" t="str">
            <v>.SPX</v>
          </cell>
          <cell r="L126">
            <v>0.51419999999999999</v>
          </cell>
          <cell r="M126">
            <v>90.5</v>
          </cell>
          <cell r="N126">
            <v>0.85160000000000002</v>
          </cell>
          <cell r="O126">
            <v>0.29380000000000001</v>
          </cell>
          <cell r="P126">
            <v>0.92189999999999994</v>
          </cell>
          <cell r="Q126">
            <v>0.41259999999999997</v>
          </cell>
        </row>
        <row r="127">
          <cell r="H127" t="str">
            <v>D</v>
          </cell>
          <cell r="I127" t="str">
            <v>XLU</v>
          </cell>
          <cell r="J127" t="str">
            <v>公用事業—受監督的電力</v>
          </cell>
          <cell r="K127" t="str">
            <v>.SPX</v>
          </cell>
          <cell r="L127">
            <v>0.18029999999999999</v>
          </cell>
          <cell r="M127">
            <v>76.08</v>
          </cell>
          <cell r="N127">
            <v>0.39750000000000002</v>
          </cell>
          <cell r="O127">
            <v>0.13109999999999999</v>
          </cell>
          <cell r="P127">
            <v>0.29849999999999999</v>
          </cell>
          <cell r="Q127">
            <v>0.15460000000000002</v>
          </cell>
        </row>
        <row r="128">
          <cell r="H128" t="str">
            <v>DAL</v>
          </cell>
          <cell r="I128" t="str">
            <v>XLI</v>
          </cell>
          <cell r="J128" t="str">
            <v>航空公司</v>
          </cell>
          <cell r="K128" t="str">
            <v>.SPX</v>
          </cell>
          <cell r="L128">
            <v>0.39069999999999999</v>
          </cell>
          <cell r="M128">
            <v>39.99</v>
          </cell>
          <cell r="N128">
            <v>0.69920000000000004</v>
          </cell>
          <cell r="O128">
            <v>0.2155</v>
          </cell>
          <cell r="P128">
            <v>0.77810000000000001</v>
          </cell>
          <cell r="Q128">
            <v>0.30530000000000002</v>
          </cell>
        </row>
        <row r="129">
          <cell r="H129" t="str">
            <v>DD</v>
          </cell>
          <cell r="I129" t="str">
            <v>XLB</v>
          </cell>
          <cell r="J129" t="str">
            <v>特種化學品</v>
          </cell>
          <cell r="K129" t="str">
            <v>.SPX</v>
          </cell>
          <cell r="L129">
            <v>0.24610000000000001</v>
          </cell>
          <cell r="M129">
            <v>76.02</v>
          </cell>
          <cell r="N129">
            <v>0.49609999999999999</v>
          </cell>
          <cell r="O129">
            <v>0.1686</v>
          </cell>
          <cell r="P129">
            <v>0.53290000000000004</v>
          </cell>
          <cell r="Q129">
            <v>0.21640000000000001</v>
          </cell>
        </row>
        <row r="130">
          <cell r="H130" t="str">
            <v>DE</v>
          </cell>
          <cell r="I130" t="str">
            <v>XLI</v>
          </cell>
          <cell r="J130" t="str">
            <v>農重工程機械</v>
          </cell>
          <cell r="K130" t="str">
            <v>.SPX</v>
          </cell>
          <cell r="L130">
            <v>0.29330000000000001</v>
          </cell>
          <cell r="M130">
            <v>364.32</v>
          </cell>
          <cell r="N130">
            <v>0.44669999999999999</v>
          </cell>
          <cell r="O130">
            <v>0.18</v>
          </cell>
          <cell r="P130">
            <v>0.43240000000000001</v>
          </cell>
          <cell r="Q130">
            <v>0.21609999999999999</v>
          </cell>
        </row>
        <row r="131">
          <cell r="H131" t="str">
            <v>DFS</v>
          </cell>
          <cell r="I131" t="str">
            <v>XLF</v>
          </cell>
          <cell r="J131" t="str">
            <v>信貸服務</v>
          </cell>
          <cell r="K131" t="str">
            <v>.SPX</v>
          </cell>
          <cell r="L131">
            <v>0.313</v>
          </cell>
          <cell r="M131">
            <v>127.1</v>
          </cell>
          <cell r="N131">
            <v>0.59209999999999996</v>
          </cell>
          <cell r="O131">
            <v>0.222</v>
          </cell>
          <cell r="P131">
            <v>0.58979999999999999</v>
          </cell>
          <cell r="Q131">
            <v>0.26910000000000001</v>
          </cell>
        </row>
        <row r="132">
          <cell r="H132" t="str">
            <v>DG</v>
          </cell>
          <cell r="I132" t="str">
            <v>XLY</v>
          </cell>
          <cell r="J132" t="str">
            <v>折扣店</v>
          </cell>
          <cell r="K132" t="str">
            <v>.SPX</v>
          </cell>
          <cell r="L132">
            <v>0.24709999999999999</v>
          </cell>
          <cell r="M132">
            <v>235.81</v>
          </cell>
          <cell r="N132">
            <v>0.34320000000000001</v>
          </cell>
          <cell r="O132">
            <v>0.1047</v>
          </cell>
          <cell r="P132">
            <v>0.36329999999999996</v>
          </cell>
          <cell r="Q132">
            <v>0.15759999999999999</v>
          </cell>
        </row>
        <row r="133">
          <cell r="H133" t="str">
            <v>DGX</v>
          </cell>
          <cell r="I133" t="str">
            <v>XLV</v>
          </cell>
          <cell r="J133" t="str">
            <v>診斷與研究</v>
          </cell>
          <cell r="K133" t="str">
            <v>.SPX</v>
          </cell>
          <cell r="L133">
            <v>0.20669999999999999</v>
          </cell>
          <cell r="M133">
            <v>147.38</v>
          </cell>
          <cell r="N133">
            <v>0.34079999999999999</v>
          </cell>
          <cell r="O133">
            <v>0.10639999999999999</v>
          </cell>
          <cell r="P133">
            <v>0.38689999999999997</v>
          </cell>
          <cell r="Q133">
            <v>0.18059999999999998</v>
          </cell>
        </row>
        <row r="134">
          <cell r="H134" t="str">
            <v>DHI</v>
          </cell>
          <cell r="I134" t="str">
            <v>XLY</v>
          </cell>
          <cell r="J134" t="str">
            <v>住宅建設</v>
          </cell>
          <cell r="K134" t="str">
            <v>.SPX</v>
          </cell>
          <cell r="L134">
            <v>0.30840000000000001</v>
          </cell>
          <cell r="M134">
            <v>96.34</v>
          </cell>
          <cell r="N134">
            <v>0.57150000000000001</v>
          </cell>
          <cell r="O134">
            <v>0.2114</v>
          </cell>
          <cell r="P134">
            <v>0.53210000000000002</v>
          </cell>
          <cell r="Q134">
            <v>0.2868</v>
          </cell>
        </row>
        <row r="135">
          <cell r="H135" t="str">
            <v>DHR</v>
          </cell>
          <cell r="I135" t="str">
            <v>XLV</v>
          </cell>
          <cell r="J135" t="str">
            <v>診斷與研究</v>
          </cell>
          <cell r="K135" t="str">
            <v>.SPX</v>
          </cell>
          <cell r="L135">
            <v>0.215</v>
          </cell>
          <cell r="M135">
            <v>307.14</v>
          </cell>
          <cell r="N135">
            <v>0.3286</v>
          </cell>
          <cell r="O135">
            <v>0.1618</v>
          </cell>
          <cell r="P135">
            <v>0.37740000000000001</v>
          </cell>
          <cell r="Q135">
            <v>0.20620000000000002</v>
          </cell>
        </row>
        <row r="136">
          <cell r="H136" t="str">
            <v>DIS</v>
          </cell>
          <cell r="I136" t="str">
            <v>XLC</v>
          </cell>
          <cell r="J136" t="str">
            <v>娛樂</v>
          </cell>
          <cell r="K136" t="str">
            <v>.SPX</v>
          </cell>
          <cell r="L136">
            <v>0.2132</v>
          </cell>
          <cell r="M136">
            <v>183.34</v>
          </cell>
          <cell r="N136">
            <v>0.56059999999999999</v>
          </cell>
          <cell r="O136">
            <v>0.13139999999999999</v>
          </cell>
          <cell r="P136">
            <v>0.46380000000000005</v>
          </cell>
          <cell r="Q136">
            <v>0.20230000000000001</v>
          </cell>
        </row>
        <row r="137">
          <cell r="H137" t="str">
            <v>DISCA</v>
          </cell>
          <cell r="I137" t="str">
            <v>XLC</v>
          </cell>
          <cell r="J137" t="str">
            <v>娛樂</v>
          </cell>
          <cell r="K137" t="str">
            <v>.SPX</v>
          </cell>
          <cell r="L137">
            <v>0.47189999999999999</v>
          </cell>
          <cell r="M137">
            <v>29.2</v>
          </cell>
          <cell r="N137">
            <v>1.2318</v>
          </cell>
          <cell r="O137">
            <v>0.27550000000000002</v>
          </cell>
          <cell r="P137">
            <v>1.1264000000000001</v>
          </cell>
          <cell r="Q137">
            <v>0.38469999999999999</v>
          </cell>
        </row>
        <row r="138">
          <cell r="H138" t="str">
            <v>DISCK</v>
          </cell>
          <cell r="I138" t="str">
            <v>XLC</v>
          </cell>
          <cell r="J138" t="str">
            <v>娛樂</v>
          </cell>
          <cell r="K138" t="str">
            <v>.SPX</v>
          </cell>
          <cell r="L138">
            <v>0.4768</v>
          </cell>
          <cell r="M138">
            <v>27.49</v>
          </cell>
          <cell r="N138">
            <v>1.2491000000000001</v>
          </cell>
          <cell r="O138">
            <v>0.2792</v>
          </cell>
          <cell r="P138">
            <v>1.0965</v>
          </cell>
          <cell r="Q138">
            <v>0.36469999999999997</v>
          </cell>
        </row>
        <row r="139">
          <cell r="H139" t="str">
            <v>DISH</v>
          </cell>
          <cell r="I139" t="str">
            <v>XLC</v>
          </cell>
          <cell r="J139" t="str">
            <v>娛樂</v>
          </cell>
          <cell r="K139" t="str">
            <v>.SPX</v>
          </cell>
          <cell r="L139">
            <v>0.43</v>
          </cell>
          <cell r="M139">
            <v>41.84</v>
          </cell>
          <cell r="N139">
            <v>0.55489999999999995</v>
          </cell>
          <cell r="O139">
            <v>0.2631</v>
          </cell>
          <cell r="P139">
            <v>0.81400000000000006</v>
          </cell>
          <cell r="Q139">
            <v>0.35189999999999999</v>
          </cell>
        </row>
        <row r="140">
          <cell r="H140" t="str">
            <v>DLR</v>
          </cell>
          <cell r="I140" t="str">
            <v>XLRE</v>
          </cell>
          <cell r="J140" t="str">
            <v>REIT-辦公室</v>
          </cell>
          <cell r="K140" t="str">
            <v>.SPX</v>
          </cell>
          <cell r="L140">
            <v>0.20469999999999999</v>
          </cell>
          <cell r="M140">
            <v>156.35</v>
          </cell>
          <cell r="N140">
            <v>0.33929999999999999</v>
          </cell>
          <cell r="O140">
            <v>0.15740000000000001</v>
          </cell>
          <cell r="P140">
            <v>0.37209999999999999</v>
          </cell>
          <cell r="Q140">
            <v>0.18030000000000002</v>
          </cell>
        </row>
        <row r="141">
          <cell r="H141" t="str">
            <v>DLTR</v>
          </cell>
          <cell r="I141" t="str">
            <v>XLY</v>
          </cell>
          <cell r="J141" t="str">
            <v>折扣店</v>
          </cell>
          <cell r="K141" t="str">
            <v>.SPX</v>
          </cell>
          <cell r="L141">
            <v>0.32869999999999999</v>
          </cell>
          <cell r="M141">
            <v>98.94</v>
          </cell>
          <cell r="N141">
            <v>0.46879999999999999</v>
          </cell>
          <cell r="O141">
            <v>0.12130000000000001</v>
          </cell>
          <cell r="P141">
            <v>0.45990000000000003</v>
          </cell>
          <cell r="Q141">
            <v>0.2014</v>
          </cell>
        </row>
        <row r="142">
          <cell r="H142" t="str">
            <v>DOV</v>
          </cell>
          <cell r="I142" t="str">
            <v>XLI</v>
          </cell>
          <cell r="J142" t="str">
            <v>特種工業機械</v>
          </cell>
          <cell r="K142" t="str">
            <v>.SPX</v>
          </cell>
          <cell r="L142">
            <v>0.18509999999999999</v>
          </cell>
          <cell r="M142">
            <v>169.19</v>
          </cell>
          <cell r="N142">
            <v>0.27310000000000001</v>
          </cell>
          <cell r="O142">
            <v>0.156</v>
          </cell>
          <cell r="P142">
            <v>0.44040000000000001</v>
          </cell>
          <cell r="Q142">
            <v>0.18510000000000001</v>
          </cell>
        </row>
        <row r="143">
          <cell r="H143" t="str">
            <v>DOW</v>
          </cell>
          <cell r="I143" t="str">
            <v>XLB</v>
          </cell>
          <cell r="J143" t="str">
            <v>化學品</v>
          </cell>
          <cell r="K143" t="str">
            <v>.SPX</v>
          </cell>
          <cell r="L143">
            <v>0.27579999999999999</v>
          </cell>
          <cell r="M143">
            <v>61</v>
          </cell>
          <cell r="N143">
            <v>0.48280000000000001</v>
          </cell>
          <cell r="O143">
            <v>0.21379999999999999</v>
          </cell>
          <cell r="P143">
            <v>0.49130000000000001</v>
          </cell>
          <cell r="Q143">
            <v>0.25090000000000001</v>
          </cell>
        </row>
        <row r="144">
          <cell r="H144" t="str">
            <v>DPZ</v>
          </cell>
          <cell r="I144" t="str">
            <v>XLY</v>
          </cell>
          <cell r="J144" t="str">
            <v>飯館</v>
          </cell>
          <cell r="K144" t="str">
            <v>.SPX</v>
          </cell>
          <cell r="L144">
            <v>0.22020000000000001</v>
          </cell>
          <cell r="M144">
            <v>535.48</v>
          </cell>
          <cell r="N144">
            <v>0.42620000000000002</v>
          </cell>
          <cell r="O144">
            <v>0.12670000000000001</v>
          </cell>
          <cell r="P144">
            <v>0.48359999999999997</v>
          </cell>
          <cell r="Q144">
            <v>0.19539999999999999</v>
          </cell>
        </row>
        <row r="145">
          <cell r="H145" t="str">
            <v>DRE</v>
          </cell>
          <cell r="I145" t="str">
            <v>XLRE</v>
          </cell>
          <cell r="J145" t="str">
            <v>REIT-工業</v>
          </cell>
          <cell r="K145" t="str">
            <v>.SPX</v>
          </cell>
          <cell r="L145">
            <v>0.19819999999999999</v>
          </cell>
          <cell r="M145">
            <v>50.98</v>
          </cell>
          <cell r="N145">
            <v>0.29570000000000002</v>
          </cell>
          <cell r="O145">
            <v>0.13250000000000001</v>
          </cell>
          <cell r="P145">
            <v>0.59689999999999999</v>
          </cell>
          <cell r="Q145">
            <v>0.14660000000000001</v>
          </cell>
        </row>
        <row r="146">
          <cell r="H146" t="str">
            <v>DRI</v>
          </cell>
          <cell r="I146" t="str">
            <v>XLY</v>
          </cell>
          <cell r="J146" t="str">
            <v>飯館</v>
          </cell>
          <cell r="K146" t="str">
            <v>.SPX</v>
          </cell>
          <cell r="L146">
            <v>0.30299999999999999</v>
          </cell>
          <cell r="M146">
            <v>144.47</v>
          </cell>
          <cell r="N146">
            <v>0.66090000000000004</v>
          </cell>
          <cell r="O146">
            <v>0.18909999999999999</v>
          </cell>
          <cell r="P146">
            <v>0.61419999999999997</v>
          </cell>
          <cell r="Q146">
            <v>0.25440000000000002</v>
          </cell>
        </row>
        <row r="147">
          <cell r="H147" t="str">
            <v>DTE</v>
          </cell>
          <cell r="I147" t="str">
            <v>XLU</v>
          </cell>
          <cell r="J147" t="str">
            <v>公用事業—受監督的電力</v>
          </cell>
          <cell r="K147" t="str">
            <v>.SPX</v>
          </cell>
          <cell r="L147">
            <v>0.18479999999999999</v>
          </cell>
          <cell r="M147">
            <v>119.85</v>
          </cell>
          <cell r="N147">
            <v>0.33379999999999999</v>
          </cell>
          <cell r="O147">
            <v>0.1265</v>
          </cell>
          <cell r="P147">
            <v>0.3906</v>
          </cell>
          <cell r="Q147">
            <v>0.16170000000000001</v>
          </cell>
        </row>
        <row r="148">
          <cell r="H148" t="str">
            <v>DUK</v>
          </cell>
          <cell r="I148" t="str">
            <v>XLU</v>
          </cell>
          <cell r="J148" t="str">
            <v>公用事業—受監督的電力</v>
          </cell>
          <cell r="K148" t="str">
            <v>.SPX</v>
          </cell>
          <cell r="L148">
            <v>0.16619999999999999</v>
          </cell>
          <cell r="M148">
            <v>107.81</v>
          </cell>
          <cell r="N148">
            <v>0.27610000000000001</v>
          </cell>
          <cell r="O148">
            <v>0.1096</v>
          </cell>
          <cell r="P148">
            <v>0.30640000000000001</v>
          </cell>
          <cell r="Q148">
            <v>0.1527</v>
          </cell>
        </row>
        <row r="149">
          <cell r="H149" t="str">
            <v>DVA</v>
          </cell>
          <cell r="I149" t="str">
            <v>XLV</v>
          </cell>
          <cell r="J149" t="str">
            <v>醫療設施</v>
          </cell>
          <cell r="K149" t="str">
            <v>.SPX</v>
          </cell>
          <cell r="L149">
            <v>0.2515</v>
          </cell>
          <cell r="M149">
            <v>130.13</v>
          </cell>
          <cell r="N149">
            <v>0.35809999999999997</v>
          </cell>
          <cell r="O149">
            <v>0.156</v>
          </cell>
          <cell r="P149">
            <v>0.52890000000000004</v>
          </cell>
          <cell r="Q149">
            <v>0.222</v>
          </cell>
        </row>
        <row r="150">
          <cell r="H150" t="str">
            <v>DVN</v>
          </cell>
          <cell r="I150" t="str">
            <v>XLE</v>
          </cell>
          <cell r="J150" t="str">
            <v>油氣E&amp;P</v>
          </cell>
          <cell r="K150" t="str">
            <v>.SPX</v>
          </cell>
          <cell r="L150">
            <v>0.49890000000000001</v>
          </cell>
          <cell r="M150">
            <v>26.63</v>
          </cell>
          <cell r="N150">
            <v>0.82230000000000003</v>
          </cell>
          <cell r="O150">
            <v>0.43759999999999999</v>
          </cell>
          <cell r="P150">
            <v>1.0154000000000001</v>
          </cell>
          <cell r="Q150">
            <v>0.44290000000000002</v>
          </cell>
        </row>
        <row r="151">
          <cell r="H151" t="str">
            <v>DXC</v>
          </cell>
          <cell r="I151" t="str">
            <v>XLK</v>
          </cell>
          <cell r="J151" t="str">
            <v>信息技術處</v>
          </cell>
          <cell r="K151" t="str">
            <v>.SPX</v>
          </cell>
          <cell r="L151">
            <v>0.37269999999999998</v>
          </cell>
          <cell r="M151">
            <v>40.01</v>
          </cell>
          <cell r="N151">
            <v>0.64580000000000004</v>
          </cell>
          <cell r="O151">
            <v>0.27210000000000001</v>
          </cell>
          <cell r="P151">
            <v>0.9597</v>
          </cell>
          <cell r="Q151">
            <v>0.34200000000000003</v>
          </cell>
        </row>
        <row r="152">
          <cell r="H152" t="str">
            <v>DXCM</v>
          </cell>
          <cell r="I152" t="str">
            <v>XLV</v>
          </cell>
          <cell r="J152" t="str">
            <v>診斷與研究</v>
          </cell>
          <cell r="K152" t="str">
            <v>.SPX</v>
          </cell>
          <cell r="L152">
            <v>0.30980000000000002</v>
          </cell>
          <cell r="M152">
            <v>523.92999999999995</v>
          </cell>
          <cell r="N152">
            <v>0.60960000000000003</v>
          </cell>
          <cell r="O152">
            <v>0.17019999999999999</v>
          </cell>
          <cell r="P152">
            <v>0.64529999999999998</v>
          </cell>
          <cell r="Q152">
            <v>0.30620000000000003</v>
          </cell>
        </row>
        <row r="153">
          <cell r="H153" t="str">
            <v>EA</v>
          </cell>
          <cell r="I153" t="str">
            <v>XLC</v>
          </cell>
          <cell r="J153" t="str">
            <v>電子游戲與多媒體</v>
          </cell>
          <cell r="K153" t="str">
            <v>.SPX</v>
          </cell>
          <cell r="L153">
            <v>0.24349999999999999</v>
          </cell>
          <cell r="M153">
            <v>135.9</v>
          </cell>
          <cell r="N153">
            <v>0.35649999999999998</v>
          </cell>
          <cell r="O153">
            <v>0.16689999999999999</v>
          </cell>
          <cell r="P153">
            <v>0.46579999999999999</v>
          </cell>
          <cell r="Q153">
            <v>0.2014</v>
          </cell>
        </row>
        <row r="154">
          <cell r="H154" t="str">
            <v>EBAY</v>
          </cell>
          <cell r="I154" t="str">
            <v>XLY</v>
          </cell>
          <cell r="J154" t="str">
            <v>互聯網零售</v>
          </cell>
          <cell r="K154" t="str">
            <v>.SPX</v>
          </cell>
          <cell r="L154">
            <v>0.36199999999999999</v>
          </cell>
          <cell r="M154">
            <v>67.28</v>
          </cell>
          <cell r="N154">
            <v>0.49469999999999997</v>
          </cell>
          <cell r="O154">
            <v>0.2059</v>
          </cell>
          <cell r="P154">
            <v>0.51170000000000004</v>
          </cell>
          <cell r="Q154">
            <v>0.2382</v>
          </cell>
        </row>
        <row r="155">
          <cell r="H155" t="str">
            <v>ECL</v>
          </cell>
          <cell r="I155" t="str">
            <v>XLB</v>
          </cell>
          <cell r="J155" t="str">
            <v>特種化學品</v>
          </cell>
          <cell r="K155" t="str">
            <v>.SPX</v>
          </cell>
          <cell r="L155">
            <v>0.2056</v>
          </cell>
          <cell r="M155">
            <v>218.15</v>
          </cell>
          <cell r="N155">
            <v>0.40720000000000001</v>
          </cell>
          <cell r="O155">
            <v>0.14019999999999999</v>
          </cell>
          <cell r="P155">
            <v>0.35560000000000003</v>
          </cell>
          <cell r="Q155">
            <v>0.1794</v>
          </cell>
        </row>
        <row r="156">
          <cell r="H156" t="str">
            <v>ED</v>
          </cell>
          <cell r="I156" t="str">
            <v>XLU</v>
          </cell>
          <cell r="J156" t="str">
            <v>公用事業—受監督的電力</v>
          </cell>
          <cell r="K156" t="str">
            <v>.SPX</v>
          </cell>
          <cell r="L156">
            <v>0.1913</v>
          </cell>
          <cell r="M156">
            <v>76.09</v>
          </cell>
          <cell r="N156">
            <v>0.27879999999999999</v>
          </cell>
          <cell r="O156">
            <v>0.1237</v>
          </cell>
          <cell r="P156">
            <v>0.30730000000000002</v>
          </cell>
          <cell r="Q156">
            <v>0.15109999999999998</v>
          </cell>
        </row>
        <row r="157">
          <cell r="H157" t="str">
            <v>EFX</v>
          </cell>
          <cell r="I157" t="str">
            <v>XLI</v>
          </cell>
          <cell r="J157" t="str">
            <v>咨詢服務</v>
          </cell>
          <cell r="K157" t="str">
            <v>.SPX</v>
          </cell>
          <cell r="L157">
            <v>0.2334</v>
          </cell>
          <cell r="M157">
            <v>254.19</v>
          </cell>
          <cell r="N157">
            <v>0.47060000000000002</v>
          </cell>
          <cell r="O157">
            <v>0.1719</v>
          </cell>
          <cell r="P157">
            <v>0.42399999999999999</v>
          </cell>
          <cell r="Q157">
            <v>0.2082</v>
          </cell>
        </row>
        <row r="158">
          <cell r="H158" t="str">
            <v>EIX</v>
          </cell>
          <cell r="I158" t="str">
            <v>XLU</v>
          </cell>
          <cell r="J158" t="str">
            <v>公用事業—受監督的電力</v>
          </cell>
          <cell r="K158" t="str">
            <v>.SPX</v>
          </cell>
          <cell r="L158">
            <v>0.21679999999999999</v>
          </cell>
          <cell r="M158">
            <v>55.2</v>
          </cell>
          <cell r="N158">
            <v>0.32979999999999998</v>
          </cell>
          <cell r="O158">
            <v>0.16339999999999999</v>
          </cell>
          <cell r="P158">
            <v>0.4375</v>
          </cell>
          <cell r="Q158">
            <v>0.1867</v>
          </cell>
        </row>
        <row r="159">
          <cell r="H159" t="str">
            <v>EL</v>
          </cell>
          <cell r="I159" t="str">
            <v>XLP</v>
          </cell>
          <cell r="J159" t="str">
            <v>家庭及個人產品</v>
          </cell>
          <cell r="K159" t="str">
            <v>.SPX</v>
          </cell>
          <cell r="L159">
            <v>0.28710000000000002</v>
          </cell>
          <cell r="M159">
            <v>328.69</v>
          </cell>
          <cell r="N159">
            <v>0.4002</v>
          </cell>
          <cell r="O159">
            <v>0.14360000000000001</v>
          </cell>
          <cell r="P159">
            <v>0.43140000000000001</v>
          </cell>
          <cell r="Q159">
            <v>0.1744</v>
          </cell>
        </row>
        <row r="160">
          <cell r="H160" t="str">
            <v>EMN</v>
          </cell>
          <cell r="I160" t="str">
            <v>XLB</v>
          </cell>
          <cell r="J160" t="str">
            <v>化學品</v>
          </cell>
          <cell r="K160" t="str">
            <v>.SPX</v>
          </cell>
          <cell r="L160">
            <v>0.26</v>
          </cell>
          <cell r="M160">
            <v>110.59</v>
          </cell>
          <cell r="N160">
            <v>0.41770000000000002</v>
          </cell>
          <cell r="O160">
            <v>0.22889999999999999</v>
          </cell>
          <cell r="P160">
            <v>0.4325</v>
          </cell>
          <cell r="Q160">
            <v>0.2339</v>
          </cell>
        </row>
        <row r="161">
          <cell r="H161" t="str">
            <v>EMR</v>
          </cell>
          <cell r="I161" t="str">
            <v>XLI</v>
          </cell>
          <cell r="J161" t="str">
            <v>特種工業機械</v>
          </cell>
          <cell r="K161" t="str">
            <v>.SPX</v>
          </cell>
          <cell r="L161">
            <v>0.21640000000000001</v>
          </cell>
          <cell r="M161">
            <v>101.18</v>
          </cell>
          <cell r="N161">
            <v>0.45610000000000001</v>
          </cell>
          <cell r="O161">
            <v>0.158</v>
          </cell>
          <cell r="P161">
            <v>0.4032</v>
          </cell>
          <cell r="Q161">
            <v>0.18909999999999999</v>
          </cell>
        </row>
        <row r="162">
          <cell r="H162" t="str">
            <v>ENPH</v>
          </cell>
          <cell r="I162" t="str">
            <v>XLK</v>
          </cell>
          <cell r="J162" t="str">
            <v>太陽能</v>
          </cell>
          <cell r="K162" t="str">
            <v>.SPX</v>
          </cell>
          <cell r="L162">
            <v>0.55049999999999999</v>
          </cell>
          <cell r="M162">
            <v>183.45</v>
          </cell>
          <cell r="N162">
            <v>1.0136000000000001</v>
          </cell>
          <cell r="O162">
            <v>0.4118</v>
          </cell>
          <cell r="P162">
            <v>1.0337000000000001</v>
          </cell>
          <cell r="Q162">
            <v>0.52229999999999999</v>
          </cell>
        </row>
        <row r="163">
          <cell r="H163" t="str">
            <v>EOG</v>
          </cell>
          <cell r="I163" t="str">
            <v>XLE</v>
          </cell>
          <cell r="J163" t="str">
            <v>油氣E&amp;P</v>
          </cell>
          <cell r="K163" t="str">
            <v>.SPX</v>
          </cell>
          <cell r="L163">
            <v>0.40939999999999999</v>
          </cell>
          <cell r="M163">
            <v>70.739999999999995</v>
          </cell>
          <cell r="N163">
            <v>0.84209999999999996</v>
          </cell>
          <cell r="O163">
            <v>0.36499999999999999</v>
          </cell>
          <cell r="P163">
            <v>0.78449999999999998</v>
          </cell>
          <cell r="Q163">
            <v>0.35830000000000001</v>
          </cell>
        </row>
        <row r="164">
          <cell r="H164" t="str">
            <v>EQIX</v>
          </cell>
          <cell r="I164" t="str">
            <v>XLRE</v>
          </cell>
          <cell r="J164" t="str">
            <v>REIT-專業</v>
          </cell>
          <cell r="K164" t="str">
            <v>.SPX</v>
          </cell>
          <cell r="L164">
            <v>0.22090000000000001</v>
          </cell>
          <cell r="M164">
            <v>830.62</v>
          </cell>
          <cell r="N164">
            <v>0.35120000000000001</v>
          </cell>
          <cell r="O164">
            <v>0.1734</v>
          </cell>
          <cell r="P164">
            <v>0.36469999999999997</v>
          </cell>
          <cell r="Q164">
            <v>0.20929999999999999</v>
          </cell>
        </row>
        <row r="165">
          <cell r="H165" t="str">
            <v>EQR</v>
          </cell>
          <cell r="I165" t="str">
            <v>XLRE</v>
          </cell>
          <cell r="J165" t="str">
            <v>-</v>
          </cell>
          <cell r="K165" t="str">
            <v>.SPX</v>
          </cell>
          <cell r="L165">
            <v>0.2097</v>
          </cell>
          <cell r="M165">
            <v>84.82</v>
          </cell>
          <cell r="N165">
            <v>0.61460000000000004</v>
          </cell>
          <cell r="O165">
            <v>0.13719999999999999</v>
          </cell>
          <cell r="P165">
            <v>0.47369999999999995</v>
          </cell>
          <cell r="Q165">
            <v>0.1845</v>
          </cell>
        </row>
        <row r="166">
          <cell r="H166" t="str">
            <v>ES</v>
          </cell>
          <cell r="I166" t="str">
            <v>XLU</v>
          </cell>
          <cell r="J166" t="str">
            <v>公用事業—受監督的電力</v>
          </cell>
          <cell r="K166" t="str">
            <v>.SPX</v>
          </cell>
          <cell r="L166">
            <v>0.20760000000000001</v>
          </cell>
          <cell r="M166">
            <v>88.91</v>
          </cell>
          <cell r="N166">
            <v>0.27960000000000002</v>
          </cell>
          <cell r="O166">
            <v>0.1431</v>
          </cell>
          <cell r="P166">
            <v>0.34759999999999996</v>
          </cell>
          <cell r="Q166">
            <v>0.16449999999999998</v>
          </cell>
        </row>
        <row r="167">
          <cell r="H167" t="str">
            <v>ESS</v>
          </cell>
          <cell r="I167" t="str">
            <v>XLRE</v>
          </cell>
          <cell r="J167" t="str">
            <v>-</v>
          </cell>
          <cell r="K167" t="str">
            <v>.SPX</v>
          </cell>
          <cell r="L167">
            <v>0.2051</v>
          </cell>
          <cell r="M167">
            <v>327.43</v>
          </cell>
          <cell r="N167">
            <v>0.52659999999999996</v>
          </cell>
          <cell r="O167">
            <v>0.15559999999999999</v>
          </cell>
          <cell r="P167">
            <v>0.40860000000000002</v>
          </cell>
          <cell r="Q167">
            <v>0.17</v>
          </cell>
        </row>
        <row r="168">
          <cell r="H168" t="str">
            <v>ETN</v>
          </cell>
          <cell r="I168" t="str">
            <v>XLI</v>
          </cell>
          <cell r="J168" t="str">
            <v>特種工業機械</v>
          </cell>
          <cell r="K168" t="str">
            <v>.SPX</v>
          </cell>
          <cell r="L168">
            <v>0.20519999999999999</v>
          </cell>
          <cell r="M168">
            <v>161.91999999999999</v>
          </cell>
          <cell r="N168">
            <v>0.33389999999999997</v>
          </cell>
          <cell r="O168">
            <v>0.14000000000000001</v>
          </cell>
          <cell r="P168">
            <v>0.43430000000000002</v>
          </cell>
          <cell r="Q168">
            <v>0.19030000000000002</v>
          </cell>
        </row>
        <row r="169">
          <cell r="H169" t="str">
            <v>ETR</v>
          </cell>
          <cell r="I169" t="str">
            <v>XLU</v>
          </cell>
          <cell r="J169" t="str">
            <v>公用事業—受監督的電力</v>
          </cell>
          <cell r="K169" t="str">
            <v>.SPX</v>
          </cell>
          <cell r="L169">
            <v>0.21679999999999999</v>
          </cell>
          <cell r="M169">
            <v>106.6</v>
          </cell>
          <cell r="N169">
            <v>0.30570000000000003</v>
          </cell>
          <cell r="O169">
            <v>0.1128</v>
          </cell>
          <cell r="P169">
            <v>0.3619</v>
          </cell>
          <cell r="Q169">
            <v>0.17420000000000002</v>
          </cell>
        </row>
        <row r="170">
          <cell r="H170" t="str">
            <v>ETSY</v>
          </cell>
          <cell r="I170" t="str">
            <v>XLY</v>
          </cell>
          <cell r="J170" t="str">
            <v>互聯網零售</v>
          </cell>
          <cell r="K170" t="str">
            <v>.SPX</v>
          </cell>
          <cell r="L170">
            <v>0.46610000000000001</v>
          </cell>
          <cell r="M170">
            <v>182.41</v>
          </cell>
          <cell r="N170">
            <v>0.9093</v>
          </cell>
          <cell r="O170">
            <v>0.35349999999999998</v>
          </cell>
          <cell r="P170">
            <v>0.80590000000000006</v>
          </cell>
          <cell r="Q170">
            <v>0.3972</v>
          </cell>
        </row>
        <row r="171">
          <cell r="H171" t="str">
            <v>EVRG</v>
          </cell>
          <cell r="I171" t="str">
            <v>XLU</v>
          </cell>
          <cell r="J171" t="str">
            <v>公用事業—受監督的電力</v>
          </cell>
          <cell r="K171" t="str">
            <v>.SPX</v>
          </cell>
          <cell r="L171">
            <v>0.18720000000000001</v>
          </cell>
          <cell r="M171">
            <v>67.19</v>
          </cell>
          <cell r="N171">
            <v>0.44869999999999999</v>
          </cell>
          <cell r="O171">
            <v>0.14419999999999999</v>
          </cell>
          <cell r="P171">
            <v>0.4597</v>
          </cell>
          <cell r="Q171">
            <v>0.1663</v>
          </cell>
        </row>
        <row r="172">
          <cell r="H172" t="str">
            <v>EW</v>
          </cell>
          <cell r="I172" t="str">
            <v>XLV</v>
          </cell>
          <cell r="J172" t="str">
            <v>醫療設備</v>
          </cell>
          <cell r="K172" t="str">
            <v>.SPX</v>
          </cell>
          <cell r="L172">
            <v>0.21779999999999999</v>
          </cell>
          <cell r="M172">
            <v>114.78</v>
          </cell>
          <cell r="N172">
            <v>0.4083</v>
          </cell>
          <cell r="O172">
            <v>0.15</v>
          </cell>
          <cell r="P172">
            <v>0.52090000000000003</v>
          </cell>
          <cell r="Q172">
            <v>0.19820000000000002</v>
          </cell>
        </row>
        <row r="173">
          <cell r="H173" t="str">
            <v>EXC</v>
          </cell>
          <cell r="I173" t="str">
            <v>XLU</v>
          </cell>
          <cell r="J173" t="str">
            <v>公用事業-多樣化</v>
          </cell>
          <cell r="K173" t="str">
            <v>.SPX</v>
          </cell>
          <cell r="L173">
            <v>0.184</v>
          </cell>
          <cell r="M173">
            <v>47.59</v>
          </cell>
          <cell r="N173">
            <v>0.28439999999999999</v>
          </cell>
          <cell r="O173">
            <v>0.1022</v>
          </cell>
          <cell r="P173">
            <v>0.38319999999999999</v>
          </cell>
          <cell r="Q173">
            <v>0.17170000000000002</v>
          </cell>
        </row>
        <row r="174">
          <cell r="H174" t="str">
            <v>EXPD</v>
          </cell>
          <cell r="I174" t="str">
            <v>XLI</v>
          </cell>
          <cell r="J174" t="str">
            <v>綜合貨運物流</v>
          </cell>
          <cell r="K174" t="str">
            <v>.SPX</v>
          </cell>
          <cell r="L174">
            <v>0.21460000000000001</v>
          </cell>
          <cell r="M174">
            <v>124.16</v>
          </cell>
          <cell r="N174">
            <v>0.26050000000000001</v>
          </cell>
          <cell r="O174">
            <v>0.1462</v>
          </cell>
          <cell r="P174">
            <v>0.42859999999999998</v>
          </cell>
          <cell r="Q174">
            <v>0.18600000000000003</v>
          </cell>
        </row>
        <row r="175">
          <cell r="H175" t="str">
            <v>EXPE</v>
          </cell>
          <cell r="I175" t="str">
            <v>XLY</v>
          </cell>
          <cell r="J175" t="str">
            <v>旅行服務</v>
          </cell>
          <cell r="K175" t="str">
            <v>.SPX</v>
          </cell>
          <cell r="L175">
            <v>0.39639999999999997</v>
          </cell>
          <cell r="M175">
            <v>148.12</v>
          </cell>
          <cell r="N175">
            <v>0.79930000000000001</v>
          </cell>
          <cell r="O175">
            <v>0.21540000000000001</v>
          </cell>
          <cell r="P175">
            <v>0.71829999999999994</v>
          </cell>
          <cell r="Q175">
            <v>0.30120000000000002</v>
          </cell>
        </row>
        <row r="176">
          <cell r="H176" t="str">
            <v>EXR</v>
          </cell>
          <cell r="I176" t="str">
            <v>XLRE</v>
          </cell>
          <cell r="J176" t="str">
            <v>REIT-工業</v>
          </cell>
          <cell r="K176" t="str">
            <v>.SPX</v>
          </cell>
          <cell r="L176">
            <v>0.20330000000000001</v>
          </cell>
          <cell r="M176">
            <v>175.85</v>
          </cell>
          <cell r="N176">
            <v>0.38369999999999999</v>
          </cell>
          <cell r="O176">
            <v>0.13539999999999999</v>
          </cell>
          <cell r="P176">
            <v>0.37680000000000002</v>
          </cell>
          <cell r="Q176">
            <v>0.1764</v>
          </cell>
        </row>
        <row r="177">
          <cell r="H177" t="str">
            <v>F</v>
          </cell>
          <cell r="I177" t="str">
            <v>XLY</v>
          </cell>
          <cell r="J177" t="str">
            <v>汽車製造商</v>
          </cell>
          <cell r="K177" t="str">
            <v>.SPX</v>
          </cell>
          <cell r="L177">
            <v>0.38640000000000002</v>
          </cell>
          <cell r="M177">
            <v>13.88</v>
          </cell>
          <cell r="N177">
            <v>0.56299999999999994</v>
          </cell>
          <cell r="O177">
            <v>0.25290000000000001</v>
          </cell>
          <cell r="P177">
            <v>0.74560000000000004</v>
          </cell>
          <cell r="Q177">
            <v>0.37070000000000003</v>
          </cell>
        </row>
        <row r="178">
          <cell r="H178" t="str">
            <v>FANG</v>
          </cell>
          <cell r="I178" t="str">
            <v>XLE</v>
          </cell>
          <cell r="J178" t="str">
            <v>油氣E&amp;P</v>
          </cell>
          <cell r="K178" t="str">
            <v>.SPX</v>
          </cell>
          <cell r="L178">
            <v>0.51419999999999999</v>
          </cell>
          <cell r="M178">
            <v>79.83</v>
          </cell>
          <cell r="N178">
            <v>1.1264000000000001</v>
          </cell>
          <cell r="O178">
            <v>0.41349999999999998</v>
          </cell>
          <cell r="P178">
            <v>0.90459999999999996</v>
          </cell>
          <cell r="Q178">
            <v>0.46619999999999995</v>
          </cell>
        </row>
        <row r="179">
          <cell r="H179" t="str">
            <v>FAST</v>
          </cell>
          <cell r="I179" t="str">
            <v>XLI</v>
          </cell>
          <cell r="J179" t="str">
            <v>產業佈局</v>
          </cell>
          <cell r="K179" t="str">
            <v>.SPX</v>
          </cell>
          <cell r="L179">
            <v>0.20330000000000001</v>
          </cell>
          <cell r="M179">
            <v>55.45</v>
          </cell>
          <cell r="N179">
            <v>0.36099999999999999</v>
          </cell>
          <cell r="O179">
            <v>0.12089999999999999</v>
          </cell>
          <cell r="P179">
            <v>0.3931</v>
          </cell>
          <cell r="Q179">
            <v>0.19820000000000002</v>
          </cell>
        </row>
        <row r="180">
          <cell r="H180" t="str">
            <v>FB</v>
          </cell>
          <cell r="I180" t="str">
            <v>XLC</v>
          </cell>
          <cell r="J180" t="str">
            <v>互聯網內容與信息</v>
          </cell>
          <cell r="K180" t="str">
            <v>.SPX</v>
          </cell>
          <cell r="L180">
            <v>0.23680000000000001</v>
          </cell>
          <cell r="M180">
            <v>362.97</v>
          </cell>
          <cell r="N180">
            <v>0.50470000000000004</v>
          </cell>
          <cell r="O180">
            <v>0.2099</v>
          </cell>
          <cell r="P180">
            <v>0.53810000000000002</v>
          </cell>
          <cell r="Q180">
            <v>0.21510000000000001</v>
          </cell>
        </row>
        <row r="181">
          <cell r="H181" t="str">
            <v>FBHS</v>
          </cell>
          <cell r="I181" t="str">
            <v>XLI</v>
          </cell>
          <cell r="J181" t="str">
            <v>-</v>
          </cell>
          <cell r="K181" t="str">
            <v>.SPX</v>
          </cell>
          <cell r="L181">
            <v>0.24640000000000001</v>
          </cell>
          <cell r="M181">
            <v>100.36</v>
          </cell>
          <cell r="N181">
            <v>0.42449999999999999</v>
          </cell>
          <cell r="O181">
            <v>0.17119999999999999</v>
          </cell>
          <cell r="P181">
            <v>0.46619999999999995</v>
          </cell>
          <cell r="Q181">
            <v>0.2419</v>
          </cell>
        </row>
        <row r="182">
          <cell r="H182" t="str">
            <v>FCX</v>
          </cell>
          <cell r="I182" t="str">
            <v>XLB</v>
          </cell>
          <cell r="J182" t="str">
            <v>銅</v>
          </cell>
          <cell r="K182" t="str">
            <v>.SPX</v>
          </cell>
          <cell r="L182">
            <v>0.432</v>
          </cell>
          <cell r="M182">
            <v>35.85</v>
          </cell>
          <cell r="N182">
            <v>0.68869999999999998</v>
          </cell>
          <cell r="O182">
            <v>0.30059999999999998</v>
          </cell>
          <cell r="P182">
            <v>0.63790000000000002</v>
          </cell>
          <cell r="Q182">
            <v>0.42450000000000004</v>
          </cell>
        </row>
        <row r="183">
          <cell r="H183" t="str">
            <v>FDX</v>
          </cell>
          <cell r="I183" t="str">
            <v>XLI</v>
          </cell>
          <cell r="J183" t="str">
            <v>綜合貨運物流</v>
          </cell>
          <cell r="K183" t="str">
            <v>.SPX</v>
          </cell>
          <cell r="L183">
            <v>0.2535</v>
          </cell>
          <cell r="M183">
            <v>275.8</v>
          </cell>
          <cell r="N183">
            <v>0.48170000000000002</v>
          </cell>
          <cell r="O183">
            <v>0.21820000000000001</v>
          </cell>
          <cell r="P183">
            <v>0.62080000000000002</v>
          </cell>
          <cell r="Q183">
            <v>0.22359999999999999</v>
          </cell>
        </row>
        <row r="184">
          <cell r="H184" t="str">
            <v>FE</v>
          </cell>
          <cell r="I184" t="str">
            <v>XLU</v>
          </cell>
          <cell r="J184" t="str">
            <v>公用事業—受監督的電力</v>
          </cell>
          <cell r="K184" t="str">
            <v>.SPX</v>
          </cell>
          <cell r="L184">
            <v>0.20549999999999999</v>
          </cell>
          <cell r="M184">
            <v>37.979999999999997</v>
          </cell>
          <cell r="N184">
            <v>0.93149999999999999</v>
          </cell>
          <cell r="O184">
            <v>0.13669999999999999</v>
          </cell>
          <cell r="P184">
            <v>0.46929999999999999</v>
          </cell>
          <cell r="Q184">
            <v>0.17030000000000001</v>
          </cell>
        </row>
        <row r="185">
          <cell r="H185" t="str">
            <v>FFIV</v>
          </cell>
          <cell r="I185" t="str">
            <v>XLK</v>
          </cell>
          <cell r="J185" t="str">
            <v>軟件基礎設施</v>
          </cell>
          <cell r="K185" t="str">
            <v>.SPX</v>
          </cell>
          <cell r="L185">
            <v>0.23549999999999999</v>
          </cell>
          <cell r="M185">
            <v>211.38</v>
          </cell>
          <cell r="N185">
            <v>0.43840000000000001</v>
          </cell>
          <cell r="O185">
            <v>0.12820000000000001</v>
          </cell>
          <cell r="P185">
            <v>0.53469999999999995</v>
          </cell>
          <cell r="Q185">
            <v>0.22120000000000001</v>
          </cell>
        </row>
        <row r="186">
          <cell r="H186" t="str">
            <v>FIS</v>
          </cell>
          <cell r="I186" t="str">
            <v>XLK</v>
          </cell>
          <cell r="J186" t="str">
            <v>信息技術處</v>
          </cell>
          <cell r="K186" t="str">
            <v>.SPX</v>
          </cell>
          <cell r="L186">
            <v>0.25609999999999999</v>
          </cell>
          <cell r="M186">
            <v>129.74</v>
          </cell>
          <cell r="N186">
            <v>0.3841</v>
          </cell>
          <cell r="O186">
            <v>0.14299999999999999</v>
          </cell>
          <cell r="P186">
            <v>0.42469999999999997</v>
          </cell>
          <cell r="Q186">
            <v>0.18309999999999998</v>
          </cell>
        </row>
        <row r="187">
          <cell r="H187" t="str">
            <v>FISV</v>
          </cell>
          <cell r="I187" t="str">
            <v>XLK</v>
          </cell>
          <cell r="J187" t="str">
            <v>信息技術處</v>
          </cell>
          <cell r="K187" t="str">
            <v>.SPX</v>
          </cell>
          <cell r="L187">
            <v>0.23769999999999999</v>
          </cell>
          <cell r="M187">
            <v>109.64</v>
          </cell>
          <cell r="N187">
            <v>0.37559999999999999</v>
          </cell>
          <cell r="O187">
            <v>0.13439999999999999</v>
          </cell>
          <cell r="P187">
            <v>0.42219999999999996</v>
          </cell>
          <cell r="Q187">
            <v>0.20120000000000002</v>
          </cell>
        </row>
        <row r="188">
          <cell r="H188" t="str">
            <v>FITB</v>
          </cell>
          <cell r="I188" t="str">
            <v>XLF</v>
          </cell>
          <cell r="J188" t="str">
            <v>銀行-區域</v>
          </cell>
          <cell r="K188" t="str">
            <v>.SPX</v>
          </cell>
          <cell r="L188">
            <v>0.30080000000000001</v>
          </cell>
          <cell r="M188">
            <v>36.979999999999997</v>
          </cell>
          <cell r="N188">
            <v>0.59640000000000004</v>
          </cell>
          <cell r="O188">
            <v>0.18160000000000001</v>
          </cell>
          <cell r="P188">
            <v>0.55969999999999998</v>
          </cell>
          <cell r="Q188">
            <v>0.25280000000000002</v>
          </cell>
        </row>
        <row r="189">
          <cell r="H189" t="str">
            <v>FLT</v>
          </cell>
          <cell r="I189" t="str">
            <v>XLK</v>
          </cell>
          <cell r="J189" t="str">
            <v>信息技術處</v>
          </cell>
          <cell r="K189" t="str">
            <v>.SPX</v>
          </cell>
          <cell r="L189">
            <v>0.2334</v>
          </cell>
          <cell r="M189">
            <v>260.79000000000002</v>
          </cell>
          <cell r="N189">
            <v>0.62709999999999999</v>
          </cell>
          <cell r="O189">
            <v>0.16470000000000001</v>
          </cell>
          <cell r="P189">
            <v>0.50960000000000005</v>
          </cell>
          <cell r="Q189">
            <v>0.182</v>
          </cell>
        </row>
        <row r="190">
          <cell r="H190" t="str">
            <v>FMC</v>
          </cell>
          <cell r="I190" t="str">
            <v>XLB</v>
          </cell>
          <cell r="J190" t="str">
            <v>農業投入</v>
          </cell>
          <cell r="K190" t="str">
            <v>.SPX</v>
          </cell>
          <cell r="L190">
            <v>0.26440000000000002</v>
          </cell>
          <cell r="M190">
            <v>93.23</v>
          </cell>
          <cell r="N190">
            <v>0.37490000000000001</v>
          </cell>
          <cell r="O190">
            <v>0.15920000000000001</v>
          </cell>
          <cell r="P190">
            <v>0.42710000000000004</v>
          </cell>
          <cell r="Q190">
            <v>0.19399999999999998</v>
          </cell>
        </row>
        <row r="191">
          <cell r="H191" t="str">
            <v>FOX</v>
          </cell>
          <cell r="I191" t="str">
            <v>XLC</v>
          </cell>
          <cell r="J191" t="str">
            <v>廣播</v>
          </cell>
          <cell r="K191" t="str">
            <v>.SPX</v>
          </cell>
          <cell r="L191" t="str">
            <v>N/A</v>
          </cell>
          <cell r="M191">
            <v>33.81</v>
          </cell>
          <cell r="N191">
            <v>0.59179999999999999</v>
          </cell>
          <cell r="O191">
            <v>0.1648</v>
          </cell>
          <cell r="P191" t="str">
            <v>N/A</v>
          </cell>
          <cell r="Q191" t="str">
            <v>N/A</v>
          </cell>
        </row>
        <row r="192">
          <cell r="H192" t="str">
            <v>FOXA</v>
          </cell>
          <cell r="I192" t="str">
            <v>XLC</v>
          </cell>
          <cell r="J192" t="str">
            <v>廣播</v>
          </cell>
          <cell r="K192" t="str">
            <v>.SPX</v>
          </cell>
          <cell r="L192">
            <v>0.30470000000000003</v>
          </cell>
          <cell r="M192">
            <v>36.71</v>
          </cell>
          <cell r="N192">
            <v>0.62949999999999995</v>
          </cell>
          <cell r="O192">
            <v>0.17419999999999999</v>
          </cell>
          <cell r="P192">
            <v>0.75819999999999999</v>
          </cell>
          <cell r="Q192">
            <v>0.25359999999999999</v>
          </cell>
        </row>
        <row r="193">
          <cell r="H193" t="str">
            <v>FRC</v>
          </cell>
          <cell r="I193" t="str">
            <v>XLF</v>
          </cell>
          <cell r="J193" t="str">
            <v>銀行-區域</v>
          </cell>
          <cell r="K193" t="str">
            <v>.SPX</v>
          </cell>
          <cell r="L193">
            <v>0.23810000000000001</v>
          </cell>
          <cell r="M193">
            <v>199.16</v>
          </cell>
          <cell r="N193">
            <v>0.3952</v>
          </cell>
          <cell r="O193">
            <v>0.16889999999999999</v>
          </cell>
          <cell r="P193">
            <v>0.39829999999999999</v>
          </cell>
          <cell r="Q193">
            <v>0.2165</v>
          </cell>
        </row>
        <row r="194">
          <cell r="H194" t="str">
            <v>FRT</v>
          </cell>
          <cell r="I194" t="str">
            <v>XLRE</v>
          </cell>
          <cell r="J194" t="str">
            <v>-</v>
          </cell>
          <cell r="K194" t="str">
            <v>.SPX</v>
          </cell>
          <cell r="L194">
            <v>0.25280000000000002</v>
          </cell>
          <cell r="M194">
            <v>122.97</v>
          </cell>
          <cell r="N194">
            <v>0.97570000000000001</v>
          </cell>
          <cell r="O194">
            <v>0.18110000000000001</v>
          </cell>
          <cell r="P194">
            <v>0.53569999999999995</v>
          </cell>
          <cell r="Q194">
            <v>0.21230000000000002</v>
          </cell>
        </row>
        <row r="195">
          <cell r="H195" t="str">
            <v>FTNT</v>
          </cell>
          <cell r="I195" t="str">
            <v>XLK</v>
          </cell>
          <cell r="J195" t="str">
            <v>軟件基礎設施</v>
          </cell>
          <cell r="K195" t="str">
            <v>.SPX</v>
          </cell>
          <cell r="L195">
            <v>0.30819999999999997</v>
          </cell>
          <cell r="M195">
            <v>300.02</v>
          </cell>
          <cell r="N195">
            <v>0.50280000000000002</v>
          </cell>
          <cell r="O195">
            <v>0.19159999999999999</v>
          </cell>
          <cell r="P195">
            <v>0.57669999999999999</v>
          </cell>
          <cell r="Q195">
            <v>0.26850000000000002</v>
          </cell>
        </row>
        <row r="196">
          <cell r="H196" t="str">
            <v>FTV</v>
          </cell>
          <cell r="I196" t="str">
            <v>XLI</v>
          </cell>
          <cell r="J196" t="str">
            <v>科技儀器</v>
          </cell>
          <cell r="K196" t="str">
            <v>.SPX</v>
          </cell>
          <cell r="L196">
            <v>0.21920000000000001</v>
          </cell>
          <cell r="M196">
            <v>73.52</v>
          </cell>
          <cell r="N196">
            <v>0.56059999999999999</v>
          </cell>
          <cell r="O196">
            <v>0.13830000000000001</v>
          </cell>
          <cell r="P196">
            <v>0.46939999999999998</v>
          </cell>
          <cell r="Q196">
            <v>0.21729999999999999</v>
          </cell>
        </row>
        <row r="197">
          <cell r="H197" t="str">
            <v>GD</v>
          </cell>
          <cell r="I197" t="str">
            <v>XLI</v>
          </cell>
          <cell r="J197" t="str">
            <v>航天軍工</v>
          </cell>
          <cell r="K197" t="str">
            <v>.SPX</v>
          </cell>
          <cell r="L197">
            <v>0.18840000000000001</v>
          </cell>
          <cell r="M197">
            <v>198.21</v>
          </cell>
          <cell r="N197">
            <v>0.31059999999999999</v>
          </cell>
          <cell r="O197">
            <v>0.14829999999999999</v>
          </cell>
          <cell r="P197">
            <v>0.42310000000000003</v>
          </cell>
          <cell r="Q197">
            <v>0.16750000000000001</v>
          </cell>
        </row>
        <row r="198">
          <cell r="H198" t="str">
            <v>GE</v>
          </cell>
          <cell r="I198" t="str">
            <v>XLI</v>
          </cell>
          <cell r="J198" t="str">
            <v>特種工業機械</v>
          </cell>
          <cell r="K198" t="str">
            <v>.SPX</v>
          </cell>
          <cell r="L198">
            <v>0.311</v>
          </cell>
          <cell r="M198">
            <v>104.29</v>
          </cell>
          <cell r="N198">
            <v>0.5575</v>
          </cell>
          <cell r="O198">
            <v>0.21759999999999999</v>
          </cell>
          <cell r="P198">
            <v>0.61899999999999999</v>
          </cell>
          <cell r="Q198">
            <v>0.2893</v>
          </cell>
        </row>
        <row r="199">
          <cell r="H199" t="str">
            <v>GILD</v>
          </cell>
          <cell r="I199" t="str">
            <v>XLV</v>
          </cell>
          <cell r="J199" t="str">
            <v>藥品製造商— 常規</v>
          </cell>
          <cell r="K199" t="str">
            <v>.SPX</v>
          </cell>
          <cell r="L199">
            <v>0.17879999999999999</v>
          </cell>
          <cell r="M199">
            <v>68.88</v>
          </cell>
          <cell r="N199">
            <v>0.307</v>
          </cell>
          <cell r="O199">
            <v>0.1167</v>
          </cell>
          <cell r="P199">
            <v>0.39779999999999999</v>
          </cell>
          <cell r="Q199">
            <v>0.17879999999999999</v>
          </cell>
        </row>
        <row r="200">
          <cell r="H200" t="str">
            <v>GIS</v>
          </cell>
          <cell r="I200" t="str">
            <v>XLP</v>
          </cell>
          <cell r="J200" t="str">
            <v>包裝食品</v>
          </cell>
          <cell r="K200" t="str">
            <v>.SPX</v>
          </cell>
          <cell r="L200">
            <v>0.17799999999999999</v>
          </cell>
          <cell r="M200">
            <v>58.3</v>
          </cell>
          <cell r="N200">
            <v>0.2767</v>
          </cell>
          <cell r="O200">
            <v>0.12809999999999999</v>
          </cell>
          <cell r="P200">
            <v>0.32479999999999998</v>
          </cell>
          <cell r="Q200">
            <v>0.161</v>
          </cell>
        </row>
        <row r="201">
          <cell r="H201" t="str">
            <v>GL</v>
          </cell>
          <cell r="I201" t="str">
            <v>XLF</v>
          </cell>
          <cell r="J201" t="str">
            <v>保險-人壽保險</v>
          </cell>
          <cell r="K201" t="str">
            <v>.SPX</v>
          </cell>
          <cell r="L201">
            <v>0.249</v>
          </cell>
          <cell r="M201">
            <v>93.6</v>
          </cell>
          <cell r="N201">
            <v>0.38829999999999998</v>
          </cell>
          <cell r="O201">
            <v>0.1542</v>
          </cell>
          <cell r="P201">
            <v>0.46479999999999999</v>
          </cell>
          <cell r="Q201">
            <v>0.1709</v>
          </cell>
        </row>
        <row r="202">
          <cell r="H202" t="str">
            <v>GLW</v>
          </cell>
          <cell r="I202" t="str">
            <v>XLK</v>
          </cell>
          <cell r="J202" t="str">
            <v>電子元件</v>
          </cell>
          <cell r="K202" t="str">
            <v>.SPX</v>
          </cell>
          <cell r="L202">
            <v>0.23880000000000001</v>
          </cell>
          <cell r="M202">
            <v>40.89</v>
          </cell>
          <cell r="N202">
            <v>0.3745</v>
          </cell>
          <cell r="O202">
            <v>0.20100000000000001</v>
          </cell>
          <cell r="P202">
            <v>0.44</v>
          </cell>
          <cell r="Q202">
            <v>0.21390000000000001</v>
          </cell>
        </row>
        <row r="203">
          <cell r="H203" t="str">
            <v>GM</v>
          </cell>
          <cell r="I203" t="str">
            <v>XLY</v>
          </cell>
          <cell r="J203" t="str">
            <v>汽車製造商</v>
          </cell>
          <cell r="K203" t="str">
            <v>.SPX</v>
          </cell>
          <cell r="L203">
            <v>0.32129999999999997</v>
          </cell>
          <cell r="M203">
            <v>55.29</v>
          </cell>
          <cell r="N203">
            <v>0.51780000000000004</v>
          </cell>
          <cell r="O203">
            <v>0.25669999999999998</v>
          </cell>
          <cell r="P203">
            <v>0.65879999999999994</v>
          </cell>
          <cell r="Q203">
            <v>0.28510000000000002</v>
          </cell>
        </row>
        <row r="204">
          <cell r="H204" t="str">
            <v>GNRC</v>
          </cell>
          <cell r="I204" t="str">
            <v>XLI</v>
          </cell>
          <cell r="J204" t="str">
            <v>特種工業機械</v>
          </cell>
          <cell r="K204" t="str">
            <v>.SPX</v>
          </cell>
          <cell r="L204">
            <v>0.35360000000000003</v>
          </cell>
          <cell r="M204">
            <v>403.72</v>
          </cell>
          <cell r="N204">
            <v>0.69830000000000003</v>
          </cell>
          <cell r="O204">
            <v>0.25269999999999998</v>
          </cell>
          <cell r="P204">
            <v>0.58389999999999997</v>
          </cell>
          <cell r="Q204">
            <v>0.32919999999999999</v>
          </cell>
        </row>
        <row r="205">
          <cell r="H205" t="str">
            <v>GOOG</v>
          </cell>
          <cell r="I205" t="str">
            <v>XLC</v>
          </cell>
          <cell r="J205" t="str">
            <v>互聯網內容與信息</v>
          </cell>
          <cell r="K205" t="str">
            <v>.SPX</v>
          </cell>
          <cell r="L205">
            <v>0.1903</v>
          </cell>
          <cell r="M205">
            <v>2738.8</v>
          </cell>
          <cell r="N205">
            <v>0.36</v>
          </cell>
          <cell r="O205">
            <v>0.1099</v>
          </cell>
          <cell r="P205">
            <v>0.48049999999999998</v>
          </cell>
          <cell r="Q205">
            <v>0.18109999999999998</v>
          </cell>
        </row>
        <row r="206">
          <cell r="H206" t="str">
            <v>GOOGL</v>
          </cell>
          <cell r="I206" t="str">
            <v>XLC</v>
          </cell>
          <cell r="J206" t="str">
            <v>互聯網內容與信息</v>
          </cell>
          <cell r="K206" t="str">
            <v>.SPX</v>
          </cell>
          <cell r="L206">
            <v>0.18429999999999999</v>
          </cell>
          <cell r="M206">
            <v>2725.03</v>
          </cell>
          <cell r="N206">
            <v>0.3679</v>
          </cell>
          <cell r="O206">
            <v>0.1298</v>
          </cell>
          <cell r="P206">
            <v>0.47909999999999997</v>
          </cell>
          <cell r="Q206">
            <v>0.18429999999999999</v>
          </cell>
        </row>
        <row r="207">
          <cell r="H207" t="str">
            <v>GPC</v>
          </cell>
          <cell r="I207" t="str">
            <v>XLY</v>
          </cell>
          <cell r="J207" t="str">
            <v>專業零售</v>
          </cell>
          <cell r="K207" t="str">
            <v>.SPX</v>
          </cell>
          <cell r="L207">
            <v>0.23050000000000001</v>
          </cell>
          <cell r="M207">
            <v>124.96</v>
          </cell>
          <cell r="N207">
            <v>0.42959999999999998</v>
          </cell>
          <cell r="O207">
            <v>0.1739</v>
          </cell>
          <cell r="P207">
            <v>0.45130000000000003</v>
          </cell>
          <cell r="Q207">
            <v>0.2036</v>
          </cell>
        </row>
        <row r="208">
          <cell r="H208" t="str">
            <v>GPN</v>
          </cell>
          <cell r="I208" t="str">
            <v>XLK</v>
          </cell>
          <cell r="J208" t="str">
            <v>專業商業服務</v>
          </cell>
          <cell r="K208" t="str">
            <v>.SPX</v>
          </cell>
          <cell r="L208">
            <v>0.28289999999999998</v>
          </cell>
          <cell r="M208">
            <v>170.3</v>
          </cell>
          <cell r="N208">
            <v>0.44990000000000002</v>
          </cell>
          <cell r="O208">
            <v>0.13619999999999999</v>
          </cell>
          <cell r="P208">
            <v>0.45380000000000004</v>
          </cell>
          <cell r="Q208">
            <v>0.193</v>
          </cell>
        </row>
        <row r="209">
          <cell r="H209" t="str">
            <v>GPS</v>
          </cell>
          <cell r="I209" t="str">
            <v>XLY</v>
          </cell>
          <cell r="J209" t="str">
            <v>服裝零售</v>
          </cell>
          <cell r="K209" t="str">
            <v>.SPX</v>
          </cell>
          <cell r="L209">
            <v>0.57640000000000002</v>
          </cell>
          <cell r="M209">
            <v>29.31</v>
          </cell>
          <cell r="N209">
            <v>0.94299999999999995</v>
          </cell>
          <cell r="O209">
            <v>0.34399999999999997</v>
          </cell>
          <cell r="P209">
            <v>0.84060000000000001</v>
          </cell>
          <cell r="Q209">
            <v>0.3871</v>
          </cell>
        </row>
        <row r="210">
          <cell r="H210" t="str">
            <v>GRMN</v>
          </cell>
          <cell r="I210" t="str">
            <v>XLY</v>
          </cell>
          <cell r="J210" t="str">
            <v>科技儀器</v>
          </cell>
          <cell r="K210" t="str">
            <v>.SPX</v>
          </cell>
          <cell r="L210">
            <v>0.1938</v>
          </cell>
          <cell r="M210">
            <v>163.89</v>
          </cell>
          <cell r="N210">
            <v>0.30559999999999998</v>
          </cell>
          <cell r="O210">
            <v>0.1205</v>
          </cell>
          <cell r="P210">
            <v>0.38090000000000002</v>
          </cell>
          <cell r="Q210">
            <v>0.18090000000000001</v>
          </cell>
        </row>
        <row r="211">
          <cell r="H211" t="str">
            <v>GS</v>
          </cell>
          <cell r="I211" t="str">
            <v>XLF</v>
          </cell>
          <cell r="J211" t="str">
            <v>資本市場</v>
          </cell>
          <cell r="K211" t="str">
            <v>.SPX</v>
          </cell>
          <cell r="L211">
            <v>0.24929999999999999</v>
          </cell>
          <cell r="M211">
            <v>384.3</v>
          </cell>
          <cell r="N211">
            <v>0.44059999999999999</v>
          </cell>
          <cell r="O211">
            <v>0.19170000000000001</v>
          </cell>
          <cell r="P211">
            <v>0.41460000000000002</v>
          </cell>
          <cell r="Q211">
            <v>0.2303</v>
          </cell>
        </row>
        <row r="212">
          <cell r="H212" t="str">
            <v>GWW</v>
          </cell>
          <cell r="I212" t="str">
            <v>XLI</v>
          </cell>
          <cell r="J212" t="str">
            <v>產業佈局</v>
          </cell>
          <cell r="K212" t="str">
            <v>.SPX</v>
          </cell>
          <cell r="L212">
            <v>0.22620000000000001</v>
          </cell>
          <cell r="M212">
            <v>439.26</v>
          </cell>
          <cell r="N212">
            <v>0.31230000000000002</v>
          </cell>
          <cell r="O212">
            <v>0.14580000000000001</v>
          </cell>
          <cell r="P212">
            <v>0.42499999999999999</v>
          </cell>
          <cell r="Q212">
            <v>0.20620000000000002</v>
          </cell>
        </row>
        <row r="213">
          <cell r="H213" t="str">
            <v>HAL</v>
          </cell>
          <cell r="I213" t="str">
            <v>XLE</v>
          </cell>
          <cell r="J213" t="str">
            <v>石油和天然氣設備和服務</v>
          </cell>
          <cell r="K213" t="str">
            <v>.SPX</v>
          </cell>
          <cell r="L213">
            <v>0.44080000000000003</v>
          </cell>
          <cell r="M213">
            <v>20.03</v>
          </cell>
          <cell r="N213">
            <v>0.76959999999999995</v>
          </cell>
          <cell r="O213">
            <v>0.33229999999999998</v>
          </cell>
          <cell r="P213">
            <v>0.74409999999999998</v>
          </cell>
          <cell r="Q213">
            <v>0.36729999999999996</v>
          </cell>
        </row>
        <row r="214">
          <cell r="H214" t="str">
            <v>HAS</v>
          </cell>
          <cell r="I214" t="str">
            <v>XLY</v>
          </cell>
          <cell r="J214" t="str">
            <v>休閑</v>
          </cell>
          <cell r="K214" t="str">
            <v>.SPX</v>
          </cell>
          <cell r="L214">
            <v>0.23300000000000001</v>
          </cell>
          <cell r="M214">
            <v>99.34</v>
          </cell>
          <cell r="N214">
            <v>0.4219</v>
          </cell>
          <cell r="O214">
            <v>0.1527</v>
          </cell>
          <cell r="P214">
            <v>0.56899999999999995</v>
          </cell>
          <cell r="Q214">
            <v>0.20219999999999999</v>
          </cell>
        </row>
        <row r="215">
          <cell r="H215" t="str">
            <v>HBAN</v>
          </cell>
          <cell r="I215" t="str">
            <v>XLF</v>
          </cell>
          <cell r="J215" t="str">
            <v>銀行-區域</v>
          </cell>
          <cell r="K215" t="str">
            <v>.SPX</v>
          </cell>
          <cell r="L215">
            <v>0.29199999999999998</v>
          </cell>
          <cell r="M215">
            <v>14.41</v>
          </cell>
          <cell r="N215">
            <v>0.73470000000000002</v>
          </cell>
          <cell r="O215">
            <v>0.19719999999999999</v>
          </cell>
          <cell r="P215">
            <v>0.50009999999999999</v>
          </cell>
          <cell r="Q215">
            <v>0.2404</v>
          </cell>
        </row>
        <row r="216">
          <cell r="H216" t="str">
            <v>HBI</v>
          </cell>
          <cell r="I216" t="str">
            <v>XLY</v>
          </cell>
          <cell r="J216" t="str">
            <v>服裝製造</v>
          </cell>
          <cell r="K216" t="str">
            <v>.SPX</v>
          </cell>
          <cell r="L216">
            <v>0.34489999999999998</v>
          </cell>
          <cell r="M216">
            <v>19.940000000000001</v>
          </cell>
          <cell r="N216">
            <v>0.79690000000000005</v>
          </cell>
          <cell r="O216">
            <v>0.22370000000000001</v>
          </cell>
          <cell r="P216">
            <v>0.62020000000000008</v>
          </cell>
          <cell r="Q216">
            <v>0.28399999999999997</v>
          </cell>
        </row>
        <row r="217">
          <cell r="H217" t="str">
            <v>HCA</v>
          </cell>
          <cell r="I217" t="str">
            <v>XLV</v>
          </cell>
          <cell r="J217" t="str">
            <v>醫療設施</v>
          </cell>
          <cell r="K217" t="str">
            <v>.SPX</v>
          </cell>
          <cell r="L217">
            <v>0.2404</v>
          </cell>
          <cell r="M217">
            <v>249.06</v>
          </cell>
          <cell r="N217">
            <v>0.49869999999999998</v>
          </cell>
          <cell r="O217">
            <v>0.1825</v>
          </cell>
          <cell r="P217">
            <v>0.49520000000000003</v>
          </cell>
          <cell r="Q217">
            <v>0.2273</v>
          </cell>
        </row>
        <row r="218">
          <cell r="H218" t="str">
            <v>HD</v>
          </cell>
          <cell r="I218" t="str">
            <v>XLY</v>
          </cell>
          <cell r="J218" t="str">
            <v>家居裝修零售</v>
          </cell>
          <cell r="K218" t="str">
            <v>.SPX</v>
          </cell>
          <cell r="L218">
            <v>0.23</v>
          </cell>
          <cell r="M218">
            <v>333.11</v>
          </cell>
          <cell r="N218">
            <v>0.26540000000000002</v>
          </cell>
          <cell r="O218">
            <v>0.1167</v>
          </cell>
          <cell r="P218">
            <v>0.3881</v>
          </cell>
          <cell r="Q218">
            <v>0.16889999999999999</v>
          </cell>
        </row>
        <row r="219">
          <cell r="H219" t="str">
            <v>HES</v>
          </cell>
          <cell r="I219" t="str">
            <v>XLE</v>
          </cell>
          <cell r="J219" t="str">
            <v>油氣E&amp;P</v>
          </cell>
          <cell r="K219" t="str">
            <v>.SPX</v>
          </cell>
          <cell r="L219">
            <v>0.38150000000000001</v>
          </cell>
          <cell r="M219">
            <v>73.14</v>
          </cell>
          <cell r="N219">
            <v>0.79620000000000002</v>
          </cell>
          <cell r="O219">
            <v>0.3382</v>
          </cell>
          <cell r="P219">
            <v>0.69969999999999999</v>
          </cell>
          <cell r="Q219">
            <v>0.33640000000000003</v>
          </cell>
        </row>
        <row r="220">
          <cell r="H220" t="str">
            <v>HIG</v>
          </cell>
          <cell r="I220" t="str">
            <v>XLF</v>
          </cell>
          <cell r="J220" t="str">
            <v>保險-多樣化</v>
          </cell>
          <cell r="K220" t="str">
            <v>.SPX</v>
          </cell>
          <cell r="L220">
            <v>0.2535</v>
          </cell>
          <cell r="M220">
            <v>66.59</v>
          </cell>
          <cell r="N220">
            <v>0.57079999999999997</v>
          </cell>
          <cell r="O220">
            <v>0.16320000000000001</v>
          </cell>
          <cell r="P220">
            <v>0.70879999999999999</v>
          </cell>
          <cell r="Q220">
            <v>0.23569999999999999</v>
          </cell>
        </row>
        <row r="221">
          <cell r="H221" t="str">
            <v>HII</v>
          </cell>
          <cell r="I221" t="str">
            <v>XLI</v>
          </cell>
          <cell r="J221" t="str">
            <v>航天軍工</v>
          </cell>
          <cell r="K221" t="str">
            <v>.SPX</v>
          </cell>
          <cell r="L221">
            <v>0.23369999999999999</v>
          </cell>
          <cell r="M221">
            <v>203.2</v>
          </cell>
          <cell r="N221">
            <v>0.43059999999999998</v>
          </cell>
          <cell r="O221">
            <v>0.1618</v>
          </cell>
          <cell r="P221">
            <v>0.48330000000000001</v>
          </cell>
          <cell r="Q221">
            <v>0.21260000000000001</v>
          </cell>
        </row>
        <row r="222">
          <cell r="H222" t="str">
            <v>HLT</v>
          </cell>
          <cell r="I222" t="str">
            <v>XLY</v>
          </cell>
          <cell r="J222" t="str">
            <v>住宿</v>
          </cell>
          <cell r="K222" t="str">
            <v>.SPX</v>
          </cell>
          <cell r="L222">
            <v>0.32140000000000002</v>
          </cell>
          <cell r="M222">
            <v>126.4</v>
          </cell>
          <cell r="N222">
            <v>0.51880000000000004</v>
          </cell>
          <cell r="O222">
            <v>0.2097</v>
          </cell>
          <cell r="P222">
            <v>0.54159999999999997</v>
          </cell>
          <cell r="Q222">
            <v>0.25750000000000001</v>
          </cell>
        </row>
        <row r="223">
          <cell r="H223" t="str">
            <v>HOLX</v>
          </cell>
          <cell r="I223" t="str">
            <v>XLV</v>
          </cell>
          <cell r="J223" t="str">
            <v>醫療器械及用品</v>
          </cell>
          <cell r="K223" t="str">
            <v>.SPX</v>
          </cell>
          <cell r="L223">
            <v>0.2457</v>
          </cell>
          <cell r="M223">
            <v>76.349999999999994</v>
          </cell>
          <cell r="N223">
            <v>0.47099999999999997</v>
          </cell>
          <cell r="O223">
            <v>0.1696</v>
          </cell>
          <cell r="P223">
            <v>0.55430000000000001</v>
          </cell>
          <cell r="Q223">
            <v>0.24559999999999998</v>
          </cell>
        </row>
        <row r="224">
          <cell r="H224" t="str">
            <v>HON</v>
          </cell>
          <cell r="I224" t="str">
            <v>XLI</v>
          </cell>
          <cell r="J224" t="str">
            <v>特種工業機械</v>
          </cell>
          <cell r="K224" t="str">
            <v>.SPX</v>
          </cell>
          <cell r="L224">
            <v>0.19900000000000001</v>
          </cell>
          <cell r="M224">
            <v>229.88</v>
          </cell>
          <cell r="N224">
            <v>0.37790000000000001</v>
          </cell>
          <cell r="O224">
            <v>0.15590000000000001</v>
          </cell>
          <cell r="P224">
            <v>0.39829999999999999</v>
          </cell>
          <cell r="Q224">
            <v>0.1754</v>
          </cell>
        </row>
        <row r="225">
          <cell r="H225" t="str">
            <v>HPE</v>
          </cell>
          <cell r="I225" t="str">
            <v>XLK</v>
          </cell>
          <cell r="J225" t="str">
            <v>通信設備</v>
          </cell>
          <cell r="K225" t="str">
            <v>.SPX</v>
          </cell>
          <cell r="L225">
            <v>0.31169999999999998</v>
          </cell>
          <cell r="M225">
            <v>14.69</v>
          </cell>
          <cell r="N225">
            <v>0.53300000000000003</v>
          </cell>
          <cell r="O225">
            <v>0.17319999999999999</v>
          </cell>
          <cell r="P225">
            <v>0.55249999999999999</v>
          </cell>
          <cell r="Q225">
            <v>0.2429</v>
          </cell>
        </row>
        <row r="226">
          <cell r="H226" t="str">
            <v>HPQ</v>
          </cell>
          <cell r="I226" t="str">
            <v>XLK</v>
          </cell>
          <cell r="J226" t="str">
            <v>計算機硬件</v>
          </cell>
          <cell r="K226" t="str">
            <v>.SPX</v>
          </cell>
          <cell r="L226">
            <v>0.35220000000000001</v>
          </cell>
          <cell r="M226">
            <v>29.23</v>
          </cell>
          <cell r="N226">
            <v>0.39960000000000001</v>
          </cell>
          <cell r="O226">
            <v>0.17899999999999999</v>
          </cell>
          <cell r="P226">
            <v>0.51829999999999998</v>
          </cell>
          <cell r="Q226">
            <v>0.22260000000000002</v>
          </cell>
        </row>
        <row r="227">
          <cell r="H227" t="str">
            <v>HRL</v>
          </cell>
          <cell r="I227" t="str">
            <v>XLP</v>
          </cell>
          <cell r="J227" t="str">
            <v>包裝食品</v>
          </cell>
          <cell r="K227" t="str">
            <v>.SPX</v>
          </cell>
          <cell r="L227">
            <v>0.2006</v>
          </cell>
          <cell r="M227">
            <v>45.55</v>
          </cell>
          <cell r="N227">
            <v>0.33400000000000002</v>
          </cell>
          <cell r="O227">
            <v>0.1111</v>
          </cell>
          <cell r="P227">
            <v>0.34380000000000005</v>
          </cell>
          <cell r="Q227">
            <v>0.16289999999999999</v>
          </cell>
        </row>
        <row r="228">
          <cell r="H228" t="str">
            <v>HSIC</v>
          </cell>
          <cell r="I228" t="str">
            <v>XLV</v>
          </cell>
          <cell r="J228" t="str">
            <v>醫療分銷</v>
          </cell>
          <cell r="K228" t="str">
            <v>.SPX</v>
          </cell>
          <cell r="L228">
            <v>0.3</v>
          </cell>
          <cell r="M228">
            <v>77.2</v>
          </cell>
          <cell r="N228">
            <v>0.49790000000000001</v>
          </cell>
          <cell r="O228">
            <v>0.1777</v>
          </cell>
          <cell r="P228">
            <v>0.46960000000000002</v>
          </cell>
          <cell r="Q228">
            <v>0.2384</v>
          </cell>
        </row>
        <row r="229">
          <cell r="H229" t="str">
            <v>HST</v>
          </cell>
          <cell r="I229" t="str">
            <v>XLRE</v>
          </cell>
          <cell r="J229" t="str">
            <v>REIT-酒店及汽車旅館</v>
          </cell>
          <cell r="K229" t="str">
            <v>.SPX</v>
          </cell>
          <cell r="L229">
            <v>0.31130000000000002</v>
          </cell>
          <cell r="M229">
            <v>16.010000000000002</v>
          </cell>
          <cell r="N229">
            <v>0.92789999999999995</v>
          </cell>
          <cell r="O229">
            <v>0.24049999999999999</v>
          </cell>
          <cell r="P229">
            <v>0.59030000000000005</v>
          </cell>
          <cell r="Q229">
            <v>0.2475</v>
          </cell>
        </row>
        <row r="230">
          <cell r="H230" t="str">
            <v>HSY</v>
          </cell>
          <cell r="I230" t="str">
            <v>XLP</v>
          </cell>
          <cell r="J230" t="str">
            <v>糖果店</v>
          </cell>
          <cell r="K230" t="str">
            <v>.SPX</v>
          </cell>
          <cell r="L230">
            <v>0.1467</v>
          </cell>
          <cell r="M230">
            <v>179.17</v>
          </cell>
          <cell r="N230">
            <v>0.23630000000000001</v>
          </cell>
          <cell r="O230">
            <v>0.1013</v>
          </cell>
          <cell r="P230">
            <v>0.35700000000000004</v>
          </cell>
          <cell r="Q230">
            <v>0.1391</v>
          </cell>
        </row>
        <row r="231">
          <cell r="H231" t="str">
            <v>HUM</v>
          </cell>
          <cell r="I231" t="str">
            <v>XLV</v>
          </cell>
          <cell r="J231" t="str">
            <v>醫療保健計劃</v>
          </cell>
          <cell r="K231" t="str">
            <v>.SPX</v>
          </cell>
          <cell r="L231">
            <v>0.21190000000000001</v>
          </cell>
          <cell r="M231">
            <v>415.9</v>
          </cell>
          <cell r="N231">
            <v>0.38329999999999997</v>
          </cell>
          <cell r="O231">
            <v>0.1479</v>
          </cell>
          <cell r="P231">
            <v>0.41880000000000001</v>
          </cell>
          <cell r="Q231">
            <v>0.19510000000000002</v>
          </cell>
        </row>
        <row r="232">
          <cell r="H232" t="str">
            <v>HWM</v>
          </cell>
          <cell r="I232" t="str">
            <v>XLI</v>
          </cell>
          <cell r="J232" t="str">
            <v>特種工業機械</v>
          </cell>
          <cell r="K232" t="str">
            <v>.SPX</v>
          </cell>
          <cell r="L232">
            <v>0.34089999999999998</v>
          </cell>
          <cell r="M232">
            <v>31.95</v>
          </cell>
          <cell r="N232">
            <v>0.68210000000000004</v>
          </cell>
          <cell r="O232">
            <v>0.2354</v>
          </cell>
          <cell r="P232">
            <v>0.64019999999999999</v>
          </cell>
          <cell r="Q232">
            <v>0.28320000000000001</v>
          </cell>
        </row>
        <row r="233">
          <cell r="H233" t="str">
            <v>IBM</v>
          </cell>
          <cell r="I233" t="str">
            <v>XLK</v>
          </cell>
          <cell r="J233" t="str">
            <v>信息技術處</v>
          </cell>
          <cell r="K233" t="str">
            <v>.SPX</v>
          </cell>
          <cell r="L233">
            <v>0.16900000000000001</v>
          </cell>
          <cell r="M233">
            <v>143.33000000000001</v>
          </cell>
          <cell r="N233">
            <v>0.38040000000000002</v>
          </cell>
          <cell r="O233">
            <v>0.1414</v>
          </cell>
          <cell r="P233">
            <v>0.35100000000000003</v>
          </cell>
          <cell r="Q233">
            <v>0.15560000000000002</v>
          </cell>
        </row>
        <row r="234">
          <cell r="H234" t="str">
            <v>ICE</v>
          </cell>
          <cell r="I234" t="str">
            <v>XLF</v>
          </cell>
          <cell r="J234" t="str">
            <v>金融數據與證券交易所</v>
          </cell>
          <cell r="K234" t="str">
            <v>.SPX</v>
          </cell>
          <cell r="L234">
            <v>0.17660000000000001</v>
          </cell>
          <cell r="M234">
            <v>119.42</v>
          </cell>
          <cell r="N234">
            <v>0.2576</v>
          </cell>
          <cell r="O234">
            <v>9.4399999999999998E-2</v>
          </cell>
          <cell r="P234">
            <v>0.33799999999999997</v>
          </cell>
          <cell r="Q234">
            <v>0.16070000000000001</v>
          </cell>
        </row>
        <row r="235">
          <cell r="H235" t="str">
            <v>IDXX</v>
          </cell>
          <cell r="I235" t="str">
            <v>XLV</v>
          </cell>
          <cell r="J235" t="str">
            <v>診斷與研究</v>
          </cell>
          <cell r="K235" t="str">
            <v>.SPX</v>
          </cell>
          <cell r="L235">
            <v>0.26029999999999998</v>
          </cell>
          <cell r="M235">
            <v>705.76</v>
          </cell>
          <cell r="N235">
            <v>0.46870000000000001</v>
          </cell>
          <cell r="O235">
            <v>0.1368</v>
          </cell>
          <cell r="P235">
            <v>0.45219999999999999</v>
          </cell>
          <cell r="Q235">
            <v>0.2162</v>
          </cell>
        </row>
        <row r="236">
          <cell r="H236" t="str">
            <v>IEX</v>
          </cell>
          <cell r="I236" t="str">
            <v>XLI</v>
          </cell>
          <cell r="J236" t="str">
            <v>特種工業機械</v>
          </cell>
          <cell r="K236" t="str">
            <v>.SPX</v>
          </cell>
          <cell r="L236">
            <v>0.19769999999999999</v>
          </cell>
          <cell r="M236">
            <v>227.11</v>
          </cell>
          <cell r="N236">
            <v>0.37780000000000002</v>
          </cell>
          <cell r="O236">
            <v>0.12870000000000001</v>
          </cell>
          <cell r="P236">
            <v>0.41739999999999999</v>
          </cell>
          <cell r="Q236">
            <v>0.19600000000000001</v>
          </cell>
        </row>
        <row r="237">
          <cell r="H237" t="str">
            <v>IFF</v>
          </cell>
          <cell r="I237" t="str">
            <v>XLB</v>
          </cell>
          <cell r="J237" t="str">
            <v>特種化學品</v>
          </cell>
          <cell r="K237" t="str">
            <v>.SPX</v>
          </cell>
          <cell r="L237">
            <v>0.28910000000000002</v>
          </cell>
          <cell r="M237">
            <v>148.88999999999999</v>
          </cell>
          <cell r="N237">
            <v>0.60840000000000005</v>
          </cell>
          <cell r="O237">
            <v>0.114</v>
          </cell>
          <cell r="P237">
            <v>0.50450000000000006</v>
          </cell>
          <cell r="Q237">
            <v>0.17629999999999998</v>
          </cell>
        </row>
        <row r="238">
          <cell r="H238" t="str">
            <v>ILMN</v>
          </cell>
          <cell r="I238" t="str">
            <v>XLV</v>
          </cell>
          <cell r="J238" t="str">
            <v>診斷與研究</v>
          </cell>
          <cell r="K238" t="str">
            <v>.SPX</v>
          </cell>
          <cell r="L238">
            <v>0.36599999999999999</v>
          </cell>
          <cell r="M238">
            <v>515.67999999999995</v>
          </cell>
          <cell r="N238">
            <v>0.5806</v>
          </cell>
          <cell r="O238">
            <v>0.20849999999999999</v>
          </cell>
          <cell r="P238">
            <v>0.60860000000000003</v>
          </cell>
          <cell r="Q238">
            <v>0.27289999999999998</v>
          </cell>
        </row>
        <row r="239">
          <cell r="H239" t="str">
            <v>INCY</v>
          </cell>
          <cell r="I239" t="str">
            <v>XLV</v>
          </cell>
          <cell r="J239" t="str">
            <v>生物技術</v>
          </cell>
          <cell r="K239" t="str">
            <v>.SPX</v>
          </cell>
          <cell r="L239">
            <v>0.32640000000000002</v>
          </cell>
          <cell r="M239">
            <v>76.92</v>
          </cell>
          <cell r="N239">
            <v>0.5</v>
          </cell>
          <cell r="O239">
            <v>0.16270000000000001</v>
          </cell>
          <cell r="P239">
            <v>0.57499999999999996</v>
          </cell>
          <cell r="Q239">
            <v>0.28999999999999998</v>
          </cell>
        </row>
        <row r="240">
          <cell r="H240" t="str">
            <v>INFO</v>
          </cell>
          <cell r="I240" t="str">
            <v>XLI</v>
          </cell>
          <cell r="J240" t="str">
            <v>咨詢服務</v>
          </cell>
          <cell r="K240" t="str">
            <v>.SPX</v>
          </cell>
          <cell r="L240">
            <v>0.313</v>
          </cell>
          <cell r="M240">
            <v>119.42</v>
          </cell>
          <cell r="N240">
            <v>0.36520000000000002</v>
          </cell>
          <cell r="O240">
            <v>0.1231</v>
          </cell>
          <cell r="P240">
            <v>0.38479999999999998</v>
          </cell>
          <cell r="Q240">
            <v>0.1681</v>
          </cell>
        </row>
        <row r="241">
          <cell r="H241" t="str">
            <v>INTC</v>
          </cell>
          <cell r="I241" t="str">
            <v>XLK</v>
          </cell>
          <cell r="J241" t="str">
            <v>半導體</v>
          </cell>
          <cell r="K241" t="str">
            <v>.SPX</v>
          </cell>
          <cell r="L241">
            <v>0.22839999999999999</v>
          </cell>
          <cell r="M241">
            <v>53.9</v>
          </cell>
          <cell r="N241">
            <v>0.56540000000000001</v>
          </cell>
          <cell r="O241">
            <v>0.1767</v>
          </cell>
          <cell r="P241">
            <v>0.44950000000000001</v>
          </cell>
          <cell r="Q241">
            <v>0.22469999999999998</v>
          </cell>
        </row>
        <row r="242">
          <cell r="H242" t="str">
            <v>INTU</v>
          </cell>
          <cell r="I242" t="str">
            <v>XLK</v>
          </cell>
          <cell r="J242" t="str">
            <v>軟件-應用</v>
          </cell>
          <cell r="K242" t="str">
            <v>.SPX</v>
          </cell>
          <cell r="L242">
            <v>0.25580000000000003</v>
          </cell>
          <cell r="M242">
            <v>538.01</v>
          </cell>
          <cell r="N242">
            <v>0.4153</v>
          </cell>
          <cell r="O242">
            <v>0.11119999999999999</v>
          </cell>
          <cell r="P242">
            <v>0.45229999999999998</v>
          </cell>
          <cell r="Q242">
            <v>0.19359999999999999</v>
          </cell>
        </row>
        <row r="243">
          <cell r="H243" t="str">
            <v>IP</v>
          </cell>
          <cell r="I243" t="str">
            <v>XLB</v>
          </cell>
          <cell r="J243" t="str">
            <v>包裝和容器</v>
          </cell>
          <cell r="K243" t="str">
            <v>.SPX</v>
          </cell>
          <cell r="L243">
            <v>0.23569999999999999</v>
          </cell>
          <cell r="M243">
            <v>57.74</v>
          </cell>
          <cell r="N243">
            <v>0.4143</v>
          </cell>
          <cell r="O243">
            <v>0.16639999999999999</v>
          </cell>
          <cell r="P243">
            <v>0.4128</v>
          </cell>
          <cell r="Q243">
            <v>0.21809999999999999</v>
          </cell>
        </row>
        <row r="244">
          <cell r="H244" t="str">
            <v>IPG</v>
          </cell>
          <cell r="I244" t="str">
            <v>XLC</v>
          </cell>
          <cell r="J244" t="str">
            <v>廣告公司</v>
          </cell>
          <cell r="K244" t="str">
            <v>.SPX</v>
          </cell>
          <cell r="L244">
            <v>0.25769999999999998</v>
          </cell>
          <cell r="M244">
            <v>36.479999999999997</v>
          </cell>
          <cell r="N244">
            <v>0.50629999999999997</v>
          </cell>
          <cell r="O244">
            <v>0.18559999999999999</v>
          </cell>
          <cell r="P244">
            <v>0.49070000000000003</v>
          </cell>
          <cell r="Q244">
            <v>0.23190000000000002</v>
          </cell>
        </row>
        <row r="245">
          <cell r="H245" t="str">
            <v>IPGP</v>
          </cell>
          <cell r="I245" t="str">
            <v>XLK</v>
          </cell>
          <cell r="J245" t="str">
            <v>半導體設備與材料</v>
          </cell>
          <cell r="K245" t="str">
            <v>.SPX</v>
          </cell>
          <cell r="L245">
            <v>0.35420000000000001</v>
          </cell>
          <cell r="M245">
            <v>183.62</v>
          </cell>
          <cell r="N245">
            <v>0.67500000000000004</v>
          </cell>
          <cell r="O245">
            <v>0.1933</v>
          </cell>
          <cell r="P245">
            <v>0.59789999999999999</v>
          </cell>
          <cell r="Q245">
            <v>0.31670000000000004</v>
          </cell>
        </row>
        <row r="246">
          <cell r="H246" t="str">
            <v>IQV</v>
          </cell>
          <cell r="I246" t="str">
            <v>XLV</v>
          </cell>
          <cell r="J246" t="str">
            <v>診斷與研究</v>
          </cell>
          <cell r="K246" t="str">
            <v>.SPX</v>
          </cell>
          <cell r="L246">
            <v>0.23730000000000001</v>
          </cell>
          <cell r="M246">
            <v>248.41</v>
          </cell>
          <cell r="N246">
            <v>0.3947</v>
          </cell>
          <cell r="O246">
            <v>0.15279999999999999</v>
          </cell>
          <cell r="P246">
            <v>0.40560000000000002</v>
          </cell>
          <cell r="Q246">
            <v>0.20920000000000002</v>
          </cell>
        </row>
        <row r="247">
          <cell r="H247" t="str">
            <v>IR</v>
          </cell>
          <cell r="I247" t="str">
            <v>XLI</v>
          </cell>
          <cell r="J247" t="str">
            <v>特種工業機械</v>
          </cell>
          <cell r="K247" t="str">
            <v>.SPX</v>
          </cell>
          <cell r="L247">
            <v>0.26390000000000002</v>
          </cell>
          <cell r="M247">
            <v>50.1</v>
          </cell>
          <cell r="N247">
            <v>0.43099999999999999</v>
          </cell>
          <cell r="O247">
            <v>0.20169999999999999</v>
          </cell>
          <cell r="P247">
            <v>0.56110000000000004</v>
          </cell>
          <cell r="Q247">
            <v>0.23199999999999998</v>
          </cell>
        </row>
        <row r="248">
          <cell r="H248" t="str">
            <v>IRM</v>
          </cell>
          <cell r="I248" t="str">
            <v>XLRE</v>
          </cell>
          <cell r="J248" t="str">
            <v>REIT-專業</v>
          </cell>
          <cell r="K248" t="str">
            <v>.SPX</v>
          </cell>
          <cell r="L248">
            <v>0.2346</v>
          </cell>
          <cell r="M248">
            <v>44.47</v>
          </cell>
          <cell r="N248">
            <v>0.59460000000000002</v>
          </cell>
          <cell r="O248">
            <v>0.15229999999999999</v>
          </cell>
          <cell r="P248">
            <v>0.5635</v>
          </cell>
          <cell r="Q248">
            <v>0.2034</v>
          </cell>
        </row>
        <row r="249">
          <cell r="H249" t="str">
            <v>ISRG</v>
          </cell>
          <cell r="I249" t="str">
            <v>XLV</v>
          </cell>
          <cell r="J249" t="str">
            <v>醫療器械及用品</v>
          </cell>
          <cell r="K249" t="str">
            <v>.SPX</v>
          </cell>
          <cell r="L249">
            <v>0.252</v>
          </cell>
          <cell r="M249">
            <v>1019.1</v>
          </cell>
          <cell r="N249">
            <v>0.38579999999999998</v>
          </cell>
          <cell r="O249">
            <v>0.11509999999999999</v>
          </cell>
          <cell r="P249">
            <v>0.46899999999999997</v>
          </cell>
          <cell r="Q249">
            <v>0.21179999999999999</v>
          </cell>
        </row>
        <row r="250">
          <cell r="H250" t="str">
            <v>IT</v>
          </cell>
          <cell r="I250" t="str">
            <v>XLK</v>
          </cell>
          <cell r="J250" t="str">
            <v>信息技術處</v>
          </cell>
          <cell r="K250" t="str">
            <v>.SPX</v>
          </cell>
          <cell r="L250">
            <v>0.24529999999999999</v>
          </cell>
          <cell r="M250">
            <v>295.23</v>
          </cell>
          <cell r="N250">
            <v>0.50119999999999998</v>
          </cell>
          <cell r="O250">
            <v>0.13639999999999999</v>
          </cell>
          <cell r="P250">
            <v>0.52070000000000005</v>
          </cell>
          <cell r="Q250">
            <v>0.21780000000000002</v>
          </cell>
        </row>
        <row r="251">
          <cell r="H251" t="str">
            <v>ITW</v>
          </cell>
          <cell r="I251" t="str">
            <v>XLI</v>
          </cell>
          <cell r="J251" t="str">
            <v>特種工業機械</v>
          </cell>
          <cell r="K251" t="str">
            <v>.SPX</v>
          </cell>
          <cell r="L251">
            <v>0.18099999999999999</v>
          </cell>
          <cell r="M251">
            <v>226.98</v>
          </cell>
          <cell r="N251">
            <v>0.30149999999999999</v>
          </cell>
          <cell r="O251">
            <v>0.1246</v>
          </cell>
          <cell r="P251">
            <v>0.3775</v>
          </cell>
          <cell r="Q251">
            <v>0.16600000000000001</v>
          </cell>
        </row>
        <row r="252">
          <cell r="H252" t="str">
            <v>IVZ</v>
          </cell>
          <cell r="I252" t="str">
            <v>XLF</v>
          </cell>
          <cell r="J252" t="str">
            <v>資產管理</v>
          </cell>
          <cell r="K252" t="str">
            <v>.SPX</v>
          </cell>
          <cell r="L252">
            <v>0.33450000000000002</v>
          </cell>
          <cell r="M252">
            <v>24.77</v>
          </cell>
          <cell r="N252">
            <v>0.55689999999999995</v>
          </cell>
          <cell r="O252">
            <v>0.26850000000000002</v>
          </cell>
          <cell r="P252">
            <v>0.6381</v>
          </cell>
          <cell r="Q252">
            <v>0.31489999999999996</v>
          </cell>
        </row>
        <row r="253">
          <cell r="H253" t="str">
            <v>J</v>
          </cell>
          <cell r="I253" t="str">
            <v>XLI</v>
          </cell>
          <cell r="J253" t="str">
            <v>工程建設</v>
          </cell>
          <cell r="K253" t="str">
            <v>.SPX</v>
          </cell>
          <cell r="L253">
            <v>0.24690000000000001</v>
          </cell>
          <cell r="M253">
            <v>128.74</v>
          </cell>
          <cell r="N253">
            <v>0.36830000000000002</v>
          </cell>
          <cell r="O253">
            <v>0.17</v>
          </cell>
          <cell r="P253">
            <v>0.4632</v>
          </cell>
          <cell r="Q253">
            <v>0.2021</v>
          </cell>
        </row>
        <row r="254">
          <cell r="H254" t="str">
            <v>JBHT</v>
          </cell>
          <cell r="I254" t="str">
            <v>XLI</v>
          </cell>
          <cell r="J254" t="str">
            <v>綜合貨運物流</v>
          </cell>
          <cell r="K254" t="str">
            <v>.SPX</v>
          </cell>
          <cell r="L254">
            <v>0.23860000000000001</v>
          </cell>
          <cell r="M254">
            <v>166.87</v>
          </cell>
          <cell r="N254">
            <v>0.41830000000000001</v>
          </cell>
          <cell r="O254">
            <v>0.14699999999999999</v>
          </cell>
          <cell r="P254">
            <v>0.37310000000000004</v>
          </cell>
          <cell r="Q254">
            <v>0.21729999999999999</v>
          </cell>
        </row>
        <row r="255">
          <cell r="H255" t="str">
            <v>JCI</v>
          </cell>
          <cell r="I255" t="str">
            <v>XLI</v>
          </cell>
          <cell r="J255" t="str">
            <v>工程建設</v>
          </cell>
          <cell r="K255" t="str">
            <v>.SPX</v>
          </cell>
          <cell r="L255">
            <v>0.2059</v>
          </cell>
          <cell r="M255">
            <v>72.42</v>
          </cell>
          <cell r="N255">
            <v>0.3347</v>
          </cell>
          <cell r="O255">
            <v>0.1449</v>
          </cell>
          <cell r="P255">
            <v>0.41460000000000002</v>
          </cell>
          <cell r="Q255">
            <v>0.2</v>
          </cell>
        </row>
        <row r="256">
          <cell r="H256" t="str">
            <v>JKHY</v>
          </cell>
          <cell r="I256" t="str">
            <v>XLK</v>
          </cell>
          <cell r="J256" t="str">
            <v>信息技術處</v>
          </cell>
          <cell r="K256" t="str">
            <v>.SPX</v>
          </cell>
          <cell r="L256">
            <v>0.27079999999999999</v>
          </cell>
          <cell r="M256">
            <v>173.52</v>
          </cell>
          <cell r="N256">
            <v>0.51339999999999997</v>
          </cell>
          <cell r="O256">
            <v>0.1298</v>
          </cell>
          <cell r="P256">
            <v>0.47960000000000003</v>
          </cell>
          <cell r="Q256">
            <v>0.1807</v>
          </cell>
        </row>
        <row r="257">
          <cell r="H257" t="str">
            <v>JNJ</v>
          </cell>
          <cell r="I257" t="str">
            <v>XLV</v>
          </cell>
          <cell r="J257" t="str">
            <v>藥品製造商— 常規</v>
          </cell>
          <cell r="K257" t="str">
            <v>.SPX</v>
          </cell>
          <cell r="L257">
            <v>0.1452</v>
          </cell>
          <cell r="M257">
            <v>172.85</v>
          </cell>
          <cell r="N257">
            <v>0.2228</v>
          </cell>
          <cell r="O257">
            <v>9.9699999999999997E-2</v>
          </cell>
          <cell r="P257">
            <v>0.33729999999999999</v>
          </cell>
          <cell r="Q257">
            <v>0.1358</v>
          </cell>
        </row>
        <row r="258">
          <cell r="H258" t="str">
            <v>JNPR</v>
          </cell>
          <cell r="I258" t="str">
            <v>XLK</v>
          </cell>
          <cell r="J258" t="str">
            <v>通信設備</v>
          </cell>
          <cell r="K258" t="str">
            <v>.SPX</v>
          </cell>
          <cell r="L258">
            <v>0.2545</v>
          </cell>
          <cell r="M258">
            <v>28.49</v>
          </cell>
          <cell r="N258">
            <v>0.39460000000000001</v>
          </cell>
          <cell r="O258">
            <v>0.16839999999999999</v>
          </cell>
          <cell r="P258">
            <v>0.50690000000000002</v>
          </cell>
          <cell r="Q258">
            <v>0.2165</v>
          </cell>
        </row>
        <row r="259">
          <cell r="H259" t="str">
            <v>JPM</v>
          </cell>
          <cell r="I259" t="str">
            <v>XLF</v>
          </cell>
          <cell r="J259" t="str">
            <v>銀行-多樣化</v>
          </cell>
          <cell r="K259" t="str">
            <v>.SPX</v>
          </cell>
          <cell r="L259">
            <v>0.22850000000000001</v>
          </cell>
          <cell r="M259">
            <v>153.15</v>
          </cell>
          <cell r="N259">
            <v>0.49719999999999998</v>
          </cell>
          <cell r="O259">
            <v>0.16450000000000001</v>
          </cell>
          <cell r="P259">
            <v>0.41979999999999995</v>
          </cell>
          <cell r="Q259">
            <v>0.1991</v>
          </cell>
        </row>
        <row r="260">
          <cell r="H260" t="str">
            <v>K</v>
          </cell>
          <cell r="I260" t="str">
            <v>XLP</v>
          </cell>
          <cell r="J260" t="str">
            <v>包裝食品</v>
          </cell>
          <cell r="K260" t="str">
            <v>.SPX</v>
          </cell>
          <cell r="L260">
            <v>0.18440000000000001</v>
          </cell>
          <cell r="M260">
            <v>63.11</v>
          </cell>
          <cell r="N260">
            <v>0.25969999999999999</v>
          </cell>
          <cell r="O260">
            <v>0.1162</v>
          </cell>
          <cell r="P260">
            <v>0.33979999999999999</v>
          </cell>
          <cell r="Q260">
            <v>0.16260000000000002</v>
          </cell>
        </row>
        <row r="261">
          <cell r="H261" t="str">
            <v>KEY</v>
          </cell>
          <cell r="I261" t="str">
            <v>XLF</v>
          </cell>
          <cell r="J261" t="str">
            <v>銀行-區域</v>
          </cell>
          <cell r="K261" t="str">
            <v>.SPX</v>
          </cell>
          <cell r="L261">
            <v>0.30449999999999999</v>
          </cell>
          <cell r="M261">
            <v>19.899999999999999</v>
          </cell>
          <cell r="N261">
            <v>0.76900000000000002</v>
          </cell>
          <cell r="O261">
            <v>0.2054</v>
          </cell>
          <cell r="P261">
            <v>0.54249999999999998</v>
          </cell>
          <cell r="Q261">
            <v>0.26789999999999997</v>
          </cell>
        </row>
        <row r="262">
          <cell r="H262" t="str">
            <v>KEYS</v>
          </cell>
          <cell r="I262" t="str">
            <v>XLK</v>
          </cell>
          <cell r="J262" t="str">
            <v>科技儀器</v>
          </cell>
          <cell r="K262" t="str">
            <v>.SPX</v>
          </cell>
          <cell r="L262">
            <v>0.26619999999999999</v>
          </cell>
          <cell r="M262">
            <v>166.4</v>
          </cell>
          <cell r="N262">
            <v>0.35830000000000001</v>
          </cell>
          <cell r="O262">
            <v>0.1173</v>
          </cell>
          <cell r="P262">
            <v>0.46009999999999995</v>
          </cell>
          <cell r="Q262">
            <v>0.20829999999999999</v>
          </cell>
        </row>
        <row r="263">
          <cell r="H263" t="str">
            <v>KHC</v>
          </cell>
          <cell r="I263" t="str">
            <v>XLP</v>
          </cell>
          <cell r="J263" t="str">
            <v>包裝食品</v>
          </cell>
          <cell r="K263" t="str">
            <v>.SPX</v>
          </cell>
          <cell r="L263">
            <v>0.2087</v>
          </cell>
          <cell r="M263">
            <v>37.14</v>
          </cell>
          <cell r="N263">
            <v>0.34150000000000003</v>
          </cell>
          <cell r="O263">
            <v>0.13139999999999999</v>
          </cell>
          <cell r="P263">
            <v>0.41450000000000004</v>
          </cell>
          <cell r="Q263">
            <v>0.1875</v>
          </cell>
        </row>
        <row r="264">
          <cell r="H264" t="str">
            <v>KIM</v>
          </cell>
          <cell r="I264" t="str">
            <v>XLRE</v>
          </cell>
          <cell r="J264" t="str">
            <v>-</v>
          </cell>
          <cell r="K264" t="str">
            <v>.SPX</v>
          </cell>
          <cell r="L264">
            <v>0.30320000000000003</v>
          </cell>
          <cell r="M264">
            <v>21.89</v>
          </cell>
          <cell r="N264">
            <v>0.95899999999999996</v>
          </cell>
          <cell r="O264">
            <v>0.2177</v>
          </cell>
          <cell r="P264">
            <v>0.56140000000000001</v>
          </cell>
          <cell r="Q264">
            <v>0.25509999999999999</v>
          </cell>
        </row>
        <row r="265">
          <cell r="H265" t="str">
            <v>KLAC</v>
          </cell>
          <cell r="I265" t="str">
            <v>XLK</v>
          </cell>
          <cell r="J265" t="str">
            <v>半導體設備與材料</v>
          </cell>
          <cell r="K265" t="str">
            <v>.SPX</v>
          </cell>
          <cell r="L265">
            <v>0.312</v>
          </cell>
          <cell r="M265">
            <v>353.71</v>
          </cell>
          <cell r="N265">
            <v>0.68049999999999999</v>
          </cell>
          <cell r="O265">
            <v>0.23139999999999999</v>
          </cell>
          <cell r="P265">
            <v>0.53110000000000002</v>
          </cell>
          <cell r="Q265">
            <v>0.29680000000000001</v>
          </cell>
        </row>
        <row r="266">
          <cell r="H266" t="str">
            <v>KMB</v>
          </cell>
          <cell r="I266" t="str">
            <v>XLP</v>
          </cell>
          <cell r="J266" t="str">
            <v>家庭及個人產品</v>
          </cell>
          <cell r="K266" t="str">
            <v>.SPX</v>
          </cell>
          <cell r="L266">
            <v>0.16719999999999999</v>
          </cell>
          <cell r="M266">
            <v>133.25</v>
          </cell>
          <cell r="N266">
            <v>0.28889999999999999</v>
          </cell>
          <cell r="O266">
            <v>0.10009999999999999</v>
          </cell>
          <cell r="P266">
            <v>0.29270000000000002</v>
          </cell>
          <cell r="Q266">
            <v>0.14679999999999999</v>
          </cell>
        </row>
        <row r="267">
          <cell r="H267" t="str">
            <v>KMI</v>
          </cell>
          <cell r="I267" t="str">
            <v>XLE</v>
          </cell>
          <cell r="J267" t="str">
            <v>油氣中流</v>
          </cell>
          <cell r="K267" t="str">
            <v>.SPX</v>
          </cell>
          <cell r="L267">
            <v>0.24759999999999999</v>
          </cell>
          <cell r="M267">
            <v>17.11</v>
          </cell>
          <cell r="N267">
            <v>0.43169999999999997</v>
          </cell>
          <cell r="O267">
            <v>0.17480000000000001</v>
          </cell>
          <cell r="P267">
            <v>0.45329999999999998</v>
          </cell>
          <cell r="Q267">
            <v>0.21789999999999998</v>
          </cell>
        </row>
        <row r="268">
          <cell r="H268" t="str">
            <v>KMX</v>
          </cell>
          <cell r="I268" t="str">
            <v>XLY</v>
          </cell>
          <cell r="J268" t="str">
            <v>汽車和卡車經銷商</v>
          </cell>
          <cell r="K268" t="str">
            <v>.SPX</v>
          </cell>
          <cell r="L268">
            <v>0.27860000000000001</v>
          </cell>
          <cell r="M268">
            <v>136</v>
          </cell>
          <cell r="N268">
            <v>0.53</v>
          </cell>
          <cell r="O268">
            <v>0.17069999999999999</v>
          </cell>
          <cell r="P268">
            <v>0.55679999999999996</v>
          </cell>
          <cell r="Q268">
            <v>0.24719999999999998</v>
          </cell>
        </row>
        <row r="269">
          <cell r="H269" t="str">
            <v>KO</v>
          </cell>
          <cell r="I269" t="str">
            <v>XLP</v>
          </cell>
          <cell r="J269" t="str">
            <v>飲料-不含酒精</v>
          </cell>
          <cell r="K269" t="str">
            <v>.SPX</v>
          </cell>
          <cell r="L269">
            <v>0.1318</v>
          </cell>
          <cell r="M269">
            <v>56.56</v>
          </cell>
          <cell r="N269">
            <v>0.27860000000000001</v>
          </cell>
          <cell r="O269">
            <v>9.4399999999999998E-2</v>
          </cell>
          <cell r="P269">
            <v>0.30170000000000002</v>
          </cell>
          <cell r="Q269">
            <v>0.12920000000000001</v>
          </cell>
        </row>
        <row r="270">
          <cell r="H270" t="str">
            <v>KR</v>
          </cell>
          <cell r="I270" t="str">
            <v>XLP</v>
          </cell>
          <cell r="J270" t="str">
            <v>雜貨店</v>
          </cell>
          <cell r="K270" t="str">
            <v>.SPX</v>
          </cell>
          <cell r="L270">
            <v>0.2492</v>
          </cell>
          <cell r="M270">
            <v>41.93</v>
          </cell>
          <cell r="N270">
            <v>0.44130000000000003</v>
          </cell>
          <cell r="O270">
            <v>0.1585</v>
          </cell>
          <cell r="P270">
            <v>0.47549999999999998</v>
          </cell>
          <cell r="Q270">
            <v>0.20809999999999998</v>
          </cell>
        </row>
        <row r="271">
          <cell r="H271" t="str">
            <v>KSU</v>
          </cell>
          <cell r="I271" t="str">
            <v>XLI</v>
          </cell>
          <cell r="J271" t="str">
            <v>鐵路</v>
          </cell>
          <cell r="K271" t="str">
            <v>.SPX</v>
          </cell>
          <cell r="L271">
            <v>0.52400000000000002</v>
          </cell>
          <cell r="M271">
            <v>271.72000000000003</v>
          </cell>
          <cell r="N271">
            <v>0.52639999999999998</v>
          </cell>
          <cell r="O271">
            <v>0.1014</v>
          </cell>
          <cell r="P271">
            <v>0.52400000000000002</v>
          </cell>
          <cell r="Q271">
            <v>0.18100000000000002</v>
          </cell>
        </row>
        <row r="272">
          <cell r="H272" t="str">
            <v>L</v>
          </cell>
          <cell r="I272" t="str">
            <v>XLF</v>
          </cell>
          <cell r="J272" t="str">
            <v>保險-財產及意外事故</v>
          </cell>
          <cell r="K272" t="str">
            <v>.SPX</v>
          </cell>
          <cell r="L272">
            <v>0.25019999999999998</v>
          </cell>
          <cell r="M272">
            <v>54.78</v>
          </cell>
          <cell r="N272">
            <v>0.53790000000000004</v>
          </cell>
          <cell r="O272">
            <v>0.17130000000000001</v>
          </cell>
          <cell r="P272">
            <v>0.46880000000000005</v>
          </cell>
          <cell r="Q272">
            <v>0.2122</v>
          </cell>
        </row>
        <row r="273">
          <cell r="H273" t="str">
            <v>LB</v>
          </cell>
          <cell r="I273" t="str">
            <v>XLY</v>
          </cell>
          <cell r="J273" t="str">
            <v>服裝零售</v>
          </cell>
          <cell r="K273" t="str">
            <v>.SPX</v>
          </cell>
          <cell r="L273">
            <v>0.19259999999999999</v>
          </cell>
          <cell r="M273">
            <v>79.92</v>
          </cell>
          <cell r="N273">
            <v>0.39929999999999999</v>
          </cell>
          <cell r="O273">
            <v>0.13200000000000001</v>
          </cell>
          <cell r="P273">
            <v>0.44979999999999998</v>
          </cell>
          <cell r="Q273">
            <v>0.15049999999999999</v>
          </cell>
        </row>
        <row r="274">
          <cell r="H274" t="str">
            <v>LDOS</v>
          </cell>
          <cell r="I274" t="str">
            <v>XLI</v>
          </cell>
          <cell r="J274" t="str">
            <v>信息技術處</v>
          </cell>
          <cell r="K274" t="str">
            <v>.SPX</v>
          </cell>
          <cell r="L274">
            <v>0.23830000000000001</v>
          </cell>
          <cell r="M274">
            <v>94.79</v>
          </cell>
          <cell r="N274">
            <v>0.41620000000000001</v>
          </cell>
          <cell r="O274">
            <v>0.13519999999999999</v>
          </cell>
          <cell r="P274">
            <v>0.43930000000000002</v>
          </cell>
          <cell r="Q274">
            <v>0.1837</v>
          </cell>
        </row>
        <row r="275">
          <cell r="H275" t="str">
            <v>LEG</v>
          </cell>
          <cell r="I275" t="str">
            <v>XLY</v>
          </cell>
          <cell r="J275" t="str">
            <v>-</v>
          </cell>
          <cell r="K275" t="str">
            <v>.SPX</v>
          </cell>
          <cell r="L275">
            <v>0.28249999999999997</v>
          </cell>
          <cell r="M275">
            <v>48.07</v>
          </cell>
          <cell r="N275">
            <v>0.50019999999999998</v>
          </cell>
          <cell r="O275">
            <v>0.2215</v>
          </cell>
          <cell r="P275">
            <v>0.58079999999999998</v>
          </cell>
          <cell r="Q275">
            <v>0.24660000000000001</v>
          </cell>
        </row>
        <row r="276">
          <cell r="H276" t="str">
            <v>LEN</v>
          </cell>
          <cell r="I276" t="str">
            <v>XLY</v>
          </cell>
          <cell r="J276" t="str">
            <v>住宅建設</v>
          </cell>
          <cell r="K276" t="str">
            <v>.SPX</v>
          </cell>
          <cell r="L276">
            <v>0.28510000000000002</v>
          </cell>
          <cell r="M276">
            <v>105.45</v>
          </cell>
          <cell r="N276">
            <v>0.63519999999999999</v>
          </cell>
          <cell r="O276">
            <v>0.24790000000000001</v>
          </cell>
          <cell r="P276">
            <v>0.60119999999999996</v>
          </cell>
          <cell r="Q276">
            <v>0.27089999999999997</v>
          </cell>
        </row>
        <row r="277">
          <cell r="H277" t="str">
            <v>LH</v>
          </cell>
          <cell r="I277" t="str">
            <v>XLV</v>
          </cell>
          <cell r="J277" t="str">
            <v>診斷與研究</v>
          </cell>
          <cell r="K277" t="str">
            <v>.SPX</v>
          </cell>
          <cell r="L277">
            <v>0.22320000000000001</v>
          </cell>
          <cell r="M277">
            <v>298.91000000000003</v>
          </cell>
          <cell r="N277">
            <v>0.35449999999999998</v>
          </cell>
          <cell r="O277">
            <v>0.13550000000000001</v>
          </cell>
          <cell r="P277">
            <v>0.39229999999999998</v>
          </cell>
          <cell r="Q277">
            <v>0.20879999999999999</v>
          </cell>
        </row>
        <row r="278">
          <cell r="H278" t="str">
            <v>LHX</v>
          </cell>
          <cell r="I278" t="str">
            <v>XLI</v>
          </cell>
          <cell r="J278" t="str">
            <v>航天軍工</v>
          </cell>
          <cell r="K278" t="str">
            <v>.SPX</v>
          </cell>
          <cell r="L278">
            <v>0.18909999999999999</v>
          </cell>
          <cell r="M278">
            <v>231.24</v>
          </cell>
          <cell r="N278">
            <v>0.3367</v>
          </cell>
          <cell r="O278">
            <v>0.1356</v>
          </cell>
          <cell r="P278">
            <v>0.38579999999999998</v>
          </cell>
          <cell r="Q278">
            <v>0.1789</v>
          </cell>
        </row>
        <row r="279">
          <cell r="H279" t="str">
            <v>LIN</v>
          </cell>
          <cell r="I279" t="str">
            <v>XLB</v>
          </cell>
          <cell r="J279" t="str">
            <v>特種化學品</v>
          </cell>
          <cell r="K279" t="str">
            <v>.SPX</v>
          </cell>
          <cell r="L279">
            <v>0.193</v>
          </cell>
          <cell r="M279">
            <v>304.83</v>
          </cell>
          <cell r="N279">
            <v>0.3301</v>
          </cell>
          <cell r="O279">
            <v>0.1434</v>
          </cell>
          <cell r="P279">
            <v>0.38030000000000003</v>
          </cell>
          <cell r="Q279">
            <v>0.18090000000000001</v>
          </cell>
        </row>
        <row r="280">
          <cell r="H280" t="str">
            <v>LKQ</v>
          </cell>
          <cell r="I280" t="str">
            <v>XLY</v>
          </cell>
          <cell r="J280" t="str">
            <v>汽車零件</v>
          </cell>
          <cell r="K280" t="str">
            <v>.SPX</v>
          </cell>
          <cell r="L280">
            <v>0.26939999999999997</v>
          </cell>
          <cell r="M280">
            <v>50.53</v>
          </cell>
          <cell r="N280">
            <v>0.46800000000000003</v>
          </cell>
          <cell r="O280">
            <v>0.20300000000000001</v>
          </cell>
          <cell r="P280">
            <v>0.51800000000000002</v>
          </cell>
          <cell r="Q280">
            <v>0.2465</v>
          </cell>
        </row>
        <row r="281">
          <cell r="H281" t="str">
            <v>LLY</v>
          </cell>
          <cell r="I281" t="str">
            <v>XLV</v>
          </cell>
          <cell r="J281" t="str">
            <v>藥品製造商— 常規</v>
          </cell>
          <cell r="K281" t="str">
            <v>.SPX</v>
          </cell>
          <cell r="L281">
            <v>0.26569999999999999</v>
          </cell>
          <cell r="M281">
            <v>264.19</v>
          </cell>
          <cell r="N281">
            <v>0.50360000000000005</v>
          </cell>
          <cell r="O281">
            <v>0.16669999999999999</v>
          </cell>
          <cell r="P281">
            <v>0.45159999999999995</v>
          </cell>
          <cell r="Q281">
            <v>0.20660000000000001</v>
          </cell>
        </row>
        <row r="282">
          <cell r="H282" t="str">
            <v>LMT</v>
          </cell>
          <cell r="I282" t="str">
            <v>XLI</v>
          </cell>
          <cell r="J282" t="str">
            <v>航天軍工</v>
          </cell>
          <cell r="K282" t="str">
            <v>.SPX</v>
          </cell>
          <cell r="L282">
            <v>0.1754</v>
          </cell>
          <cell r="M282">
            <v>363.16</v>
          </cell>
          <cell r="N282">
            <v>0.29339999999999999</v>
          </cell>
          <cell r="O282">
            <v>0.1239</v>
          </cell>
          <cell r="P282">
            <v>0.39169999999999999</v>
          </cell>
          <cell r="Q282">
            <v>0.15130000000000002</v>
          </cell>
        </row>
        <row r="283">
          <cell r="H283" t="str">
            <v>LNC</v>
          </cell>
          <cell r="I283" t="str">
            <v>XLF</v>
          </cell>
          <cell r="J283" t="str">
            <v>保險-人壽保險</v>
          </cell>
          <cell r="K283" t="str">
            <v>.SPX</v>
          </cell>
          <cell r="L283">
            <v>0.37269999999999998</v>
          </cell>
          <cell r="M283">
            <v>66.989999999999995</v>
          </cell>
          <cell r="N283">
            <v>0.8931</v>
          </cell>
          <cell r="O283">
            <v>0.2472</v>
          </cell>
          <cell r="P283">
            <v>0.68559999999999999</v>
          </cell>
          <cell r="Q283">
            <v>0.29220000000000002</v>
          </cell>
        </row>
        <row r="284">
          <cell r="H284" t="str">
            <v>LNT</v>
          </cell>
          <cell r="I284" t="str">
            <v>XLU</v>
          </cell>
          <cell r="J284" t="str">
            <v>公用事業—受監督的電力</v>
          </cell>
          <cell r="K284" t="str">
            <v>.SPX</v>
          </cell>
          <cell r="L284">
            <v>0.27060000000000001</v>
          </cell>
          <cell r="M284">
            <v>60.53</v>
          </cell>
          <cell r="N284">
            <v>0.24809999999999999</v>
          </cell>
          <cell r="O284">
            <v>0.13500000000000001</v>
          </cell>
          <cell r="P284">
            <v>0.3921</v>
          </cell>
          <cell r="Q284">
            <v>0.15629999999999999</v>
          </cell>
        </row>
        <row r="285">
          <cell r="H285" t="str">
            <v>LOW</v>
          </cell>
          <cell r="I285" t="str">
            <v>XLY</v>
          </cell>
          <cell r="J285" t="str">
            <v>家居裝修零售</v>
          </cell>
          <cell r="K285" t="str">
            <v>.SPX</v>
          </cell>
          <cell r="L285">
            <v>0.27879999999999999</v>
          </cell>
          <cell r="M285">
            <v>190.68</v>
          </cell>
          <cell r="N285">
            <v>0.46</v>
          </cell>
          <cell r="O285">
            <v>0.1138</v>
          </cell>
          <cell r="P285">
            <v>0.46310000000000001</v>
          </cell>
          <cell r="Q285">
            <v>0.17829999999999999</v>
          </cell>
        </row>
        <row r="286">
          <cell r="H286" t="str">
            <v>LRCX</v>
          </cell>
          <cell r="I286" t="str">
            <v>XLK</v>
          </cell>
          <cell r="J286" t="str">
            <v>半導體設備與材料</v>
          </cell>
          <cell r="K286" t="str">
            <v>.SPX</v>
          </cell>
          <cell r="L286">
            <v>0.3306</v>
          </cell>
          <cell r="M286">
            <v>645.66</v>
          </cell>
          <cell r="N286">
            <v>0.7258</v>
          </cell>
          <cell r="O286">
            <v>0.2419</v>
          </cell>
          <cell r="P286">
            <v>0.57409999999999994</v>
          </cell>
          <cell r="Q286">
            <v>0.31670000000000004</v>
          </cell>
        </row>
        <row r="287">
          <cell r="H287" t="str">
            <v>LUMN</v>
          </cell>
          <cell r="I287" t="str">
            <v>XLC</v>
          </cell>
          <cell r="J287" t="str">
            <v>電信業務</v>
          </cell>
          <cell r="K287" t="str">
            <v>.SPX</v>
          </cell>
          <cell r="L287">
            <v>0.33689999999999998</v>
          </cell>
          <cell r="M287">
            <v>11.78</v>
          </cell>
          <cell r="N287">
            <v>1.1615</v>
          </cell>
          <cell r="O287">
            <v>0.2167</v>
          </cell>
          <cell r="P287">
            <v>1.0223</v>
          </cell>
          <cell r="Q287">
            <v>0.26069999999999999</v>
          </cell>
        </row>
        <row r="288">
          <cell r="H288" t="str">
            <v>LUV</v>
          </cell>
          <cell r="I288" t="str">
            <v>XLI</v>
          </cell>
          <cell r="J288" t="str">
            <v>航空公司</v>
          </cell>
          <cell r="K288" t="str">
            <v>.SPX</v>
          </cell>
          <cell r="L288">
            <v>0.33589999999999998</v>
          </cell>
          <cell r="M288">
            <v>50.45</v>
          </cell>
          <cell r="N288">
            <v>0.56459999999999999</v>
          </cell>
          <cell r="O288">
            <v>0.1968</v>
          </cell>
          <cell r="P288">
            <v>0.67849999999999999</v>
          </cell>
          <cell r="Q288">
            <v>0.27089999999999997</v>
          </cell>
        </row>
        <row r="289">
          <cell r="H289" t="str">
            <v>LVS</v>
          </cell>
          <cell r="I289" t="str">
            <v>XLY</v>
          </cell>
          <cell r="J289" t="str">
            <v>度假村和賭場</v>
          </cell>
          <cell r="K289" t="str">
            <v>.SPX</v>
          </cell>
          <cell r="L289">
            <v>0.43109999999999998</v>
          </cell>
          <cell r="M289">
            <v>40.71</v>
          </cell>
          <cell r="N289">
            <v>0.53700000000000003</v>
          </cell>
          <cell r="O289">
            <v>0.25509999999999999</v>
          </cell>
          <cell r="P289">
            <v>0.63039999999999996</v>
          </cell>
          <cell r="Q289">
            <v>0.33539999999999998</v>
          </cell>
        </row>
        <row r="290">
          <cell r="H290" t="str">
            <v>LW</v>
          </cell>
          <cell r="I290" t="str">
            <v>XLP</v>
          </cell>
          <cell r="J290" t="str">
            <v>包裝食品</v>
          </cell>
          <cell r="K290" t="str">
            <v>.SPX</v>
          </cell>
          <cell r="L290">
            <v>0.29620000000000002</v>
          </cell>
          <cell r="M290">
            <v>64.180000000000007</v>
          </cell>
          <cell r="N290">
            <v>0.55210000000000004</v>
          </cell>
          <cell r="O290">
            <v>0.18809999999999999</v>
          </cell>
          <cell r="P290">
            <v>0.52359999999999995</v>
          </cell>
          <cell r="Q290">
            <v>0.23600000000000002</v>
          </cell>
        </row>
        <row r="291">
          <cell r="H291" t="str">
            <v>LYB</v>
          </cell>
          <cell r="I291" t="str">
            <v>XLB</v>
          </cell>
          <cell r="J291" t="str">
            <v>特種化學品</v>
          </cell>
          <cell r="K291" t="str">
            <v>.SPX</v>
          </cell>
          <cell r="L291">
            <v>0.31259999999999999</v>
          </cell>
          <cell r="M291">
            <v>99.29</v>
          </cell>
          <cell r="N291">
            <v>0.61309999999999998</v>
          </cell>
          <cell r="O291">
            <v>0.26090000000000002</v>
          </cell>
          <cell r="P291">
            <v>0.56869999999999998</v>
          </cell>
          <cell r="Q291">
            <v>0.27539999999999998</v>
          </cell>
        </row>
        <row r="292">
          <cell r="H292" t="str">
            <v>LYV</v>
          </cell>
          <cell r="I292" t="str">
            <v>XLC</v>
          </cell>
          <cell r="J292" t="str">
            <v>娛樂</v>
          </cell>
          <cell r="K292" t="str">
            <v>.SPX</v>
          </cell>
          <cell r="L292">
            <v>0.40250000000000002</v>
          </cell>
          <cell r="M292">
            <v>84.76</v>
          </cell>
          <cell r="N292">
            <v>0.61040000000000005</v>
          </cell>
          <cell r="O292">
            <v>0.2626</v>
          </cell>
          <cell r="P292">
            <v>0.67469999999999997</v>
          </cell>
          <cell r="Q292">
            <v>0.33279999999999998</v>
          </cell>
        </row>
        <row r="293">
          <cell r="H293" t="str">
            <v>MA</v>
          </cell>
          <cell r="I293" t="str">
            <v>XLK</v>
          </cell>
          <cell r="J293" t="str">
            <v>信貸服務</v>
          </cell>
          <cell r="K293" t="str">
            <v>.SPX</v>
          </cell>
          <cell r="L293">
            <v>0.22850000000000001</v>
          </cell>
          <cell r="M293">
            <v>371.94</v>
          </cell>
          <cell r="N293">
            <v>0.4753</v>
          </cell>
          <cell r="O293">
            <v>0.1489</v>
          </cell>
          <cell r="P293">
            <v>0.42</v>
          </cell>
          <cell r="Q293">
            <v>0.19510000000000002</v>
          </cell>
        </row>
        <row r="294">
          <cell r="H294" t="str">
            <v>MAA</v>
          </cell>
          <cell r="I294" t="str">
            <v>XLRE</v>
          </cell>
          <cell r="J294" t="str">
            <v>-</v>
          </cell>
          <cell r="K294" t="str">
            <v>.SPX</v>
          </cell>
          <cell r="L294">
            <v>0.17480000000000001</v>
          </cell>
          <cell r="M294">
            <v>191.48</v>
          </cell>
          <cell r="N294">
            <v>0.29339999999999999</v>
          </cell>
          <cell r="O294">
            <v>0.13370000000000001</v>
          </cell>
          <cell r="P294">
            <v>0.39399999999999996</v>
          </cell>
          <cell r="Q294">
            <v>0.13539999999999999</v>
          </cell>
        </row>
        <row r="295">
          <cell r="H295" t="str">
            <v>MAR</v>
          </cell>
          <cell r="I295" t="str">
            <v>XLY</v>
          </cell>
          <cell r="J295" t="str">
            <v>住宿</v>
          </cell>
          <cell r="K295" t="str">
            <v>.SPX</v>
          </cell>
          <cell r="L295">
            <v>0.32840000000000003</v>
          </cell>
          <cell r="M295">
            <v>141.72</v>
          </cell>
          <cell r="N295">
            <v>0.58340000000000003</v>
          </cell>
          <cell r="O295">
            <v>0.2082</v>
          </cell>
          <cell r="P295">
            <v>0.58840000000000003</v>
          </cell>
          <cell r="Q295">
            <v>0.25090000000000001</v>
          </cell>
        </row>
        <row r="296">
          <cell r="H296" t="str">
            <v>MAS</v>
          </cell>
          <cell r="I296" t="str">
            <v>XLI</v>
          </cell>
          <cell r="J296" t="str">
            <v>建築產品和設備</v>
          </cell>
          <cell r="K296" t="str">
            <v>.SPX</v>
          </cell>
          <cell r="L296">
            <v>0.22689999999999999</v>
          </cell>
          <cell r="M296">
            <v>60.49</v>
          </cell>
          <cell r="N296">
            <v>0.33579999999999999</v>
          </cell>
          <cell r="O296">
            <v>0.1406</v>
          </cell>
          <cell r="P296">
            <v>0.40749999999999997</v>
          </cell>
          <cell r="Q296">
            <v>0.22239999999999999</v>
          </cell>
        </row>
        <row r="297">
          <cell r="H297" t="str">
            <v>MCD</v>
          </cell>
          <cell r="I297" t="str">
            <v>XLY</v>
          </cell>
          <cell r="J297" t="str">
            <v>飯館</v>
          </cell>
          <cell r="K297" t="str">
            <v>.SPX</v>
          </cell>
          <cell r="L297">
            <v>0.16320000000000001</v>
          </cell>
          <cell r="M297">
            <v>236.42</v>
          </cell>
          <cell r="N297">
            <v>0.2137</v>
          </cell>
          <cell r="O297">
            <v>0.1085</v>
          </cell>
          <cell r="P297">
            <v>0.34200000000000003</v>
          </cell>
          <cell r="Q297">
            <v>0.1376</v>
          </cell>
        </row>
        <row r="298">
          <cell r="H298" t="str">
            <v>MCHP</v>
          </cell>
          <cell r="I298" t="str">
            <v>XLK</v>
          </cell>
          <cell r="J298" t="str">
            <v>半導體</v>
          </cell>
          <cell r="K298" t="str">
            <v>.SPX</v>
          </cell>
          <cell r="L298">
            <v>0.3019</v>
          </cell>
          <cell r="M298">
            <v>149.78</v>
          </cell>
          <cell r="N298">
            <v>0.61909999999999998</v>
          </cell>
          <cell r="O298">
            <v>0.21879999999999999</v>
          </cell>
          <cell r="P298">
            <v>0.51239999999999997</v>
          </cell>
          <cell r="Q298">
            <v>0.27399999999999997</v>
          </cell>
        </row>
        <row r="299">
          <cell r="H299" t="str">
            <v>MCK</v>
          </cell>
          <cell r="I299" t="str">
            <v>XLV</v>
          </cell>
          <cell r="J299" t="str">
            <v>醫療分銷</v>
          </cell>
          <cell r="K299" t="str">
            <v>.SPX</v>
          </cell>
          <cell r="L299">
            <v>0.24099999999999999</v>
          </cell>
          <cell r="M299">
            <v>198.05</v>
          </cell>
          <cell r="N299">
            <v>0.41420000000000001</v>
          </cell>
          <cell r="O299">
            <v>0.14460000000000001</v>
          </cell>
          <cell r="P299">
            <v>0.49780000000000002</v>
          </cell>
          <cell r="Q299">
            <v>0.22390000000000002</v>
          </cell>
        </row>
        <row r="300">
          <cell r="H300" t="str">
            <v>MCO</v>
          </cell>
          <cell r="I300" t="str">
            <v>XLF</v>
          </cell>
          <cell r="J300" t="str">
            <v>金融數據與證券交易所</v>
          </cell>
          <cell r="K300" t="str">
            <v>.SPX</v>
          </cell>
          <cell r="L300">
            <v>0.20030000000000001</v>
          </cell>
          <cell r="M300">
            <v>386.84</v>
          </cell>
          <cell r="N300">
            <v>0.31969999999999998</v>
          </cell>
          <cell r="O300">
            <v>0.1195</v>
          </cell>
          <cell r="P300">
            <v>0.38689999999999997</v>
          </cell>
          <cell r="Q300">
            <v>0.1812</v>
          </cell>
        </row>
        <row r="301">
          <cell r="H301" t="str">
            <v>MDLZ</v>
          </cell>
          <cell r="I301" t="str">
            <v>XLP</v>
          </cell>
          <cell r="J301" t="str">
            <v>糖果店</v>
          </cell>
          <cell r="K301" t="str">
            <v>.SPX</v>
          </cell>
          <cell r="L301">
            <v>0.1479</v>
          </cell>
          <cell r="M301">
            <v>62.09</v>
          </cell>
          <cell r="N301">
            <v>0.23430000000000001</v>
          </cell>
          <cell r="O301">
            <v>8.6800000000000002E-2</v>
          </cell>
          <cell r="P301">
            <v>0.34700000000000003</v>
          </cell>
          <cell r="Q301">
            <v>0.13059999999999999</v>
          </cell>
        </row>
        <row r="302">
          <cell r="H302" t="str">
            <v>MDT</v>
          </cell>
          <cell r="I302" t="str">
            <v>XLV</v>
          </cell>
          <cell r="J302" t="str">
            <v>醫療設備</v>
          </cell>
          <cell r="K302" t="str">
            <v>.SPX</v>
          </cell>
          <cell r="L302">
            <v>0.2102</v>
          </cell>
          <cell r="M302">
            <v>128.26</v>
          </cell>
          <cell r="N302">
            <v>0.377</v>
          </cell>
          <cell r="O302">
            <v>0.1328</v>
          </cell>
          <cell r="P302">
            <v>0.3997</v>
          </cell>
          <cell r="Q302">
            <v>0.15410000000000001</v>
          </cell>
        </row>
        <row r="303">
          <cell r="H303" t="str">
            <v>MET</v>
          </cell>
          <cell r="I303" t="str">
            <v>XLF</v>
          </cell>
          <cell r="J303" t="str">
            <v>保險-人壽保險</v>
          </cell>
          <cell r="K303" t="str">
            <v>.SPX</v>
          </cell>
          <cell r="L303">
            <v>0.25679999999999997</v>
          </cell>
          <cell r="M303">
            <v>58.84</v>
          </cell>
          <cell r="N303">
            <v>0.4955</v>
          </cell>
          <cell r="O303">
            <v>0.20050000000000001</v>
          </cell>
          <cell r="P303">
            <v>0.47240000000000004</v>
          </cell>
          <cell r="Q303">
            <v>0.21929999999999999</v>
          </cell>
        </row>
        <row r="304">
          <cell r="H304" t="str">
            <v>MGM</v>
          </cell>
          <cell r="I304" t="str">
            <v>XLY</v>
          </cell>
          <cell r="J304" t="str">
            <v>度假村和賭場</v>
          </cell>
          <cell r="K304" t="str">
            <v>.SPX</v>
          </cell>
          <cell r="L304">
            <v>0.42449999999999999</v>
          </cell>
          <cell r="M304">
            <v>39.630000000000003</v>
          </cell>
          <cell r="N304">
            <v>0.72070000000000001</v>
          </cell>
          <cell r="O304">
            <v>0.29060000000000002</v>
          </cell>
          <cell r="P304">
            <v>0.78260000000000007</v>
          </cell>
          <cell r="Q304">
            <v>0.34610000000000002</v>
          </cell>
        </row>
        <row r="305">
          <cell r="H305" t="str">
            <v>MHK</v>
          </cell>
          <cell r="I305" t="str">
            <v>XLY</v>
          </cell>
          <cell r="J305" t="str">
            <v>-</v>
          </cell>
          <cell r="K305" t="str">
            <v>.SPX</v>
          </cell>
          <cell r="L305">
            <v>0.32269999999999999</v>
          </cell>
          <cell r="M305">
            <v>199.1</v>
          </cell>
          <cell r="N305">
            <v>0.87319999999999998</v>
          </cell>
          <cell r="O305">
            <v>0.26229999999999998</v>
          </cell>
          <cell r="P305">
            <v>0.77639999999999998</v>
          </cell>
          <cell r="Q305">
            <v>0.30349999999999999</v>
          </cell>
        </row>
        <row r="306">
          <cell r="H306" t="str">
            <v>MKC</v>
          </cell>
          <cell r="I306" t="str">
            <v>XLP</v>
          </cell>
          <cell r="J306" t="str">
            <v>包裝食品</v>
          </cell>
          <cell r="K306" t="str">
            <v>.SPX</v>
          </cell>
          <cell r="L306">
            <v>0.18410000000000001</v>
          </cell>
          <cell r="M306">
            <v>83.25</v>
          </cell>
          <cell r="N306">
            <v>2.0226999999999999</v>
          </cell>
          <cell r="O306">
            <v>0.1158</v>
          </cell>
          <cell r="P306">
            <v>0.36509999999999998</v>
          </cell>
          <cell r="Q306">
            <v>0.16350000000000001</v>
          </cell>
        </row>
        <row r="307">
          <cell r="H307" t="str">
            <v>MKTX</v>
          </cell>
          <cell r="I307" t="str">
            <v>XLF</v>
          </cell>
          <cell r="J307" t="str">
            <v>資本市場</v>
          </cell>
          <cell r="K307" t="str">
            <v>.SPX</v>
          </cell>
          <cell r="L307">
            <v>0.26900000000000002</v>
          </cell>
          <cell r="M307">
            <v>490.73</v>
          </cell>
          <cell r="N307">
            <v>0.54700000000000004</v>
          </cell>
          <cell r="O307">
            <v>0.21659999999999999</v>
          </cell>
          <cell r="P307">
            <v>0.46429999999999999</v>
          </cell>
          <cell r="Q307">
            <v>0.24420000000000003</v>
          </cell>
        </row>
        <row r="308">
          <cell r="H308" t="str">
            <v>MLM</v>
          </cell>
          <cell r="I308" t="str">
            <v>XLB</v>
          </cell>
          <cell r="J308" t="str">
            <v>建築材料</v>
          </cell>
          <cell r="K308" t="str">
            <v>.SPX</v>
          </cell>
          <cell r="L308">
            <v>0.25769999999999998</v>
          </cell>
          <cell r="M308">
            <v>367.07</v>
          </cell>
          <cell r="N308">
            <v>0.46210000000000001</v>
          </cell>
          <cell r="O308">
            <v>0.21460000000000001</v>
          </cell>
          <cell r="P308">
            <v>0.48399999999999999</v>
          </cell>
          <cell r="Q308">
            <v>0.23760000000000001</v>
          </cell>
        </row>
        <row r="309">
          <cell r="H309" t="str">
            <v>MMC</v>
          </cell>
          <cell r="I309" t="str">
            <v>XLF</v>
          </cell>
          <cell r="J309" t="str">
            <v>保險經紀</v>
          </cell>
          <cell r="K309" t="str">
            <v>.SPX</v>
          </cell>
          <cell r="L309">
            <v>0.1721</v>
          </cell>
          <cell r="M309">
            <v>151.54</v>
          </cell>
          <cell r="N309">
            <v>0.25119999999999998</v>
          </cell>
          <cell r="O309">
            <v>0.1157</v>
          </cell>
          <cell r="P309">
            <v>0.36170000000000002</v>
          </cell>
          <cell r="Q309">
            <v>0.1479</v>
          </cell>
        </row>
        <row r="310">
          <cell r="H310" t="str">
            <v>MMM</v>
          </cell>
          <cell r="I310" t="str">
            <v>XLI</v>
          </cell>
          <cell r="J310" t="str">
            <v>特種工業機械</v>
          </cell>
          <cell r="K310" t="str">
            <v>.SPX</v>
          </cell>
          <cell r="L310">
            <v>0.17899999999999999</v>
          </cell>
          <cell r="M310">
            <v>198.62</v>
          </cell>
          <cell r="N310">
            <v>0.29549999999999998</v>
          </cell>
          <cell r="O310">
            <v>0.13059999999999999</v>
          </cell>
          <cell r="P310">
            <v>0.36299999999999999</v>
          </cell>
          <cell r="Q310">
            <v>0.15609999999999999</v>
          </cell>
        </row>
        <row r="311">
          <cell r="H311" t="str">
            <v>MNST</v>
          </cell>
          <cell r="I311" t="str">
            <v>XLP</v>
          </cell>
          <cell r="J311" t="str">
            <v>飲料-不含酒精</v>
          </cell>
          <cell r="K311" t="str">
            <v>.SPX</v>
          </cell>
          <cell r="L311">
            <v>0.29899999999999999</v>
          </cell>
          <cell r="M311">
            <v>91.95</v>
          </cell>
          <cell r="N311">
            <v>0.30930000000000002</v>
          </cell>
          <cell r="O311">
            <v>0.12709999999999999</v>
          </cell>
          <cell r="P311">
            <v>0.51129999999999998</v>
          </cell>
          <cell r="Q311">
            <v>0.1782</v>
          </cell>
        </row>
        <row r="312">
          <cell r="H312" t="str">
            <v>MO</v>
          </cell>
          <cell r="I312" t="str">
            <v>XLP</v>
          </cell>
          <cell r="J312" t="str">
            <v>煙草</v>
          </cell>
          <cell r="K312" t="str">
            <v>.SPX</v>
          </cell>
          <cell r="L312">
            <v>0.189</v>
          </cell>
          <cell r="M312">
            <v>47.37</v>
          </cell>
          <cell r="N312">
            <v>0.32669999999999999</v>
          </cell>
          <cell r="O312">
            <v>0.16</v>
          </cell>
          <cell r="P312">
            <v>0.36009999999999998</v>
          </cell>
          <cell r="Q312">
            <v>0.1782</v>
          </cell>
        </row>
        <row r="313">
          <cell r="H313" t="str">
            <v>MOS</v>
          </cell>
          <cell r="I313" t="str">
            <v>XLB</v>
          </cell>
          <cell r="J313" t="str">
            <v>農業投入</v>
          </cell>
          <cell r="K313" t="str">
            <v>.SPX</v>
          </cell>
          <cell r="L313">
            <v>0.41320000000000001</v>
          </cell>
          <cell r="M313">
            <v>31.34</v>
          </cell>
          <cell r="N313">
            <v>0.67569999999999997</v>
          </cell>
          <cell r="O313">
            <v>0.26079999999999998</v>
          </cell>
          <cell r="P313">
            <v>0.69720000000000004</v>
          </cell>
          <cell r="Q313">
            <v>0.36780000000000002</v>
          </cell>
        </row>
        <row r="314">
          <cell r="H314" t="str">
            <v>MPC</v>
          </cell>
          <cell r="I314" t="str">
            <v>XLE</v>
          </cell>
          <cell r="J314" t="str">
            <v>油氣煉製與營銷</v>
          </cell>
          <cell r="K314" t="str">
            <v>.SPX</v>
          </cell>
          <cell r="L314">
            <v>0.32200000000000001</v>
          </cell>
          <cell r="M314">
            <v>57.14</v>
          </cell>
          <cell r="N314">
            <v>0.748</v>
          </cell>
          <cell r="O314">
            <v>0.19620000000000001</v>
          </cell>
          <cell r="P314">
            <v>0.7319</v>
          </cell>
          <cell r="Q314">
            <v>0.26890000000000003</v>
          </cell>
        </row>
        <row r="315">
          <cell r="H315" t="str">
            <v>MPWR</v>
          </cell>
          <cell r="I315" t="str">
            <v>XLK</v>
          </cell>
          <cell r="J315" t="str">
            <v>半導體</v>
          </cell>
          <cell r="K315" t="str">
            <v>.SPX</v>
          </cell>
          <cell r="L315">
            <v>0.3392</v>
          </cell>
          <cell r="M315">
            <v>463.48</v>
          </cell>
          <cell r="N315">
            <v>0.68830000000000002</v>
          </cell>
          <cell r="O315">
            <v>0.22839999999999999</v>
          </cell>
          <cell r="P315">
            <v>0.53659999999999997</v>
          </cell>
          <cell r="Q315">
            <v>0.29549999999999998</v>
          </cell>
        </row>
        <row r="316">
          <cell r="H316" t="str">
            <v>MRK</v>
          </cell>
          <cell r="I316" t="str">
            <v>XLV</v>
          </cell>
          <cell r="J316" t="str">
            <v>藥品製造商— 常規</v>
          </cell>
          <cell r="K316" t="str">
            <v>.SPX</v>
          </cell>
          <cell r="L316">
            <v>0.1681</v>
          </cell>
          <cell r="M316">
            <v>75.22</v>
          </cell>
          <cell r="N316">
            <v>0.2472</v>
          </cell>
          <cell r="O316">
            <v>0.11269999999999999</v>
          </cell>
          <cell r="P316">
            <v>0.31900000000000001</v>
          </cell>
          <cell r="Q316">
            <v>0.15710000000000002</v>
          </cell>
        </row>
        <row r="317">
          <cell r="H317" t="str">
            <v>MRNA</v>
          </cell>
          <cell r="I317" t="str">
            <v>XLV</v>
          </cell>
          <cell r="J317" t="str">
            <v>生物技術</v>
          </cell>
          <cell r="K317" t="str">
            <v>.SPX</v>
          </cell>
          <cell r="L317">
            <v>0.59660000000000002</v>
          </cell>
          <cell r="M317">
            <v>440.65</v>
          </cell>
          <cell r="N317">
            <v>1.1395</v>
          </cell>
          <cell r="O317">
            <v>0.40710000000000002</v>
          </cell>
          <cell r="P317">
            <v>1.3043</v>
          </cell>
          <cell r="Q317">
            <v>0.51719999999999999</v>
          </cell>
        </row>
        <row r="318">
          <cell r="H318" t="str">
            <v>MRO</v>
          </cell>
          <cell r="I318" t="str">
            <v>XLE</v>
          </cell>
          <cell r="J318" t="str">
            <v>油氣E&amp;P</v>
          </cell>
          <cell r="K318" t="str">
            <v>.SPX</v>
          </cell>
          <cell r="L318">
            <v>0.51900000000000002</v>
          </cell>
          <cell r="M318">
            <v>12.04</v>
          </cell>
          <cell r="N318">
            <v>0.9133</v>
          </cell>
          <cell r="O318">
            <v>0.43140000000000001</v>
          </cell>
          <cell r="P318">
            <v>0.87629999999999997</v>
          </cell>
          <cell r="Q318">
            <v>0.4617</v>
          </cell>
        </row>
        <row r="319">
          <cell r="H319" t="str">
            <v>MS</v>
          </cell>
          <cell r="I319" t="str">
            <v>XLF</v>
          </cell>
          <cell r="J319" t="str">
            <v>資本市場</v>
          </cell>
          <cell r="K319" t="str">
            <v>.SPX</v>
          </cell>
          <cell r="L319">
            <v>0.25380000000000003</v>
          </cell>
          <cell r="M319">
            <v>97.83</v>
          </cell>
          <cell r="N319">
            <v>0.4108</v>
          </cell>
          <cell r="O319">
            <v>0.2001</v>
          </cell>
          <cell r="P319">
            <v>0.45579999999999998</v>
          </cell>
          <cell r="Q319">
            <v>0.24429999999999999</v>
          </cell>
        </row>
        <row r="320">
          <cell r="H320" t="str">
            <v>MSCI</v>
          </cell>
          <cell r="I320" t="str">
            <v>XLF</v>
          </cell>
          <cell r="J320" t="str">
            <v>金融數據與證券交易所</v>
          </cell>
          <cell r="K320" t="str">
            <v>.SPX</v>
          </cell>
          <cell r="L320">
            <v>0.25380000000000003</v>
          </cell>
          <cell r="M320">
            <v>627.38</v>
          </cell>
          <cell r="N320">
            <v>0.46100000000000002</v>
          </cell>
          <cell r="O320">
            <v>0.15049999999999999</v>
          </cell>
          <cell r="P320">
            <v>0.45049999999999996</v>
          </cell>
          <cell r="Q320">
            <v>0.2213</v>
          </cell>
        </row>
        <row r="321">
          <cell r="H321" t="str">
            <v>MSFT</v>
          </cell>
          <cell r="I321" t="str">
            <v>XLK</v>
          </cell>
          <cell r="J321" t="str">
            <v>軟件基礎設施</v>
          </cell>
          <cell r="K321" t="str">
            <v>.SPX</v>
          </cell>
          <cell r="L321">
            <v>0.1694</v>
          </cell>
          <cell r="M321">
            <v>289.52</v>
          </cell>
          <cell r="N321">
            <v>0.39860000000000001</v>
          </cell>
          <cell r="O321">
            <v>0.13059999999999999</v>
          </cell>
          <cell r="P321">
            <v>0.48</v>
          </cell>
          <cell r="Q321">
            <v>0.16500000000000001</v>
          </cell>
        </row>
        <row r="322">
          <cell r="H322" t="str">
            <v>MSI</v>
          </cell>
          <cell r="I322" t="str">
            <v>XLK</v>
          </cell>
          <cell r="J322" t="str">
            <v>通信設備</v>
          </cell>
          <cell r="K322" t="str">
            <v>.SPX</v>
          </cell>
          <cell r="L322">
            <v>0.2447</v>
          </cell>
          <cell r="M322">
            <v>222.27</v>
          </cell>
          <cell r="N322">
            <v>0.34050000000000002</v>
          </cell>
          <cell r="O322">
            <v>0.11210000000000001</v>
          </cell>
          <cell r="P322">
            <v>0.42859999999999998</v>
          </cell>
          <cell r="Q322">
            <v>0.17530000000000001</v>
          </cell>
        </row>
        <row r="323">
          <cell r="H323" t="str">
            <v>MTB</v>
          </cell>
          <cell r="I323" t="str">
            <v>XLF</v>
          </cell>
          <cell r="J323" t="str">
            <v>銀行-區域</v>
          </cell>
          <cell r="K323" t="str">
            <v>.SPX</v>
          </cell>
          <cell r="L323">
            <v>0.29599999999999999</v>
          </cell>
          <cell r="M323">
            <v>137.37</v>
          </cell>
          <cell r="N323">
            <v>0.88749999999999996</v>
          </cell>
          <cell r="O323">
            <v>0.22339999999999999</v>
          </cell>
          <cell r="P323">
            <v>0.53159999999999996</v>
          </cell>
          <cell r="Q323">
            <v>0.24480000000000002</v>
          </cell>
        </row>
        <row r="324">
          <cell r="H324" t="str">
            <v>MTD</v>
          </cell>
          <cell r="I324" t="str">
            <v>XLV</v>
          </cell>
          <cell r="J324" t="str">
            <v>診斷與研究</v>
          </cell>
          <cell r="K324" t="str">
            <v>.SPX</v>
          </cell>
          <cell r="L324">
            <v>0.21959999999999999</v>
          </cell>
          <cell r="M324">
            <v>1527.56</v>
          </cell>
          <cell r="N324">
            <v>0.37580000000000002</v>
          </cell>
          <cell r="O324">
            <v>0.15090000000000001</v>
          </cell>
          <cell r="P324">
            <v>0.39409999999999995</v>
          </cell>
          <cell r="Q324">
            <v>0.17960000000000001</v>
          </cell>
        </row>
        <row r="325">
          <cell r="H325" t="str">
            <v>MU</v>
          </cell>
          <cell r="I325" t="str">
            <v>XLK</v>
          </cell>
          <cell r="J325" t="str">
            <v>半導體</v>
          </cell>
          <cell r="K325" t="str">
            <v>.SPX</v>
          </cell>
          <cell r="L325">
            <v>0.34139999999999998</v>
          </cell>
          <cell r="M325">
            <v>81.489999999999995</v>
          </cell>
          <cell r="N325">
            <v>0.61329999999999996</v>
          </cell>
          <cell r="O325">
            <v>0.29609999999999997</v>
          </cell>
          <cell r="P325">
            <v>0.60809999999999997</v>
          </cell>
          <cell r="Q325">
            <v>0.29370000000000002</v>
          </cell>
        </row>
        <row r="326">
          <cell r="H326" t="str">
            <v>MXIM</v>
          </cell>
          <cell r="I326" t="str">
            <v>XLK</v>
          </cell>
          <cell r="J326" t="str">
            <v>半導體</v>
          </cell>
          <cell r="K326" t="str">
            <v>.SPX</v>
          </cell>
          <cell r="L326">
            <v>0.4088</v>
          </cell>
          <cell r="M326">
            <v>100.46</v>
          </cell>
          <cell r="N326">
            <v>0.44230000000000003</v>
          </cell>
          <cell r="O326">
            <v>0.17699999999999999</v>
          </cell>
          <cell r="P326">
            <v>0.48200000000000004</v>
          </cell>
          <cell r="Q326">
            <v>0.24850000000000003</v>
          </cell>
        </row>
        <row r="327">
          <cell r="H327" t="str">
            <v>NCLH</v>
          </cell>
          <cell r="I327" t="str">
            <v>XLY</v>
          </cell>
          <cell r="J327" t="str">
            <v>旅行服務</v>
          </cell>
          <cell r="K327" t="str">
            <v>.SPX</v>
          </cell>
          <cell r="L327">
            <v>0.60099999999999998</v>
          </cell>
          <cell r="M327">
            <v>24.18</v>
          </cell>
          <cell r="N327">
            <v>1.0387</v>
          </cell>
          <cell r="O327">
            <v>0.37580000000000002</v>
          </cell>
          <cell r="P327">
            <v>1.1062000000000001</v>
          </cell>
          <cell r="Q327">
            <v>0.46679999999999999</v>
          </cell>
        </row>
        <row r="328">
          <cell r="H328" t="str">
            <v>NDAQ</v>
          </cell>
          <cell r="I328" t="str">
            <v>XLF</v>
          </cell>
          <cell r="J328" t="str">
            <v>金融數據與證券交易所</v>
          </cell>
          <cell r="K328" t="str">
            <v>.SPX</v>
          </cell>
          <cell r="L328">
            <v>0.20419999999999999</v>
          </cell>
          <cell r="M328">
            <v>188.68</v>
          </cell>
          <cell r="N328">
            <v>0.28599999999999998</v>
          </cell>
          <cell r="O328">
            <v>0.15229999999999999</v>
          </cell>
          <cell r="P328">
            <v>0.38020000000000004</v>
          </cell>
          <cell r="Q328">
            <v>0.1898</v>
          </cell>
        </row>
        <row r="329">
          <cell r="H329" t="str">
            <v>NEE</v>
          </cell>
          <cell r="I329" t="str">
            <v>XLU</v>
          </cell>
          <cell r="J329" t="str">
            <v>公用事業—受監督的電力</v>
          </cell>
          <cell r="K329" t="str">
            <v>.SPX</v>
          </cell>
          <cell r="L329">
            <v>0.18440000000000001</v>
          </cell>
          <cell r="M329">
            <v>80.489999999999995</v>
          </cell>
          <cell r="N329">
            <v>0.34139999999999998</v>
          </cell>
          <cell r="O329">
            <v>0.14680000000000001</v>
          </cell>
          <cell r="P329">
            <v>0.33750000000000002</v>
          </cell>
          <cell r="Q329">
            <v>0.18440000000000001</v>
          </cell>
        </row>
        <row r="330">
          <cell r="H330" t="str">
            <v>NEM</v>
          </cell>
          <cell r="I330" t="str">
            <v>XLB</v>
          </cell>
          <cell r="J330" t="str">
            <v>黃金</v>
          </cell>
          <cell r="K330" t="str">
            <v>.SPX</v>
          </cell>
          <cell r="L330">
            <v>0.26519999999999999</v>
          </cell>
          <cell r="M330">
            <v>61.25</v>
          </cell>
          <cell r="N330">
            <v>0.45440000000000003</v>
          </cell>
          <cell r="O330">
            <v>0.16619999999999999</v>
          </cell>
          <cell r="P330">
            <v>0.4546</v>
          </cell>
          <cell r="Q330">
            <v>0.24660000000000001</v>
          </cell>
        </row>
        <row r="331">
          <cell r="H331" t="str">
            <v>NFLX</v>
          </cell>
          <cell r="I331" t="str">
            <v>XLC</v>
          </cell>
          <cell r="J331" t="str">
            <v>娛樂</v>
          </cell>
          <cell r="K331" t="str">
            <v>.SPX</v>
          </cell>
          <cell r="L331">
            <v>0.2223</v>
          </cell>
          <cell r="M331">
            <v>524.89</v>
          </cell>
          <cell r="N331">
            <v>0.58560000000000001</v>
          </cell>
          <cell r="O331">
            <v>0.1661</v>
          </cell>
          <cell r="P331">
            <v>0.62509999999999999</v>
          </cell>
          <cell r="Q331">
            <v>0.2223</v>
          </cell>
        </row>
        <row r="332">
          <cell r="H332" t="str">
            <v>NI</v>
          </cell>
          <cell r="I332" t="str">
            <v>XLU</v>
          </cell>
          <cell r="J332" t="str">
            <v>公用事業-管制氣體</v>
          </cell>
          <cell r="K332" t="str">
            <v>.SPX</v>
          </cell>
          <cell r="L332">
            <v>0.22020000000000001</v>
          </cell>
          <cell r="M332">
            <v>25.6</v>
          </cell>
          <cell r="N332">
            <v>0.33439999999999998</v>
          </cell>
          <cell r="O332">
            <v>0.13730000000000001</v>
          </cell>
          <cell r="P332">
            <v>0.48249999999999998</v>
          </cell>
          <cell r="Q332">
            <v>0.17859999999999998</v>
          </cell>
        </row>
        <row r="333">
          <cell r="H333" t="str">
            <v>NKE</v>
          </cell>
          <cell r="I333" t="str">
            <v>XLY</v>
          </cell>
          <cell r="J333" t="str">
            <v>鞋類及配件</v>
          </cell>
          <cell r="K333" t="str">
            <v>.SPX</v>
          </cell>
          <cell r="L333">
            <v>0.22320000000000001</v>
          </cell>
          <cell r="M333">
            <v>173.85</v>
          </cell>
          <cell r="N333">
            <v>0.44900000000000001</v>
          </cell>
          <cell r="O333">
            <v>0.14399999999999999</v>
          </cell>
          <cell r="P333">
            <v>0.42869999999999997</v>
          </cell>
          <cell r="Q333">
            <v>0.19269999999999998</v>
          </cell>
        </row>
        <row r="334">
          <cell r="H334" t="str">
            <v>NLOK</v>
          </cell>
          <cell r="I334" t="str">
            <v>XLK</v>
          </cell>
          <cell r="J334" t="str">
            <v>軟件基礎設施</v>
          </cell>
          <cell r="K334" t="str">
            <v>.SPX</v>
          </cell>
          <cell r="L334">
            <v>0.26750000000000002</v>
          </cell>
          <cell r="M334">
            <v>23.99</v>
          </cell>
          <cell r="N334">
            <v>0.41649999999999998</v>
          </cell>
          <cell r="O334">
            <v>0.1832</v>
          </cell>
          <cell r="P334">
            <v>0.53859999999999997</v>
          </cell>
          <cell r="Q334">
            <v>0.2462</v>
          </cell>
        </row>
        <row r="335">
          <cell r="H335" t="str">
            <v>NLSN</v>
          </cell>
          <cell r="I335" t="str">
            <v>XLI</v>
          </cell>
          <cell r="J335" t="str">
            <v>咨詢服務</v>
          </cell>
          <cell r="K335" t="str">
            <v>.SPX</v>
          </cell>
          <cell r="L335">
            <v>0.29599999999999999</v>
          </cell>
          <cell r="M335">
            <v>23.24</v>
          </cell>
          <cell r="N335">
            <v>0.57320000000000004</v>
          </cell>
          <cell r="O335">
            <v>0.22389999999999999</v>
          </cell>
          <cell r="P335">
            <v>0.66980000000000006</v>
          </cell>
          <cell r="Q335">
            <v>0.2893</v>
          </cell>
        </row>
        <row r="336">
          <cell r="H336" t="str">
            <v>NOC</v>
          </cell>
          <cell r="I336" t="str">
            <v>XLI</v>
          </cell>
          <cell r="J336" t="str">
            <v>航天軍工</v>
          </cell>
          <cell r="K336" t="str">
            <v>.SPX</v>
          </cell>
          <cell r="L336">
            <v>0.1845</v>
          </cell>
          <cell r="M336">
            <v>358.72</v>
          </cell>
          <cell r="N336">
            <v>0.2974</v>
          </cell>
          <cell r="O336">
            <v>0.14460000000000001</v>
          </cell>
          <cell r="P336">
            <v>0.39169999999999999</v>
          </cell>
          <cell r="Q336">
            <v>0.16510000000000002</v>
          </cell>
        </row>
        <row r="337">
          <cell r="H337" t="str">
            <v>NOV</v>
          </cell>
          <cell r="I337" t="str">
            <v>XLE</v>
          </cell>
          <cell r="J337" t="str">
            <v>石油和天然氣設備和服務</v>
          </cell>
          <cell r="K337" t="str">
            <v>.SPX</v>
          </cell>
          <cell r="L337">
            <v>0.51859999999999995</v>
          </cell>
          <cell r="M337">
            <v>13.54</v>
          </cell>
          <cell r="N337">
            <v>0.97950000000000004</v>
          </cell>
          <cell r="O337">
            <v>0.36230000000000001</v>
          </cell>
          <cell r="P337">
            <v>0.93159999999999998</v>
          </cell>
          <cell r="Q337">
            <v>0.41880000000000001</v>
          </cell>
        </row>
        <row r="338">
          <cell r="H338" t="str">
            <v>NOW</v>
          </cell>
          <cell r="I338" t="str">
            <v>XLK</v>
          </cell>
          <cell r="J338" t="str">
            <v>軟件-應用</v>
          </cell>
          <cell r="K338" t="str">
            <v>.SPX</v>
          </cell>
          <cell r="L338">
            <v>0.25259999999999999</v>
          </cell>
          <cell r="M338">
            <v>595.5</v>
          </cell>
          <cell r="N338">
            <v>0.51529999999999998</v>
          </cell>
          <cell r="O338">
            <v>0.1464</v>
          </cell>
          <cell r="P338">
            <v>0.51019999999999999</v>
          </cell>
          <cell r="Q338">
            <v>0.25259999999999999</v>
          </cell>
        </row>
        <row r="339">
          <cell r="H339" t="str">
            <v>NRG</v>
          </cell>
          <cell r="I339" t="str">
            <v>XLU</v>
          </cell>
          <cell r="J339" t="str">
            <v>公用事業-獨立發電商</v>
          </cell>
          <cell r="K339" t="str">
            <v>.SPX</v>
          </cell>
          <cell r="L339">
            <v>0.29049999999999998</v>
          </cell>
          <cell r="M339">
            <v>41.97</v>
          </cell>
          <cell r="N339">
            <v>0.80130000000000001</v>
          </cell>
          <cell r="O339">
            <v>0.18490000000000001</v>
          </cell>
          <cell r="P339">
            <v>0.71040000000000003</v>
          </cell>
          <cell r="Q339">
            <v>0.27029999999999998</v>
          </cell>
        </row>
        <row r="340">
          <cell r="H340" t="str">
            <v>NSC</v>
          </cell>
          <cell r="I340" t="str">
            <v>XLI</v>
          </cell>
          <cell r="J340" t="str">
            <v>鐵路</v>
          </cell>
          <cell r="K340" t="str">
            <v>.SPX</v>
          </cell>
          <cell r="L340">
            <v>0.21740000000000001</v>
          </cell>
          <cell r="M340">
            <v>254.47</v>
          </cell>
          <cell r="N340">
            <v>0.33760000000000001</v>
          </cell>
          <cell r="O340">
            <v>0.13669999999999999</v>
          </cell>
          <cell r="P340">
            <v>0.40079999999999999</v>
          </cell>
          <cell r="Q340">
            <v>0.19159999999999999</v>
          </cell>
        </row>
        <row r="341">
          <cell r="H341" t="str">
            <v>NTAP</v>
          </cell>
          <cell r="I341" t="str">
            <v>XLK</v>
          </cell>
          <cell r="J341" t="str">
            <v>計算機硬件</v>
          </cell>
          <cell r="K341" t="str">
            <v>.SPX</v>
          </cell>
          <cell r="L341">
            <v>0.36499999999999999</v>
          </cell>
          <cell r="M341">
            <v>81.48</v>
          </cell>
          <cell r="N341">
            <v>0.61670000000000003</v>
          </cell>
          <cell r="O341">
            <v>0.17119999999999999</v>
          </cell>
          <cell r="P341">
            <v>0.59870000000000001</v>
          </cell>
          <cell r="Q341">
            <v>0.23129999999999998</v>
          </cell>
        </row>
        <row r="342">
          <cell r="H342" t="str">
            <v>NTRS</v>
          </cell>
          <cell r="I342" t="str">
            <v>XLF</v>
          </cell>
          <cell r="J342" t="str">
            <v>資產管理</v>
          </cell>
          <cell r="K342" t="str">
            <v>.SPX</v>
          </cell>
          <cell r="L342">
            <v>0.24349999999999999</v>
          </cell>
          <cell r="M342">
            <v>112.23</v>
          </cell>
          <cell r="N342">
            <v>0.48370000000000002</v>
          </cell>
          <cell r="O342">
            <v>0.17510000000000001</v>
          </cell>
          <cell r="P342">
            <v>0.45579999999999998</v>
          </cell>
          <cell r="Q342">
            <v>0.22440000000000002</v>
          </cell>
        </row>
        <row r="343">
          <cell r="H343" t="str">
            <v>NUE</v>
          </cell>
          <cell r="I343" t="str">
            <v>XLB</v>
          </cell>
          <cell r="J343" t="str">
            <v>鋼鐵</v>
          </cell>
          <cell r="K343" t="str">
            <v>.SPX</v>
          </cell>
          <cell r="L343">
            <v>0.39150000000000001</v>
          </cell>
          <cell r="M343">
            <v>103.77</v>
          </cell>
          <cell r="N343">
            <v>0.50149999999999995</v>
          </cell>
          <cell r="O343">
            <v>0.2535</v>
          </cell>
          <cell r="P343">
            <v>0.45079999999999998</v>
          </cell>
          <cell r="Q343">
            <v>0.29299999999999998</v>
          </cell>
        </row>
        <row r="344">
          <cell r="H344" t="str">
            <v>NVDA</v>
          </cell>
          <cell r="I344" t="str">
            <v>XLK</v>
          </cell>
          <cell r="J344" t="str">
            <v>半導體</v>
          </cell>
          <cell r="K344" t="str">
            <v>.SPX</v>
          </cell>
          <cell r="L344">
            <v>0.32819999999999999</v>
          </cell>
          <cell r="M344">
            <v>222.42</v>
          </cell>
          <cell r="N344">
            <v>0.59089999999999998</v>
          </cell>
          <cell r="O344">
            <v>0.20330000000000001</v>
          </cell>
          <cell r="P344">
            <v>0.57119999999999993</v>
          </cell>
          <cell r="Q344">
            <v>0.31480000000000002</v>
          </cell>
        </row>
        <row r="345">
          <cell r="H345" t="str">
            <v>NVR</v>
          </cell>
          <cell r="I345" t="str">
            <v>XLY</v>
          </cell>
          <cell r="J345" t="str">
            <v>住宅建設</v>
          </cell>
          <cell r="K345" t="str">
            <v>.SPX</v>
          </cell>
          <cell r="L345" t="str">
            <v>N/A</v>
          </cell>
          <cell r="M345">
            <v>5313.57</v>
          </cell>
          <cell r="N345">
            <v>0.4219</v>
          </cell>
          <cell r="O345">
            <v>0.1928</v>
          </cell>
          <cell r="P345" t="str">
            <v>N/A</v>
          </cell>
          <cell r="Q345" t="str">
            <v>N/A</v>
          </cell>
        </row>
        <row r="346">
          <cell r="H346" t="str">
            <v>NWL</v>
          </cell>
          <cell r="I346" t="str">
            <v>XLY</v>
          </cell>
          <cell r="J346" t="str">
            <v>家庭及個人產品</v>
          </cell>
          <cell r="K346" t="str">
            <v>.SPX</v>
          </cell>
          <cell r="L346">
            <v>0.27229999999999999</v>
          </cell>
          <cell r="M346">
            <v>25.52</v>
          </cell>
          <cell r="N346">
            <v>0.4335</v>
          </cell>
          <cell r="O346">
            <v>0.18079999999999999</v>
          </cell>
          <cell r="P346">
            <v>0.54420000000000002</v>
          </cell>
          <cell r="Q346">
            <v>0.23949999999999999</v>
          </cell>
        </row>
        <row r="347">
          <cell r="H347" t="str">
            <v>NWS</v>
          </cell>
          <cell r="I347" t="str">
            <v>XLC</v>
          </cell>
          <cell r="J347" t="str">
            <v>廣播</v>
          </cell>
          <cell r="K347" t="str">
            <v>.SPX</v>
          </cell>
          <cell r="L347">
            <v>0.31990000000000002</v>
          </cell>
          <cell r="M347">
            <v>24.44</v>
          </cell>
          <cell r="N347">
            <v>0.41810000000000003</v>
          </cell>
          <cell r="O347">
            <v>0.2056</v>
          </cell>
          <cell r="P347">
            <v>0.95099999999999996</v>
          </cell>
          <cell r="Q347">
            <v>0.23949999999999999</v>
          </cell>
        </row>
        <row r="348">
          <cell r="H348" t="str">
            <v>NWSA</v>
          </cell>
          <cell r="I348" t="str">
            <v>XLC</v>
          </cell>
          <cell r="J348" t="str">
            <v>廣播</v>
          </cell>
          <cell r="K348" t="str">
            <v>.SPX</v>
          </cell>
          <cell r="L348">
            <v>0.34820000000000001</v>
          </cell>
          <cell r="M348">
            <v>25.33</v>
          </cell>
          <cell r="N348">
            <v>0.41649999999999998</v>
          </cell>
          <cell r="O348">
            <v>0.1976</v>
          </cell>
          <cell r="P348">
            <v>0.70680000000000009</v>
          </cell>
          <cell r="Q348">
            <v>0.27829999999999999</v>
          </cell>
        </row>
        <row r="349">
          <cell r="H349" t="str">
            <v>NXPI</v>
          </cell>
          <cell r="I349" t="str">
            <v>XLK</v>
          </cell>
          <cell r="J349" t="str">
            <v>半導體</v>
          </cell>
          <cell r="K349" t="str">
            <v>.SPX</v>
          </cell>
          <cell r="L349">
            <v>0.30599999999999999</v>
          </cell>
          <cell r="M349">
            <v>212.9</v>
          </cell>
          <cell r="N349">
            <v>0.63260000000000005</v>
          </cell>
          <cell r="O349">
            <v>0.2291</v>
          </cell>
          <cell r="P349">
            <v>0.50170000000000003</v>
          </cell>
          <cell r="Q349">
            <v>0.28029999999999999</v>
          </cell>
        </row>
        <row r="350">
          <cell r="H350" t="str">
            <v>O</v>
          </cell>
          <cell r="I350" t="str">
            <v>XLRE</v>
          </cell>
          <cell r="J350" t="str">
            <v>-</v>
          </cell>
          <cell r="K350" t="str">
            <v>.SPX</v>
          </cell>
          <cell r="L350">
            <v>0.1736</v>
          </cell>
          <cell r="M350">
            <v>70.86</v>
          </cell>
          <cell r="N350">
            <v>0.35820000000000002</v>
          </cell>
          <cell r="O350">
            <v>0.13730000000000001</v>
          </cell>
          <cell r="P350">
            <v>0.39119999999999999</v>
          </cell>
          <cell r="Q350">
            <v>0.16149999999999998</v>
          </cell>
        </row>
        <row r="351">
          <cell r="H351" t="str">
            <v>ODFL</v>
          </cell>
          <cell r="I351" t="str">
            <v>XLI</v>
          </cell>
          <cell r="J351" t="str">
            <v>貨車運輸</v>
          </cell>
          <cell r="K351" t="str">
            <v>.SPX</v>
          </cell>
          <cell r="L351">
            <v>0.22889999999999999</v>
          </cell>
          <cell r="M351">
            <v>272.19</v>
          </cell>
          <cell r="N351">
            <v>0.38969999999999999</v>
          </cell>
          <cell r="O351">
            <v>0.14480000000000001</v>
          </cell>
          <cell r="P351">
            <v>0.41689999999999999</v>
          </cell>
          <cell r="Q351">
            <v>0.22270000000000001</v>
          </cell>
        </row>
        <row r="352">
          <cell r="H352" t="str">
            <v>OGN</v>
          </cell>
          <cell r="I352" t="str">
            <v>XLV</v>
          </cell>
          <cell r="J352" t="str">
            <v>藥品製造商— 常規</v>
          </cell>
          <cell r="K352" t="str">
            <v>.SPX</v>
          </cell>
          <cell r="L352">
            <v>0.39489999999999997</v>
          </cell>
          <cell r="M352">
            <v>29.56</v>
          </cell>
          <cell r="N352">
            <v>0.54559999999999997</v>
          </cell>
          <cell r="O352">
            <v>0.26240000000000002</v>
          </cell>
          <cell r="P352">
            <v>0.47539999999999999</v>
          </cell>
          <cell r="Q352">
            <v>0.3095</v>
          </cell>
        </row>
        <row r="353">
          <cell r="H353" t="str">
            <v>OKE</v>
          </cell>
          <cell r="I353" t="str">
            <v>XLE</v>
          </cell>
          <cell r="J353" t="str">
            <v>油氣中流</v>
          </cell>
          <cell r="K353" t="str">
            <v>.SPX</v>
          </cell>
          <cell r="L353">
            <v>0.3095</v>
          </cell>
          <cell r="M353">
            <v>52.46</v>
          </cell>
          <cell r="N353">
            <v>0.69850000000000001</v>
          </cell>
          <cell r="O353">
            <v>0.19320000000000001</v>
          </cell>
          <cell r="P353">
            <v>0.72689999999999999</v>
          </cell>
          <cell r="Q353">
            <v>0.247</v>
          </cell>
        </row>
        <row r="354">
          <cell r="H354" t="str">
            <v>OMC</v>
          </cell>
          <cell r="I354" t="str">
            <v>XLC</v>
          </cell>
          <cell r="J354" t="str">
            <v>廣告公司</v>
          </cell>
          <cell r="K354" t="str">
            <v>.SPX</v>
          </cell>
          <cell r="L354">
            <v>0.22520000000000001</v>
          </cell>
          <cell r="M354">
            <v>73.73</v>
          </cell>
          <cell r="N354">
            <v>0.61050000000000004</v>
          </cell>
          <cell r="O354">
            <v>0.1416</v>
          </cell>
          <cell r="P354">
            <v>0.44619999999999999</v>
          </cell>
          <cell r="Q354">
            <v>0.20809999999999998</v>
          </cell>
        </row>
        <row r="355">
          <cell r="H355" t="str">
            <v>ORCL</v>
          </cell>
          <cell r="I355" t="str">
            <v>XLK</v>
          </cell>
          <cell r="J355" t="str">
            <v>軟件基礎設施</v>
          </cell>
          <cell r="K355" t="str">
            <v>.SPX</v>
          </cell>
          <cell r="L355">
            <v>0.24210000000000001</v>
          </cell>
          <cell r="M355">
            <v>89.43</v>
          </cell>
          <cell r="N355">
            <v>0.37769999999999998</v>
          </cell>
          <cell r="O355">
            <v>0.11840000000000001</v>
          </cell>
          <cell r="P355">
            <v>0.43819999999999998</v>
          </cell>
          <cell r="Q355">
            <v>0.188</v>
          </cell>
        </row>
        <row r="356">
          <cell r="H356" t="str">
            <v>ORLY</v>
          </cell>
          <cell r="I356" t="str">
            <v>XLY</v>
          </cell>
          <cell r="J356" t="str">
            <v>專業零售</v>
          </cell>
          <cell r="K356" t="str">
            <v>.SPX</v>
          </cell>
          <cell r="L356">
            <v>0.1938</v>
          </cell>
          <cell r="M356">
            <v>605.15</v>
          </cell>
          <cell r="N356">
            <v>0.35170000000000001</v>
          </cell>
          <cell r="O356">
            <v>0.11119999999999999</v>
          </cell>
          <cell r="P356">
            <v>0.43009999999999998</v>
          </cell>
          <cell r="Q356">
            <v>0.1729</v>
          </cell>
        </row>
        <row r="357">
          <cell r="H357" t="str">
            <v>OTIS</v>
          </cell>
          <cell r="I357" t="str">
            <v>XLI</v>
          </cell>
          <cell r="J357" t="str">
            <v>特種工業機械</v>
          </cell>
          <cell r="K357" t="str">
            <v>.SPX</v>
          </cell>
          <cell r="L357">
            <v>0.2051</v>
          </cell>
          <cell r="M357">
            <v>90.27</v>
          </cell>
          <cell r="N357">
            <v>0.31240000000000001</v>
          </cell>
          <cell r="O357">
            <v>0.10879999999999999</v>
          </cell>
          <cell r="P357">
            <v>0.41090000000000004</v>
          </cell>
          <cell r="Q357">
            <v>0.18989999999999999</v>
          </cell>
        </row>
        <row r="358">
          <cell r="H358" t="str">
            <v>OXY</v>
          </cell>
          <cell r="I358" t="str">
            <v>XLE</v>
          </cell>
          <cell r="J358" t="str">
            <v>油氣E&amp;P</v>
          </cell>
          <cell r="K358" t="str">
            <v>.SPX</v>
          </cell>
          <cell r="L358">
            <v>0.52959999999999996</v>
          </cell>
          <cell r="M358">
            <v>26.62</v>
          </cell>
          <cell r="N358">
            <v>1.0264</v>
          </cell>
          <cell r="O358">
            <v>0.4748</v>
          </cell>
          <cell r="P358">
            <v>0.92269999999999996</v>
          </cell>
          <cell r="Q358">
            <v>0.48039999999999999</v>
          </cell>
        </row>
        <row r="359">
          <cell r="H359" t="str">
            <v>PAYC</v>
          </cell>
          <cell r="I359" t="str">
            <v>XLK</v>
          </cell>
          <cell r="J359" t="str">
            <v>軟件-應用</v>
          </cell>
          <cell r="K359" t="str">
            <v>.SPX</v>
          </cell>
          <cell r="L359">
            <v>0.32440000000000002</v>
          </cell>
          <cell r="M359">
            <v>457.27</v>
          </cell>
          <cell r="N359">
            <v>0.54379999999999995</v>
          </cell>
          <cell r="O359">
            <v>0.22550000000000001</v>
          </cell>
          <cell r="P359">
            <v>0.62029999999999996</v>
          </cell>
          <cell r="Q359">
            <v>0.32240000000000002</v>
          </cell>
        </row>
        <row r="360">
          <cell r="H360" t="str">
            <v>PAYX</v>
          </cell>
          <cell r="I360" t="str">
            <v>XLK</v>
          </cell>
          <cell r="J360" t="str">
            <v>人員配置和就業服務</v>
          </cell>
          <cell r="K360" t="str">
            <v>.SPX</v>
          </cell>
          <cell r="L360">
            <v>0.1923</v>
          </cell>
          <cell r="M360">
            <v>114.94</v>
          </cell>
          <cell r="N360">
            <v>0.28360000000000002</v>
          </cell>
          <cell r="O360">
            <v>0.1241</v>
          </cell>
          <cell r="P360">
            <v>0.37490000000000001</v>
          </cell>
          <cell r="Q360">
            <v>0.1691</v>
          </cell>
        </row>
        <row r="361">
          <cell r="H361" t="str">
            <v>PBCT</v>
          </cell>
          <cell r="I361" t="str">
            <v>XLF</v>
          </cell>
          <cell r="J361" t="str">
            <v>銀行-區域</v>
          </cell>
          <cell r="K361" t="str">
            <v>.SPX</v>
          </cell>
          <cell r="L361">
            <v>0.2792</v>
          </cell>
          <cell r="M361">
            <v>16.16</v>
          </cell>
          <cell r="N361">
            <v>0.80500000000000005</v>
          </cell>
          <cell r="O361">
            <v>0.2379</v>
          </cell>
          <cell r="P361">
            <v>0.55349999999999999</v>
          </cell>
          <cell r="Q361">
            <v>0.21179999999999999</v>
          </cell>
        </row>
        <row r="362">
          <cell r="H362" t="str">
            <v>PCAR</v>
          </cell>
          <cell r="I362" t="str">
            <v>XLI</v>
          </cell>
          <cell r="J362" t="str">
            <v>農重工程機械</v>
          </cell>
          <cell r="K362" t="str">
            <v>.SPX</v>
          </cell>
          <cell r="L362">
            <v>0.23119999999999999</v>
          </cell>
          <cell r="M362">
            <v>80.290000000000006</v>
          </cell>
          <cell r="N362">
            <v>0.39319999999999999</v>
          </cell>
          <cell r="O362">
            <v>0.15</v>
          </cell>
          <cell r="P362">
            <v>0.38650000000000001</v>
          </cell>
          <cell r="Q362">
            <v>0.20879999999999999</v>
          </cell>
        </row>
        <row r="363">
          <cell r="H363" t="str">
            <v>PEAK</v>
          </cell>
          <cell r="I363" t="str">
            <v>XLRE</v>
          </cell>
          <cell r="J363" t="str">
            <v>REIT-保健設施</v>
          </cell>
          <cell r="K363" t="str">
            <v>.SPX</v>
          </cell>
          <cell r="L363">
            <v>0.22339999999999999</v>
          </cell>
          <cell r="M363">
            <v>36.729999999999997</v>
          </cell>
          <cell r="N363">
            <v>0.36820000000000003</v>
          </cell>
          <cell r="O363">
            <v>0.1641</v>
          </cell>
          <cell r="P363">
            <v>0.50649999999999995</v>
          </cell>
          <cell r="Q363">
            <v>0.18719999999999998</v>
          </cell>
        </row>
        <row r="364">
          <cell r="H364" t="str">
            <v>PEG</v>
          </cell>
          <cell r="I364" t="str">
            <v>XLU</v>
          </cell>
          <cell r="J364" t="str">
            <v>公用事業-多樣化</v>
          </cell>
          <cell r="K364" t="str">
            <v>.SPX</v>
          </cell>
          <cell r="L364">
            <v>0.1822</v>
          </cell>
          <cell r="M364">
            <v>63.91</v>
          </cell>
          <cell r="N364">
            <v>0.33879999999999999</v>
          </cell>
          <cell r="O364">
            <v>0.128</v>
          </cell>
          <cell r="P364">
            <v>0.40899999999999997</v>
          </cell>
          <cell r="Q364">
            <v>0.15490000000000001</v>
          </cell>
        </row>
        <row r="365">
          <cell r="H365" t="str">
            <v>PENN</v>
          </cell>
          <cell r="I365" t="str">
            <v>XLY</v>
          </cell>
          <cell r="J365" t="str">
            <v>度假村和賭場</v>
          </cell>
          <cell r="K365" t="str">
            <v>.SPX</v>
          </cell>
          <cell r="L365">
            <v>0.53200000000000003</v>
          </cell>
          <cell r="M365">
            <v>76.069999999999993</v>
          </cell>
          <cell r="N365">
            <v>0.87739999999999996</v>
          </cell>
          <cell r="O365">
            <v>0.30880000000000002</v>
          </cell>
          <cell r="P365">
            <v>0.998</v>
          </cell>
          <cell r="Q365">
            <v>0.48799999999999999</v>
          </cell>
        </row>
        <row r="366">
          <cell r="H366" t="str">
            <v>PEP</v>
          </cell>
          <cell r="I366" t="str">
            <v>XLP</v>
          </cell>
          <cell r="J366" t="str">
            <v>飲料-不含酒精</v>
          </cell>
          <cell r="K366" t="str">
            <v>.SPX</v>
          </cell>
          <cell r="L366">
            <v>0.13980000000000001</v>
          </cell>
          <cell r="M366">
            <v>154.1</v>
          </cell>
          <cell r="N366">
            <v>0.23910000000000001</v>
          </cell>
          <cell r="O366">
            <v>9.9199999999999997E-2</v>
          </cell>
          <cell r="P366">
            <v>0.2984</v>
          </cell>
          <cell r="Q366">
            <v>0.1353</v>
          </cell>
        </row>
        <row r="367">
          <cell r="H367" t="str">
            <v>PFE</v>
          </cell>
          <cell r="I367" t="str">
            <v>XLV</v>
          </cell>
          <cell r="J367" t="str">
            <v>藥品製造商— 常規</v>
          </cell>
          <cell r="K367" t="str">
            <v>.SPX</v>
          </cell>
          <cell r="L367">
            <v>0.23549999999999999</v>
          </cell>
          <cell r="M367">
            <v>44.47</v>
          </cell>
          <cell r="N367">
            <v>0.4148</v>
          </cell>
          <cell r="O367">
            <v>0.13059999999999999</v>
          </cell>
          <cell r="P367">
            <v>0.59189999999999998</v>
          </cell>
          <cell r="Q367">
            <v>0.15229999999999999</v>
          </cell>
        </row>
        <row r="368">
          <cell r="H368" t="str">
            <v>PFG</v>
          </cell>
          <cell r="I368" t="str">
            <v>XLF</v>
          </cell>
          <cell r="J368" t="str">
            <v>保險-多樣化</v>
          </cell>
          <cell r="K368" t="str">
            <v>.SPX</v>
          </cell>
          <cell r="L368">
            <v>0.2505</v>
          </cell>
          <cell r="M368">
            <v>64.72</v>
          </cell>
          <cell r="N368">
            <v>0.60650000000000004</v>
          </cell>
          <cell r="O368">
            <v>0.1893</v>
          </cell>
          <cell r="P368">
            <v>0.49520000000000003</v>
          </cell>
          <cell r="Q368">
            <v>0.24739999999999998</v>
          </cell>
        </row>
        <row r="369">
          <cell r="H369" t="str">
            <v>PG</v>
          </cell>
          <cell r="I369" t="str">
            <v>XLP</v>
          </cell>
          <cell r="J369" t="str">
            <v>家庭及個人產品</v>
          </cell>
          <cell r="K369" t="str">
            <v>.SPX</v>
          </cell>
          <cell r="L369">
            <v>0.13150000000000001</v>
          </cell>
          <cell r="M369">
            <v>142.26</v>
          </cell>
          <cell r="N369">
            <v>0.21290000000000001</v>
          </cell>
          <cell r="O369">
            <v>9.8000000000000004E-2</v>
          </cell>
          <cell r="P369">
            <v>0.2959</v>
          </cell>
          <cell r="Q369">
            <v>0.13150000000000001</v>
          </cell>
        </row>
        <row r="370">
          <cell r="H370" t="str">
            <v>PGR</v>
          </cell>
          <cell r="I370" t="str">
            <v>XLF</v>
          </cell>
          <cell r="J370" t="str">
            <v>保險-財產及意外事故</v>
          </cell>
          <cell r="K370" t="str">
            <v>.SPX</v>
          </cell>
          <cell r="L370">
            <v>0.20030000000000001</v>
          </cell>
          <cell r="M370">
            <v>96.56</v>
          </cell>
          <cell r="N370">
            <v>0.35060000000000002</v>
          </cell>
          <cell r="O370">
            <v>0.1444</v>
          </cell>
          <cell r="P370">
            <v>0.37979999999999997</v>
          </cell>
          <cell r="Q370">
            <v>0.18820000000000001</v>
          </cell>
        </row>
        <row r="371">
          <cell r="H371" t="str">
            <v>PH</v>
          </cell>
          <cell r="I371" t="str">
            <v>XLI</v>
          </cell>
          <cell r="J371" t="str">
            <v>特種工業機械</v>
          </cell>
          <cell r="K371" t="str">
            <v>.SPX</v>
          </cell>
          <cell r="L371">
            <v>0.2581</v>
          </cell>
          <cell r="M371">
            <v>300.23</v>
          </cell>
          <cell r="N371">
            <v>0.47320000000000001</v>
          </cell>
          <cell r="O371">
            <v>0.1431</v>
          </cell>
          <cell r="P371">
            <v>0.53</v>
          </cell>
          <cell r="Q371">
            <v>0.22219999999999998</v>
          </cell>
        </row>
        <row r="372">
          <cell r="H372" t="str">
            <v>PHM</v>
          </cell>
          <cell r="I372" t="str">
            <v>XLY</v>
          </cell>
          <cell r="J372" t="str">
            <v>住宅建設</v>
          </cell>
          <cell r="K372" t="str">
            <v>.SPX</v>
          </cell>
          <cell r="L372">
            <v>0.31669999999999998</v>
          </cell>
          <cell r="M372">
            <v>53.49</v>
          </cell>
          <cell r="N372">
            <v>0.52390000000000003</v>
          </cell>
          <cell r="O372">
            <v>0.21340000000000001</v>
          </cell>
          <cell r="P372">
            <v>0.56130000000000002</v>
          </cell>
          <cell r="Q372">
            <v>0.28439999999999999</v>
          </cell>
        </row>
        <row r="373">
          <cell r="H373" t="str">
            <v>PKG</v>
          </cell>
          <cell r="I373" t="str">
            <v>XLB</v>
          </cell>
          <cell r="J373" t="str">
            <v>包裝和容器</v>
          </cell>
          <cell r="K373" t="str">
            <v>.SPX</v>
          </cell>
          <cell r="L373">
            <v>0.22550000000000001</v>
          </cell>
          <cell r="M373">
            <v>138.54</v>
          </cell>
          <cell r="N373">
            <v>0.3523</v>
          </cell>
          <cell r="O373">
            <v>0.16700000000000001</v>
          </cell>
          <cell r="P373">
            <v>0.40649999999999997</v>
          </cell>
          <cell r="Q373">
            <v>0.1943</v>
          </cell>
        </row>
        <row r="374">
          <cell r="H374" t="str">
            <v>PKI</v>
          </cell>
          <cell r="I374" t="str">
            <v>XLV</v>
          </cell>
          <cell r="J374" t="str">
            <v>診斷與研究</v>
          </cell>
          <cell r="K374" t="str">
            <v>.SPX</v>
          </cell>
          <cell r="L374">
            <v>0.2893</v>
          </cell>
          <cell r="M374">
            <v>187.05</v>
          </cell>
          <cell r="N374">
            <v>0.44829999999999998</v>
          </cell>
          <cell r="O374">
            <v>0.14549999999999999</v>
          </cell>
          <cell r="P374">
            <v>0.56689999999999996</v>
          </cell>
          <cell r="Q374">
            <v>0.2404</v>
          </cell>
        </row>
        <row r="375">
          <cell r="H375" t="str">
            <v>PLD</v>
          </cell>
          <cell r="I375" t="str">
            <v>XLRE</v>
          </cell>
          <cell r="J375" t="str">
            <v>REIT-工業</v>
          </cell>
          <cell r="K375" t="str">
            <v>.SPX</v>
          </cell>
          <cell r="L375">
            <v>0.19289999999999999</v>
          </cell>
          <cell r="M375">
            <v>130.44999999999999</v>
          </cell>
          <cell r="N375">
            <v>0.29480000000000001</v>
          </cell>
          <cell r="O375">
            <v>0.1308</v>
          </cell>
          <cell r="P375">
            <v>0.37140000000000001</v>
          </cell>
          <cell r="Q375">
            <v>0.18329999999999999</v>
          </cell>
        </row>
        <row r="376">
          <cell r="H376" t="str">
            <v>PM</v>
          </cell>
          <cell r="I376" t="str">
            <v>XLP</v>
          </cell>
          <cell r="J376" t="str">
            <v>煙草</v>
          </cell>
          <cell r="K376" t="str">
            <v>.SPX</v>
          </cell>
          <cell r="L376">
            <v>0.1653</v>
          </cell>
          <cell r="M376">
            <v>99.47</v>
          </cell>
          <cell r="N376">
            <v>0.32329999999999998</v>
          </cell>
          <cell r="O376">
            <v>0.11509999999999999</v>
          </cell>
          <cell r="P376">
            <v>0.36229999999999996</v>
          </cell>
          <cell r="Q376">
            <v>0.1537</v>
          </cell>
        </row>
        <row r="377">
          <cell r="H377" t="str">
            <v>PNC</v>
          </cell>
          <cell r="I377" t="str">
            <v>XLF</v>
          </cell>
          <cell r="J377" t="str">
            <v>銀行-區域</v>
          </cell>
          <cell r="K377" t="str">
            <v>.SPX</v>
          </cell>
          <cell r="L377">
            <v>0.25480000000000003</v>
          </cell>
          <cell r="M377">
            <v>186.68</v>
          </cell>
          <cell r="N377">
            <v>0.50570000000000004</v>
          </cell>
          <cell r="O377">
            <v>0.1983</v>
          </cell>
          <cell r="P377">
            <v>0.44740000000000002</v>
          </cell>
          <cell r="Q377">
            <v>0.21940000000000001</v>
          </cell>
        </row>
        <row r="378">
          <cell r="H378" t="str">
            <v>PNR</v>
          </cell>
          <cell r="I378" t="str">
            <v>XLI</v>
          </cell>
          <cell r="J378" t="str">
            <v>特種工業機械</v>
          </cell>
          <cell r="K378" t="str">
            <v>.SPX</v>
          </cell>
          <cell r="L378">
            <v>0.23880000000000001</v>
          </cell>
          <cell r="M378">
            <v>76.44</v>
          </cell>
          <cell r="N378">
            <v>0.3538</v>
          </cell>
          <cell r="O378">
            <v>0.1636</v>
          </cell>
          <cell r="P378">
            <v>0.47960000000000003</v>
          </cell>
          <cell r="Q378">
            <v>0.22440000000000002</v>
          </cell>
        </row>
        <row r="379">
          <cell r="H379" t="str">
            <v>PNW</v>
          </cell>
          <cell r="I379" t="str">
            <v>XLU</v>
          </cell>
          <cell r="J379" t="str">
            <v>公用事業—受監督的電力</v>
          </cell>
          <cell r="K379" t="str">
            <v>.SPX</v>
          </cell>
          <cell r="L379">
            <v>0.27350000000000002</v>
          </cell>
          <cell r="M379">
            <v>80.39</v>
          </cell>
          <cell r="N379">
            <v>0.3357</v>
          </cell>
          <cell r="O379">
            <v>0.1512</v>
          </cell>
          <cell r="P379">
            <v>0.52570000000000006</v>
          </cell>
          <cell r="Q379">
            <v>0.16820000000000002</v>
          </cell>
        </row>
        <row r="380">
          <cell r="H380" t="str">
            <v>POOL</v>
          </cell>
          <cell r="I380" t="str">
            <v>XLY</v>
          </cell>
          <cell r="J380" t="str">
            <v>休閑</v>
          </cell>
          <cell r="K380" t="str">
            <v>.SPX</v>
          </cell>
          <cell r="L380">
            <v>0.2145</v>
          </cell>
          <cell r="M380">
            <v>486.81</v>
          </cell>
          <cell r="N380">
            <v>0.63759999999999994</v>
          </cell>
          <cell r="O380">
            <v>0.14799999999999999</v>
          </cell>
          <cell r="P380">
            <v>0.45419999999999999</v>
          </cell>
          <cell r="Q380">
            <v>0.2145</v>
          </cell>
        </row>
        <row r="381">
          <cell r="H381" t="str">
            <v>PPG</v>
          </cell>
          <cell r="I381" t="str">
            <v>XLB</v>
          </cell>
          <cell r="J381" t="str">
            <v>特種化學品</v>
          </cell>
          <cell r="K381" t="str">
            <v>.SPX</v>
          </cell>
          <cell r="L381">
            <v>0.20569999999999999</v>
          </cell>
          <cell r="M381">
            <v>164.2</v>
          </cell>
          <cell r="N381">
            <v>0.3357</v>
          </cell>
          <cell r="O381">
            <v>0.14680000000000001</v>
          </cell>
          <cell r="P381">
            <v>0.43270000000000003</v>
          </cell>
          <cell r="Q381">
            <v>0.1769</v>
          </cell>
        </row>
        <row r="382">
          <cell r="H382" t="str">
            <v>PPL</v>
          </cell>
          <cell r="I382" t="str">
            <v>XLU</v>
          </cell>
          <cell r="J382" t="str">
            <v>公用事業—受監督的電力</v>
          </cell>
          <cell r="K382" t="str">
            <v>.SPX</v>
          </cell>
          <cell r="L382">
            <v>0.16669999999999999</v>
          </cell>
          <cell r="M382">
            <v>29.17</v>
          </cell>
          <cell r="N382">
            <v>0.36480000000000001</v>
          </cell>
          <cell r="O382">
            <v>0.1197</v>
          </cell>
          <cell r="P382">
            <v>0.35619999999999996</v>
          </cell>
          <cell r="Q382">
            <v>0.13439999999999999</v>
          </cell>
        </row>
        <row r="383">
          <cell r="H383" t="str">
            <v>PRGO</v>
          </cell>
          <cell r="I383" t="str">
            <v>XLV</v>
          </cell>
          <cell r="J383" t="str">
            <v>藥品製造商-專業和通用</v>
          </cell>
          <cell r="K383" t="str">
            <v>.SPX</v>
          </cell>
          <cell r="L383">
            <v>0.39169999999999999</v>
          </cell>
          <cell r="M383">
            <v>48.52</v>
          </cell>
          <cell r="N383">
            <v>0.51890000000000003</v>
          </cell>
          <cell r="O383">
            <v>0.17119999999999999</v>
          </cell>
          <cell r="P383">
            <v>0.71589999999999998</v>
          </cell>
          <cell r="Q383">
            <v>0.21530000000000002</v>
          </cell>
        </row>
        <row r="384">
          <cell r="H384" t="str">
            <v>PRU</v>
          </cell>
          <cell r="I384" t="str">
            <v>XLF</v>
          </cell>
          <cell r="J384" t="str">
            <v>保險-人壽保險</v>
          </cell>
          <cell r="K384" t="str">
            <v>.SPX</v>
          </cell>
          <cell r="L384">
            <v>0.26019999999999999</v>
          </cell>
          <cell r="M384">
            <v>104.01</v>
          </cell>
          <cell r="N384">
            <v>0.61370000000000002</v>
          </cell>
          <cell r="O384">
            <v>0.18079999999999999</v>
          </cell>
          <cell r="P384">
            <v>0.5141</v>
          </cell>
          <cell r="Q384">
            <v>0.22210000000000002</v>
          </cell>
        </row>
        <row r="385">
          <cell r="H385" t="str">
            <v>PSA</v>
          </cell>
          <cell r="I385" t="str">
            <v>XLRE</v>
          </cell>
          <cell r="J385" t="str">
            <v>REIT-工業</v>
          </cell>
          <cell r="K385" t="str">
            <v>.SPX</v>
          </cell>
          <cell r="L385">
            <v>0.1847</v>
          </cell>
          <cell r="M385">
            <v>308.25</v>
          </cell>
          <cell r="N385">
            <v>0.2863</v>
          </cell>
          <cell r="O385">
            <v>0.10059999999999999</v>
          </cell>
          <cell r="P385">
            <v>0.35729999999999995</v>
          </cell>
          <cell r="Q385">
            <v>0.15909999999999999</v>
          </cell>
        </row>
        <row r="386">
          <cell r="H386" t="str">
            <v>PSX</v>
          </cell>
          <cell r="I386" t="str">
            <v>XLE</v>
          </cell>
          <cell r="J386" t="str">
            <v>油氣煉製與營銷</v>
          </cell>
          <cell r="K386" t="str">
            <v>.SPX</v>
          </cell>
          <cell r="L386">
            <v>0.34860000000000002</v>
          </cell>
          <cell r="M386">
            <v>73.599999999999994</v>
          </cell>
          <cell r="N386">
            <v>0.86140000000000005</v>
          </cell>
          <cell r="O386">
            <v>0.26340000000000002</v>
          </cell>
          <cell r="P386">
            <v>0.61599999999999999</v>
          </cell>
          <cell r="Q386">
            <v>0.2888</v>
          </cell>
        </row>
        <row r="387">
          <cell r="H387" t="str">
            <v>PTC</v>
          </cell>
          <cell r="I387" t="str">
            <v>XLK</v>
          </cell>
          <cell r="J387" t="str">
            <v>軟件-應用</v>
          </cell>
          <cell r="K387" t="str">
            <v>.SPX</v>
          </cell>
          <cell r="L387">
            <v>0.29330000000000001</v>
          </cell>
          <cell r="M387">
            <v>135.55000000000001</v>
          </cell>
          <cell r="N387">
            <v>0.64349999999999996</v>
          </cell>
          <cell r="O387">
            <v>0.16300000000000001</v>
          </cell>
          <cell r="P387">
            <v>0.54720000000000002</v>
          </cell>
          <cell r="Q387">
            <v>0.26429999999999998</v>
          </cell>
        </row>
        <row r="388">
          <cell r="H388" t="str">
            <v>PVH</v>
          </cell>
          <cell r="I388" t="str">
            <v>XLY</v>
          </cell>
          <cell r="J388" t="str">
            <v>服裝製造</v>
          </cell>
          <cell r="K388" t="str">
            <v>.SPX</v>
          </cell>
          <cell r="L388">
            <v>0.46379999999999999</v>
          </cell>
          <cell r="M388">
            <v>110.59</v>
          </cell>
          <cell r="N388">
            <v>0.83919999999999995</v>
          </cell>
          <cell r="O388">
            <v>0.3629</v>
          </cell>
          <cell r="P388">
            <v>0.77650000000000008</v>
          </cell>
          <cell r="Q388">
            <v>0.37590000000000001</v>
          </cell>
        </row>
        <row r="389">
          <cell r="H389" t="str">
            <v>PWR</v>
          </cell>
          <cell r="I389" t="str">
            <v>XLI</v>
          </cell>
          <cell r="J389" t="str">
            <v>工程建設</v>
          </cell>
          <cell r="K389" t="str">
            <v>.SPX</v>
          </cell>
          <cell r="L389">
            <v>0.27200000000000002</v>
          </cell>
          <cell r="M389">
            <v>92.53</v>
          </cell>
          <cell r="N389">
            <v>0.4194</v>
          </cell>
          <cell r="O389">
            <v>0.21709999999999999</v>
          </cell>
          <cell r="P389">
            <v>0.50070000000000003</v>
          </cell>
          <cell r="Q389">
            <v>0.25700000000000001</v>
          </cell>
        </row>
        <row r="390">
          <cell r="H390" t="str">
            <v>PXD</v>
          </cell>
          <cell r="I390" t="str">
            <v>XLE</v>
          </cell>
          <cell r="J390" t="str">
            <v>油氣E&amp;P</v>
          </cell>
          <cell r="K390" t="str">
            <v>.SPX</v>
          </cell>
          <cell r="L390">
            <v>0.38900000000000001</v>
          </cell>
          <cell r="M390">
            <v>151.79</v>
          </cell>
          <cell r="N390">
            <v>0.75870000000000004</v>
          </cell>
          <cell r="O390">
            <v>0.29620000000000002</v>
          </cell>
          <cell r="P390">
            <v>0.66680000000000006</v>
          </cell>
          <cell r="Q390">
            <v>0.33689999999999998</v>
          </cell>
        </row>
        <row r="391">
          <cell r="H391" t="str">
            <v>PYPL</v>
          </cell>
          <cell r="I391" t="str">
            <v>XLK</v>
          </cell>
          <cell r="J391" t="str">
            <v>信貸服務</v>
          </cell>
          <cell r="K391" t="str">
            <v>.SPX</v>
          </cell>
          <cell r="L391">
            <v>0.25850000000000001</v>
          </cell>
          <cell r="M391">
            <v>280.67</v>
          </cell>
          <cell r="N391">
            <v>0.59709999999999996</v>
          </cell>
          <cell r="O391">
            <v>0.184</v>
          </cell>
          <cell r="P391">
            <v>0.58160000000000001</v>
          </cell>
          <cell r="Q391">
            <v>0.2482</v>
          </cell>
        </row>
        <row r="392">
          <cell r="H392" t="str">
            <v>QCOM</v>
          </cell>
          <cell r="I392" t="str">
            <v>XLK</v>
          </cell>
          <cell r="J392" t="str">
            <v>半導體</v>
          </cell>
          <cell r="K392" t="str">
            <v>.SPX</v>
          </cell>
          <cell r="L392">
            <v>0.2412</v>
          </cell>
          <cell r="M392">
            <v>146.83000000000001</v>
          </cell>
          <cell r="N392">
            <v>0.56479999999999997</v>
          </cell>
          <cell r="O392">
            <v>0.16439999999999999</v>
          </cell>
          <cell r="P392">
            <v>0.52390000000000003</v>
          </cell>
          <cell r="Q392">
            <v>0.23019999999999999</v>
          </cell>
        </row>
        <row r="393">
          <cell r="H393" t="str">
            <v>QRVO</v>
          </cell>
          <cell r="I393" t="str">
            <v>XLK</v>
          </cell>
          <cell r="J393" t="str">
            <v>半導體</v>
          </cell>
          <cell r="K393" t="str">
            <v>.SPX</v>
          </cell>
          <cell r="L393">
            <v>0.30149999999999999</v>
          </cell>
          <cell r="M393">
            <v>194.76</v>
          </cell>
          <cell r="N393">
            <v>0.58650000000000002</v>
          </cell>
          <cell r="O393">
            <v>0.2477</v>
          </cell>
          <cell r="P393">
            <v>0.58520000000000005</v>
          </cell>
          <cell r="Q393">
            <v>0.28739999999999999</v>
          </cell>
        </row>
        <row r="394">
          <cell r="H394" t="str">
            <v>RCL</v>
          </cell>
          <cell r="I394" t="str">
            <v>XLY</v>
          </cell>
          <cell r="J394" t="str">
            <v>旅行服務</v>
          </cell>
          <cell r="K394" t="str">
            <v>.SPX</v>
          </cell>
          <cell r="L394">
            <v>0.50239999999999996</v>
          </cell>
          <cell r="M394">
            <v>77.55</v>
          </cell>
          <cell r="N394">
            <v>1.0345</v>
          </cell>
          <cell r="O394">
            <v>0.34560000000000002</v>
          </cell>
          <cell r="P394">
            <v>0.96099999999999997</v>
          </cell>
          <cell r="Q394">
            <v>0.36579999999999996</v>
          </cell>
        </row>
        <row r="395">
          <cell r="H395" t="str">
            <v>RE</v>
          </cell>
          <cell r="I395" t="str">
            <v>XLF</v>
          </cell>
          <cell r="J395" t="str">
            <v>保險-再保險</v>
          </cell>
          <cell r="K395" t="str">
            <v>.SPX</v>
          </cell>
          <cell r="L395">
            <v>0.2334</v>
          </cell>
          <cell r="M395">
            <v>261.13</v>
          </cell>
          <cell r="N395">
            <v>0.46949999999999997</v>
          </cell>
          <cell r="O395">
            <v>0.17169999999999999</v>
          </cell>
          <cell r="P395">
            <v>0.43990000000000001</v>
          </cell>
          <cell r="Q395">
            <v>0.19079999999999997</v>
          </cell>
        </row>
        <row r="396">
          <cell r="H396" t="str">
            <v>REG</v>
          </cell>
          <cell r="I396" t="str">
            <v>XLRE</v>
          </cell>
          <cell r="J396" t="str">
            <v>-</v>
          </cell>
          <cell r="K396" t="str">
            <v>.SPX</v>
          </cell>
          <cell r="L396">
            <v>0.27800000000000002</v>
          </cell>
          <cell r="M396">
            <v>67.41</v>
          </cell>
          <cell r="N396">
            <v>0.99319999999999997</v>
          </cell>
          <cell r="O396">
            <v>0.1767</v>
          </cell>
          <cell r="P396">
            <v>0.60470000000000002</v>
          </cell>
          <cell r="Q396">
            <v>0.22219999999999998</v>
          </cell>
        </row>
        <row r="397">
          <cell r="H397" t="str">
            <v>REGN</v>
          </cell>
          <cell r="I397" t="str">
            <v>XLV</v>
          </cell>
          <cell r="J397" t="str">
            <v>生物技術</v>
          </cell>
          <cell r="K397" t="str">
            <v>.SPX</v>
          </cell>
          <cell r="L397">
            <v>0.27800000000000002</v>
          </cell>
          <cell r="M397">
            <v>602.47</v>
          </cell>
          <cell r="N397">
            <v>0.44209999999999999</v>
          </cell>
          <cell r="O397">
            <v>0.1898</v>
          </cell>
          <cell r="P397">
            <v>0.48680000000000001</v>
          </cell>
          <cell r="Q397">
            <v>0.22989999999999999</v>
          </cell>
        </row>
        <row r="398">
          <cell r="H398" t="str">
            <v>RF</v>
          </cell>
          <cell r="I398" t="str">
            <v>XLF</v>
          </cell>
          <cell r="J398" t="str">
            <v>銀行-區域</v>
          </cell>
          <cell r="K398" t="str">
            <v>.SPX</v>
          </cell>
          <cell r="L398">
            <v>0.32100000000000001</v>
          </cell>
          <cell r="M398">
            <v>19.54</v>
          </cell>
          <cell r="N398">
            <v>0.6825</v>
          </cell>
          <cell r="O398">
            <v>0.24299999999999999</v>
          </cell>
          <cell r="P398">
            <v>0.52329999999999999</v>
          </cell>
          <cell r="Q398">
            <v>0.2641</v>
          </cell>
        </row>
        <row r="399">
          <cell r="H399" t="str">
            <v>RHI</v>
          </cell>
          <cell r="I399" t="str">
            <v>XLI</v>
          </cell>
          <cell r="J399" t="str">
            <v>人員配置和就業服務</v>
          </cell>
          <cell r="K399" t="str">
            <v>.SPX</v>
          </cell>
          <cell r="L399">
            <v>0.22559999999999999</v>
          </cell>
          <cell r="M399">
            <v>99.03</v>
          </cell>
          <cell r="N399">
            <v>0.71530000000000005</v>
          </cell>
          <cell r="O399">
            <v>0.1522</v>
          </cell>
          <cell r="P399">
            <v>0.49680000000000002</v>
          </cell>
          <cell r="Q399">
            <v>0.21579999999999999</v>
          </cell>
        </row>
        <row r="400">
          <cell r="H400" t="str">
            <v>RJF</v>
          </cell>
          <cell r="I400" t="str">
            <v>XLF</v>
          </cell>
          <cell r="J400" t="str">
            <v>資本市場</v>
          </cell>
          <cell r="K400" t="str">
            <v>.SPX</v>
          </cell>
          <cell r="L400">
            <v>0.2465</v>
          </cell>
          <cell r="M400">
            <v>130.47</v>
          </cell>
          <cell r="N400">
            <v>0.43859999999999999</v>
          </cell>
          <cell r="O400">
            <v>0.18229999999999999</v>
          </cell>
          <cell r="P400">
            <v>0.44719999999999999</v>
          </cell>
          <cell r="Q400">
            <v>0.22339999999999999</v>
          </cell>
        </row>
        <row r="401">
          <cell r="H401" t="str">
            <v>RL</v>
          </cell>
          <cell r="I401" t="str">
            <v>XLY</v>
          </cell>
          <cell r="J401" t="str">
            <v>服裝製造</v>
          </cell>
          <cell r="K401" t="str">
            <v>.SPX</v>
          </cell>
          <cell r="L401">
            <v>0.36220000000000002</v>
          </cell>
          <cell r="M401">
            <v>125.19</v>
          </cell>
          <cell r="N401">
            <v>0.77659999999999996</v>
          </cell>
          <cell r="O401">
            <v>0.2465</v>
          </cell>
          <cell r="P401">
            <v>0.66180000000000005</v>
          </cell>
          <cell r="Q401">
            <v>0.30159999999999998</v>
          </cell>
        </row>
        <row r="402">
          <cell r="H402" t="str">
            <v>RMD</v>
          </cell>
          <cell r="I402" t="str">
            <v>XLV</v>
          </cell>
          <cell r="J402" t="str">
            <v>醫療器械及用品</v>
          </cell>
          <cell r="K402" t="str">
            <v>.SPX</v>
          </cell>
          <cell r="L402">
            <v>0.40029999999999999</v>
          </cell>
          <cell r="M402">
            <v>267.38</v>
          </cell>
          <cell r="N402">
            <v>0.48349999999999999</v>
          </cell>
          <cell r="O402">
            <v>0.12620000000000001</v>
          </cell>
          <cell r="P402">
            <v>0.47720000000000001</v>
          </cell>
          <cell r="Q402">
            <v>0.21719999999999998</v>
          </cell>
        </row>
        <row r="403">
          <cell r="H403" t="str">
            <v>ROK</v>
          </cell>
          <cell r="I403" t="str">
            <v>XLI</v>
          </cell>
          <cell r="J403" t="str">
            <v>特種工業機械</v>
          </cell>
          <cell r="K403" t="str">
            <v>.SPX</v>
          </cell>
          <cell r="L403">
            <v>0.21779999999999999</v>
          </cell>
          <cell r="M403">
            <v>313.70999999999998</v>
          </cell>
          <cell r="N403">
            <v>0.33660000000000001</v>
          </cell>
          <cell r="O403">
            <v>0.16139999999999999</v>
          </cell>
          <cell r="P403">
            <v>0.41570000000000001</v>
          </cell>
          <cell r="Q403">
            <v>0.20170000000000002</v>
          </cell>
        </row>
        <row r="404">
          <cell r="H404" t="str">
            <v>ROL</v>
          </cell>
          <cell r="I404" t="str">
            <v>XLI</v>
          </cell>
          <cell r="J404" t="str">
            <v>個人服務</v>
          </cell>
          <cell r="K404" t="str">
            <v>.SPX</v>
          </cell>
          <cell r="L404">
            <v>0.2452</v>
          </cell>
          <cell r="M404">
            <v>38.409999999999997</v>
          </cell>
          <cell r="N404">
            <v>1.2113</v>
          </cell>
          <cell r="O404">
            <v>0.14729999999999999</v>
          </cell>
          <cell r="P404">
            <v>0.54049999999999998</v>
          </cell>
          <cell r="Q404">
            <v>0.19899999999999998</v>
          </cell>
        </row>
        <row r="405">
          <cell r="H405" t="str">
            <v>ROP</v>
          </cell>
          <cell r="I405" t="str">
            <v>XLI</v>
          </cell>
          <cell r="J405" t="str">
            <v>特種工業機械</v>
          </cell>
          <cell r="K405" t="str">
            <v>.SPX</v>
          </cell>
          <cell r="L405">
            <v>0.19789999999999999</v>
          </cell>
          <cell r="M405">
            <v>489.82</v>
          </cell>
          <cell r="N405">
            <v>0.36399999999999999</v>
          </cell>
          <cell r="O405">
            <v>0.12529999999999999</v>
          </cell>
          <cell r="P405">
            <v>0.37759999999999999</v>
          </cell>
          <cell r="Q405">
            <v>0.17579999999999998</v>
          </cell>
        </row>
        <row r="406">
          <cell r="H406" t="str">
            <v>ROST</v>
          </cell>
          <cell r="I406" t="str">
            <v>XLY</v>
          </cell>
          <cell r="J406" t="str">
            <v>服裝零售</v>
          </cell>
          <cell r="K406" t="str">
            <v>.SPX</v>
          </cell>
          <cell r="L406">
            <v>0.35460000000000003</v>
          </cell>
          <cell r="M406">
            <v>120.67</v>
          </cell>
          <cell r="N406">
            <v>0.60750000000000004</v>
          </cell>
          <cell r="O406">
            <v>0.2152</v>
          </cell>
          <cell r="P406">
            <v>0.50340000000000007</v>
          </cell>
          <cell r="Q406">
            <v>0.22640000000000002</v>
          </cell>
        </row>
        <row r="407">
          <cell r="H407" t="str">
            <v>RSG</v>
          </cell>
          <cell r="I407" t="str">
            <v>XLI</v>
          </cell>
          <cell r="J407" t="str">
            <v>廢物管理</v>
          </cell>
          <cell r="K407" t="str">
            <v>.SPX</v>
          </cell>
          <cell r="L407">
            <v>0.18079999999999999</v>
          </cell>
          <cell r="M407">
            <v>118.23</v>
          </cell>
          <cell r="N407">
            <v>0.2374</v>
          </cell>
          <cell r="O407">
            <v>0.1158</v>
          </cell>
          <cell r="P407">
            <v>0.30499999999999999</v>
          </cell>
          <cell r="Q407">
            <v>0.14380000000000001</v>
          </cell>
        </row>
        <row r="408">
          <cell r="H408" t="str">
            <v>RTX</v>
          </cell>
          <cell r="I408" t="str">
            <v>XLI</v>
          </cell>
          <cell r="J408" t="str">
            <v>航天軍工</v>
          </cell>
          <cell r="K408" t="str">
            <v>.SPX</v>
          </cell>
          <cell r="L408">
            <v>0.24460000000000001</v>
          </cell>
          <cell r="M408">
            <v>87.3</v>
          </cell>
          <cell r="N408">
            <v>0.5665</v>
          </cell>
          <cell r="O408">
            <v>0.14480000000000001</v>
          </cell>
          <cell r="P408">
            <v>0.52369999999999994</v>
          </cell>
          <cell r="Q408">
            <v>0.19920000000000002</v>
          </cell>
        </row>
        <row r="409">
          <cell r="H409" t="str">
            <v>SBAC</v>
          </cell>
          <cell r="I409" t="str">
            <v>XLRE</v>
          </cell>
          <cell r="J409" t="str">
            <v>REIT-專業</v>
          </cell>
          <cell r="K409" t="str">
            <v>.SPX</v>
          </cell>
          <cell r="L409">
            <v>0.2107</v>
          </cell>
          <cell r="M409">
            <v>346.93</v>
          </cell>
          <cell r="N409">
            <v>0.31240000000000001</v>
          </cell>
          <cell r="O409">
            <v>0.1065</v>
          </cell>
          <cell r="P409">
            <v>0.41420000000000001</v>
          </cell>
          <cell r="Q409">
            <v>0.20329999999999998</v>
          </cell>
        </row>
        <row r="410">
          <cell r="H410" t="str">
            <v>SBUX</v>
          </cell>
          <cell r="I410" t="str">
            <v>XLY</v>
          </cell>
          <cell r="J410" t="str">
            <v>飯館</v>
          </cell>
          <cell r="K410" t="str">
            <v>.SPX</v>
          </cell>
          <cell r="L410">
            <v>0.18099999999999999</v>
          </cell>
          <cell r="M410">
            <v>119.03</v>
          </cell>
          <cell r="N410">
            <v>0.32740000000000002</v>
          </cell>
          <cell r="O410">
            <v>0.1217</v>
          </cell>
          <cell r="P410">
            <v>0.39630000000000004</v>
          </cell>
          <cell r="Q410">
            <v>0.1754</v>
          </cell>
        </row>
        <row r="411">
          <cell r="H411" t="str">
            <v>SCHW</v>
          </cell>
          <cell r="I411" t="str">
            <v>XLF</v>
          </cell>
          <cell r="J411" t="str">
            <v>資本市場</v>
          </cell>
          <cell r="K411" t="str">
            <v>.SPX</v>
          </cell>
          <cell r="L411">
            <v>0.2772</v>
          </cell>
          <cell r="M411">
            <v>69.3</v>
          </cell>
          <cell r="N411">
            <v>0.46970000000000001</v>
          </cell>
          <cell r="O411">
            <v>0.20830000000000001</v>
          </cell>
          <cell r="P411">
            <v>0.44780000000000003</v>
          </cell>
          <cell r="Q411">
            <v>0.25650000000000001</v>
          </cell>
        </row>
        <row r="412">
          <cell r="H412" t="str">
            <v>SEE</v>
          </cell>
          <cell r="I412" t="str">
            <v>XLB</v>
          </cell>
          <cell r="J412" t="str">
            <v>包裝和容器</v>
          </cell>
          <cell r="K412" t="str">
            <v>.SPX</v>
          </cell>
          <cell r="L412">
            <v>0.24879999999999999</v>
          </cell>
          <cell r="M412">
            <v>58.4</v>
          </cell>
          <cell r="N412">
            <v>0.35570000000000002</v>
          </cell>
          <cell r="O412">
            <v>0.1226</v>
          </cell>
          <cell r="P412">
            <v>0.4657</v>
          </cell>
          <cell r="Q412">
            <v>0.21059999999999998</v>
          </cell>
        </row>
        <row r="413">
          <cell r="H413" t="str">
            <v>SHW</v>
          </cell>
          <cell r="I413" t="str">
            <v>XLB</v>
          </cell>
          <cell r="J413" t="str">
            <v>特種化學品</v>
          </cell>
          <cell r="K413" t="str">
            <v>.SPX</v>
          </cell>
          <cell r="L413">
            <v>0.18379999999999999</v>
          </cell>
          <cell r="M413">
            <v>295.66000000000003</v>
          </cell>
          <cell r="N413">
            <v>0.31080000000000002</v>
          </cell>
          <cell r="O413">
            <v>0.11210000000000001</v>
          </cell>
          <cell r="P413">
            <v>0.33450000000000002</v>
          </cell>
          <cell r="Q413">
            <v>0.18379999999999999</v>
          </cell>
        </row>
        <row r="414">
          <cell r="H414" t="str">
            <v>SIVB</v>
          </cell>
          <cell r="I414" t="str">
            <v>XLF</v>
          </cell>
          <cell r="J414" t="str">
            <v>銀行-區域</v>
          </cell>
          <cell r="K414" t="str">
            <v>.SPX</v>
          </cell>
          <cell r="L414">
            <v>0.34720000000000001</v>
          </cell>
          <cell r="M414">
            <v>569.29</v>
          </cell>
          <cell r="N414">
            <v>0.47849999999999998</v>
          </cell>
          <cell r="O414">
            <v>0.2581</v>
          </cell>
          <cell r="P414">
            <v>0.51800000000000002</v>
          </cell>
          <cell r="Q414">
            <v>0.30809999999999998</v>
          </cell>
        </row>
        <row r="415">
          <cell r="H415" t="str">
            <v>SJM</v>
          </cell>
          <cell r="I415" t="str">
            <v>XLP</v>
          </cell>
          <cell r="J415" t="str">
            <v>包裝食品</v>
          </cell>
          <cell r="K415" t="str">
            <v>.SPX</v>
          </cell>
          <cell r="L415">
            <v>0.23760000000000001</v>
          </cell>
          <cell r="M415">
            <v>128.61000000000001</v>
          </cell>
          <cell r="N415">
            <v>0.36399999999999999</v>
          </cell>
          <cell r="O415">
            <v>0.12959999999999999</v>
          </cell>
          <cell r="P415">
            <v>0.42080000000000001</v>
          </cell>
          <cell r="Q415">
            <v>0.17780000000000001</v>
          </cell>
        </row>
        <row r="416">
          <cell r="H416" t="str">
            <v>SLB</v>
          </cell>
          <cell r="I416" t="str">
            <v>XLE</v>
          </cell>
          <cell r="J416" t="str">
            <v>石油和天然氣設備和服務</v>
          </cell>
          <cell r="K416" t="str">
            <v>.SPX</v>
          </cell>
          <cell r="L416">
            <v>0.41949999999999998</v>
          </cell>
          <cell r="M416">
            <v>28.6</v>
          </cell>
          <cell r="N416">
            <v>0.78859999999999997</v>
          </cell>
          <cell r="O416">
            <v>0.31759999999999999</v>
          </cell>
          <cell r="P416">
            <v>0.65599999999999992</v>
          </cell>
          <cell r="Q416">
            <v>0.35570000000000002</v>
          </cell>
        </row>
        <row r="417">
          <cell r="H417" t="str">
            <v>SNA</v>
          </cell>
          <cell r="I417" t="str">
            <v>XLI</v>
          </cell>
          <cell r="J417" t="str">
            <v>工具及附件</v>
          </cell>
          <cell r="K417" t="str">
            <v>.SPX</v>
          </cell>
          <cell r="L417">
            <v>0.24729999999999999</v>
          </cell>
          <cell r="M417">
            <v>222.95</v>
          </cell>
          <cell r="N417">
            <v>0.4093</v>
          </cell>
          <cell r="O417">
            <v>0.15859999999999999</v>
          </cell>
          <cell r="P417">
            <v>0.43490000000000001</v>
          </cell>
          <cell r="Q417">
            <v>0.21859999999999999</v>
          </cell>
        </row>
        <row r="418">
          <cell r="H418" t="str">
            <v>SNPS</v>
          </cell>
          <cell r="I418" t="str">
            <v>XLK</v>
          </cell>
          <cell r="J418" t="str">
            <v>軟件基礎設施</v>
          </cell>
          <cell r="K418" t="str">
            <v>.SPX</v>
          </cell>
          <cell r="L418">
            <v>0.26219999999999999</v>
          </cell>
          <cell r="M418">
            <v>293.2</v>
          </cell>
          <cell r="N418">
            <v>0.46929999999999999</v>
          </cell>
          <cell r="O418">
            <v>0.13189999999999999</v>
          </cell>
          <cell r="P418">
            <v>0.45760000000000001</v>
          </cell>
          <cell r="Q418">
            <v>0.21859999999999999</v>
          </cell>
        </row>
        <row r="419">
          <cell r="H419" t="str">
            <v>SO</v>
          </cell>
          <cell r="I419" t="str">
            <v>XLU</v>
          </cell>
          <cell r="J419" t="str">
            <v>公用事業—受監督的電力</v>
          </cell>
          <cell r="K419" t="str">
            <v>.SPX</v>
          </cell>
          <cell r="L419">
            <v>0.16420000000000001</v>
          </cell>
          <cell r="M419">
            <v>64.91</v>
          </cell>
          <cell r="N419">
            <v>0.25380000000000003</v>
          </cell>
          <cell r="O419">
            <v>0.1227</v>
          </cell>
          <cell r="P419">
            <v>0.30790000000000001</v>
          </cell>
          <cell r="Q419">
            <v>0.1459</v>
          </cell>
        </row>
        <row r="420">
          <cell r="H420" t="str">
            <v>SPG</v>
          </cell>
          <cell r="I420" t="str">
            <v>XLRE</v>
          </cell>
          <cell r="J420" t="str">
            <v>-</v>
          </cell>
          <cell r="K420" t="str">
            <v>.SPX</v>
          </cell>
          <cell r="L420">
            <v>0.31130000000000002</v>
          </cell>
          <cell r="M420">
            <v>135.06</v>
          </cell>
          <cell r="N420">
            <v>0.9365</v>
          </cell>
          <cell r="O420">
            <v>0.22739999999999999</v>
          </cell>
          <cell r="P420">
            <v>0.75930000000000009</v>
          </cell>
          <cell r="Q420">
            <v>0.26229999999999998</v>
          </cell>
        </row>
        <row r="421">
          <cell r="H421" t="str">
            <v>SPGI</v>
          </cell>
          <cell r="I421" t="str">
            <v>XLF</v>
          </cell>
          <cell r="J421" t="str">
            <v>金融數據與證券交易所</v>
          </cell>
          <cell r="K421" t="str">
            <v>.SPX</v>
          </cell>
          <cell r="L421">
            <v>0.2089</v>
          </cell>
          <cell r="M421">
            <v>441.72</v>
          </cell>
          <cell r="N421">
            <v>0.32479999999999998</v>
          </cell>
          <cell r="O421">
            <v>0.15029999999999999</v>
          </cell>
          <cell r="P421">
            <v>0.38090000000000002</v>
          </cell>
          <cell r="Q421">
            <v>0.16750000000000001</v>
          </cell>
        </row>
        <row r="422">
          <cell r="H422" t="str">
            <v>SRE</v>
          </cell>
          <cell r="I422" t="str">
            <v>XLU</v>
          </cell>
          <cell r="J422" t="str">
            <v>公用事業-多樣化</v>
          </cell>
          <cell r="K422" t="str">
            <v>.SPX</v>
          </cell>
          <cell r="L422">
            <v>0.2039</v>
          </cell>
          <cell r="M422">
            <v>132.99</v>
          </cell>
          <cell r="N422">
            <v>0.29870000000000002</v>
          </cell>
          <cell r="O422">
            <v>0.1283</v>
          </cell>
          <cell r="P422">
            <v>0.38200000000000001</v>
          </cell>
          <cell r="Q422">
            <v>0.17180000000000001</v>
          </cell>
        </row>
        <row r="423">
          <cell r="H423" t="str">
            <v>STE</v>
          </cell>
          <cell r="I423" t="str">
            <v>XLV</v>
          </cell>
          <cell r="J423" t="str">
            <v>醫療設備</v>
          </cell>
          <cell r="K423" t="str">
            <v>.SPX</v>
          </cell>
          <cell r="L423">
            <v>0.24030000000000001</v>
          </cell>
          <cell r="M423">
            <v>215.53</v>
          </cell>
          <cell r="N423">
            <v>0.2923</v>
          </cell>
          <cell r="O423">
            <v>0.12330000000000001</v>
          </cell>
          <cell r="P423">
            <v>0.4078</v>
          </cell>
          <cell r="Q423">
            <v>0.18059999999999998</v>
          </cell>
        </row>
        <row r="424">
          <cell r="H424" t="str">
            <v>STT</v>
          </cell>
          <cell r="I424" t="str">
            <v>XLF</v>
          </cell>
          <cell r="J424" t="str">
            <v>資產管理</v>
          </cell>
          <cell r="K424" t="str">
            <v>.SPX</v>
          </cell>
          <cell r="L424">
            <v>0.26469999999999999</v>
          </cell>
          <cell r="M424">
            <v>89.33</v>
          </cell>
          <cell r="N424">
            <v>0.52449999999999997</v>
          </cell>
          <cell r="O424">
            <v>0.16789999999999999</v>
          </cell>
          <cell r="P424">
            <v>0.46329999999999999</v>
          </cell>
          <cell r="Q424">
            <v>0.24460000000000001</v>
          </cell>
        </row>
        <row r="425">
          <cell r="H425" t="str">
            <v>STX</v>
          </cell>
          <cell r="I425" t="str">
            <v>XLK</v>
          </cell>
          <cell r="J425" t="str">
            <v>計算機硬件</v>
          </cell>
          <cell r="K425" t="str">
            <v>.SPX</v>
          </cell>
          <cell r="L425">
            <v>0.30830000000000002</v>
          </cell>
          <cell r="M425">
            <v>90.9</v>
          </cell>
          <cell r="N425">
            <v>0.58330000000000004</v>
          </cell>
          <cell r="O425">
            <v>0.1895</v>
          </cell>
          <cell r="P425">
            <v>0.65319999999999989</v>
          </cell>
          <cell r="Q425">
            <v>0.26419999999999999</v>
          </cell>
        </row>
        <row r="426">
          <cell r="H426" t="str">
            <v>STZ</v>
          </cell>
          <cell r="I426" t="str">
            <v>XLP</v>
          </cell>
          <cell r="J426" t="str">
            <v>飲料-酒廠和釀酒廠</v>
          </cell>
          <cell r="K426" t="str">
            <v>.SPX</v>
          </cell>
          <cell r="L426">
            <v>0.1933</v>
          </cell>
          <cell r="M426">
            <v>220.28</v>
          </cell>
          <cell r="N426">
            <v>0.42130000000000001</v>
          </cell>
          <cell r="O426">
            <v>0.1086</v>
          </cell>
          <cell r="P426">
            <v>0.43490000000000001</v>
          </cell>
          <cell r="Q426">
            <v>0.17749999999999999</v>
          </cell>
        </row>
        <row r="427">
          <cell r="H427" t="str">
            <v>SWK</v>
          </cell>
          <cell r="I427" t="str">
            <v>XLI</v>
          </cell>
          <cell r="J427" t="str">
            <v>工具及附件</v>
          </cell>
          <cell r="K427" t="str">
            <v>.SPX</v>
          </cell>
          <cell r="L427">
            <v>0.21299999999999999</v>
          </cell>
          <cell r="M427">
            <v>197.07</v>
          </cell>
          <cell r="N427">
            <v>0.31559999999999999</v>
          </cell>
          <cell r="O427">
            <v>0.15920000000000001</v>
          </cell>
          <cell r="P427">
            <v>0.45829999999999999</v>
          </cell>
          <cell r="Q427">
            <v>0.20309999999999997</v>
          </cell>
        </row>
        <row r="428">
          <cell r="H428" t="str">
            <v>SWKS</v>
          </cell>
          <cell r="I428" t="str">
            <v>XLK</v>
          </cell>
          <cell r="J428" t="str">
            <v>半導體</v>
          </cell>
          <cell r="K428" t="str">
            <v>.SPX</v>
          </cell>
          <cell r="L428">
            <v>0.28410000000000002</v>
          </cell>
          <cell r="M428">
            <v>185.79</v>
          </cell>
          <cell r="N428">
            <v>0.63200000000000001</v>
          </cell>
          <cell r="O428">
            <v>0.2079</v>
          </cell>
          <cell r="P428">
            <v>0.52359999999999995</v>
          </cell>
          <cell r="Q428">
            <v>0.2576</v>
          </cell>
        </row>
        <row r="429">
          <cell r="H429" t="str">
            <v>SYF</v>
          </cell>
          <cell r="I429" t="str">
            <v>XLF</v>
          </cell>
          <cell r="J429" t="str">
            <v>信貸服務</v>
          </cell>
          <cell r="K429" t="str">
            <v>.SPX</v>
          </cell>
          <cell r="L429">
            <v>0.31809999999999999</v>
          </cell>
          <cell r="M429">
            <v>49.11</v>
          </cell>
          <cell r="N429">
            <v>0.54</v>
          </cell>
          <cell r="O429">
            <v>0.24379999999999999</v>
          </cell>
          <cell r="P429">
            <v>0.61049999999999993</v>
          </cell>
          <cell r="Q429">
            <v>0.27600000000000002</v>
          </cell>
        </row>
        <row r="430">
          <cell r="H430" t="str">
            <v>SYK</v>
          </cell>
          <cell r="I430" t="str">
            <v>XLV</v>
          </cell>
          <cell r="J430" t="str">
            <v>醫療設備</v>
          </cell>
          <cell r="K430" t="str">
            <v>.SPX</v>
          </cell>
          <cell r="L430">
            <v>0.20660000000000001</v>
          </cell>
          <cell r="M430">
            <v>264.51</v>
          </cell>
          <cell r="N430">
            <v>0.39650000000000002</v>
          </cell>
          <cell r="O430">
            <v>0.1426</v>
          </cell>
          <cell r="P430">
            <v>0.44179999999999997</v>
          </cell>
          <cell r="Q430">
            <v>0.18899999999999997</v>
          </cell>
        </row>
        <row r="431">
          <cell r="H431" t="str">
            <v>SYY</v>
          </cell>
          <cell r="I431" t="str">
            <v>XLP</v>
          </cell>
          <cell r="J431" t="str">
            <v>食品分銷商</v>
          </cell>
          <cell r="K431" t="str">
            <v>.SPX</v>
          </cell>
          <cell r="L431">
            <v>0.2944</v>
          </cell>
          <cell r="M431">
            <v>73.989999999999995</v>
          </cell>
          <cell r="N431">
            <v>0.67490000000000006</v>
          </cell>
          <cell r="O431">
            <v>0.1857</v>
          </cell>
          <cell r="P431">
            <v>0.50470000000000004</v>
          </cell>
          <cell r="Q431">
            <v>0.2082</v>
          </cell>
        </row>
        <row r="432">
          <cell r="H432" t="str">
            <v>T</v>
          </cell>
          <cell r="I432" t="str">
            <v>XLC</v>
          </cell>
          <cell r="J432" t="str">
            <v>電信業務</v>
          </cell>
          <cell r="K432" t="str">
            <v>.SPX</v>
          </cell>
          <cell r="L432">
            <v>0.17979999999999999</v>
          </cell>
          <cell r="M432">
            <v>27.99</v>
          </cell>
          <cell r="N432">
            <v>0.27960000000000002</v>
          </cell>
          <cell r="O432">
            <v>9.0399999999999994E-2</v>
          </cell>
          <cell r="P432">
            <v>0.28760000000000002</v>
          </cell>
          <cell r="Q432">
            <v>0.14749999999999999</v>
          </cell>
        </row>
        <row r="433">
          <cell r="H433" t="str">
            <v>TAP</v>
          </cell>
          <cell r="I433" t="str">
            <v>XLP</v>
          </cell>
          <cell r="J433" t="str">
            <v>飲料-啤酒</v>
          </cell>
          <cell r="K433" t="str">
            <v>.SPX</v>
          </cell>
          <cell r="L433">
            <v>0.2462</v>
          </cell>
          <cell r="M433">
            <v>49.16</v>
          </cell>
          <cell r="N433">
            <v>0.47970000000000002</v>
          </cell>
          <cell r="O433">
            <v>0.1691</v>
          </cell>
          <cell r="P433">
            <v>0.51219999999999999</v>
          </cell>
          <cell r="Q433">
            <v>0.24600000000000002</v>
          </cell>
        </row>
        <row r="434">
          <cell r="H434" t="str">
            <v>TDG</v>
          </cell>
          <cell r="I434" t="str">
            <v>XLI</v>
          </cell>
          <cell r="J434" t="str">
            <v>航天軍工</v>
          </cell>
          <cell r="K434" t="str">
            <v>.SPX</v>
          </cell>
          <cell r="L434">
            <v>0.31890000000000002</v>
          </cell>
          <cell r="M434">
            <v>624.54999999999995</v>
          </cell>
          <cell r="N434">
            <v>0.44119999999999998</v>
          </cell>
          <cell r="O434">
            <v>0.18679999999999999</v>
          </cell>
          <cell r="P434">
            <v>0.50659999999999994</v>
          </cell>
          <cell r="Q434">
            <v>0.22519999999999998</v>
          </cell>
        </row>
        <row r="435">
          <cell r="H435" t="str">
            <v>TDY</v>
          </cell>
          <cell r="I435" t="str">
            <v>XLI</v>
          </cell>
          <cell r="J435" t="str">
            <v>科技儀器</v>
          </cell>
          <cell r="K435" t="str">
            <v>.SPX</v>
          </cell>
          <cell r="L435">
            <v>0.23480000000000001</v>
          </cell>
          <cell r="M435">
            <v>454.25</v>
          </cell>
          <cell r="N435">
            <v>0.41210000000000002</v>
          </cell>
          <cell r="O435">
            <v>0.16980000000000001</v>
          </cell>
          <cell r="P435">
            <v>0.40889999999999999</v>
          </cell>
          <cell r="Q435">
            <v>0.21820000000000001</v>
          </cell>
        </row>
        <row r="436">
          <cell r="H436" t="str">
            <v>TEL</v>
          </cell>
          <cell r="I436" t="str">
            <v>XLK</v>
          </cell>
          <cell r="J436" t="str">
            <v>電子元件</v>
          </cell>
          <cell r="K436" t="str">
            <v>.SPX</v>
          </cell>
          <cell r="L436">
            <v>0.24229999999999999</v>
          </cell>
          <cell r="M436">
            <v>148.52000000000001</v>
          </cell>
          <cell r="N436">
            <v>0.33600000000000002</v>
          </cell>
          <cell r="O436">
            <v>0.1764</v>
          </cell>
          <cell r="P436">
            <v>0.42560000000000003</v>
          </cell>
          <cell r="Q436">
            <v>0.21100000000000002</v>
          </cell>
        </row>
        <row r="437">
          <cell r="H437" t="str">
            <v>TER</v>
          </cell>
          <cell r="I437" t="str">
            <v>XLK</v>
          </cell>
          <cell r="J437" t="str">
            <v>半導體設備與材料</v>
          </cell>
          <cell r="K437" t="str">
            <v>.SPX</v>
          </cell>
          <cell r="L437">
            <v>0.33350000000000002</v>
          </cell>
          <cell r="M437">
            <v>126.58</v>
          </cell>
          <cell r="N437">
            <v>0.74380000000000002</v>
          </cell>
          <cell r="O437">
            <v>0.24829999999999999</v>
          </cell>
          <cell r="P437">
            <v>0.54210000000000003</v>
          </cell>
          <cell r="Q437">
            <v>0.3201</v>
          </cell>
        </row>
        <row r="438">
          <cell r="H438" t="str">
            <v>TFC</v>
          </cell>
          <cell r="I438" t="str">
            <v>XLF</v>
          </cell>
          <cell r="J438" t="str">
            <v>銀行-區域</v>
          </cell>
          <cell r="K438" t="str">
            <v>.SPX</v>
          </cell>
          <cell r="L438">
            <v>0.26600000000000001</v>
          </cell>
          <cell r="M438">
            <v>56.55</v>
          </cell>
          <cell r="N438">
            <v>0.55589999999999995</v>
          </cell>
          <cell r="O438">
            <v>0.18179999999999999</v>
          </cell>
          <cell r="P438">
            <v>0.47979999999999995</v>
          </cell>
          <cell r="Q438">
            <v>0.23860000000000001</v>
          </cell>
        </row>
        <row r="439">
          <cell r="H439" t="str">
            <v>TFX</v>
          </cell>
          <cell r="I439" t="str">
            <v>XLV</v>
          </cell>
          <cell r="J439" t="str">
            <v>醫療器械及用品</v>
          </cell>
          <cell r="K439" t="str">
            <v>.SPX</v>
          </cell>
          <cell r="L439">
            <v>0.31840000000000002</v>
          </cell>
          <cell r="M439">
            <v>378.42</v>
          </cell>
          <cell r="N439">
            <v>0.40529999999999999</v>
          </cell>
          <cell r="O439">
            <v>0.15490000000000001</v>
          </cell>
          <cell r="P439">
            <v>0.45729999999999998</v>
          </cell>
          <cell r="Q439">
            <v>0.23499999999999999</v>
          </cell>
        </row>
        <row r="440">
          <cell r="H440" t="str">
            <v>TGT</v>
          </cell>
          <cell r="I440" t="str">
            <v>XLY</v>
          </cell>
          <cell r="J440" t="str">
            <v>折扣店</v>
          </cell>
          <cell r="K440" t="str">
            <v>.SPX</v>
          </cell>
          <cell r="L440">
            <v>0.29630000000000001</v>
          </cell>
          <cell r="M440">
            <v>261.39999999999998</v>
          </cell>
          <cell r="N440">
            <v>0.40050000000000002</v>
          </cell>
          <cell r="O440">
            <v>0.1007</v>
          </cell>
          <cell r="P440">
            <v>0.43430000000000002</v>
          </cell>
          <cell r="Q440">
            <v>0.16289999999999999</v>
          </cell>
        </row>
        <row r="441">
          <cell r="H441" t="str">
            <v>TJX</v>
          </cell>
          <cell r="I441" t="str">
            <v>XLY</v>
          </cell>
          <cell r="J441" t="str">
            <v>服裝零售</v>
          </cell>
          <cell r="K441" t="str">
            <v>.SPX</v>
          </cell>
          <cell r="L441">
            <v>0.26550000000000001</v>
          </cell>
          <cell r="M441">
            <v>68.58</v>
          </cell>
          <cell r="N441">
            <v>0.50690000000000002</v>
          </cell>
          <cell r="O441">
            <v>0.17150000000000001</v>
          </cell>
          <cell r="P441">
            <v>0.48460000000000003</v>
          </cell>
          <cell r="Q441">
            <v>0.19289999999999999</v>
          </cell>
        </row>
        <row r="442">
          <cell r="H442" t="str">
            <v>TMO</v>
          </cell>
          <cell r="I442" t="str">
            <v>XLV</v>
          </cell>
          <cell r="J442" t="str">
            <v>診斷與研究</v>
          </cell>
          <cell r="K442" t="str">
            <v>.SPX</v>
          </cell>
          <cell r="L442">
            <v>0.21299999999999999</v>
          </cell>
          <cell r="M442">
            <v>542.35</v>
          </cell>
          <cell r="N442">
            <v>0.40839999999999999</v>
          </cell>
          <cell r="O442">
            <v>0.14610000000000001</v>
          </cell>
          <cell r="P442">
            <v>0.38040000000000002</v>
          </cell>
          <cell r="Q442">
            <v>0.20199999999999999</v>
          </cell>
        </row>
        <row r="443">
          <cell r="H443" t="str">
            <v>TMUS</v>
          </cell>
          <cell r="I443" t="str">
            <v>XLC</v>
          </cell>
          <cell r="J443" t="str">
            <v>電信業務</v>
          </cell>
          <cell r="K443" t="str">
            <v>.SPX</v>
          </cell>
          <cell r="L443">
            <v>0.1963</v>
          </cell>
          <cell r="M443">
            <v>141.93</v>
          </cell>
          <cell r="N443">
            <v>0.36709999999999998</v>
          </cell>
          <cell r="O443">
            <v>0.112</v>
          </cell>
          <cell r="P443">
            <v>0.46060000000000001</v>
          </cell>
          <cell r="Q443">
            <v>0.16829999999999998</v>
          </cell>
        </row>
        <row r="444">
          <cell r="H444" t="str">
            <v>TPR</v>
          </cell>
          <cell r="I444" t="str">
            <v>XLY</v>
          </cell>
          <cell r="J444" t="str">
            <v>奢侈品</v>
          </cell>
          <cell r="K444" t="str">
            <v>.SPX</v>
          </cell>
          <cell r="L444">
            <v>0.4642</v>
          </cell>
          <cell r="M444">
            <v>43.64</v>
          </cell>
          <cell r="N444">
            <v>0.57530000000000003</v>
          </cell>
          <cell r="O444">
            <v>0.30080000000000001</v>
          </cell>
          <cell r="P444">
            <v>0.76029999999999998</v>
          </cell>
          <cell r="Q444">
            <v>0.35520000000000002</v>
          </cell>
        </row>
        <row r="445">
          <cell r="H445" t="str">
            <v>TRMB</v>
          </cell>
          <cell r="I445" t="str">
            <v>XLK</v>
          </cell>
          <cell r="J445" t="str">
            <v>科技儀器</v>
          </cell>
          <cell r="K445" t="str">
            <v>.SPX</v>
          </cell>
          <cell r="L445">
            <v>0.28939999999999999</v>
          </cell>
          <cell r="M445">
            <v>89.42</v>
          </cell>
          <cell r="N445">
            <v>0.42899999999999999</v>
          </cell>
          <cell r="O445">
            <v>0.13700000000000001</v>
          </cell>
          <cell r="P445">
            <v>0.58130000000000004</v>
          </cell>
          <cell r="Q445">
            <v>0.25190000000000001</v>
          </cell>
        </row>
        <row r="446">
          <cell r="H446" t="str">
            <v>TROW</v>
          </cell>
          <cell r="I446" t="str">
            <v>XLF</v>
          </cell>
          <cell r="J446" t="str">
            <v>資產管理</v>
          </cell>
          <cell r="K446" t="str">
            <v>.SPX</v>
          </cell>
          <cell r="L446">
            <v>0.23300000000000001</v>
          </cell>
          <cell r="M446">
            <v>212.27</v>
          </cell>
          <cell r="N446">
            <v>0.34799999999999998</v>
          </cell>
          <cell r="O446">
            <v>0.14299999999999999</v>
          </cell>
          <cell r="P446">
            <v>0.38619999999999999</v>
          </cell>
          <cell r="Q446">
            <v>0.20100000000000001</v>
          </cell>
        </row>
        <row r="447">
          <cell r="H447" t="str">
            <v>TRV</v>
          </cell>
          <cell r="I447" t="str">
            <v>XLF</v>
          </cell>
          <cell r="J447" t="str">
            <v>保險-財產及意外事故</v>
          </cell>
          <cell r="K447" t="str">
            <v>.SPX</v>
          </cell>
          <cell r="L447">
            <v>0.2074</v>
          </cell>
          <cell r="M447">
            <v>152.22999999999999</v>
          </cell>
          <cell r="N447">
            <v>0.3861</v>
          </cell>
          <cell r="O447">
            <v>0.1575</v>
          </cell>
          <cell r="P447">
            <v>0.39460000000000001</v>
          </cell>
          <cell r="Q447">
            <v>0.18629999999999999</v>
          </cell>
        </row>
        <row r="448">
          <cell r="H448" t="str">
            <v>TSCO</v>
          </cell>
          <cell r="I448" t="str">
            <v>XLY</v>
          </cell>
          <cell r="J448" t="str">
            <v>專業零售</v>
          </cell>
          <cell r="K448" t="str">
            <v>.SPX</v>
          </cell>
          <cell r="L448">
            <v>0.24490000000000001</v>
          </cell>
          <cell r="M448">
            <v>188.07</v>
          </cell>
          <cell r="N448">
            <v>0.43330000000000002</v>
          </cell>
          <cell r="O448">
            <v>0.1978</v>
          </cell>
          <cell r="P448">
            <v>0.40810000000000002</v>
          </cell>
          <cell r="Q448">
            <v>0.23129999999999998</v>
          </cell>
        </row>
        <row r="449">
          <cell r="H449" t="str">
            <v>TSLA</v>
          </cell>
          <cell r="I449" t="str">
            <v>XLY</v>
          </cell>
          <cell r="J449" t="str">
            <v>汽車製造商</v>
          </cell>
          <cell r="K449" t="str">
            <v>.SPX</v>
          </cell>
          <cell r="L449">
            <v>0.43919999999999998</v>
          </cell>
          <cell r="M449">
            <v>714.63</v>
          </cell>
          <cell r="N449">
            <v>1.2194</v>
          </cell>
          <cell r="O449">
            <v>0.31519999999999998</v>
          </cell>
          <cell r="P449">
            <v>1.3216999999999999</v>
          </cell>
          <cell r="Q449">
            <v>0.42770000000000002</v>
          </cell>
        </row>
        <row r="450">
          <cell r="H450" t="str">
            <v>TSN</v>
          </cell>
          <cell r="I450" t="str">
            <v>XLP</v>
          </cell>
          <cell r="J450" t="str">
            <v>農產品</v>
          </cell>
          <cell r="K450" t="str">
            <v>.SPX</v>
          </cell>
          <cell r="L450">
            <v>0.25419999999999998</v>
          </cell>
          <cell r="M450">
            <v>70.14</v>
          </cell>
          <cell r="N450">
            <v>0.35049999999999998</v>
          </cell>
          <cell r="O450">
            <v>0.1159</v>
          </cell>
          <cell r="P450">
            <v>0.44579999999999997</v>
          </cell>
          <cell r="Q450">
            <v>0.187</v>
          </cell>
        </row>
        <row r="451">
          <cell r="H451" t="str">
            <v>TT</v>
          </cell>
          <cell r="I451" t="str">
            <v>XLI</v>
          </cell>
          <cell r="J451" t="str">
            <v>特種工業機械</v>
          </cell>
          <cell r="K451" t="str">
            <v>.SPX</v>
          </cell>
          <cell r="L451">
            <v>0.23849999999999999</v>
          </cell>
          <cell r="M451">
            <v>195.43</v>
          </cell>
          <cell r="N451">
            <v>0.36130000000000001</v>
          </cell>
          <cell r="O451">
            <v>0.17050000000000001</v>
          </cell>
          <cell r="P451">
            <v>0.4042</v>
          </cell>
          <cell r="Q451">
            <v>0.20660000000000001</v>
          </cell>
        </row>
        <row r="452">
          <cell r="H452" t="str">
            <v>TTWO</v>
          </cell>
          <cell r="I452" t="str">
            <v>XLC</v>
          </cell>
          <cell r="J452" t="str">
            <v>電子游戲與多媒體</v>
          </cell>
          <cell r="K452" t="str">
            <v>.SPX</v>
          </cell>
          <cell r="L452">
            <v>0.28689999999999999</v>
          </cell>
          <cell r="M452">
            <v>156.78</v>
          </cell>
          <cell r="N452">
            <v>0.44319999999999998</v>
          </cell>
          <cell r="O452">
            <v>0.16750000000000001</v>
          </cell>
          <cell r="P452">
            <v>0.505</v>
          </cell>
          <cell r="Q452">
            <v>0.2336</v>
          </cell>
        </row>
        <row r="453">
          <cell r="H453" t="str">
            <v>TWTR</v>
          </cell>
          <cell r="I453" t="str">
            <v>XLC</v>
          </cell>
          <cell r="J453" t="str">
            <v>互聯網內容與信息</v>
          </cell>
          <cell r="K453" t="str">
            <v>.SPX</v>
          </cell>
          <cell r="L453">
            <v>0.3569</v>
          </cell>
          <cell r="M453">
            <v>69.28</v>
          </cell>
          <cell r="N453">
            <v>0.91490000000000005</v>
          </cell>
          <cell r="O453">
            <v>0.2301</v>
          </cell>
          <cell r="P453">
            <v>0.90459999999999996</v>
          </cell>
          <cell r="Q453">
            <v>0.34429999999999999</v>
          </cell>
        </row>
        <row r="454">
          <cell r="H454" t="str">
            <v>TXN</v>
          </cell>
          <cell r="I454" t="str">
            <v>XLK</v>
          </cell>
          <cell r="J454" t="str">
            <v>半導體</v>
          </cell>
          <cell r="K454" t="str">
            <v>.SPX</v>
          </cell>
          <cell r="L454">
            <v>0.2223</v>
          </cell>
          <cell r="M454">
            <v>193.16</v>
          </cell>
          <cell r="N454">
            <v>0.4526</v>
          </cell>
          <cell r="O454">
            <v>0.1537</v>
          </cell>
          <cell r="P454">
            <v>0.41090000000000004</v>
          </cell>
          <cell r="Q454">
            <v>0.19589999999999999</v>
          </cell>
        </row>
        <row r="455">
          <cell r="H455" t="str">
            <v>TXT</v>
          </cell>
          <cell r="I455" t="str">
            <v>XLI</v>
          </cell>
          <cell r="J455" t="str">
            <v>航天軍工</v>
          </cell>
          <cell r="K455" t="str">
            <v>.SPX</v>
          </cell>
          <cell r="L455">
            <v>0.28870000000000001</v>
          </cell>
          <cell r="M455">
            <v>71.709999999999994</v>
          </cell>
          <cell r="N455">
            <v>0.56440000000000001</v>
          </cell>
          <cell r="O455">
            <v>0.1802</v>
          </cell>
          <cell r="P455">
            <v>0.55610000000000004</v>
          </cell>
          <cell r="Q455">
            <v>0.26590000000000003</v>
          </cell>
        </row>
        <row r="456">
          <cell r="H456" t="str">
            <v>TYL</v>
          </cell>
          <cell r="I456" t="str">
            <v>XLK</v>
          </cell>
          <cell r="J456" t="str">
            <v>軟件-應用</v>
          </cell>
          <cell r="K456" t="str">
            <v>.SPX</v>
          </cell>
          <cell r="L456">
            <v>0.23219999999999999</v>
          </cell>
          <cell r="M456">
            <v>493.99</v>
          </cell>
          <cell r="N456">
            <v>0.58540000000000003</v>
          </cell>
          <cell r="O456">
            <v>0.12759999999999999</v>
          </cell>
          <cell r="P456">
            <v>0.4536</v>
          </cell>
          <cell r="Q456">
            <v>0.21789999999999998</v>
          </cell>
        </row>
        <row r="457">
          <cell r="H457" t="str">
            <v>UA</v>
          </cell>
          <cell r="I457" t="str">
            <v>XLY</v>
          </cell>
          <cell r="J457" t="str">
            <v>服裝製造</v>
          </cell>
          <cell r="K457" t="str">
            <v>.SPX</v>
          </cell>
          <cell r="L457">
            <v>0.39660000000000001</v>
          </cell>
          <cell r="M457">
            <v>21.23</v>
          </cell>
          <cell r="N457">
            <v>0.63239999999999996</v>
          </cell>
          <cell r="O457">
            <v>0.26290000000000002</v>
          </cell>
          <cell r="P457">
            <v>0.91799999999999993</v>
          </cell>
          <cell r="Q457">
            <v>0.3579</v>
          </cell>
        </row>
        <row r="458">
          <cell r="H458" t="str">
            <v>UAA</v>
          </cell>
          <cell r="I458" t="str">
            <v>XLY</v>
          </cell>
          <cell r="J458" t="str">
            <v>服裝製造</v>
          </cell>
          <cell r="K458" t="str">
            <v>.SPX</v>
          </cell>
          <cell r="L458">
            <v>0.3947</v>
          </cell>
          <cell r="M458">
            <v>24.81</v>
          </cell>
          <cell r="N458">
            <v>0.67410000000000003</v>
          </cell>
          <cell r="O458">
            <v>0.28539999999999999</v>
          </cell>
          <cell r="P458">
            <v>0.82730000000000004</v>
          </cell>
          <cell r="Q458">
            <v>0.3574</v>
          </cell>
        </row>
        <row r="459">
          <cell r="H459" t="str">
            <v>UAL</v>
          </cell>
          <cell r="I459" t="str">
            <v>XLI</v>
          </cell>
          <cell r="J459" t="str">
            <v>航空公司</v>
          </cell>
          <cell r="K459" t="str">
            <v>.SPX</v>
          </cell>
          <cell r="L459">
            <v>0.44500000000000001</v>
          </cell>
          <cell r="M459">
            <v>47.24</v>
          </cell>
          <cell r="N459">
            <v>0.78890000000000005</v>
          </cell>
          <cell r="O459">
            <v>0.24490000000000001</v>
          </cell>
          <cell r="P459">
            <v>0.95979999999999999</v>
          </cell>
          <cell r="Q459">
            <v>0.36479999999999996</v>
          </cell>
        </row>
        <row r="460">
          <cell r="H460" t="str">
            <v>UDR</v>
          </cell>
          <cell r="I460" t="str">
            <v>XLRE</v>
          </cell>
          <cell r="J460" t="str">
            <v>-</v>
          </cell>
          <cell r="K460" t="str">
            <v>.SPX</v>
          </cell>
          <cell r="L460">
            <v>0.2102</v>
          </cell>
          <cell r="M460">
            <v>55.46</v>
          </cell>
          <cell r="N460">
            <v>0.57020000000000004</v>
          </cell>
          <cell r="O460">
            <v>0.13339999999999999</v>
          </cell>
          <cell r="P460">
            <v>0.47159999999999996</v>
          </cell>
          <cell r="Q460">
            <v>0.1605</v>
          </cell>
        </row>
        <row r="461">
          <cell r="H461" t="str">
            <v>UHS</v>
          </cell>
          <cell r="I461" t="str">
            <v>XLV</v>
          </cell>
          <cell r="J461" t="str">
            <v>醫療設施</v>
          </cell>
          <cell r="K461" t="str">
            <v>.SPX</v>
          </cell>
          <cell r="L461">
            <v>0.27610000000000001</v>
          </cell>
          <cell r="M461">
            <v>152.88</v>
          </cell>
          <cell r="N461">
            <v>0.48959999999999998</v>
          </cell>
          <cell r="O461">
            <v>0.1439</v>
          </cell>
          <cell r="P461">
            <v>0.61729999999999996</v>
          </cell>
          <cell r="Q461">
            <v>0.22760000000000002</v>
          </cell>
        </row>
        <row r="462">
          <cell r="H462" t="str">
            <v>ULTA</v>
          </cell>
          <cell r="I462" t="str">
            <v>XLY</v>
          </cell>
          <cell r="J462" t="str">
            <v>專業零售</v>
          </cell>
          <cell r="K462" t="str">
            <v>.SPX</v>
          </cell>
          <cell r="L462">
            <v>0.40510000000000002</v>
          </cell>
          <cell r="M462">
            <v>351.65</v>
          </cell>
          <cell r="N462">
            <v>0.63770000000000004</v>
          </cell>
          <cell r="O462">
            <v>0.19689999999999999</v>
          </cell>
          <cell r="P462">
            <v>0.62709999999999999</v>
          </cell>
          <cell r="Q462">
            <v>0.26250000000000001</v>
          </cell>
        </row>
        <row r="463">
          <cell r="H463" t="str">
            <v>UNH</v>
          </cell>
          <cell r="I463" t="str">
            <v>XLV</v>
          </cell>
          <cell r="J463" t="str">
            <v>醫療保健計劃</v>
          </cell>
          <cell r="K463" t="str">
            <v>.SPX</v>
          </cell>
          <cell r="L463">
            <v>0.1963</v>
          </cell>
          <cell r="M463">
            <v>411.19</v>
          </cell>
          <cell r="N463">
            <v>0.38869999999999999</v>
          </cell>
          <cell r="O463">
            <v>0.11749999999999999</v>
          </cell>
          <cell r="P463">
            <v>0.4017</v>
          </cell>
          <cell r="Q463">
            <v>0.17280000000000001</v>
          </cell>
        </row>
        <row r="464">
          <cell r="H464" t="str">
            <v>UNM</v>
          </cell>
          <cell r="I464" t="str">
            <v>XLF</v>
          </cell>
          <cell r="J464" t="str">
            <v>保險-人壽保險</v>
          </cell>
          <cell r="K464" t="str">
            <v>.SPX</v>
          </cell>
          <cell r="L464">
            <v>0.33760000000000001</v>
          </cell>
          <cell r="M464">
            <v>26.39</v>
          </cell>
          <cell r="N464">
            <v>0.74570000000000003</v>
          </cell>
          <cell r="O464">
            <v>0.26319999999999999</v>
          </cell>
          <cell r="P464">
            <v>0.58840000000000003</v>
          </cell>
          <cell r="Q464">
            <v>0.2792</v>
          </cell>
        </row>
        <row r="465">
          <cell r="H465" t="str">
            <v>UNP</v>
          </cell>
          <cell r="I465" t="str">
            <v>XLI</v>
          </cell>
          <cell r="J465" t="str">
            <v>鐵路</v>
          </cell>
          <cell r="K465" t="str">
            <v>.SPX</v>
          </cell>
          <cell r="L465">
            <v>0.1923</v>
          </cell>
          <cell r="M465">
            <v>219.16</v>
          </cell>
          <cell r="N465">
            <v>0.36359999999999998</v>
          </cell>
          <cell r="O465">
            <v>0.12379999999999999</v>
          </cell>
          <cell r="P465">
            <v>0.38679999999999998</v>
          </cell>
          <cell r="Q465">
            <v>0.17019999999999999</v>
          </cell>
        </row>
        <row r="466">
          <cell r="H466" t="str">
            <v>UPS</v>
          </cell>
          <cell r="I466" t="str">
            <v>XLI</v>
          </cell>
          <cell r="J466" t="str">
            <v>綜合貨運物流</v>
          </cell>
          <cell r="K466" t="str">
            <v>.SPX</v>
          </cell>
          <cell r="L466">
            <v>0.2117</v>
          </cell>
          <cell r="M466">
            <v>192.68</v>
          </cell>
          <cell r="N466">
            <v>0.49890000000000001</v>
          </cell>
          <cell r="O466">
            <v>0.14399999999999999</v>
          </cell>
          <cell r="P466">
            <v>0.51880000000000004</v>
          </cell>
          <cell r="Q466">
            <v>0.19329999999999997</v>
          </cell>
        </row>
        <row r="467">
          <cell r="H467" t="str">
            <v>URI</v>
          </cell>
          <cell r="I467" t="str">
            <v>XLI</v>
          </cell>
          <cell r="J467" t="str">
            <v>租賃服務</v>
          </cell>
          <cell r="K467" t="str">
            <v>.SPX</v>
          </cell>
          <cell r="L467">
            <v>0.33729999999999999</v>
          </cell>
          <cell r="M467">
            <v>325.39</v>
          </cell>
          <cell r="N467">
            <v>0.6371</v>
          </cell>
          <cell r="O467">
            <v>0.26750000000000002</v>
          </cell>
          <cell r="P467">
            <v>0.53410000000000002</v>
          </cell>
          <cell r="Q467">
            <v>0.3125</v>
          </cell>
        </row>
        <row r="468">
          <cell r="H468" t="str">
            <v>USB</v>
          </cell>
          <cell r="I468" t="str">
            <v>XLF</v>
          </cell>
          <cell r="J468" t="str">
            <v>銀行-區域</v>
          </cell>
          <cell r="K468" t="str">
            <v>.SPX</v>
          </cell>
          <cell r="L468">
            <v>0.25519999999999998</v>
          </cell>
          <cell r="M468">
            <v>56.6</v>
          </cell>
          <cell r="N468">
            <v>0.51929999999999998</v>
          </cell>
          <cell r="O468">
            <v>0.17949999999999999</v>
          </cell>
          <cell r="P468">
            <v>0.46240000000000003</v>
          </cell>
          <cell r="Q468">
            <v>0.22159999999999999</v>
          </cell>
        </row>
        <row r="469">
          <cell r="H469" t="str">
            <v>V</v>
          </cell>
          <cell r="I469" t="str">
            <v>XLK</v>
          </cell>
          <cell r="J469" t="str">
            <v>信貸服務</v>
          </cell>
          <cell r="K469" t="str">
            <v>.SPX</v>
          </cell>
          <cell r="L469">
            <v>0.20019999999999999</v>
          </cell>
          <cell r="M469">
            <v>240.21</v>
          </cell>
          <cell r="N469">
            <v>0.3387</v>
          </cell>
          <cell r="O469">
            <v>0.1203</v>
          </cell>
          <cell r="P469">
            <v>0.37259999999999999</v>
          </cell>
          <cell r="Q469">
            <v>0.18309999999999998</v>
          </cell>
        </row>
        <row r="470">
          <cell r="H470" t="str">
            <v>VFC</v>
          </cell>
          <cell r="I470" t="str">
            <v>XLY</v>
          </cell>
          <cell r="J470" t="str">
            <v>服裝製造</v>
          </cell>
          <cell r="K470" t="str">
            <v>.SPX</v>
          </cell>
          <cell r="L470">
            <v>0.26779999999999998</v>
          </cell>
          <cell r="M470">
            <v>81.09</v>
          </cell>
          <cell r="N470">
            <v>0.48880000000000001</v>
          </cell>
          <cell r="O470">
            <v>0.21179999999999999</v>
          </cell>
          <cell r="P470">
            <v>0.49030000000000001</v>
          </cell>
          <cell r="Q470">
            <v>0.22510000000000002</v>
          </cell>
        </row>
        <row r="471">
          <cell r="H471" t="str">
            <v>VIAC</v>
          </cell>
          <cell r="I471" t="str">
            <v>XLC</v>
          </cell>
          <cell r="J471" t="str">
            <v>娛樂</v>
          </cell>
          <cell r="K471" t="str">
            <v>.SPX</v>
          </cell>
          <cell r="L471">
            <v>0.39069999999999999</v>
          </cell>
          <cell r="M471">
            <v>41.8</v>
          </cell>
          <cell r="N471">
            <v>1.4275</v>
          </cell>
          <cell r="O471">
            <v>0.22509999999999999</v>
          </cell>
          <cell r="P471">
            <v>1.0688</v>
          </cell>
          <cell r="Q471">
            <v>0.35240000000000005</v>
          </cell>
        </row>
        <row r="472">
          <cell r="H472" t="str">
            <v>VLO</v>
          </cell>
          <cell r="I472" t="str">
            <v>XLE</v>
          </cell>
          <cell r="J472" t="str">
            <v>油氣煉製與營銷</v>
          </cell>
          <cell r="K472" t="str">
            <v>.SPX</v>
          </cell>
          <cell r="L472">
            <v>0.37609999999999999</v>
          </cell>
          <cell r="M472">
            <v>65.709999999999994</v>
          </cell>
          <cell r="N472">
            <v>1.0476000000000001</v>
          </cell>
          <cell r="O472">
            <v>0.26869999999999999</v>
          </cell>
          <cell r="P472">
            <v>0.7016</v>
          </cell>
          <cell r="Q472">
            <v>0.32590000000000002</v>
          </cell>
        </row>
        <row r="473">
          <cell r="H473" t="str">
            <v>VMC</v>
          </cell>
          <cell r="I473" t="str">
            <v>XLB</v>
          </cell>
          <cell r="J473" t="str">
            <v>建築材料</v>
          </cell>
          <cell r="K473" t="str">
            <v>.SPX</v>
          </cell>
          <cell r="L473">
            <v>0.25090000000000001</v>
          </cell>
          <cell r="M473">
            <v>180.34</v>
          </cell>
          <cell r="N473">
            <v>0.4415</v>
          </cell>
          <cell r="O473">
            <v>0.18720000000000001</v>
          </cell>
          <cell r="P473">
            <v>0.4955</v>
          </cell>
          <cell r="Q473">
            <v>0.22190000000000001</v>
          </cell>
        </row>
        <row r="474">
          <cell r="H474" t="str">
            <v>VNO</v>
          </cell>
          <cell r="I474" t="str">
            <v>XLRE</v>
          </cell>
          <cell r="J474" t="str">
            <v>REIT-辦公室</v>
          </cell>
          <cell r="K474" t="str">
            <v>.SPX</v>
          </cell>
          <cell r="L474">
            <v>0.33239999999999997</v>
          </cell>
          <cell r="M474">
            <v>42.56</v>
          </cell>
          <cell r="N474">
            <v>0.91859999999999997</v>
          </cell>
          <cell r="O474">
            <v>0.2495</v>
          </cell>
          <cell r="P474">
            <v>0.59240000000000004</v>
          </cell>
          <cell r="Q474">
            <v>0.28670000000000001</v>
          </cell>
        </row>
        <row r="475">
          <cell r="H475" t="str">
            <v>VRSK</v>
          </cell>
          <cell r="I475" t="str">
            <v>XLI</v>
          </cell>
          <cell r="J475" t="str">
            <v>咨詢服務</v>
          </cell>
          <cell r="K475" t="str">
            <v>.SPX</v>
          </cell>
          <cell r="L475">
            <v>0.20019999999999999</v>
          </cell>
          <cell r="M475">
            <v>189.91</v>
          </cell>
          <cell r="N475">
            <v>0.38569999999999999</v>
          </cell>
          <cell r="O475">
            <v>0.14269999999999999</v>
          </cell>
          <cell r="P475">
            <v>0.35520000000000002</v>
          </cell>
          <cell r="Q475">
            <v>0.18</v>
          </cell>
        </row>
        <row r="476">
          <cell r="H476" t="str">
            <v>VRSN</v>
          </cell>
          <cell r="I476" t="str">
            <v>XLK</v>
          </cell>
          <cell r="J476" t="str">
            <v>軟件基礎設施</v>
          </cell>
          <cell r="K476" t="str">
            <v>.SPX</v>
          </cell>
          <cell r="L476">
            <v>0.20830000000000001</v>
          </cell>
          <cell r="M476">
            <v>214.87</v>
          </cell>
          <cell r="N476">
            <v>0.32250000000000001</v>
          </cell>
          <cell r="O476">
            <v>0.12659999999999999</v>
          </cell>
          <cell r="P476">
            <v>0.3901</v>
          </cell>
          <cell r="Q476">
            <v>0.18090000000000001</v>
          </cell>
        </row>
        <row r="477">
          <cell r="H477" t="str">
            <v>VRTX</v>
          </cell>
          <cell r="I477" t="str">
            <v>XLV</v>
          </cell>
          <cell r="J477" t="str">
            <v>生物技術</v>
          </cell>
          <cell r="K477" t="str">
            <v>.SPX</v>
          </cell>
          <cell r="L477">
            <v>0.25219999999999998</v>
          </cell>
          <cell r="M477">
            <v>202.99</v>
          </cell>
          <cell r="N477">
            <v>0.74480000000000002</v>
          </cell>
          <cell r="O477">
            <v>0.1497</v>
          </cell>
          <cell r="P477">
            <v>0.50259999999999994</v>
          </cell>
          <cell r="Q477">
            <v>0.22469999999999998</v>
          </cell>
        </row>
        <row r="478">
          <cell r="H478" t="str">
            <v>VTR</v>
          </cell>
          <cell r="I478" t="str">
            <v>XLRE</v>
          </cell>
          <cell r="J478" t="str">
            <v>REIT-保健設施</v>
          </cell>
          <cell r="K478" t="str">
            <v>.SPX</v>
          </cell>
          <cell r="L478">
            <v>0.29399999999999998</v>
          </cell>
          <cell r="M478">
            <v>59.08</v>
          </cell>
          <cell r="N478">
            <v>0.65310000000000001</v>
          </cell>
          <cell r="O478">
            <v>0.17</v>
          </cell>
          <cell r="P478">
            <v>0.63380000000000003</v>
          </cell>
          <cell r="Q478">
            <v>0.22140000000000001</v>
          </cell>
        </row>
        <row r="479">
          <cell r="H479" t="str">
            <v>VTRS</v>
          </cell>
          <cell r="I479" t="str">
            <v>XLV</v>
          </cell>
          <cell r="J479" t="str">
            <v>藥品製造商-專業和通用</v>
          </cell>
          <cell r="K479" t="str">
            <v>.SPX</v>
          </cell>
          <cell r="L479">
            <v>0.39179999999999998</v>
          </cell>
          <cell r="M479">
            <v>13.93</v>
          </cell>
          <cell r="N479">
            <v>0.55189999999999995</v>
          </cell>
          <cell r="O479">
            <v>0.21820000000000001</v>
          </cell>
          <cell r="P479">
            <v>0.6048</v>
          </cell>
          <cell r="Q479">
            <v>0.24</v>
          </cell>
        </row>
        <row r="480">
          <cell r="H480" t="str">
            <v>VZ</v>
          </cell>
          <cell r="I480" t="str">
            <v>XLC</v>
          </cell>
          <cell r="J480" t="str">
            <v>電信業務</v>
          </cell>
          <cell r="K480" t="str">
            <v>.SPX</v>
          </cell>
          <cell r="L480">
            <v>0.1212</v>
          </cell>
          <cell r="M480">
            <v>55.38</v>
          </cell>
          <cell r="N480">
            <v>0.2407</v>
          </cell>
          <cell r="O480">
            <v>8.1500000000000003E-2</v>
          </cell>
          <cell r="P480">
            <v>0.2303</v>
          </cell>
          <cell r="Q480">
            <v>0.12119999999999999</v>
          </cell>
        </row>
        <row r="481">
          <cell r="H481" t="str">
            <v>WAB</v>
          </cell>
          <cell r="I481" t="str">
            <v>XLI</v>
          </cell>
          <cell r="J481" t="str">
            <v>鐵路</v>
          </cell>
          <cell r="K481" t="str">
            <v>.SPX</v>
          </cell>
          <cell r="L481">
            <v>0.25779999999999997</v>
          </cell>
          <cell r="M481">
            <v>86.07</v>
          </cell>
          <cell r="N481">
            <v>0.54879999999999995</v>
          </cell>
          <cell r="O481">
            <v>0.1822</v>
          </cell>
          <cell r="P481">
            <v>0.50390000000000001</v>
          </cell>
          <cell r="Q481">
            <v>0.24160000000000001</v>
          </cell>
        </row>
        <row r="482">
          <cell r="H482" t="str">
            <v>WAT</v>
          </cell>
          <cell r="I482" t="str">
            <v>XLV</v>
          </cell>
          <cell r="J482" t="str">
            <v>診斷與研究</v>
          </cell>
          <cell r="K482" t="str">
            <v>.SPX</v>
          </cell>
          <cell r="L482">
            <v>0.26300000000000001</v>
          </cell>
          <cell r="M482">
            <v>397.34</v>
          </cell>
          <cell r="N482">
            <v>0.4088</v>
          </cell>
          <cell r="O482">
            <v>0.14560000000000001</v>
          </cell>
          <cell r="P482">
            <v>0.43740000000000001</v>
          </cell>
          <cell r="Q482">
            <v>0.20960000000000001</v>
          </cell>
        </row>
        <row r="483">
          <cell r="H483" t="str">
            <v>WBA</v>
          </cell>
          <cell r="I483" t="str">
            <v>XLP</v>
          </cell>
          <cell r="J483" t="str">
            <v>醫葯零售商</v>
          </cell>
          <cell r="K483" t="str">
            <v>.SPX</v>
          </cell>
          <cell r="L483">
            <v>0.2452</v>
          </cell>
          <cell r="M483">
            <v>47.06</v>
          </cell>
          <cell r="N483">
            <v>0.61119999999999997</v>
          </cell>
          <cell r="O483">
            <v>0.1802</v>
          </cell>
          <cell r="P483">
            <v>0.48020000000000002</v>
          </cell>
          <cell r="Q483">
            <v>0.23199999999999998</v>
          </cell>
        </row>
        <row r="484">
          <cell r="H484" t="str">
            <v>WDC</v>
          </cell>
          <cell r="I484" t="str">
            <v>XLK</v>
          </cell>
          <cell r="J484" t="str">
            <v>計算機硬件</v>
          </cell>
          <cell r="K484" t="str">
            <v>.SPX</v>
          </cell>
          <cell r="L484">
            <v>0.39179999999999998</v>
          </cell>
          <cell r="M484">
            <v>67.959999999999994</v>
          </cell>
          <cell r="N484">
            <v>0.66749999999999998</v>
          </cell>
          <cell r="O484">
            <v>0.21129999999999999</v>
          </cell>
          <cell r="P484">
            <v>0.71239999999999992</v>
          </cell>
          <cell r="Q484">
            <v>0.33520000000000005</v>
          </cell>
        </row>
        <row r="485">
          <cell r="H485" t="str">
            <v>WEC</v>
          </cell>
          <cell r="I485" t="str">
            <v>XLU</v>
          </cell>
          <cell r="J485" t="str">
            <v>公用事業—受監督的電力</v>
          </cell>
          <cell r="K485" t="str">
            <v>.SPX</v>
          </cell>
          <cell r="L485">
            <v>0.1983</v>
          </cell>
          <cell r="M485">
            <v>96.29</v>
          </cell>
          <cell r="N485">
            <v>0.25600000000000001</v>
          </cell>
          <cell r="O485">
            <v>0.13569999999999999</v>
          </cell>
          <cell r="P485">
            <v>0.31780000000000003</v>
          </cell>
          <cell r="Q485">
            <v>0.16760000000000003</v>
          </cell>
        </row>
        <row r="486">
          <cell r="H486" t="str">
            <v>WELL</v>
          </cell>
          <cell r="I486" t="str">
            <v>XLRE</v>
          </cell>
          <cell r="J486" t="str">
            <v>REIT-保健設施</v>
          </cell>
          <cell r="K486" t="str">
            <v>.SPX</v>
          </cell>
          <cell r="L486">
            <v>0.26150000000000001</v>
          </cell>
          <cell r="M486">
            <v>85.68</v>
          </cell>
          <cell r="N486">
            <v>0.68230000000000002</v>
          </cell>
          <cell r="O486">
            <v>0.1721</v>
          </cell>
          <cell r="P486">
            <v>0.53909999999999991</v>
          </cell>
          <cell r="Q486">
            <v>0.21390000000000001</v>
          </cell>
        </row>
        <row r="487">
          <cell r="H487" t="str">
            <v>WFC</v>
          </cell>
          <cell r="I487" t="str">
            <v>XLF</v>
          </cell>
          <cell r="J487" t="str">
            <v>銀行-多樣化</v>
          </cell>
          <cell r="K487" t="str">
            <v>.SPX</v>
          </cell>
          <cell r="L487">
            <v>0.28810000000000002</v>
          </cell>
          <cell r="M487">
            <v>48.75</v>
          </cell>
          <cell r="N487">
            <v>0.52049999999999996</v>
          </cell>
          <cell r="O487">
            <v>0.18260000000000001</v>
          </cell>
          <cell r="P487">
            <v>0.49</v>
          </cell>
          <cell r="Q487">
            <v>0.26590000000000003</v>
          </cell>
        </row>
        <row r="488">
          <cell r="H488" t="str">
            <v>WHR</v>
          </cell>
          <cell r="I488" t="str">
            <v>XLY</v>
          </cell>
          <cell r="J488" t="str">
            <v>-</v>
          </cell>
          <cell r="K488" t="str">
            <v>.SPX</v>
          </cell>
          <cell r="L488">
            <v>0.25850000000000001</v>
          </cell>
          <cell r="M488">
            <v>222.09</v>
          </cell>
          <cell r="N488">
            <v>0.4657</v>
          </cell>
          <cell r="O488">
            <v>0.19620000000000001</v>
          </cell>
          <cell r="P488">
            <v>0.49390000000000001</v>
          </cell>
          <cell r="Q488">
            <v>0.23870000000000002</v>
          </cell>
        </row>
        <row r="489">
          <cell r="H489" t="str">
            <v>WLTW</v>
          </cell>
          <cell r="I489" t="str">
            <v>XLF</v>
          </cell>
          <cell r="J489" t="str">
            <v>保險經紀</v>
          </cell>
          <cell r="K489" t="str">
            <v>.SPX</v>
          </cell>
          <cell r="L489">
            <v>0.23849999999999999</v>
          </cell>
          <cell r="M489">
            <v>217.51</v>
          </cell>
          <cell r="N489">
            <v>0.40389999999999998</v>
          </cell>
          <cell r="O489">
            <v>0.1215</v>
          </cell>
          <cell r="P489">
            <v>0.4224</v>
          </cell>
          <cell r="Q489">
            <v>0.2041</v>
          </cell>
        </row>
        <row r="490">
          <cell r="H490" t="str">
            <v>WM</v>
          </cell>
          <cell r="I490" t="str">
            <v>XLI</v>
          </cell>
          <cell r="J490" t="str">
            <v>廢物管理</v>
          </cell>
          <cell r="K490" t="str">
            <v>.SPX</v>
          </cell>
          <cell r="L490">
            <v>0.16830000000000001</v>
          </cell>
          <cell r="M490">
            <v>148.33000000000001</v>
          </cell>
          <cell r="N490">
            <v>0.25729999999999997</v>
          </cell>
          <cell r="O490">
            <v>9.7900000000000001E-2</v>
          </cell>
          <cell r="P490">
            <v>0.3281</v>
          </cell>
          <cell r="Q490">
            <v>0.1522</v>
          </cell>
        </row>
        <row r="491">
          <cell r="H491" t="str">
            <v>WMB</v>
          </cell>
          <cell r="I491" t="str">
            <v>XLE</v>
          </cell>
          <cell r="J491" t="str">
            <v>油氣中流</v>
          </cell>
          <cell r="K491" t="str">
            <v>.SPX</v>
          </cell>
          <cell r="L491">
            <v>0.23530000000000001</v>
          </cell>
          <cell r="M491">
            <v>25.14</v>
          </cell>
          <cell r="N491">
            <v>0.4587</v>
          </cell>
          <cell r="O491">
            <v>0.16669999999999999</v>
          </cell>
          <cell r="P491">
            <v>0.51770000000000005</v>
          </cell>
          <cell r="Q491">
            <v>0.20749999999999999</v>
          </cell>
        </row>
        <row r="492">
          <cell r="H492" t="str">
            <v>WMT</v>
          </cell>
          <cell r="I492" t="str">
            <v>XLP</v>
          </cell>
          <cell r="J492" t="str">
            <v>折扣店</v>
          </cell>
          <cell r="K492" t="str">
            <v>.SPX</v>
          </cell>
          <cell r="L492">
            <v>0.20880000000000001</v>
          </cell>
          <cell r="M492">
            <v>145.83000000000001</v>
          </cell>
          <cell r="N492">
            <v>0.30819999999999997</v>
          </cell>
          <cell r="O492">
            <v>0.1094</v>
          </cell>
          <cell r="P492">
            <v>0.4113</v>
          </cell>
          <cell r="Q492">
            <v>0.13119999999999998</v>
          </cell>
        </row>
        <row r="493">
          <cell r="H493" t="str">
            <v>WRB</v>
          </cell>
          <cell r="I493" t="str">
            <v>XLF</v>
          </cell>
          <cell r="J493" t="str">
            <v>保險-財產及意外事故</v>
          </cell>
          <cell r="K493" t="str">
            <v>.SPX</v>
          </cell>
          <cell r="L493">
            <v>0.19239999999999999</v>
          </cell>
          <cell r="M493">
            <v>72.66</v>
          </cell>
          <cell r="N493">
            <v>0.45710000000000001</v>
          </cell>
          <cell r="O493">
            <v>0.13139999999999999</v>
          </cell>
          <cell r="P493">
            <v>0.48259999999999997</v>
          </cell>
          <cell r="Q493">
            <v>0.17019999999999999</v>
          </cell>
        </row>
        <row r="494">
          <cell r="H494" t="str">
            <v>WRK</v>
          </cell>
          <cell r="I494" t="str">
            <v>XLB</v>
          </cell>
          <cell r="J494" t="str">
            <v>包裝和容器</v>
          </cell>
          <cell r="K494" t="str">
            <v>.SPX</v>
          </cell>
          <cell r="L494">
            <v>0.31740000000000002</v>
          </cell>
          <cell r="M494">
            <v>48.52</v>
          </cell>
          <cell r="N494">
            <v>0.56110000000000004</v>
          </cell>
          <cell r="O494">
            <v>0.2223</v>
          </cell>
          <cell r="P494">
            <v>0.58950000000000002</v>
          </cell>
          <cell r="Q494">
            <v>0.2717</v>
          </cell>
        </row>
        <row r="495">
          <cell r="H495" t="str">
            <v>WST</v>
          </cell>
          <cell r="I495" t="str">
            <v>XLV</v>
          </cell>
          <cell r="J495" t="str">
            <v>醫療器械及用品</v>
          </cell>
          <cell r="K495" t="str">
            <v>.SPX</v>
          </cell>
          <cell r="L495">
            <v>0.23760000000000001</v>
          </cell>
          <cell r="M495">
            <v>425.66</v>
          </cell>
          <cell r="N495">
            <v>0.38</v>
          </cell>
          <cell r="O495">
            <v>0.1226</v>
          </cell>
          <cell r="P495">
            <v>0.46130000000000004</v>
          </cell>
          <cell r="Q495">
            <v>0.21309999999999998</v>
          </cell>
        </row>
        <row r="496">
          <cell r="H496" t="str">
            <v>WU</v>
          </cell>
          <cell r="I496" t="str">
            <v>XLK</v>
          </cell>
          <cell r="J496" t="str">
            <v>信貸服務</v>
          </cell>
          <cell r="K496" t="str">
            <v>.SPX</v>
          </cell>
          <cell r="L496">
            <v>0.2132</v>
          </cell>
          <cell r="M496">
            <v>22.52</v>
          </cell>
          <cell r="N496">
            <v>0.42699999999999999</v>
          </cell>
          <cell r="O496">
            <v>0.18149999999999999</v>
          </cell>
          <cell r="P496">
            <v>0.43869999999999998</v>
          </cell>
          <cell r="Q496">
            <v>0.20199999999999999</v>
          </cell>
        </row>
        <row r="497">
          <cell r="H497" t="str">
            <v>WY</v>
          </cell>
          <cell r="I497" t="str">
            <v>XLRE</v>
          </cell>
          <cell r="J497" t="str">
            <v>REIT-專業</v>
          </cell>
          <cell r="K497" t="str">
            <v>.SPX</v>
          </cell>
          <cell r="L497">
            <v>0.2631</v>
          </cell>
          <cell r="M497">
            <v>34.49</v>
          </cell>
          <cell r="N497">
            <v>0.40600000000000003</v>
          </cell>
          <cell r="O497">
            <v>0.20910000000000001</v>
          </cell>
          <cell r="P497">
            <v>0.51719999999999999</v>
          </cell>
          <cell r="Q497">
            <v>0.25530000000000003</v>
          </cell>
        </row>
        <row r="498">
          <cell r="H498" t="str">
            <v>WYNN</v>
          </cell>
          <cell r="I498" t="str">
            <v>XLY</v>
          </cell>
          <cell r="J498" t="str">
            <v>度假村和賭場</v>
          </cell>
          <cell r="K498" t="str">
            <v>.SPX</v>
          </cell>
          <cell r="L498">
            <v>0.43859999999999999</v>
          </cell>
          <cell r="M498">
            <v>98.68</v>
          </cell>
          <cell r="N498">
            <v>0.90559999999999996</v>
          </cell>
          <cell r="O498">
            <v>0.2303</v>
          </cell>
          <cell r="P498">
            <v>0.75390000000000001</v>
          </cell>
          <cell r="Q498">
            <v>0.33600000000000002</v>
          </cell>
        </row>
        <row r="499">
          <cell r="H499" t="str">
            <v>XEL</v>
          </cell>
          <cell r="I499" t="str">
            <v>XLU</v>
          </cell>
          <cell r="J499" t="str">
            <v>公用事業—受監督的電力</v>
          </cell>
          <cell r="K499" t="str">
            <v>.SPX</v>
          </cell>
          <cell r="L499">
            <v>0.1701</v>
          </cell>
          <cell r="M499">
            <v>68.83</v>
          </cell>
          <cell r="N499">
            <v>0.2712</v>
          </cell>
          <cell r="O499">
            <v>0.13370000000000001</v>
          </cell>
          <cell r="P499">
            <v>0.31059999999999999</v>
          </cell>
          <cell r="Q499">
            <v>0.1429</v>
          </cell>
        </row>
        <row r="500">
          <cell r="H500" t="str">
            <v>XLNX</v>
          </cell>
          <cell r="I500" t="str">
            <v>XLK</v>
          </cell>
          <cell r="J500" t="str">
            <v>半導體</v>
          </cell>
          <cell r="K500" t="str">
            <v>.SPX</v>
          </cell>
          <cell r="L500">
            <v>0.50549999999999995</v>
          </cell>
          <cell r="M500">
            <v>150.97999999999999</v>
          </cell>
          <cell r="N500">
            <v>0.61019999999999996</v>
          </cell>
          <cell r="O500">
            <v>0.2656</v>
          </cell>
          <cell r="P500">
            <v>0.64090000000000003</v>
          </cell>
          <cell r="Q500">
            <v>0.27100000000000002</v>
          </cell>
        </row>
        <row r="501">
          <cell r="H501" t="str">
            <v>XOM</v>
          </cell>
          <cell r="I501" t="str">
            <v>XLE</v>
          </cell>
          <cell r="J501" t="str">
            <v>油氣一體化</v>
          </cell>
          <cell r="K501" t="str">
            <v>.SPX</v>
          </cell>
          <cell r="L501">
            <v>0.2732</v>
          </cell>
          <cell r="M501">
            <v>57.74</v>
          </cell>
          <cell r="N501">
            <v>0.61280000000000001</v>
          </cell>
          <cell r="O501">
            <v>0.24429999999999999</v>
          </cell>
          <cell r="P501">
            <v>0.50670000000000004</v>
          </cell>
          <cell r="Q501">
            <v>0.25090000000000001</v>
          </cell>
        </row>
        <row r="502">
          <cell r="H502" t="str">
            <v>XRAY</v>
          </cell>
          <cell r="I502" t="str">
            <v>XLV</v>
          </cell>
          <cell r="J502" t="str">
            <v>醫療器械及用品</v>
          </cell>
          <cell r="K502" t="str">
            <v>.SPX</v>
          </cell>
          <cell r="L502">
            <v>0.27900000000000003</v>
          </cell>
          <cell r="M502">
            <v>59.29</v>
          </cell>
          <cell r="N502">
            <v>0.57569999999999999</v>
          </cell>
          <cell r="O502">
            <v>0.15820000000000001</v>
          </cell>
          <cell r="P502">
            <v>0.51300000000000001</v>
          </cell>
          <cell r="Q502">
            <v>0.22519999999999998</v>
          </cell>
        </row>
        <row r="503">
          <cell r="H503" t="str">
            <v>XYL</v>
          </cell>
          <cell r="I503" t="str">
            <v>XLI</v>
          </cell>
          <cell r="J503" t="str">
            <v>特種工業機械</v>
          </cell>
          <cell r="K503" t="str">
            <v>.SPX</v>
          </cell>
          <cell r="L503">
            <v>0.2031</v>
          </cell>
          <cell r="M503">
            <v>127.52</v>
          </cell>
          <cell r="N503">
            <v>0.36280000000000001</v>
          </cell>
          <cell r="O503">
            <v>0.14399999999999999</v>
          </cell>
          <cell r="P503">
            <v>0.45500000000000002</v>
          </cell>
          <cell r="Q503">
            <v>0.19</v>
          </cell>
        </row>
        <row r="504">
          <cell r="H504" t="str">
            <v>YUM</v>
          </cell>
          <cell r="I504" t="str">
            <v>XLY</v>
          </cell>
          <cell r="J504" t="str">
            <v>飯館</v>
          </cell>
          <cell r="K504" t="str">
            <v>.SPX</v>
          </cell>
          <cell r="L504">
            <v>0.18179999999999999</v>
          </cell>
          <cell r="M504">
            <v>134.31</v>
          </cell>
          <cell r="N504">
            <v>0.27579999999999999</v>
          </cell>
          <cell r="O504">
            <v>0.12570000000000001</v>
          </cell>
          <cell r="P504">
            <v>0.37659999999999999</v>
          </cell>
          <cell r="Q504">
            <v>0.1525</v>
          </cell>
        </row>
        <row r="505">
          <cell r="H505" t="str">
            <v>ZBH</v>
          </cell>
          <cell r="I505" t="str">
            <v>XLV</v>
          </cell>
          <cell r="J505" t="str">
            <v>醫療設備</v>
          </cell>
          <cell r="K505" t="str">
            <v>.SPX</v>
          </cell>
          <cell r="L505">
            <v>0.23849999999999999</v>
          </cell>
          <cell r="M505">
            <v>148.41999999999999</v>
          </cell>
          <cell r="N505">
            <v>0.44890000000000002</v>
          </cell>
          <cell r="O505">
            <v>0.17069999999999999</v>
          </cell>
          <cell r="P505">
            <v>0.45450000000000002</v>
          </cell>
          <cell r="Q505">
            <v>0.20480000000000001</v>
          </cell>
        </row>
        <row r="506">
          <cell r="H506" t="str">
            <v>ZBRA</v>
          </cell>
          <cell r="I506" t="str">
            <v>XLK</v>
          </cell>
          <cell r="J506" t="str">
            <v>通信設備</v>
          </cell>
          <cell r="K506" t="str">
            <v>.SPX</v>
          </cell>
          <cell r="L506">
            <v>0.26069999999999999</v>
          </cell>
          <cell r="M506">
            <v>569.22</v>
          </cell>
          <cell r="N506">
            <v>0.4471</v>
          </cell>
          <cell r="O506">
            <v>0.182</v>
          </cell>
          <cell r="P506">
            <v>0.5071</v>
          </cell>
          <cell r="Q506">
            <v>0.23910000000000001</v>
          </cell>
        </row>
        <row r="507">
          <cell r="H507" t="str">
            <v>ZION</v>
          </cell>
          <cell r="I507" t="str">
            <v>XLF</v>
          </cell>
          <cell r="J507" t="str">
            <v>銀行-區域</v>
          </cell>
          <cell r="K507" t="str">
            <v>.SPX</v>
          </cell>
          <cell r="L507">
            <v>0.31979999999999997</v>
          </cell>
          <cell r="M507">
            <v>53.12</v>
          </cell>
          <cell r="N507">
            <v>0.86909999999999998</v>
          </cell>
          <cell r="O507">
            <v>0.24660000000000001</v>
          </cell>
          <cell r="P507">
            <v>0.5091</v>
          </cell>
          <cell r="Q507">
            <v>0.27710000000000001</v>
          </cell>
        </row>
        <row r="508">
          <cell r="H508" t="str">
            <v>ZTS</v>
          </cell>
          <cell r="I508" t="str">
            <v>XLV</v>
          </cell>
          <cell r="J508" t="str">
            <v>藥品製造商-專業和通用</v>
          </cell>
          <cell r="K508" t="str">
            <v>.SPX</v>
          </cell>
          <cell r="L508">
            <v>0.20530000000000001</v>
          </cell>
          <cell r="M508">
            <v>203.84</v>
          </cell>
          <cell r="N508">
            <v>0.32700000000000001</v>
          </cell>
          <cell r="O508">
            <v>0.13569999999999999</v>
          </cell>
          <cell r="P508">
            <v>0.39429999999999998</v>
          </cell>
          <cell r="Q508">
            <v>0.17679999999999998</v>
          </cell>
        </row>
        <row r="509">
          <cell r="H509"/>
          <cell r="I509" t="str">
            <v/>
          </cell>
          <cell r="J509" t="str">
            <v/>
          </cell>
          <cell r="K509" t="str">
            <v/>
          </cell>
          <cell r="L509"/>
          <cell r="M509"/>
          <cell r="N509"/>
          <cell r="O509"/>
          <cell r="P509"/>
          <cell r="Q509"/>
        </row>
        <row r="510"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/>
          <cell r="M510"/>
          <cell r="N510"/>
          <cell r="O510"/>
          <cell r="P510"/>
          <cell r="Q510"/>
        </row>
        <row r="511"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/>
          <cell r="M511"/>
          <cell r="N511"/>
          <cell r="O511"/>
          <cell r="P511"/>
          <cell r="Q511"/>
        </row>
        <row r="512"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/>
          <cell r="M512"/>
          <cell r="N512"/>
          <cell r="O512"/>
          <cell r="P512"/>
          <cell r="Q512"/>
        </row>
        <row r="513"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/>
          <cell r="M513"/>
          <cell r="N513"/>
          <cell r="O513"/>
          <cell r="P513"/>
          <cell r="Q513"/>
        </row>
        <row r="514"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/>
          <cell r="M514"/>
          <cell r="N514"/>
          <cell r="O514"/>
          <cell r="P514"/>
          <cell r="Q514"/>
        </row>
        <row r="515"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/>
          <cell r="M515"/>
          <cell r="N515"/>
          <cell r="O515"/>
          <cell r="P515"/>
          <cell r="Q515"/>
        </row>
        <row r="516"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/>
          <cell r="M516"/>
          <cell r="N516"/>
          <cell r="O516"/>
          <cell r="P516"/>
          <cell r="Q516"/>
        </row>
        <row r="517"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/>
          <cell r="M517"/>
          <cell r="N517"/>
          <cell r="O517"/>
          <cell r="P517"/>
          <cell r="Q517"/>
        </row>
        <row r="518"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/>
          <cell r="M518"/>
          <cell r="N518"/>
          <cell r="O518"/>
          <cell r="P518"/>
          <cell r="Q518"/>
        </row>
        <row r="519"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/>
          <cell r="M519"/>
          <cell r="N519"/>
          <cell r="O519"/>
          <cell r="P519"/>
          <cell r="Q519"/>
        </row>
        <row r="520"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/>
          <cell r="M520"/>
          <cell r="N520"/>
          <cell r="O520"/>
          <cell r="P520"/>
          <cell r="Q520"/>
        </row>
        <row r="521">
          <cell r="H521" t="str">
            <v>CRNC</v>
          </cell>
          <cell r="I521" t="str">
            <v/>
          </cell>
          <cell r="J521" t="str">
            <v/>
          </cell>
          <cell r="K521" t="str">
            <v>電動車-JIT</v>
          </cell>
          <cell r="L521">
            <v>0.54959999999999998</v>
          </cell>
          <cell r="M521">
            <v>108.7</v>
          </cell>
          <cell r="N521">
            <v>0.90720000000000001</v>
          </cell>
          <cell r="O521">
            <v>0.41020000000000001</v>
          </cell>
          <cell r="P521">
            <v>0.91559999999999997</v>
          </cell>
          <cell r="Q521">
            <v>0.4919</v>
          </cell>
        </row>
        <row r="522">
          <cell r="H522" t="str">
            <v>PUTW</v>
          </cell>
          <cell r="I522" t="str">
            <v/>
          </cell>
          <cell r="J522" t="str">
            <v/>
          </cell>
          <cell r="K522" t="str">
            <v>SP-JIT</v>
          </cell>
          <cell r="L522"/>
          <cell r="M522"/>
          <cell r="N522"/>
          <cell r="O522"/>
          <cell r="P522"/>
          <cell r="Q522"/>
        </row>
        <row r="523">
          <cell r="H523" t="str">
            <v>BXMX</v>
          </cell>
          <cell r="I523" t="str">
            <v/>
          </cell>
          <cell r="J523" t="str">
            <v/>
          </cell>
          <cell r="K523" t="str">
            <v>SC-JIT</v>
          </cell>
          <cell r="L523"/>
          <cell r="M523"/>
          <cell r="N523"/>
          <cell r="O523"/>
          <cell r="P523"/>
          <cell r="Q523"/>
        </row>
        <row r="524">
          <cell r="H524" t="str">
            <v>ZM</v>
          </cell>
          <cell r="I524" t="str">
            <v/>
          </cell>
          <cell r="J524" t="str">
            <v/>
          </cell>
          <cell r="K524" t="str">
            <v>Livia</v>
          </cell>
          <cell r="L524">
            <v>0.45350000000000001</v>
          </cell>
          <cell r="M524">
            <v>378.5</v>
          </cell>
          <cell r="N524">
            <v>1.2526999999999999</v>
          </cell>
          <cell r="O524">
            <v>0.31509999999999999</v>
          </cell>
          <cell r="P524">
            <v>0.94779999999999998</v>
          </cell>
          <cell r="Q524">
            <v>0.37020000000000003</v>
          </cell>
        </row>
        <row r="525">
          <cell r="H525" t="str">
            <v>YOLO</v>
          </cell>
          <cell r="I525" t="str">
            <v/>
          </cell>
          <cell r="J525" t="str">
            <v/>
          </cell>
          <cell r="K525" t="str">
            <v>Livia</v>
          </cell>
          <cell r="L525">
            <v>0.38140000000000002</v>
          </cell>
          <cell r="M525">
            <v>18.96</v>
          </cell>
          <cell r="N525">
            <v>0.78749999999999998</v>
          </cell>
          <cell r="O525">
            <v>0.23930000000000001</v>
          </cell>
          <cell r="P525">
            <v>1.1721999999999999</v>
          </cell>
          <cell r="Q525">
            <v>0.34200000000000003</v>
          </cell>
        </row>
        <row r="526">
          <cell r="H526" t="str">
            <v>TECH</v>
          </cell>
          <cell r="I526" t="str">
            <v/>
          </cell>
          <cell r="J526" t="str">
            <v/>
          </cell>
          <cell r="K526" t="str">
            <v>Livia</v>
          </cell>
          <cell r="L526">
            <v>0.33310000000000001</v>
          </cell>
          <cell r="M526">
            <v>484.99</v>
          </cell>
          <cell r="N526">
            <v>0.53969999999999996</v>
          </cell>
          <cell r="O526">
            <v>0.20749999999999999</v>
          </cell>
          <cell r="P526">
            <v>0.42109999999999997</v>
          </cell>
          <cell r="Q526">
            <v>0.24809999999999999</v>
          </cell>
        </row>
        <row r="527">
          <cell r="H527" t="str">
            <v>SHOP</v>
          </cell>
          <cell r="I527" t="str">
            <v/>
          </cell>
          <cell r="J527" t="str">
            <v/>
          </cell>
          <cell r="K527" t="str">
            <v>Livia</v>
          </cell>
          <cell r="L527">
            <v>0.3906</v>
          </cell>
          <cell r="M527">
            <v>1549.12</v>
          </cell>
          <cell r="N527">
            <v>0.68530000000000002</v>
          </cell>
          <cell r="O527">
            <v>0.2989</v>
          </cell>
          <cell r="P527">
            <v>0.6987000000000001</v>
          </cell>
          <cell r="Q527">
            <v>0.33840000000000003</v>
          </cell>
        </row>
        <row r="528">
          <cell r="H528" t="str">
            <v>ROKU</v>
          </cell>
          <cell r="I528" t="str">
            <v/>
          </cell>
          <cell r="J528" t="str">
            <v/>
          </cell>
          <cell r="K528" t="str">
            <v>Livia</v>
          </cell>
          <cell r="L528">
            <v>0.62709999999999999</v>
          </cell>
          <cell r="M528">
            <v>429.74</v>
          </cell>
          <cell r="N528">
            <v>0.78420000000000001</v>
          </cell>
          <cell r="O528">
            <v>0.41649999999999998</v>
          </cell>
          <cell r="P528">
            <v>0.83389999999999997</v>
          </cell>
          <cell r="Q528">
            <v>0.42219999999999996</v>
          </cell>
        </row>
        <row r="529">
          <cell r="H529" t="str">
            <v>RH</v>
          </cell>
          <cell r="I529" t="str">
            <v/>
          </cell>
          <cell r="J529" t="str">
            <v/>
          </cell>
          <cell r="K529" t="str">
            <v>Livia</v>
          </cell>
          <cell r="L529">
            <v>0.36659999999999998</v>
          </cell>
          <cell r="M529">
            <v>664.67</v>
          </cell>
          <cell r="N529">
            <v>0.6774</v>
          </cell>
          <cell r="O529">
            <v>0.25269999999999998</v>
          </cell>
          <cell r="P529">
            <v>0.82689999999999997</v>
          </cell>
          <cell r="Q529">
            <v>0.33500000000000002</v>
          </cell>
        </row>
        <row r="530">
          <cell r="H530" t="str">
            <v>PDD</v>
          </cell>
          <cell r="I530" t="str">
            <v/>
          </cell>
          <cell r="J530" t="str">
            <v/>
          </cell>
          <cell r="K530" t="str">
            <v>Livia</v>
          </cell>
          <cell r="L530">
            <v>0.66339999999999999</v>
          </cell>
          <cell r="M530">
            <v>91.88</v>
          </cell>
          <cell r="N530">
            <v>0.996</v>
          </cell>
          <cell r="O530">
            <v>0.33410000000000001</v>
          </cell>
          <cell r="P530">
            <v>0.84889999999999999</v>
          </cell>
          <cell r="Q530">
            <v>0.42930000000000001</v>
          </cell>
        </row>
        <row r="531">
          <cell r="H531" t="str">
            <v>NET</v>
          </cell>
          <cell r="I531" t="str">
            <v/>
          </cell>
          <cell r="J531" t="str">
            <v/>
          </cell>
          <cell r="K531" t="str">
            <v>Livia</v>
          </cell>
          <cell r="L531">
            <v>0.52170000000000005</v>
          </cell>
          <cell r="M531">
            <v>120.01</v>
          </cell>
          <cell r="N531">
            <v>0.81659999999999999</v>
          </cell>
          <cell r="O531">
            <v>0.26300000000000001</v>
          </cell>
          <cell r="P531">
            <v>0.86109999999999998</v>
          </cell>
          <cell r="Q531">
            <v>0.41770000000000002</v>
          </cell>
        </row>
        <row r="532">
          <cell r="H532" t="str">
            <v>IBIO</v>
          </cell>
          <cell r="I532" t="str">
            <v/>
          </cell>
          <cell r="J532" t="str">
            <v/>
          </cell>
          <cell r="K532" t="str">
            <v>Livia</v>
          </cell>
          <cell r="L532">
            <v>1.3602000000000001</v>
          </cell>
          <cell r="M532">
            <v>1.2549999999999999</v>
          </cell>
          <cell r="N532">
            <v>2.5341</v>
          </cell>
          <cell r="O532">
            <v>0.53180000000000005</v>
          </cell>
          <cell r="P532">
            <v>3.1777999999999995</v>
          </cell>
          <cell r="Q532">
            <v>1.0456000000000001</v>
          </cell>
        </row>
        <row r="533">
          <cell r="H533" t="str">
            <v>GME</v>
          </cell>
          <cell r="I533" t="str">
            <v/>
          </cell>
          <cell r="J533" t="str">
            <v/>
          </cell>
          <cell r="K533" t="str">
            <v>Livia</v>
          </cell>
          <cell r="L533">
            <v>0.94040000000000001</v>
          </cell>
          <cell r="M533">
            <v>158.88</v>
          </cell>
          <cell r="N533">
            <v>5.9585999999999997</v>
          </cell>
          <cell r="O533">
            <v>0.4632</v>
          </cell>
          <cell r="P533">
            <v>5.6374000000000004</v>
          </cell>
          <cell r="Q533">
            <v>0.90290000000000004</v>
          </cell>
        </row>
        <row r="534">
          <cell r="H534" t="str">
            <v>DDOG</v>
          </cell>
          <cell r="I534" t="str">
            <v/>
          </cell>
          <cell r="J534" t="str">
            <v/>
          </cell>
          <cell r="K534" t="str">
            <v>Livia</v>
          </cell>
          <cell r="L534">
            <v>0.51349999999999996</v>
          </cell>
          <cell r="M534">
            <v>112.88</v>
          </cell>
          <cell r="N534">
            <v>0.76839999999999997</v>
          </cell>
          <cell r="O534">
            <v>0.2104</v>
          </cell>
          <cell r="P534">
            <v>0.82379999999999998</v>
          </cell>
          <cell r="Q534">
            <v>0.39329999999999998</v>
          </cell>
        </row>
        <row r="535">
          <cell r="H535" t="str">
            <v>AZN</v>
          </cell>
          <cell r="I535" t="str">
            <v/>
          </cell>
          <cell r="J535" t="str">
            <v/>
          </cell>
          <cell r="K535" t="str">
            <v>Livia</v>
          </cell>
          <cell r="L535"/>
          <cell r="M535"/>
          <cell r="N535"/>
          <cell r="O535"/>
          <cell r="P535"/>
          <cell r="Q535"/>
        </row>
        <row r="536">
          <cell r="H536" t="str">
            <v>API</v>
          </cell>
          <cell r="I536" t="str">
            <v/>
          </cell>
          <cell r="J536" t="str">
            <v/>
          </cell>
          <cell r="K536" t="str">
            <v>Livia</v>
          </cell>
          <cell r="L536"/>
          <cell r="M536"/>
          <cell r="N536"/>
          <cell r="O536"/>
          <cell r="P536"/>
          <cell r="Q536"/>
        </row>
        <row r="537">
          <cell r="H537" t="str">
            <v>AMC</v>
          </cell>
          <cell r="I537" t="str">
            <v/>
          </cell>
          <cell r="J537" t="str">
            <v/>
          </cell>
          <cell r="K537" t="str">
            <v>Livia</v>
          </cell>
          <cell r="L537"/>
          <cell r="M537"/>
          <cell r="N537"/>
          <cell r="O537"/>
          <cell r="P537"/>
          <cell r="Q537"/>
        </row>
        <row r="538">
          <cell r="H538" t="str">
            <v>AM</v>
          </cell>
          <cell r="I538" t="str">
            <v/>
          </cell>
          <cell r="J538" t="str">
            <v/>
          </cell>
          <cell r="K538" t="str">
            <v>Livia</v>
          </cell>
          <cell r="L538"/>
          <cell r="M538"/>
          <cell r="N538"/>
          <cell r="O538"/>
          <cell r="P538"/>
          <cell r="Q538"/>
        </row>
        <row r="539">
          <cell r="H539" t="str">
            <v>ZNGA</v>
          </cell>
          <cell r="I539" t="str">
            <v/>
          </cell>
          <cell r="J539" t="str">
            <v>5G</v>
          </cell>
          <cell r="K539" t="str">
            <v>JIT</v>
          </cell>
          <cell r="L539"/>
          <cell r="M539"/>
          <cell r="N539"/>
          <cell r="O539"/>
          <cell r="P539"/>
          <cell r="Q539"/>
        </row>
        <row r="540">
          <cell r="H540" t="str">
            <v>XONE</v>
          </cell>
          <cell r="I540" t="str">
            <v/>
          </cell>
          <cell r="J540" t="str">
            <v>工業務聯網</v>
          </cell>
          <cell r="K540" t="str">
            <v>JIT</v>
          </cell>
          <cell r="L540">
            <v>0.38619999999999999</v>
          </cell>
          <cell r="M540">
            <v>21.78</v>
          </cell>
          <cell r="N540">
            <v>1.9291</v>
          </cell>
          <cell r="O540">
            <v>0.2278</v>
          </cell>
          <cell r="P540">
            <v>1.966</v>
          </cell>
          <cell r="Q540">
            <v>0.22089999999999999</v>
          </cell>
        </row>
        <row r="541">
          <cell r="H541" t="str">
            <v>WKHS</v>
          </cell>
          <cell r="I541" t="str">
            <v/>
          </cell>
          <cell r="J541" t="str">
            <v>新能源</v>
          </cell>
          <cell r="K541" t="str">
            <v>JIT</v>
          </cell>
          <cell r="L541">
            <v>1.1168</v>
          </cell>
          <cell r="M541">
            <v>11.42</v>
          </cell>
          <cell r="N541">
            <v>2.4247000000000001</v>
          </cell>
          <cell r="O541">
            <v>0.73309999999999997</v>
          </cell>
          <cell r="P541">
            <v>2.3280000000000003</v>
          </cell>
          <cell r="Q541">
            <v>0.93469999999999998</v>
          </cell>
        </row>
        <row r="542">
          <cell r="H542" t="str">
            <v>VSTM</v>
          </cell>
          <cell r="I542" t="str">
            <v/>
          </cell>
          <cell r="J542" t="str">
            <v/>
          </cell>
          <cell r="K542" t="str">
            <v>JIT</v>
          </cell>
          <cell r="L542">
            <v>0.87909999999999999</v>
          </cell>
          <cell r="M542">
            <v>3.21</v>
          </cell>
          <cell r="N542">
            <v>0.84589999999999999</v>
          </cell>
          <cell r="O542">
            <v>0.48549999999999999</v>
          </cell>
          <cell r="P542">
            <v>2.0019999999999998</v>
          </cell>
          <cell r="Q542">
            <v>0.65200000000000002</v>
          </cell>
        </row>
        <row r="543">
          <cell r="H543" t="str">
            <v>VNDA</v>
          </cell>
          <cell r="I543" t="str">
            <v/>
          </cell>
          <cell r="J543" t="str">
            <v/>
          </cell>
          <cell r="K543" t="str">
            <v>JIT</v>
          </cell>
          <cell r="L543">
            <v>0.55100000000000005</v>
          </cell>
          <cell r="M543">
            <v>17.239999999999998</v>
          </cell>
          <cell r="N543">
            <v>0.74390000000000001</v>
          </cell>
          <cell r="O543">
            <v>0.24099999999999999</v>
          </cell>
          <cell r="P543">
            <v>0.96730000000000005</v>
          </cell>
          <cell r="Q543">
            <v>0.39460000000000001</v>
          </cell>
        </row>
        <row r="544">
          <cell r="H544" t="str">
            <v>VIVO</v>
          </cell>
          <cell r="I544" t="str">
            <v/>
          </cell>
          <cell r="J544" t="str">
            <v/>
          </cell>
          <cell r="K544" t="str">
            <v>JIT</v>
          </cell>
          <cell r="L544">
            <v>0.64270000000000005</v>
          </cell>
          <cell r="M544">
            <v>20.91</v>
          </cell>
          <cell r="N544">
            <v>0.95950000000000002</v>
          </cell>
          <cell r="O544">
            <v>0.39290000000000003</v>
          </cell>
          <cell r="P544">
            <v>1.4808000000000001</v>
          </cell>
          <cell r="Q544">
            <v>0.61799999999999999</v>
          </cell>
        </row>
        <row r="545">
          <cell r="H545" t="str">
            <v>VCRA</v>
          </cell>
          <cell r="I545" t="str">
            <v/>
          </cell>
          <cell r="J545" t="str">
            <v>EV&amp;人工智慧</v>
          </cell>
          <cell r="K545" t="str">
            <v>JIT</v>
          </cell>
          <cell r="L545">
            <v>0.4214</v>
          </cell>
          <cell r="M545">
            <v>42.65</v>
          </cell>
          <cell r="N545">
            <v>0.95640000000000003</v>
          </cell>
          <cell r="O545">
            <v>0.18970000000000001</v>
          </cell>
          <cell r="P545">
            <v>1.0454999999999999</v>
          </cell>
          <cell r="Q545">
            <v>0.34960000000000002</v>
          </cell>
        </row>
        <row r="546">
          <cell r="H546" t="str">
            <v>UPWK</v>
          </cell>
          <cell r="I546" t="str">
            <v/>
          </cell>
          <cell r="J546" t="str">
            <v>商業務聯網</v>
          </cell>
          <cell r="K546" t="str">
            <v>JIT</v>
          </cell>
          <cell r="L546">
            <v>0.61360000000000003</v>
          </cell>
          <cell r="M546">
            <v>52.96</v>
          </cell>
          <cell r="N546">
            <v>1.2161999999999999</v>
          </cell>
          <cell r="O546">
            <v>0.4113</v>
          </cell>
          <cell r="P546">
            <v>1.0724</v>
          </cell>
          <cell r="Q546">
            <v>0.5534</v>
          </cell>
        </row>
        <row r="547">
          <cell r="H547" t="str">
            <v>ULTA</v>
          </cell>
          <cell r="I547" t="str">
            <v/>
          </cell>
          <cell r="J547" t="str">
            <v/>
          </cell>
          <cell r="K547" t="str">
            <v>JIT</v>
          </cell>
          <cell r="L547"/>
          <cell r="M547"/>
          <cell r="N547"/>
          <cell r="O547"/>
          <cell r="P547"/>
          <cell r="Q547"/>
        </row>
        <row r="548">
          <cell r="H548" t="str">
            <v>UBER</v>
          </cell>
          <cell r="I548" t="str">
            <v/>
          </cell>
          <cell r="J548" t="str">
            <v>千禧代</v>
          </cell>
          <cell r="K548" t="str">
            <v>JIT</v>
          </cell>
          <cell r="L548">
            <v>0.48209999999999997</v>
          </cell>
          <cell r="M548">
            <v>43.87</v>
          </cell>
          <cell r="N548">
            <v>0.63019999999999998</v>
          </cell>
          <cell r="O548">
            <v>0.27900000000000003</v>
          </cell>
          <cell r="P548">
            <v>0.73260000000000003</v>
          </cell>
          <cell r="Q548">
            <v>0.37209999999999999</v>
          </cell>
        </row>
        <row r="549">
          <cell r="H549" t="str">
            <v>TWLO</v>
          </cell>
          <cell r="I549" t="str">
            <v/>
          </cell>
          <cell r="J549" t="str">
            <v/>
          </cell>
          <cell r="K549" t="str">
            <v>JIT</v>
          </cell>
          <cell r="L549">
            <v>0.4168</v>
          </cell>
          <cell r="M549">
            <v>382.56</v>
          </cell>
          <cell r="N549">
            <v>0.81</v>
          </cell>
          <cell r="O549">
            <v>0.34489999999999998</v>
          </cell>
          <cell r="P549">
            <v>0.71079999999999999</v>
          </cell>
          <cell r="Q549">
            <v>0.39240000000000003</v>
          </cell>
        </row>
        <row r="550">
          <cell r="H550" t="str">
            <v>TSM</v>
          </cell>
          <cell r="I550" t="str">
            <v/>
          </cell>
          <cell r="J550" t="str">
            <v/>
          </cell>
          <cell r="K550" t="str">
            <v>JIT</v>
          </cell>
          <cell r="L550">
            <v>0.26779999999999998</v>
          </cell>
          <cell r="M550">
            <v>120.79</v>
          </cell>
          <cell r="N550">
            <v>0.53559999999999997</v>
          </cell>
          <cell r="O550">
            <v>0.21879999999999999</v>
          </cell>
          <cell r="P550">
            <v>0.51300000000000001</v>
          </cell>
          <cell r="Q550">
            <v>0.218</v>
          </cell>
        </row>
        <row r="551">
          <cell r="H551" t="str">
            <v>TSLA</v>
          </cell>
          <cell r="I551" t="str">
            <v/>
          </cell>
          <cell r="J551" t="str">
            <v>新能源</v>
          </cell>
          <cell r="K551" t="str">
            <v>JIT</v>
          </cell>
          <cell r="L551"/>
          <cell r="M551"/>
          <cell r="N551"/>
          <cell r="O551"/>
          <cell r="P551"/>
          <cell r="Q551"/>
        </row>
        <row r="552">
          <cell r="H552" t="str">
            <v>TNDM</v>
          </cell>
          <cell r="I552" t="str">
            <v/>
          </cell>
          <cell r="J552" t="str">
            <v/>
          </cell>
          <cell r="K552" t="str">
            <v>JIT</v>
          </cell>
          <cell r="L552">
            <v>0.49099999999999999</v>
          </cell>
          <cell r="M552">
            <v>106.92</v>
          </cell>
          <cell r="N552">
            <v>0.54730000000000001</v>
          </cell>
          <cell r="O552">
            <v>0.2346</v>
          </cell>
          <cell r="P552">
            <v>0.70609999999999995</v>
          </cell>
          <cell r="Q552">
            <v>0.30959999999999999</v>
          </cell>
        </row>
        <row r="553">
          <cell r="H553" t="str">
            <v>TDOC</v>
          </cell>
          <cell r="I553" t="str">
            <v/>
          </cell>
          <cell r="J553" t="str">
            <v/>
          </cell>
          <cell r="K553" t="str">
            <v>JIT</v>
          </cell>
          <cell r="L553">
            <v>0.41749999999999998</v>
          </cell>
          <cell r="M553">
            <v>151.09</v>
          </cell>
          <cell r="N553">
            <v>0.93989999999999996</v>
          </cell>
          <cell r="O553">
            <v>0.2757</v>
          </cell>
          <cell r="P553">
            <v>0.77510000000000001</v>
          </cell>
          <cell r="Q553">
            <v>0.39299999999999996</v>
          </cell>
        </row>
        <row r="554">
          <cell r="H554" t="str">
            <v>TCS</v>
          </cell>
          <cell r="I554" t="str">
            <v/>
          </cell>
          <cell r="J554" t="str">
            <v>千禧代</v>
          </cell>
          <cell r="K554" t="str">
            <v>JIT</v>
          </cell>
          <cell r="L554">
            <v>0.79090000000000005</v>
          </cell>
          <cell r="M554">
            <v>10.75</v>
          </cell>
          <cell r="N554">
            <v>1.1512</v>
          </cell>
          <cell r="O554">
            <v>0.36899999999999999</v>
          </cell>
          <cell r="P554">
            <v>1.7890999999999999</v>
          </cell>
          <cell r="Q554">
            <v>0.54679999999999995</v>
          </cell>
        </row>
        <row r="555">
          <cell r="H555" t="str">
            <v>SWCH</v>
          </cell>
          <cell r="I555" t="str">
            <v/>
          </cell>
          <cell r="J555" t="str">
            <v>5G</v>
          </cell>
          <cell r="K555" t="str">
            <v>JIT</v>
          </cell>
          <cell r="L555">
            <v>0.36409999999999998</v>
          </cell>
          <cell r="M555">
            <v>20.82</v>
          </cell>
          <cell r="N555">
            <v>0.60140000000000005</v>
          </cell>
          <cell r="O555">
            <v>0.12859999999999999</v>
          </cell>
          <cell r="P555">
            <v>0.54289999999999994</v>
          </cell>
          <cell r="Q555">
            <v>0.25129999999999997</v>
          </cell>
        </row>
        <row r="556">
          <cell r="H556" t="str">
            <v>STM</v>
          </cell>
          <cell r="I556" t="str">
            <v/>
          </cell>
          <cell r="J556" t="str">
            <v>商業務聯網</v>
          </cell>
          <cell r="K556" t="str">
            <v>JIT</v>
          </cell>
          <cell r="L556">
            <v>0.29370000000000002</v>
          </cell>
          <cell r="M556">
            <v>41.32</v>
          </cell>
          <cell r="N556">
            <v>0.62539999999999996</v>
          </cell>
          <cell r="O556">
            <v>0.2341</v>
          </cell>
          <cell r="P556">
            <v>0.54630000000000001</v>
          </cell>
          <cell r="Q556">
            <v>0.27779999999999999</v>
          </cell>
        </row>
        <row r="557">
          <cell r="H557" t="str">
            <v>SSYS</v>
          </cell>
          <cell r="I557" t="str">
            <v/>
          </cell>
          <cell r="J557" t="str">
            <v/>
          </cell>
          <cell r="K557" t="str">
            <v>JIT</v>
          </cell>
          <cell r="L557">
            <v>0.68879999999999997</v>
          </cell>
          <cell r="M557">
            <v>19.96</v>
          </cell>
          <cell r="N557">
            <v>1.3440000000000001</v>
          </cell>
          <cell r="O557">
            <v>0.29809999999999998</v>
          </cell>
          <cell r="P557">
            <v>1.1684999999999999</v>
          </cell>
          <cell r="Q557">
            <v>0.48009999999999997</v>
          </cell>
        </row>
        <row r="558">
          <cell r="H558" t="str">
            <v>SRPT</v>
          </cell>
          <cell r="I558" t="str">
            <v/>
          </cell>
          <cell r="J558" t="str">
            <v/>
          </cell>
          <cell r="K558" t="str">
            <v>JIT</v>
          </cell>
          <cell r="L558">
            <v>0.62219999999999998</v>
          </cell>
          <cell r="M558">
            <v>69.5</v>
          </cell>
          <cell r="N558">
            <v>2.1549</v>
          </cell>
          <cell r="O558">
            <v>0.28249999999999997</v>
          </cell>
          <cell r="P558">
            <v>1.7574000000000001</v>
          </cell>
          <cell r="Q558">
            <v>0.47220000000000001</v>
          </cell>
        </row>
        <row r="559">
          <cell r="H559" t="str">
            <v>SQ</v>
          </cell>
          <cell r="I559" t="str">
            <v/>
          </cell>
          <cell r="J559" t="str">
            <v/>
          </cell>
          <cell r="K559" t="str">
            <v>JIT</v>
          </cell>
          <cell r="L559">
            <v>0.48249999999999998</v>
          </cell>
          <cell r="M559">
            <v>275.61</v>
          </cell>
          <cell r="N559">
            <v>0.77280000000000004</v>
          </cell>
          <cell r="O559">
            <v>0.3296</v>
          </cell>
          <cell r="P559">
            <v>0.74280000000000002</v>
          </cell>
          <cell r="Q559">
            <v>0.39159999999999995</v>
          </cell>
        </row>
        <row r="560">
          <cell r="H560" t="str">
            <v>SPLK</v>
          </cell>
          <cell r="I560" t="str">
            <v/>
          </cell>
          <cell r="J560" t="str">
            <v/>
          </cell>
          <cell r="K560" t="str">
            <v>JIT</v>
          </cell>
          <cell r="L560">
            <v>0.3594</v>
          </cell>
          <cell r="M560">
            <v>143.57</v>
          </cell>
          <cell r="N560">
            <v>0.86899999999999999</v>
          </cell>
          <cell r="O560">
            <v>0.2626</v>
          </cell>
          <cell r="P560">
            <v>0.61580000000000001</v>
          </cell>
          <cell r="Q560">
            <v>0.31230000000000002</v>
          </cell>
        </row>
        <row r="561">
          <cell r="H561" t="str">
            <v>SFIX</v>
          </cell>
          <cell r="I561" t="str">
            <v/>
          </cell>
          <cell r="J561" t="str">
            <v/>
          </cell>
          <cell r="K561" t="str">
            <v>JIT</v>
          </cell>
          <cell r="L561">
            <v>0.56059999999999999</v>
          </cell>
          <cell r="M561">
            <v>56.07</v>
          </cell>
          <cell r="N561">
            <v>1.3231999999999999</v>
          </cell>
          <cell r="O561">
            <v>0.45179999999999998</v>
          </cell>
          <cell r="P561">
            <v>1.2871000000000001</v>
          </cell>
          <cell r="Q561">
            <v>0.50919999999999999</v>
          </cell>
        </row>
        <row r="562">
          <cell r="H562" t="str">
            <v>RVLV</v>
          </cell>
          <cell r="I562" t="str">
            <v/>
          </cell>
          <cell r="J562" t="str">
            <v>千禧代</v>
          </cell>
          <cell r="K562" t="str">
            <v>JIT</v>
          </cell>
          <cell r="L562">
            <v>0.63080000000000003</v>
          </cell>
          <cell r="M562">
            <v>0</v>
          </cell>
          <cell r="N562">
            <v>1.0028999999999999</v>
          </cell>
          <cell r="O562">
            <v>0.36059999999999998</v>
          </cell>
          <cell r="P562">
            <v>1.0527</v>
          </cell>
          <cell r="Q562">
            <v>0.53939999999999999</v>
          </cell>
        </row>
        <row r="563">
          <cell r="H563" t="str">
            <v>RUN</v>
          </cell>
          <cell r="I563" t="str">
            <v/>
          </cell>
          <cell r="J563" t="str">
            <v/>
          </cell>
          <cell r="K563" t="str">
            <v>JIT</v>
          </cell>
          <cell r="L563">
            <v>0.72660000000000002</v>
          </cell>
          <cell r="M563">
            <v>52</v>
          </cell>
          <cell r="N563">
            <v>1.1691</v>
          </cell>
          <cell r="O563">
            <v>0.52049999999999996</v>
          </cell>
          <cell r="P563">
            <v>1.0309999999999999</v>
          </cell>
          <cell r="Q563">
            <v>0.66280000000000006</v>
          </cell>
        </row>
        <row r="564">
          <cell r="H564" t="str">
            <v>QYLD</v>
          </cell>
          <cell r="I564" t="str">
            <v/>
          </cell>
          <cell r="J564" t="str">
            <v/>
          </cell>
          <cell r="K564" t="str">
            <v>JIT</v>
          </cell>
          <cell r="L564">
            <v>0.1079</v>
          </cell>
          <cell r="M564">
            <v>22.53</v>
          </cell>
          <cell r="N564">
            <v>0.26300000000000001</v>
          </cell>
          <cell r="O564">
            <v>4.3900000000000002E-2</v>
          </cell>
          <cell r="P564">
            <v>0.23329999999999998</v>
          </cell>
          <cell r="Q564">
            <v>7.6499999999999999E-2</v>
          </cell>
        </row>
        <row r="565">
          <cell r="H565" t="str">
            <v>QRVO</v>
          </cell>
          <cell r="I565" t="str">
            <v/>
          </cell>
          <cell r="J565" t="str">
            <v>5G</v>
          </cell>
          <cell r="K565" t="str">
            <v>JIT</v>
          </cell>
          <cell r="L565"/>
          <cell r="M565"/>
          <cell r="N565"/>
          <cell r="O565"/>
          <cell r="P565"/>
          <cell r="Q565"/>
        </row>
        <row r="566">
          <cell r="H566" t="str">
            <v>QQQ</v>
          </cell>
          <cell r="I566" t="str">
            <v/>
          </cell>
          <cell r="J566" t="str">
            <v/>
          </cell>
          <cell r="K566" t="str">
            <v>JIT</v>
          </cell>
          <cell r="L566">
            <v>0.1716</v>
          </cell>
          <cell r="M566">
            <v>365.7</v>
          </cell>
          <cell r="N566">
            <v>0.34710000000000002</v>
          </cell>
          <cell r="O566">
            <v>9.9299999999999999E-2</v>
          </cell>
          <cell r="P566">
            <v>0.40039999999999998</v>
          </cell>
          <cell r="Q566">
            <v>0.1457</v>
          </cell>
        </row>
        <row r="567">
          <cell r="H567" t="str">
            <v>QLYS</v>
          </cell>
          <cell r="I567" t="str">
            <v/>
          </cell>
          <cell r="J567" t="str">
            <v>5G</v>
          </cell>
          <cell r="K567" t="str">
            <v>JIT</v>
          </cell>
          <cell r="L567">
            <v>0.43340000000000001</v>
          </cell>
          <cell r="M567">
            <v>103.12</v>
          </cell>
          <cell r="N567">
            <v>0.76780000000000004</v>
          </cell>
          <cell r="O567">
            <v>0.21659999999999999</v>
          </cell>
          <cell r="P567">
            <v>0.67180000000000006</v>
          </cell>
          <cell r="Q567">
            <v>0.33689999999999998</v>
          </cell>
        </row>
        <row r="568">
          <cell r="H568" t="str">
            <v>PYPL</v>
          </cell>
          <cell r="I568" t="str">
            <v/>
          </cell>
          <cell r="J568" t="str">
            <v/>
          </cell>
          <cell r="K568" t="str">
            <v>JIT</v>
          </cell>
          <cell r="L568"/>
          <cell r="M568"/>
          <cell r="N568"/>
          <cell r="O568"/>
          <cell r="P568"/>
          <cell r="Q568"/>
        </row>
        <row r="569">
          <cell r="H569" t="str">
            <v>PRLB</v>
          </cell>
          <cell r="I569" t="str">
            <v/>
          </cell>
          <cell r="J569" t="str">
            <v>工業務聯網</v>
          </cell>
          <cell r="K569" t="str">
            <v>JIT</v>
          </cell>
          <cell r="L569">
            <v>0.4733</v>
          </cell>
          <cell r="M569">
            <v>78.64</v>
          </cell>
          <cell r="N569">
            <v>0.97070000000000001</v>
          </cell>
          <cell r="O569">
            <v>0.30509999999999998</v>
          </cell>
          <cell r="P569">
            <v>1.2975999999999999</v>
          </cell>
          <cell r="Q569">
            <v>0.38780000000000003</v>
          </cell>
        </row>
        <row r="570">
          <cell r="H570" t="str">
            <v>PHR</v>
          </cell>
          <cell r="I570" t="str">
            <v/>
          </cell>
          <cell r="J570" t="str">
            <v>商業務聯網</v>
          </cell>
          <cell r="K570" t="str">
            <v>JIT</v>
          </cell>
          <cell r="L570">
            <v>0.50770000000000004</v>
          </cell>
          <cell r="M570">
            <v>68</v>
          </cell>
          <cell r="N570">
            <v>0.66859999999999997</v>
          </cell>
          <cell r="O570">
            <v>0.2908</v>
          </cell>
          <cell r="P570">
            <v>1.0579000000000001</v>
          </cell>
          <cell r="Q570">
            <v>0.39419999999999999</v>
          </cell>
        </row>
        <row r="571">
          <cell r="H571" t="str">
            <v>PBP</v>
          </cell>
          <cell r="I571" t="str">
            <v/>
          </cell>
          <cell r="J571" t="str">
            <v/>
          </cell>
          <cell r="K571" t="str">
            <v>JIT</v>
          </cell>
          <cell r="L571"/>
          <cell r="M571"/>
          <cell r="N571"/>
          <cell r="O571"/>
          <cell r="P571"/>
          <cell r="Q571"/>
        </row>
        <row r="572">
          <cell r="H572" t="str">
            <v>PACB</v>
          </cell>
          <cell r="I572" t="str">
            <v/>
          </cell>
          <cell r="J572" t="str">
            <v>精密科技</v>
          </cell>
          <cell r="K572" t="str">
            <v>JIT</v>
          </cell>
          <cell r="L572">
            <v>0.73740000000000006</v>
          </cell>
          <cell r="M572">
            <v>31.48</v>
          </cell>
          <cell r="N572">
            <v>1.2716000000000001</v>
          </cell>
          <cell r="O572">
            <v>0.45850000000000002</v>
          </cell>
          <cell r="P572">
            <v>1.3371999999999999</v>
          </cell>
          <cell r="Q572">
            <v>0.5575</v>
          </cell>
        </row>
        <row r="573">
          <cell r="H573" t="str">
            <v>NTNX</v>
          </cell>
          <cell r="I573" t="str">
            <v/>
          </cell>
          <cell r="J573" t="str">
            <v/>
          </cell>
          <cell r="K573" t="str">
            <v>JIT</v>
          </cell>
          <cell r="L573">
            <v>0.51990000000000003</v>
          </cell>
          <cell r="M573">
            <v>36.15</v>
          </cell>
          <cell r="N573">
            <v>0.89870000000000005</v>
          </cell>
          <cell r="O573">
            <v>0.32019999999999998</v>
          </cell>
          <cell r="P573">
            <v>0.90439999999999998</v>
          </cell>
          <cell r="Q573">
            <v>0.37680000000000002</v>
          </cell>
        </row>
        <row r="574">
          <cell r="H574" t="str">
            <v>NTAP</v>
          </cell>
          <cell r="I574" t="str">
            <v/>
          </cell>
          <cell r="J574" t="str">
            <v/>
          </cell>
          <cell r="K574" t="str">
            <v>JIT</v>
          </cell>
          <cell r="L574"/>
          <cell r="M574"/>
          <cell r="N574"/>
          <cell r="O574"/>
          <cell r="P574"/>
          <cell r="Q574"/>
        </row>
        <row r="575">
          <cell r="H575" t="str">
            <v>NRG</v>
          </cell>
          <cell r="I575" t="str">
            <v/>
          </cell>
          <cell r="J575" t="str">
            <v/>
          </cell>
          <cell r="K575" t="str">
            <v>JIT</v>
          </cell>
          <cell r="L575"/>
          <cell r="M575"/>
          <cell r="N575"/>
          <cell r="O575"/>
          <cell r="P575"/>
          <cell r="Q575"/>
        </row>
        <row r="576">
          <cell r="H576" t="str">
            <v>NOK</v>
          </cell>
          <cell r="I576" t="str">
            <v/>
          </cell>
          <cell r="J576" t="str">
            <v>5G</v>
          </cell>
          <cell r="K576" t="str">
            <v>JIT</v>
          </cell>
          <cell r="L576">
            <v>0.40920000000000001</v>
          </cell>
          <cell r="M576">
            <v>6.13</v>
          </cell>
          <cell r="N576">
            <v>1.5165999999999999</v>
          </cell>
          <cell r="O576">
            <v>0.25059999999999999</v>
          </cell>
          <cell r="P576">
            <v>3.9216000000000002</v>
          </cell>
          <cell r="Q576">
            <v>0.36259999999999998</v>
          </cell>
        </row>
        <row r="577">
          <cell r="H577" t="str">
            <v>NEWR</v>
          </cell>
          <cell r="I577" t="str">
            <v/>
          </cell>
          <cell r="J577" t="str">
            <v/>
          </cell>
          <cell r="K577" t="str">
            <v>JIT</v>
          </cell>
          <cell r="L577">
            <v>0.60640000000000005</v>
          </cell>
          <cell r="M577">
            <v>69</v>
          </cell>
          <cell r="N577">
            <v>0.91120000000000001</v>
          </cell>
          <cell r="O577">
            <v>0.22439999999999999</v>
          </cell>
          <cell r="P577">
            <v>0.95709999999999995</v>
          </cell>
          <cell r="Q577">
            <v>0.37459999999999999</v>
          </cell>
        </row>
        <row r="578">
          <cell r="H578" t="str">
            <v>MTLS</v>
          </cell>
          <cell r="I578" t="str">
            <v/>
          </cell>
          <cell r="J578" t="str">
            <v>工業務聯網</v>
          </cell>
          <cell r="K578" t="str">
            <v>JIT</v>
          </cell>
          <cell r="L578">
            <v>0.78390000000000004</v>
          </cell>
          <cell r="M578">
            <v>22.44</v>
          </cell>
          <cell r="N578">
            <v>1.4312</v>
          </cell>
          <cell r="O578">
            <v>0.51419999999999999</v>
          </cell>
          <cell r="P578">
            <v>1.5002000000000002</v>
          </cell>
          <cell r="Q578">
            <v>0.69709999999999994</v>
          </cell>
        </row>
        <row r="579">
          <cell r="H579" t="str">
            <v>MSFT</v>
          </cell>
          <cell r="I579" t="str">
            <v/>
          </cell>
          <cell r="J579" t="str">
            <v/>
          </cell>
          <cell r="K579" t="str">
            <v>JIT</v>
          </cell>
          <cell r="L579"/>
          <cell r="M579"/>
          <cell r="N579"/>
          <cell r="O579"/>
          <cell r="P579"/>
          <cell r="Q579"/>
        </row>
        <row r="580">
          <cell r="H580" t="str">
            <v>MCHP</v>
          </cell>
          <cell r="I580" t="str">
            <v/>
          </cell>
          <cell r="J580" t="str">
            <v>太空</v>
          </cell>
          <cell r="K580" t="str">
            <v>JIT</v>
          </cell>
          <cell r="L580"/>
          <cell r="M580"/>
          <cell r="N580"/>
          <cell r="O580"/>
          <cell r="P580"/>
          <cell r="Q580"/>
        </row>
        <row r="581">
          <cell r="H581" t="str">
            <v>LULU</v>
          </cell>
          <cell r="I581" t="str">
            <v/>
          </cell>
          <cell r="J581" t="str">
            <v>千禧代</v>
          </cell>
          <cell r="K581" t="str">
            <v>JIT</v>
          </cell>
          <cell r="L581">
            <v>0.2903</v>
          </cell>
          <cell r="M581">
            <v>405.42</v>
          </cell>
          <cell r="N581">
            <v>0.4647</v>
          </cell>
          <cell r="O581">
            <v>0.1903</v>
          </cell>
          <cell r="P581">
            <v>0.63039999999999996</v>
          </cell>
          <cell r="Q581">
            <v>0.23559999999999998</v>
          </cell>
        </row>
        <row r="582">
          <cell r="H582" t="str">
            <v>LOXO</v>
          </cell>
          <cell r="I582" t="str">
            <v/>
          </cell>
          <cell r="J582" t="str">
            <v/>
          </cell>
          <cell r="K582" t="str">
            <v>JIT</v>
          </cell>
          <cell r="L582"/>
          <cell r="M582"/>
          <cell r="N582"/>
          <cell r="O582"/>
          <cell r="P582"/>
          <cell r="Q582"/>
        </row>
        <row r="583">
          <cell r="H583" t="str">
            <v>LOVE</v>
          </cell>
          <cell r="I583" t="str">
            <v/>
          </cell>
          <cell r="J583" t="str">
            <v>千禧代</v>
          </cell>
          <cell r="K583" t="str">
            <v>JIT</v>
          </cell>
          <cell r="L583">
            <v>0.74280000000000002</v>
          </cell>
          <cell r="M583">
            <v>60.99</v>
          </cell>
          <cell r="N583">
            <v>0.9597</v>
          </cell>
          <cell r="O583">
            <v>0.50700000000000001</v>
          </cell>
          <cell r="P583">
            <v>1.2893999999999999</v>
          </cell>
          <cell r="Q583">
            <v>0.63919999999999999</v>
          </cell>
        </row>
        <row r="584">
          <cell r="H584" t="str">
            <v>LOGI</v>
          </cell>
          <cell r="I584" t="str">
            <v/>
          </cell>
          <cell r="J584" t="str">
            <v/>
          </cell>
          <cell r="K584" t="str">
            <v>JIT</v>
          </cell>
          <cell r="L584">
            <v>0.29949999999999999</v>
          </cell>
          <cell r="M584">
            <v>108.49</v>
          </cell>
          <cell r="N584">
            <v>0.85650000000000004</v>
          </cell>
          <cell r="O584">
            <v>0.2283</v>
          </cell>
          <cell r="P584">
            <v>0.50509999999999999</v>
          </cell>
          <cell r="Q584">
            <v>0.28170000000000001</v>
          </cell>
        </row>
        <row r="585">
          <cell r="H585" t="str">
            <v>KLIC</v>
          </cell>
          <cell r="I585" t="str">
            <v/>
          </cell>
          <cell r="J585" t="str">
            <v/>
          </cell>
          <cell r="K585" t="str">
            <v>JIT</v>
          </cell>
          <cell r="L585">
            <v>0.52739999999999998</v>
          </cell>
          <cell r="M585">
            <v>55</v>
          </cell>
          <cell r="N585">
            <v>0.70399999999999996</v>
          </cell>
          <cell r="O585">
            <v>0.26850000000000002</v>
          </cell>
          <cell r="P585">
            <v>0.55969999999999998</v>
          </cell>
          <cell r="Q585">
            <v>0.36030000000000001</v>
          </cell>
        </row>
        <row r="586">
          <cell r="H586" t="str">
            <v>KLAC</v>
          </cell>
          <cell r="I586" t="str">
            <v/>
          </cell>
          <cell r="J586" t="str">
            <v/>
          </cell>
          <cell r="K586" t="str">
            <v>JIT</v>
          </cell>
          <cell r="L586"/>
          <cell r="M586"/>
          <cell r="N586"/>
          <cell r="O586"/>
          <cell r="P586"/>
          <cell r="Q586"/>
        </row>
        <row r="587">
          <cell r="H587" t="str">
            <v>KKR</v>
          </cell>
          <cell r="I587" t="str">
            <v/>
          </cell>
          <cell r="J587" t="str">
            <v/>
          </cell>
          <cell r="K587" t="str">
            <v>JIT</v>
          </cell>
          <cell r="L587">
            <v>0.27229999999999999</v>
          </cell>
          <cell r="M587">
            <v>63.76</v>
          </cell>
          <cell r="N587">
            <v>0.43020000000000003</v>
          </cell>
          <cell r="O587">
            <v>0.16769999999999999</v>
          </cell>
          <cell r="P587">
            <v>0.42749999999999999</v>
          </cell>
          <cell r="Q587">
            <v>0.21190000000000001</v>
          </cell>
        </row>
        <row r="588">
          <cell r="H588" t="str">
            <v>KEYS</v>
          </cell>
          <cell r="I588" t="str">
            <v/>
          </cell>
          <cell r="J588" t="str">
            <v/>
          </cell>
          <cell r="K588" t="str">
            <v>JIT</v>
          </cell>
          <cell r="L588"/>
          <cell r="M588"/>
          <cell r="N588"/>
          <cell r="O588"/>
          <cell r="P588"/>
          <cell r="Q588"/>
        </row>
        <row r="589">
          <cell r="H589" t="str">
            <v>ITRI</v>
          </cell>
          <cell r="I589" t="str">
            <v/>
          </cell>
          <cell r="J589" t="str">
            <v>新能源</v>
          </cell>
          <cell r="K589" t="str">
            <v>JIT</v>
          </cell>
          <cell r="L589">
            <v>0.44540000000000002</v>
          </cell>
          <cell r="M589">
            <v>97.9</v>
          </cell>
          <cell r="N589">
            <v>0.82220000000000004</v>
          </cell>
          <cell r="O589">
            <v>0.24349999999999999</v>
          </cell>
          <cell r="P589">
            <v>0.61729999999999996</v>
          </cell>
          <cell r="Q589">
            <v>0.2873</v>
          </cell>
        </row>
        <row r="590">
          <cell r="H590" t="str">
            <v>IRTC</v>
          </cell>
          <cell r="I590" t="str">
            <v/>
          </cell>
          <cell r="J590" t="str">
            <v/>
          </cell>
          <cell r="K590" t="str">
            <v>JIT</v>
          </cell>
          <cell r="L590">
            <v>0.79869999999999997</v>
          </cell>
          <cell r="M590">
            <v>51.43</v>
          </cell>
          <cell r="N590">
            <v>1.6068</v>
          </cell>
          <cell r="O590">
            <v>0.35649999999999998</v>
          </cell>
          <cell r="P590">
            <v>1.6900999999999999</v>
          </cell>
          <cell r="Q590">
            <v>0.56769999999999998</v>
          </cell>
        </row>
        <row r="591">
          <cell r="H591" t="str">
            <v>IPGP</v>
          </cell>
          <cell r="I591" t="str">
            <v/>
          </cell>
          <cell r="J591" t="str">
            <v>EV&amp;人工智慧</v>
          </cell>
          <cell r="K591" t="str">
            <v>JIT</v>
          </cell>
          <cell r="L591"/>
          <cell r="M591"/>
          <cell r="N591"/>
          <cell r="O591"/>
          <cell r="P591"/>
          <cell r="Q591"/>
        </row>
        <row r="592">
          <cell r="H592" t="str">
            <v>ILMN</v>
          </cell>
          <cell r="I592" t="str">
            <v/>
          </cell>
          <cell r="J592" t="str">
            <v>EV&amp;人工智慧</v>
          </cell>
          <cell r="K592" t="str">
            <v>JIT</v>
          </cell>
          <cell r="L592"/>
          <cell r="M592"/>
          <cell r="N592"/>
          <cell r="O592"/>
          <cell r="P592"/>
          <cell r="Q592"/>
        </row>
        <row r="593">
          <cell r="H593" t="str">
            <v>ICPT</v>
          </cell>
          <cell r="I593" t="str">
            <v/>
          </cell>
          <cell r="J593" t="str">
            <v/>
          </cell>
          <cell r="K593" t="str">
            <v>JIT</v>
          </cell>
          <cell r="L593">
            <v>0.94099999999999995</v>
          </cell>
          <cell r="M593">
            <v>17.25</v>
          </cell>
          <cell r="N593">
            <v>1.5479000000000001</v>
          </cell>
          <cell r="O593">
            <v>0.42470000000000002</v>
          </cell>
          <cell r="P593">
            <v>1.3593999999999999</v>
          </cell>
          <cell r="Q593">
            <v>0.66709999999999992</v>
          </cell>
        </row>
        <row r="594">
          <cell r="H594" t="str">
            <v>HSY</v>
          </cell>
          <cell r="I594" t="str">
            <v/>
          </cell>
          <cell r="J594" t="str">
            <v/>
          </cell>
          <cell r="K594" t="str">
            <v>JIT</v>
          </cell>
          <cell r="L594"/>
          <cell r="M594"/>
          <cell r="N594"/>
          <cell r="O594"/>
          <cell r="P594"/>
          <cell r="Q594"/>
        </row>
        <row r="595">
          <cell r="H595" t="str">
            <v>HIMS</v>
          </cell>
          <cell r="I595" t="str">
            <v/>
          </cell>
          <cell r="J595" t="str">
            <v>其它</v>
          </cell>
          <cell r="K595" t="str">
            <v>JIT</v>
          </cell>
          <cell r="L595">
            <v>0.90200000000000002</v>
          </cell>
          <cell r="M595">
            <v>8.61</v>
          </cell>
          <cell r="N595">
            <v>1.3929</v>
          </cell>
          <cell r="O595">
            <v>7.7100000000000002E-2</v>
          </cell>
          <cell r="P595">
            <v>1.5697999999999999</v>
          </cell>
          <cell r="Q595">
            <v>0.60809999999999997</v>
          </cell>
        </row>
        <row r="596">
          <cell r="H596" t="str">
            <v>HEXO</v>
          </cell>
          <cell r="I596" t="str">
            <v/>
          </cell>
          <cell r="J596" t="str">
            <v>新副經濟</v>
          </cell>
          <cell r="K596" t="str">
            <v>JIT</v>
          </cell>
          <cell r="L596">
            <v>0.7389</v>
          </cell>
          <cell r="M596">
            <v>4</v>
          </cell>
          <cell r="N596">
            <v>4.2385000000000002</v>
          </cell>
          <cell r="O596">
            <v>0.39350000000000002</v>
          </cell>
          <cell r="P596">
            <v>2.4832000000000001</v>
          </cell>
          <cell r="Q596">
            <v>0.65900000000000003</v>
          </cell>
        </row>
        <row r="597">
          <cell r="H597" t="str">
            <v>HALO</v>
          </cell>
          <cell r="I597" t="str">
            <v/>
          </cell>
          <cell r="J597" t="str">
            <v>精密科技</v>
          </cell>
          <cell r="K597" t="str">
            <v>JIT</v>
          </cell>
          <cell r="L597">
            <v>0.39489999999999997</v>
          </cell>
          <cell r="M597">
            <v>42.05</v>
          </cell>
          <cell r="N597">
            <v>0.66449999999999998</v>
          </cell>
          <cell r="O597">
            <v>0.21759999999999999</v>
          </cell>
          <cell r="P597">
            <v>0.74419999999999997</v>
          </cell>
          <cell r="Q597">
            <v>0.3528</v>
          </cell>
        </row>
        <row r="598">
          <cell r="H598" t="str">
            <v>GRMN</v>
          </cell>
          <cell r="I598" t="str">
            <v/>
          </cell>
          <cell r="J598" t="str">
            <v>太空</v>
          </cell>
          <cell r="K598" t="str">
            <v>JIT</v>
          </cell>
          <cell r="L598"/>
          <cell r="M598"/>
          <cell r="N598"/>
          <cell r="O598"/>
          <cell r="P598"/>
          <cell r="Q598"/>
        </row>
        <row r="599">
          <cell r="H599" t="str">
            <v>GDS</v>
          </cell>
          <cell r="I599" t="str">
            <v/>
          </cell>
          <cell r="J599" t="str">
            <v/>
          </cell>
          <cell r="K599" t="str">
            <v>JIT</v>
          </cell>
          <cell r="L599">
            <v>0.68200000000000005</v>
          </cell>
          <cell r="M599">
            <v>59.52</v>
          </cell>
          <cell r="N599">
            <v>0.81340000000000001</v>
          </cell>
          <cell r="O599">
            <v>0.29749999999999999</v>
          </cell>
          <cell r="P599">
            <v>0.84040000000000004</v>
          </cell>
          <cell r="Q599">
            <v>0.38539999999999996</v>
          </cell>
        </row>
        <row r="600">
          <cell r="H600" t="str">
            <v>FTNT</v>
          </cell>
          <cell r="I600" t="str">
            <v/>
          </cell>
          <cell r="J600" t="str">
            <v/>
          </cell>
          <cell r="K600" t="str">
            <v>JIT</v>
          </cell>
          <cell r="L600"/>
          <cell r="M600"/>
          <cell r="N600"/>
          <cell r="O600"/>
          <cell r="P600"/>
          <cell r="Q600"/>
        </row>
        <row r="601">
          <cell r="H601" t="str">
            <v>FSLY</v>
          </cell>
          <cell r="I601" t="str">
            <v/>
          </cell>
          <cell r="J601" t="str">
            <v>商業務聯網</v>
          </cell>
          <cell r="K601" t="str">
            <v>JIT</v>
          </cell>
          <cell r="L601">
            <v>0.75419999999999998</v>
          </cell>
          <cell r="M601">
            <v>48.74</v>
          </cell>
          <cell r="N601">
            <v>1.3156000000000001</v>
          </cell>
          <cell r="O601">
            <v>0.41849999999999998</v>
          </cell>
          <cell r="P601">
            <v>1.1909999999999998</v>
          </cell>
          <cell r="Q601">
            <v>0.58579999999999999</v>
          </cell>
        </row>
        <row r="602">
          <cell r="H602" t="str">
            <v>FSLR</v>
          </cell>
          <cell r="I602" t="str">
            <v/>
          </cell>
          <cell r="J602" t="str">
            <v/>
          </cell>
          <cell r="K602" t="str">
            <v>JIT</v>
          </cell>
          <cell r="L602">
            <v>0.37759999999999999</v>
          </cell>
          <cell r="M602">
            <v>87.58</v>
          </cell>
          <cell r="N602">
            <v>0.71779999999999999</v>
          </cell>
          <cell r="O602">
            <v>0.31759999999999999</v>
          </cell>
          <cell r="P602">
            <v>0.73620000000000008</v>
          </cell>
          <cell r="Q602">
            <v>0.34979999999999994</v>
          </cell>
        </row>
        <row r="603">
          <cell r="H603" t="str">
            <v>FLIR</v>
          </cell>
          <cell r="I603" t="str">
            <v/>
          </cell>
          <cell r="J603" t="str">
            <v>EV&amp;人工智慧</v>
          </cell>
          <cell r="K603" t="str">
            <v>JIT</v>
          </cell>
          <cell r="L603"/>
          <cell r="M603"/>
          <cell r="N603"/>
          <cell r="O603"/>
          <cell r="P603"/>
          <cell r="Q603"/>
        </row>
        <row r="604">
          <cell r="H604" t="str">
            <v>FLGT</v>
          </cell>
          <cell r="I604" t="str">
            <v/>
          </cell>
          <cell r="J604" t="str">
            <v>精密科技</v>
          </cell>
          <cell r="K604" t="str">
            <v>JIT</v>
          </cell>
          <cell r="L604">
            <v>0.82820000000000005</v>
          </cell>
          <cell r="M604">
            <v>92.19</v>
          </cell>
          <cell r="N604">
            <v>1.8069999999999999</v>
          </cell>
          <cell r="O604">
            <v>0.55330000000000001</v>
          </cell>
          <cell r="P604">
            <v>1.4861000000000002</v>
          </cell>
          <cell r="Q604">
            <v>0.60009999999999997</v>
          </cell>
        </row>
        <row r="605">
          <cell r="H605" t="str">
            <v>FIVN</v>
          </cell>
          <cell r="I605" t="str">
            <v/>
          </cell>
          <cell r="J605" t="str">
            <v/>
          </cell>
          <cell r="K605" t="str">
            <v>JIT</v>
          </cell>
          <cell r="L605">
            <v>0.44779999999999998</v>
          </cell>
          <cell r="M605">
            <v>201</v>
          </cell>
          <cell r="N605">
            <v>0.70379999999999998</v>
          </cell>
          <cell r="O605">
            <v>0.26279999999999998</v>
          </cell>
          <cell r="P605">
            <v>0.63380000000000003</v>
          </cell>
          <cell r="Q605">
            <v>0.33659999999999995</v>
          </cell>
        </row>
        <row r="606">
          <cell r="H606" t="str">
            <v>FB</v>
          </cell>
          <cell r="I606" t="str">
            <v/>
          </cell>
          <cell r="J606" t="str">
            <v/>
          </cell>
          <cell r="K606" t="str">
            <v>JIT</v>
          </cell>
          <cell r="L606"/>
          <cell r="M606"/>
          <cell r="N606"/>
          <cell r="O606"/>
          <cell r="P606"/>
          <cell r="Q606"/>
        </row>
        <row r="607">
          <cell r="H607" t="str">
            <v>EXAS</v>
          </cell>
          <cell r="I607" t="str">
            <v/>
          </cell>
          <cell r="J607" t="str">
            <v/>
          </cell>
          <cell r="K607" t="str">
            <v>JIT</v>
          </cell>
          <cell r="L607">
            <v>0.48309999999999997</v>
          </cell>
          <cell r="M607">
            <v>109.58</v>
          </cell>
          <cell r="N607">
            <v>1.0154000000000001</v>
          </cell>
          <cell r="O607">
            <v>0.3105</v>
          </cell>
          <cell r="P607">
            <v>0.6724</v>
          </cell>
          <cell r="Q607">
            <v>0.41299999999999998</v>
          </cell>
        </row>
        <row r="608">
          <cell r="H608" t="str">
            <v>ETSY</v>
          </cell>
          <cell r="I608" t="str">
            <v/>
          </cell>
          <cell r="J608" t="str">
            <v/>
          </cell>
          <cell r="K608" t="str">
            <v>JIT</v>
          </cell>
          <cell r="L608"/>
          <cell r="M608"/>
          <cell r="N608"/>
          <cell r="O608"/>
          <cell r="P608"/>
          <cell r="Q608"/>
        </row>
        <row r="609">
          <cell r="H609" t="str">
            <v>ESRX</v>
          </cell>
          <cell r="I609" t="str">
            <v/>
          </cell>
          <cell r="J609" t="str">
            <v/>
          </cell>
          <cell r="K609" t="str">
            <v>JIT</v>
          </cell>
          <cell r="L609"/>
          <cell r="M609"/>
          <cell r="N609"/>
          <cell r="O609"/>
          <cell r="P609"/>
          <cell r="Q609"/>
        </row>
        <row r="610">
          <cell r="H610" t="str">
            <v>ERIC</v>
          </cell>
          <cell r="I610" t="str">
            <v/>
          </cell>
          <cell r="J610" t="str">
            <v>5G</v>
          </cell>
          <cell r="K610" t="str">
            <v>JIT</v>
          </cell>
          <cell r="L610">
            <v>0.23880000000000001</v>
          </cell>
          <cell r="M610">
            <v>11.64</v>
          </cell>
          <cell r="N610">
            <v>0.52410000000000001</v>
          </cell>
          <cell r="O610">
            <v>0.17530000000000001</v>
          </cell>
          <cell r="P610">
            <v>1.0014000000000001</v>
          </cell>
          <cell r="Q610">
            <v>0.22600000000000001</v>
          </cell>
        </row>
        <row r="611">
          <cell r="H611" t="str">
            <v>ENTG</v>
          </cell>
          <cell r="I611" t="str">
            <v/>
          </cell>
          <cell r="J611" t="str">
            <v>新能源</v>
          </cell>
          <cell r="K611" t="str">
            <v>JIT</v>
          </cell>
          <cell r="L611">
            <v>0.3241</v>
          </cell>
          <cell r="M611">
            <v>121.91</v>
          </cell>
          <cell r="N611">
            <v>0.6179</v>
          </cell>
          <cell r="O611">
            <v>0.24149999999999999</v>
          </cell>
          <cell r="P611">
            <v>0.53689999999999993</v>
          </cell>
          <cell r="Q611">
            <v>0.3019</v>
          </cell>
        </row>
        <row r="612">
          <cell r="H612" t="str">
            <v>ENSG</v>
          </cell>
          <cell r="I612" t="str">
            <v/>
          </cell>
          <cell r="J612" t="str">
            <v>精密科技</v>
          </cell>
          <cell r="K612" t="str">
            <v>JIT</v>
          </cell>
          <cell r="L612">
            <v>0.32669999999999999</v>
          </cell>
          <cell r="M612">
            <v>85.21</v>
          </cell>
          <cell r="N612">
            <v>0.57950000000000002</v>
          </cell>
          <cell r="O612">
            <v>0.1885</v>
          </cell>
          <cell r="P612">
            <v>0.76480000000000004</v>
          </cell>
          <cell r="Q612">
            <v>0.28610000000000002</v>
          </cell>
        </row>
        <row r="613">
          <cell r="H613" t="str">
            <v>ENPH</v>
          </cell>
          <cell r="I613" t="str">
            <v/>
          </cell>
          <cell r="J613" t="str">
            <v/>
          </cell>
          <cell r="K613" t="str">
            <v>JIT</v>
          </cell>
          <cell r="L613"/>
          <cell r="M613"/>
          <cell r="N613"/>
          <cell r="O613"/>
          <cell r="P613"/>
          <cell r="Q613"/>
        </row>
        <row r="614">
          <cell r="H614" t="str">
            <v>EMR</v>
          </cell>
          <cell r="I614" t="str">
            <v/>
          </cell>
          <cell r="J614" t="str">
            <v/>
          </cell>
          <cell r="K614" t="str">
            <v>JIT</v>
          </cell>
          <cell r="L614"/>
          <cell r="M614"/>
          <cell r="N614"/>
          <cell r="O614"/>
          <cell r="P614"/>
          <cell r="Q614"/>
        </row>
        <row r="615">
          <cell r="H615" t="str">
            <v>DUK</v>
          </cell>
          <cell r="I615" t="str">
            <v/>
          </cell>
          <cell r="J615" t="str">
            <v/>
          </cell>
          <cell r="K615" t="str">
            <v>JIT</v>
          </cell>
          <cell r="L615"/>
          <cell r="M615"/>
          <cell r="N615"/>
          <cell r="O615"/>
          <cell r="P615"/>
          <cell r="Q615"/>
        </row>
        <row r="616">
          <cell r="H616" t="str">
            <v>DHR</v>
          </cell>
          <cell r="I616" t="str">
            <v/>
          </cell>
          <cell r="J616" t="str">
            <v/>
          </cell>
          <cell r="K616" t="str">
            <v>JIT</v>
          </cell>
          <cell r="L616"/>
          <cell r="M616"/>
          <cell r="N616"/>
          <cell r="O616"/>
          <cell r="P616"/>
          <cell r="Q616"/>
        </row>
        <row r="617">
          <cell r="H617" t="str">
            <v>DDD</v>
          </cell>
          <cell r="I617" t="str">
            <v/>
          </cell>
          <cell r="J617" t="str">
            <v>工業務聯網</v>
          </cell>
          <cell r="K617" t="str">
            <v>JIT</v>
          </cell>
          <cell r="L617">
            <v>0.6331</v>
          </cell>
          <cell r="M617">
            <v>30.63</v>
          </cell>
          <cell r="N617">
            <v>2.4973000000000001</v>
          </cell>
          <cell r="O617">
            <v>0.38469999999999999</v>
          </cell>
          <cell r="P617">
            <v>1.8213999999999999</v>
          </cell>
          <cell r="Q617">
            <v>0.60470000000000002</v>
          </cell>
        </row>
        <row r="618">
          <cell r="H618" t="str">
            <v>DBA</v>
          </cell>
          <cell r="I618" t="str">
            <v/>
          </cell>
          <cell r="J618" t="str">
            <v/>
          </cell>
          <cell r="K618" t="str">
            <v>JIT</v>
          </cell>
          <cell r="L618"/>
          <cell r="M618"/>
          <cell r="N618"/>
          <cell r="O618"/>
          <cell r="P618"/>
          <cell r="Q618"/>
        </row>
        <row r="619">
          <cell r="H619" t="str">
            <v>DATA</v>
          </cell>
          <cell r="I619" t="str">
            <v/>
          </cell>
          <cell r="J619" t="str">
            <v/>
          </cell>
          <cell r="K619" t="str">
            <v>JIT</v>
          </cell>
          <cell r="L619"/>
          <cell r="M619"/>
          <cell r="N619"/>
          <cell r="O619"/>
          <cell r="P619"/>
          <cell r="Q619"/>
        </row>
        <row r="620">
          <cell r="H620" t="str">
            <v>CVNA</v>
          </cell>
          <cell r="I620" t="str">
            <v/>
          </cell>
          <cell r="J620" t="str">
            <v/>
          </cell>
          <cell r="K620" t="str">
            <v>JIT</v>
          </cell>
          <cell r="L620">
            <v>0.54490000000000005</v>
          </cell>
          <cell r="M620">
            <v>336.05</v>
          </cell>
          <cell r="N620">
            <v>1.0404</v>
          </cell>
          <cell r="O620">
            <v>0.28320000000000001</v>
          </cell>
          <cell r="P620">
            <v>1.0170000000000001</v>
          </cell>
          <cell r="Q620">
            <v>0.43579999999999997</v>
          </cell>
        </row>
        <row r="621">
          <cell r="H621" t="str">
            <v>CTAS</v>
          </cell>
          <cell r="I621" t="str">
            <v/>
          </cell>
          <cell r="J621" t="str">
            <v/>
          </cell>
          <cell r="K621" t="str">
            <v>JIT</v>
          </cell>
          <cell r="L621"/>
          <cell r="M621"/>
          <cell r="N621"/>
          <cell r="O621"/>
          <cell r="P621"/>
          <cell r="Q621"/>
        </row>
        <row r="622">
          <cell r="H622" t="str">
            <v>CROX</v>
          </cell>
          <cell r="I622" t="str">
            <v/>
          </cell>
          <cell r="J622" t="str">
            <v/>
          </cell>
          <cell r="K622" t="str">
            <v>JIT</v>
          </cell>
          <cell r="L622">
            <v>0.4214</v>
          </cell>
          <cell r="M622">
            <v>137.06</v>
          </cell>
          <cell r="N622">
            <v>0.6603</v>
          </cell>
          <cell r="O622">
            <v>0.28189999999999998</v>
          </cell>
          <cell r="P622">
            <v>0.75519999999999998</v>
          </cell>
          <cell r="Q622">
            <v>0.40310000000000001</v>
          </cell>
        </row>
        <row r="623">
          <cell r="H623" t="str">
            <v>CRON</v>
          </cell>
          <cell r="I623" t="str">
            <v/>
          </cell>
          <cell r="J623" t="str">
            <v>新副經濟</v>
          </cell>
          <cell r="K623" t="str">
            <v>JIT</v>
          </cell>
          <cell r="L623">
            <v>0.66539999999999999</v>
          </cell>
          <cell r="M623">
            <v>7.45</v>
          </cell>
          <cell r="N623">
            <v>1.1698999999999999</v>
          </cell>
          <cell r="O623">
            <v>0.33650000000000002</v>
          </cell>
          <cell r="P623">
            <v>1.5268000000000002</v>
          </cell>
          <cell r="Q623">
            <v>0.47979999999999995</v>
          </cell>
        </row>
        <row r="624">
          <cell r="H624" t="str">
            <v>CPRI</v>
          </cell>
          <cell r="I624" t="str">
            <v/>
          </cell>
          <cell r="J624" t="str">
            <v/>
          </cell>
          <cell r="K624" t="str">
            <v>JIT</v>
          </cell>
          <cell r="L624">
            <v>0.41639999999999999</v>
          </cell>
          <cell r="M624">
            <v>57.34</v>
          </cell>
          <cell r="N624">
            <v>0.77629999999999999</v>
          </cell>
          <cell r="O624">
            <v>0.35870000000000002</v>
          </cell>
          <cell r="P624">
            <v>0.99480000000000002</v>
          </cell>
          <cell r="Q624">
            <v>0.40149999999999997</v>
          </cell>
        </row>
        <row r="625">
          <cell r="H625" t="str">
            <v>COT</v>
          </cell>
          <cell r="I625" t="str">
            <v/>
          </cell>
          <cell r="J625" t="str">
            <v/>
          </cell>
          <cell r="K625" t="str">
            <v>JIT</v>
          </cell>
          <cell r="L625"/>
          <cell r="M625"/>
          <cell r="N625"/>
          <cell r="O625"/>
          <cell r="P625"/>
          <cell r="Q625"/>
        </row>
        <row r="626">
          <cell r="H626" t="str">
            <v>COF</v>
          </cell>
          <cell r="I626" t="str">
            <v/>
          </cell>
          <cell r="J626" t="str">
            <v/>
          </cell>
          <cell r="K626" t="str">
            <v>JIT</v>
          </cell>
          <cell r="L626"/>
          <cell r="M626"/>
          <cell r="N626"/>
          <cell r="O626"/>
          <cell r="P626"/>
          <cell r="Q626"/>
        </row>
        <row r="627">
          <cell r="H627" t="str">
            <v>CMCSA</v>
          </cell>
          <cell r="I627" t="str">
            <v/>
          </cell>
          <cell r="J627" t="str">
            <v/>
          </cell>
          <cell r="K627" t="str">
            <v>JIT</v>
          </cell>
          <cell r="L627"/>
          <cell r="M627"/>
          <cell r="N627"/>
          <cell r="O627"/>
          <cell r="P627"/>
          <cell r="Q627"/>
        </row>
        <row r="628">
          <cell r="H628" t="str">
            <v>CLDR</v>
          </cell>
          <cell r="I628" t="str">
            <v/>
          </cell>
          <cell r="J628" t="str">
            <v/>
          </cell>
          <cell r="K628" t="str">
            <v>JIT</v>
          </cell>
          <cell r="L628">
            <v>7.0599999999999996E-2</v>
          </cell>
          <cell r="M628">
            <v>15.86</v>
          </cell>
          <cell r="N628">
            <v>0.7006</v>
          </cell>
          <cell r="O628">
            <v>7.1199999999999999E-2</v>
          </cell>
          <cell r="P628">
            <v>1.4046000000000001</v>
          </cell>
          <cell r="Q628">
            <v>5.6900000000000006E-2</v>
          </cell>
        </row>
        <row r="629">
          <cell r="H629" t="str">
            <v>CERN</v>
          </cell>
          <cell r="I629" t="str">
            <v/>
          </cell>
          <cell r="J629" t="str">
            <v/>
          </cell>
          <cell r="K629" t="str">
            <v>JIT</v>
          </cell>
          <cell r="L629"/>
          <cell r="M629"/>
          <cell r="N629"/>
          <cell r="O629"/>
          <cell r="P629"/>
          <cell r="Q629"/>
        </row>
        <row r="630">
          <cell r="H630" t="str">
            <v>CCS</v>
          </cell>
          <cell r="I630" t="str">
            <v/>
          </cell>
          <cell r="J630" t="str">
            <v/>
          </cell>
          <cell r="K630" t="str">
            <v>JIT</v>
          </cell>
          <cell r="L630">
            <v>0.45240000000000002</v>
          </cell>
          <cell r="M630">
            <v>71.38</v>
          </cell>
          <cell r="N630">
            <v>0.76870000000000005</v>
          </cell>
          <cell r="O630">
            <v>0.36259999999999998</v>
          </cell>
          <cell r="P630">
            <v>0.74639999999999995</v>
          </cell>
          <cell r="Q630">
            <v>0.42280000000000001</v>
          </cell>
        </row>
        <row r="631">
          <cell r="H631" t="str">
            <v>CALX</v>
          </cell>
          <cell r="I631" t="str">
            <v/>
          </cell>
          <cell r="J631" t="str">
            <v/>
          </cell>
          <cell r="K631" t="str">
            <v>JIT</v>
          </cell>
          <cell r="L631">
            <v>0.53839999999999999</v>
          </cell>
          <cell r="M631">
            <v>45.74</v>
          </cell>
          <cell r="N631">
            <v>0.91290000000000004</v>
          </cell>
          <cell r="O631">
            <v>0.36080000000000001</v>
          </cell>
          <cell r="P631">
            <v>0.98959999999999992</v>
          </cell>
          <cell r="Q631">
            <v>0.49680000000000002</v>
          </cell>
        </row>
        <row r="632">
          <cell r="H632" t="str">
            <v>BX</v>
          </cell>
          <cell r="I632" t="str">
            <v/>
          </cell>
          <cell r="J632" t="str">
            <v/>
          </cell>
          <cell r="K632" t="str">
            <v>JIT</v>
          </cell>
          <cell r="L632">
            <v>0.25530000000000003</v>
          </cell>
          <cell r="M632">
            <v>115.67</v>
          </cell>
          <cell r="N632">
            <v>0.35199999999999998</v>
          </cell>
          <cell r="O632">
            <v>0.14599999999999999</v>
          </cell>
          <cell r="P632">
            <v>0.40110000000000001</v>
          </cell>
          <cell r="Q632">
            <v>0.21109999999999998</v>
          </cell>
        </row>
        <row r="633">
          <cell r="H633" t="str">
            <v>BOOT</v>
          </cell>
          <cell r="I633" t="str">
            <v/>
          </cell>
          <cell r="J633" t="str">
            <v/>
          </cell>
          <cell r="K633" t="str">
            <v>JIT</v>
          </cell>
          <cell r="L633">
            <v>0.56579999999999997</v>
          </cell>
          <cell r="M633">
            <v>85.88</v>
          </cell>
          <cell r="N633">
            <v>0.84160000000000001</v>
          </cell>
          <cell r="O633">
            <v>0.33939999999999998</v>
          </cell>
          <cell r="P633">
            <v>0.97870000000000001</v>
          </cell>
          <cell r="Q633">
            <v>0.44340000000000002</v>
          </cell>
        </row>
        <row r="634">
          <cell r="H634" t="str">
            <v>BBBY</v>
          </cell>
          <cell r="I634" t="str">
            <v/>
          </cell>
          <cell r="J634" t="str">
            <v/>
          </cell>
          <cell r="K634" t="str">
            <v>JIT</v>
          </cell>
          <cell r="L634"/>
          <cell r="M634"/>
          <cell r="N634"/>
          <cell r="O634"/>
          <cell r="P634"/>
          <cell r="Q634"/>
        </row>
        <row r="635">
          <cell r="H635" t="str">
            <v>ATHM</v>
          </cell>
          <cell r="I635" t="str">
            <v/>
          </cell>
          <cell r="J635" t="str">
            <v/>
          </cell>
          <cell r="K635" t="str">
            <v>JIT</v>
          </cell>
          <cell r="L635"/>
          <cell r="M635"/>
          <cell r="N635"/>
          <cell r="O635"/>
          <cell r="P635"/>
          <cell r="Q635"/>
        </row>
        <row r="636">
          <cell r="H636" t="str">
            <v>ARWR</v>
          </cell>
          <cell r="I636" t="str">
            <v/>
          </cell>
          <cell r="J636" t="str">
            <v/>
          </cell>
          <cell r="K636" t="str">
            <v>JIT</v>
          </cell>
          <cell r="L636"/>
          <cell r="M636"/>
          <cell r="N636"/>
          <cell r="O636"/>
          <cell r="P636"/>
          <cell r="Q636"/>
        </row>
        <row r="637">
          <cell r="H637" t="str">
            <v>ARNC</v>
          </cell>
          <cell r="I637" t="str">
            <v/>
          </cell>
          <cell r="J637" t="str">
            <v/>
          </cell>
          <cell r="K637" t="str">
            <v>JIT</v>
          </cell>
          <cell r="L637"/>
          <cell r="M637"/>
          <cell r="N637"/>
          <cell r="O637"/>
          <cell r="P637"/>
          <cell r="Q637"/>
        </row>
        <row r="638">
          <cell r="H638" t="str">
            <v>APTV</v>
          </cell>
          <cell r="I638" t="str">
            <v/>
          </cell>
          <cell r="J638" t="str">
            <v/>
          </cell>
          <cell r="K638" t="str">
            <v>JIT</v>
          </cell>
          <cell r="L638"/>
          <cell r="M638"/>
          <cell r="N638"/>
          <cell r="O638"/>
          <cell r="P638"/>
          <cell r="Q638"/>
        </row>
        <row r="639">
          <cell r="H639" t="str">
            <v>APPS</v>
          </cell>
          <cell r="I639" t="str">
            <v/>
          </cell>
          <cell r="J639" t="str">
            <v/>
          </cell>
          <cell r="K639" t="str">
            <v>JIT</v>
          </cell>
          <cell r="L639"/>
          <cell r="M639"/>
          <cell r="N639"/>
          <cell r="O639"/>
          <cell r="P639"/>
          <cell r="Q639"/>
        </row>
        <row r="640">
          <cell r="H640" t="str">
            <v>AMD</v>
          </cell>
          <cell r="I640" t="str">
            <v/>
          </cell>
          <cell r="J640" t="str">
            <v/>
          </cell>
          <cell r="K640" t="str">
            <v>JIT</v>
          </cell>
          <cell r="L640"/>
          <cell r="M640"/>
          <cell r="N640"/>
          <cell r="O640"/>
          <cell r="P640"/>
          <cell r="Q640"/>
        </row>
        <row r="641">
          <cell r="H641" t="str">
            <v>AMAT</v>
          </cell>
          <cell r="I641" t="str">
            <v/>
          </cell>
          <cell r="J641" t="str">
            <v/>
          </cell>
          <cell r="K641" t="str">
            <v>JIT</v>
          </cell>
          <cell r="L641"/>
          <cell r="M641"/>
          <cell r="N641"/>
          <cell r="O641"/>
          <cell r="P641"/>
          <cell r="Q641"/>
        </row>
        <row r="642">
          <cell r="H642" t="str">
            <v>AEO</v>
          </cell>
          <cell r="I642" t="str">
            <v/>
          </cell>
          <cell r="J642" t="str">
            <v>千禧</v>
          </cell>
          <cell r="K642" t="str">
            <v>JIT</v>
          </cell>
          <cell r="L642"/>
          <cell r="M642"/>
          <cell r="N642"/>
          <cell r="O642"/>
          <cell r="P642"/>
          <cell r="Q642"/>
        </row>
        <row r="643">
          <cell r="H643" t="str">
            <v>ABT</v>
          </cell>
          <cell r="I643" t="str">
            <v/>
          </cell>
          <cell r="J643" t="str">
            <v/>
          </cell>
          <cell r="K643" t="str">
            <v>JIT</v>
          </cell>
          <cell r="L643"/>
          <cell r="M643"/>
          <cell r="N643"/>
          <cell r="O643"/>
          <cell r="P643"/>
          <cell r="Q643"/>
        </row>
        <row r="644">
          <cell r="H644" t="str">
            <v>SRNE</v>
          </cell>
          <cell r="I644" t="str">
            <v/>
          </cell>
          <cell r="J644" t="str">
            <v>疫苗</v>
          </cell>
          <cell r="K644" t="str">
            <v>Jason</v>
          </cell>
          <cell r="L644">
            <v>0.82010000000000005</v>
          </cell>
          <cell r="M644">
            <v>0</v>
          </cell>
          <cell r="N644">
            <v>1.7398</v>
          </cell>
          <cell r="O644">
            <v>0.42670000000000002</v>
          </cell>
          <cell r="P644">
            <v>2.3372000000000002</v>
          </cell>
          <cell r="Q644">
            <v>0.69469999999999998</v>
          </cell>
        </row>
        <row r="645">
          <cell r="H645" t="str">
            <v>SENS</v>
          </cell>
          <cell r="I645" t="str">
            <v/>
          </cell>
          <cell r="J645" t="str">
            <v>精密醫學</v>
          </cell>
          <cell r="K645" t="str">
            <v>Jason</v>
          </cell>
          <cell r="L645">
            <v>1.0523</v>
          </cell>
          <cell r="M645">
            <v>3.82</v>
          </cell>
          <cell r="N645">
            <v>2.6665000000000001</v>
          </cell>
          <cell r="O645">
            <v>0.3569</v>
          </cell>
          <cell r="P645">
            <v>2.9449000000000001</v>
          </cell>
          <cell r="Q645">
            <v>0.85129999999999995</v>
          </cell>
        </row>
        <row r="646">
          <cell r="H646" t="str">
            <v>PENN</v>
          </cell>
          <cell r="I646" t="str">
            <v/>
          </cell>
          <cell r="J646" t="str">
            <v/>
          </cell>
          <cell r="K646" t="str">
            <v>Jason</v>
          </cell>
          <cell r="L646"/>
          <cell r="M646"/>
          <cell r="N646"/>
          <cell r="O646"/>
          <cell r="P646"/>
          <cell r="Q646"/>
        </row>
        <row r="647">
          <cell r="H647" t="str">
            <v>NIO</v>
          </cell>
          <cell r="I647" t="str">
            <v/>
          </cell>
          <cell r="J647" t="str">
            <v>新能源</v>
          </cell>
          <cell r="K647" t="str">
            <v>Jason</v>
          </cell>
          <cell r="L647">
            <v>0.63990000000000002</v>
          </cell>
          <cell r="M647">
            <v>0</v>
          </cell>
          <cell r="N647">
            <v>1.0441</v>
          </cell>
          <cell r="O647">
            <v>0.4073</v>
          </cell>
          <cell r="P647">
            <v>1.1679999999999999</v>
          </cell>
          <cell r="Q647">
            <v>0.48859999999999998</v>
          </cell>
        </row>
        <row r="648">
          <cell r="H648" t="str">
            <v>MRNA</v>
          </cell>
          <cell r="I648" t="str">
            <v/>
          </cell>
          <cell r="J648" t="str">
            <v/>
          </cell>
          <cell r="K648" t="str">
            <v>Jason</v>
          </cell>
          <cell r="L648"/>
          <cell r="M648"/>
          <cell r="N648"/>
          <cell r="O648"/>
          <cell r="P648"/>
          <cell r="Q648"/>
        </row>
        <row r="649">
          <cell r="H649" t="str">
            <v>JMIA</v>
          </cell>
          <cell r="I649" t="str">
            <v/>
          </cell>
          <cell r="J649" t="str">
            <v/>
          </cell>
          <cell r="K649" t="str">
            <v>Jason</v>
          </cell>
          <cell r="L649">
            <v>0.83509999999999995</v>
          </cell>
          <cell r="M649">
            <v>0</v>
          </cell>
          <cell r="N649">
            <v>1.5157</v>
          </cell>
          <cell r="O649">
            <v>0.4995</v>
          </cell>
          <cell r="P649">
            <v>1.6569999999999998</v>
          </cell>
          <cell r="Q649">
            <v>0.68980000000000008</v>
          </cell>
        </row>
        <row r="650">
          <cell r="H650" t="str">
            <v>JD</v>
          </cell>
          <cell r="I650" t="str">
            <v/>
          </cell>
          <cell r="J650" t="str">
            <v/>
          </cell>
          <cell r="K650" t="str">
            <v>Jason</v>
          </cell>
          <cell r="L650">
            <v>0.4173</v>
          </cell>
          <cell r="M650">
            <v>77.17</v>
          </cell>
          <cell r="N650">
            <v>0.64939999999999998</v>
          </cell>
          <cell r="O650">
            <v>0.26100000000000001</v>
          </cell>
          <cell r="P650">
            <v>0.62350000000000005</v>
          </cell>
          <cell r="Q650">
            <v>0.29909999999999998</v>
          </cell>
        </row>
        <row r="651">
          <cell r="H651" t="str">
            <v>BYND</v>
          </cell>
          <cell r="I651" t="str">
            <v/>
          </cell>
          <cell r="J651" t="str">
            <v/>
          </cell>
          <cell r="K651" t="str">
            <v>Jason</v>
          </cell>
          <cell r="L651">
            <v>0.61850000000000005</v>
          </cell>
          <cell r="M651">
            <v>125.02</v>
          </cell>
          <cell r="N651">
            <v>0.87419999999999998</v>
          </cell>
          <cell r="O651">
            <v>0.3075</v>
          </cell>
          <cell r="P651">
            <v>0.98299999999999998</v>
          </cell>
          <cell r="Q651">
            <v>0.43159999999999998</v>
          </cell>
        </row>
        <row r="652">
          <cell r="H652" t="str">
            <v>BABA</v>
          </cell>
          <cell r="I652" t="str">
            <v/>
          </cell>
          <cell r="J652" t="str">
            <v>商業物聯網</v>
          </cell>
          <cell r="K652" t="str">
            <v>Jason</v>
          </cell>
          <cell r="L652">
            <v>0.4602</v>
          </cell>
          <cell r="M652">
            <v>156.26</v>
          </cell>
          <cell r="N652">
            <v>0.64639999999999997</v>
          </cell>
          <cell r="O652">
            <v>0.22140000000000001</v>
          </cell>
          <cell r="P652">
            <v>0.66409999999999991</v>
          </cell>
          <cell r="Q652">
            <v>0.23649999999999999</v>
          </cell>
        </row>
        <row r="653">
          <cell r="H653" t="str">
            <v>PTON</v>
          </cell>
          <cell r="I653" t="str">
            <v/>
          </cell>
          <cell r="J653" t="str">
            <v/>
          </cell>
          <cell r="K653" t="str">
            <v>Galloway</v>
          </cell>
          <cell r="L653">
            <v>0.5222</v>
          </cell>
          <cell r="M653">
            <v>104.92</v>
          </cell>
          <cell r="N653">
            <v>0.92190000000000005</v>
          </cell>
          <cell r="O653">
            <v>0.45390000000000003</v>
          </cell>
          <cell r="P653">
            <v>0.93569999999999998</v>
          </cell>
          <cell r="Q653">
            <v>0.4919</v>
          </cell>
        </row>
        <row r="654">
          <cell r="H654" t="str">
            <v>LMND</v>
          </cell>
          <cell r="I654" t="str">
            <v/>
          </cell>
          <cell r="J654" t="str">
            <v/>
          </cell>
          <cell r="K654" t="str">
            <v>Galloway</v>
          </cell>
          <cell r="L654">
            <v>0.60140000000000005</v>
          </cell>
          <cell r="M654">
            <v>72.28</v>
          </cell>
          <cell r="N654">
            <v>1.4472</v>
          </cell>
          <cell r="O654">
            <v>0.51590000000000003</v>
          </cell>
          <cell r="P654">
            <v>1.5411000000000001</v>
          </cell>
          <cell r="Q654">
            <v>0.5615</v>
          </cell>
        </row>
        <row r="655">
          <cell r="H655" t="str">
            <v>ABNB</v>
          </cell>
          <cell r="I655" t="str">
            <v/>
          </cell>
          <cell r="J655" t="str">
            <v/>
          </cell>
          <cell r="K655" t="str">
            <v>Galloway</v>
          </cell>
          <cell r="L655"/>
          <cell r="M655"/>
          <cell r="N655"/>
          <cell r="O655"/>
          <cell r="P655"/>
          <cell r="Q655"/>
        </row>
        <row r="656">
          <cell r="H656" t="str">
            <v>XSW</v>
          </cell>
          <cell r="I656" t="str">
            <v/>
          </cell>
          <cell r="J656" t="str">
            <v/>
          </cell>
          <cell r="K656" t="str">
            <v>ETF-成長股</v>
          </cell>
          <cell r="L656"/>
          <cell r="M656"/>
          <cell r="N656"/>
          <cell r="O656"/>
          <cell r="P656"/>
          <cell r="Q656"/>
        </row>
        <row r="657">
          <cell r="H657" t="str">
            <v>UNG</v>
          </cell>
          <cell r="I657" t="str">
            <v/>
          </cell>
          <cell r="J657" t="str">
            <v/>
          </cell>
          <cell r="K657" t="str">
            <v>ETF-成長股</v>
          </cell>
          <cell r="L657"/>
          <cell r="M657"/>
          <cell r="N657"/>
          <cell r="O657"/>
          <cell r="P657"/>
          <cell r="Q657"/>
        </row>
        <row r="658">
          <cell r="H658" t="str">
            <v>TLT</v>
          </cell>
          <cell r="I658" t="str">
            <v/>
          </cell>
          <cell r="J658" t="str">
            <v/>
          </cell>
          <cell r="K658" t="str">
            <v>ETF-成長股</v>
          </cell>
          <cell r="L658"/>
          <cell r="M658"/>
          <cell r="N658"/>
          <cell r="O658"/>
          <cell r="P658"/>
          <cell r="Q658"/>
        </row>
        <row r="659">
          <cell r="H659" t="str">
            <v>RYT</v>
          </cell>
          <cell r="I659" t="str">
            <v/>
          </cell>
          <cell r="J659" t="str">
            <v/>
          </cell>
          <cell r="K659" t="str">
            <v>ETF-成長股</v>
          </cell>
          <cell r="L659"/>
          <cell r="M659"/>
          <cell r="N659"/>
          <cell r="O659"/>
          <cell r="P659"/>
          <cell r="Q659"/>
        </row>
        <row r="660">
          <cell r="H660" t="str">
            <v>ROBO</v>
          </cell>
          <cell r="I660" t="str">
            <v/>
          </cell>
          <cell r="J660" t="str">
            <v/>
          </cell>
          <cell r="K660" t="str">
            <v>ETF-成長股</v>
          </cell>
          <cell r="L660"/>
          <cell r="M660"/>
          <cell r="N660"/>
          <cell r="O660"/>
          <cell r="P660"/>
          <cell r="Q660"/>
        </row>
        <row r="661">
          <cell r="H661" t="str">
            <v>PRNT</v>
          </cell>
          <cell r="I661" t="str">
            <v/>
          </cell>
          <cell r="J661" t="str">
            <v/>
          </cell>
          <cell r="K661" t="str">
            <v>ETF-成長股</v>
          </cell>
          <cell r="L661"/>
          <cell r="M661"/>
          <cell r="N661"/>
          <cell r="O661"/>
          <cell r="P661"/>
          <cell r="Q661"/>
        </row>
        <row r="662">
          <cell r="H662" t="str">
            <v>NOBL</v>
          </cell>
          <cell r="I662" t="str">
            <v/>
          </cell>
          <cell r="J662" t="str">
            <v/>
          </cell>
          <cell r="K662" t="str">
            <v>ETF-成長股</v>
          </cell>
          <cell r="L662"/>
          <cell r="M662"/>
          <cell r="N662"/>
          <cell r="O662"/>
          <cell r="P662"/>
          <cell r="Q662"/>
        </row>
        <row r="663">
          <cell r="H663" t="str">
            <v>MJ</v>
          </cell>
          <cell r="I663" t="str">
            <v/>
          </cell>
          <cell r="J663" t="str">
            <v/>
          </cell>
          <cell r="K663" t="str">
            <v>ETF-成長股</v>
          </cell>
          <cell r="L663"/>
          <cell r="M663"/>
          <cell r="N663"/>
          <cell r="O663"/>
          <cell r="P663"/>
          <cell r="Q663"/>
        </row>
        <row r="664">
          <cell r="H664" t="str">
            <v>MILN</v>
          </cell>
          <cell r="I664" t="str">
            <v/>
          </cell>
          <cell r="J664" t="str">
            <v/>
          </cell>
          <cell r="K664" t="str">
            <v>ETF-成長股</v>
          </cell>
          <cell r="L664"/>
          <cell r="M664"/>
          <cell r="N664"/>
          <cell r="O664"/>
          <cell r="P664"/>
          <cell r="Q664"/>
        </row>
        <row r="665">
          <cell r="H665" t="str">
            <v>IHI</v>
          </cell>
          <cell r="I665" t="str">
            <v/>
          </cell>
          <cell r="J665" t="str">
            <v/>
          </cell>
          <cell r="K665" t="str">
            <v>ETF-成長股</v>
          </cell>
          <cell r="L665"/>
          <cell r="M665"/>
          <cell r="N665"/>
          <cell r="O665"/>
          <cell r="P665"/>
          <cell r="Q665"/>
        </row>
        <row r="666">
          <cell r="H666" t="str">
            <v>GLD</v>
          </cell>
          <cell r="I666" t="str">
            <v/>
          </cell>
          <cell r="J666" t="str">
            <v/>
          </cell>
          <cell r="K666" t="str">
            <v>ETF-成長股</v>
          </cell>
          <cell r="L666"/>
          <cell r="M666"/>
          <cell r="N666"/>
          <cell r="O666"/>
          <cell r="P666"/>
          <cell r="Q666"/>
        </row>
        <row r="667">
          <cell r="H667" t="str">
            <v>GBTC</v>
          </cell>
          <cell r="I667" t="str">
            <v/>
          </cell>
          <cell r="J667" t="str">
            <v>新副經濟</v>
          </cell>
          <cell r="K667" t="str">
            <v>ETF-成長股</v>
          </cell>
          <cell r="L667"/>
          <cell r="M667"/>
          <cell r="N667"/>
          <cell r="O667"/>
          <cell r="P667"/>
          <cell r="Q667"/>
        </row>
        <row r="668">
          <cell r="H668" t="str">
            <v>FTEC</v>
          </cell>
          <cell r="I668" t="str">
            <v/>
          </cell>
          <cell r="J668" t="str">
            <v/>
          </cell>
          <cell r="K668" t="str">
            <v>ETF-成長股</v>
          </cell>
          <cell r="L668"/>
          <cell r="M668"/>
          <cell r="N668"/>
          <cell r="O668"/>
          <cell r="P668"/>
          <cell r="Q668"/>
        </row>
        <row r="669">
          <cell r="H669" t="str">
            <v>ESPO</v>
          </cell>
          <cell r="I669" t="str">
            <v/>
          </cell>
          <cell r="J669" t="str">
            <v/>
          </cell>
          <cell r="K669" t="str">
            <v>ETF-成長股</v>
          </cell>
          <cell r="L669"/>
          <cell r="M669"/>
          <cell r="N669"/>
          <cell r="O669"/>
          <cell r="P669"/>
          <cell r="Q669"/>
        </row>
        <row r="670">
          <cell r="H670" t="str">
            <v>ELS</v>
          </cell>
          <cell r="I670" t="str">
            <v/>
          </cell>
          <cell r="J670" t="str">
            <v/>
          </cell>
          <cell r="K670" t="str">
            <v>ETF-成長股</v>
          </cell>
          <cell r="L670"/>
          <cell r="M670"/>
          <cell r="N670"/>
          <cell r="O670"/>
          <cell r="P670"/>
          <cell r="Q670"/>
        </row>
        <row r="671">
          <cell r="H671" t="str">
            <v>CODI</v>
          </cell>
          <cell r="I671" t="str">
            <v/>
          </cell>
          <cell r="J671" t="str">
            <v/>
          </cell>
          <cell r="K671" t="str">
            <v>ETF-成長股</v>
          </cell>
          <cell r="L671"/>
          <cell r="M671"/>
          <cell r="N671"/>
          <cell r="O671"/>
          <cell r="P671"/>
          <cell r="Q671"/>
        </row>
        <row r="672">
          <cell r="H672" t="str">
            <v>CLOU</v>
          </cell>
          <cell r="I672" t="str">
            <v/>
          </cell>
          <cell r="J672" t="str">
            <v/>
          </cell>
          <cell r="K672" t="str">
            <v>ETF-成長股</v>
          </cell>
          <cell r="L672"/>
          <cell r="M672"/>
          <cell r="N672"/>
          <cell r="O672"/>
          <cell r="P672"/>
          <cell r="Q672"/>
        </row>
        <row r="673">
          <cell r="H673" t="str">
            <v>BOTZ</v>
          </cell>
          <cell r="I673" t="str">
            <v/>
          </cell>
          <cell r="J673" t="str">
            <v/>
          </cell>
          <cell r="K673" t="str">
            <v>ETF-成長股</v>
          </cell>
          <cell r="L673"/>
          <cell r="M673"/>
          <cell r="N673"/>
          <cell r="O673"/>
          <cell r="P673"/>
          <cell r="Q673"/>
        </row>
        <row r="674">
          <cell r="H674" t="str">
            <v>BLOK</v>
          </cell>
          <cell r="I674" t="str">
            <v/>
          </cell>
          <cell r="J674" t="str">
            <v/>
          </cell>
          <cell r="K674" t="str">
            <v>ETF-成長股</v>
          </cell>
          <cell r="L674"/>
          <cell r="M674"/>
          <cell r="N674"/>
          <cell r="O674"/>
          <cell r="P674"/>
          <cell r="Q674"/>
        </row>
        <row r="675">
          <cell r="H675" t="str">
            <v>BLCN</v>
          </cell>
          <cell r="I675" t="str">
            <v/>
          </cell>
          <cell r="J675" t="str">
            <v/>
          </cell>
          <cell r="K675" t="str">
            <v>ETF-成長股</v>
          </cell>
          <cell r="L675"/>
          <cell r="M675"/>
          <cell r="N675"/>
          <cell r="O675"/>
          <cell r="P675"/>
          <cell r="Q675"/>
        </row>
        <row r="676">
          <cell r="H676" t="str">
            <v>ARKX</v>
          </cell>
          <cell r="I676" t="str">
            <v/>
          </cell>
          <cell r="J676" t="str">
            <v/>
          </cell>
          <cell r="K676" t="str">
            <v>ETF-成長股</v>
          </cell>
          <cell r="L676"/>
          <cell r="M676"/>
          <cell r="N676"/>
          <cell r="O676"/>
          <cell r="P676"/>
          <cell r="Q676"/>
        </row>
        <row r="677">
          <cell r="H677" t="str">
            <v>ARKW</v>
          </cell>
          <cell r="I677" t="str">
            <v/>
          </cell>
          <cell r="J677" t="str">
            <v/>
          </cell>
          <cell r="K677" t="str">
            <v>ETF-成長股</v>
          </cell>
          <cell r="L677"/>
          <cell r="M677"/>
          <cell r="N677"/>
          <cell r="O677"/>
          <cell r="P677"/>
          <cell r="Q677"/>
        </row>
        <row r="678">
          <cell r="H678" t="str">
            <v>ARKQ</v>
          </cell>
          <cell r="I678" t="str">
            <v/>
          </cell>
          <cell r="J678" t="str">
            <v/>
          </cell>
          <cell r="K678" t="str">
            <v>ETF-成長股</v>
          </cell>
          <cell r="L678"/>
          <cell r="M678"/>
          <cell r="N678"/>
          <cell r="O678"/>
          <cell r="P678"/>
          <cell r="Q678"/>
        </row>
        <row r="679">
          <cell r="H679" t="str">
            <v>ARKK</v>
          </cell>
          <cell r="I679" t="str">
            <v/>
          </cell>
          <cell r="J679" t="str">
            <v/>
          </cell>
          <cell r="K679" t="str">
            <v>ETF-成長股</v>
          </cell>
          <cell r="L679"/>
          <cell r="M679"/>
          <cell r="N679"/>
          <cell r="O679"/>
          <cell r="P679"/>
          <cell r="Q679"/>
        </row>
        <row r="680">
          <cell r="H680" t="str">
            <v>ARKG</v>
          </cell>
          <cell r="I680" t="str">
            <v/>
          </cell>
          <cell r="J680" t="str">
            <v/>
          </cell>
          <cell r="K680" t="str">
            <v>ETF-成長股</v>
          </cell>
          <cell r="L680"/>
          <cell r="M680"/>
          <cell r="N680"/>
          <cell r="O680"/>
          <cell r="P680"/>
          <cell r="Q680"/>
        </row>
        <row r="681">
          <cell r="H681" t="str">
            <v>ARKF</v>
          </cell>
          <cell r="I681" t="str">
            <v/>
          </cell>
          <cell r="J681" t="str">
            <v/>
          </cell>
          <cell r="K681" t="str">
            <v>ETF-成長股</v>
          </cell>
          <cell r="L681"/>
          <cell r="M681"/>
          <cell r="N681"/>
          <cell r="O681"/>
          <cell r="P681"/>
          <cell r="Q681"/>
        </row>
        <row r="682">
          <cell r="H682" t="str">
            <v>ACES</v>
          </cell>
          <cell r="I682" t="str">
            <v/>
          </cell>
          <cell r="J682" t="str">
            <v/>
          </cell>
          <cell r="K682" t="str">
            <v>ETF-成長股</v>
          </cell>
          <cell r="L682"/>
          <cell r="M682"/>
          <cell r="N682"/>
          <cell r="O682"/>
          <cell r="P682"/>
          <cell r="Q682"/>
        </row>
        <row r="683">
          <cell r="H683" t="str">
            <v>PLTR</v>
          </cell>
          <cell r="I683" t="str">
            <v/>
          </cell>
          <cell r="J683" t="str">
            <v>商業物聯網</v>
          </cell>
          <cell r="K683" t="str">
            <v>ARK</v>
          </cell>
          <cell r="L683">
            <v>0.47249999999999998</v>
          </cell>
          <cell r="M683">
            <v>0</v>
          </cell>
          <cell r="N683">
            <v>1.3032999999999999</v>
          </cell>
          <cell r="O683">
            <v>0.30780000000000002</v>
          </cell>
          <cell r="P683">
            <v>1.7368999999999999</v>
          </cell>
          <cell r="Q683">
            <v>0.41389999999999999</v>
          </cell>
        </row>
        <row r="684">
          <cell r="H684" t="str">
            <v>SONO</v>
          </cell>
          <cell r="I684" t="str">
            <v/>
          </cell>
          <cell r="J684" t="str">
            <v/>
          </cell>
          <cell r="K684" t="str">
            <v>Jason</v>
          </cell>
          <cell r="L684">
            <v>0.4718</v>
          </cell>
          <cell r="M684">
            <v>0</v>
          </cell>
          <cell r="N684">
            <v>0.88070000000000004</v>
          </cell>
          <cell r="O684">
            <v>0.27050000000000002</v>
          </cell>
          <cell r="P684">
            <v>0.8751000000000001</v>
          </cell>
          <cell r="Q684">
            <v>0.39250000000000002</v>
          </cell>
        </row>
        <row r="685">
          <cell r="H685" t="str">
            <v>ADBE</v>
          </cell>
          <cell r="I685" t="str">
            <v/>
          </cell>
          <cell r="J685" t="str">
            <v/>
          </cell>
          <cell r="K685" t="str">
            <v>JIT</v>
          </cell>
          <cell r="L685"/>
          <cell r="M685"/>
          <cell r="N685"/>
          <cell r="O685"/>
          <cell r="P685"/>
          <cell r="Q685"/>
        </row>
        <row r="686">
          <cell r="H686" t="str">
            <v>NVDA</v>
          </cell>
          <cell r="I686" t="str">
            <v/>
          </cell>
          <cell r="J686" t="str">
            <v/>
          </cell>
          <cell r="K686" t="str">
            <v>JIT</v>
          </cell>
          <cell r="L686"/>
          <cell r="M686"/>
          <cell r="N686"/>
          <cell r="O686"/>
          <cell r="P686"/>
          <cell r="Q686"/>
        </row>
        <row r="687">
          <cell r="H687" t="str">
            <v>WDC</v>
          </cell>
          <cell r="I687" t="str">
            <v/>
          </cell>
          <cell r="J687" t="str">
            <v/>
          </cell>
          <cell r="K687" t="str">
            <v>JIT</v>
          </cell>
          <cell r="L687"/>
          <cell r="M687"/>
          <cell r="N687"/>
          <cell r="O687"/>
          <cell r="P687"/>
          <cell r="Q687"/>
        </row>
        <row r="688">
          <cell r="H688" t="str">
            <v>SEDG</v>
          </cell>
          <cell r="I688" t="str">
            <v/>
          </cell>
          <cell r="J688" t="str">
            <v/>
          </cell>
          <cell r="K688" t="str">
            <v>JIT</v>
          </cell>
          <cell r="L688">
            <v>0.65600000000000003</v>
          </cell>
          <cell r="M688">
            <v>259.33</v>
          </cell>
          <cell r="N688">
            <v>1.1112</v>
          </cell>
          <cell r="O688">
            <v>0.38740000000000002</v>
          </cell>
          <cell r="P688">
            <v>0.91500000000000004</v>
          </cell>
          <cell r="Q688">
            <v>0.45990000000000003</v>
          </cell>
        </row>
        <row r="689">
          <cell r="H689" t="str">
            <v>CSCO</v>
          </cell>
          <cell r="I689" t="str">
            <v/>
          </cell>
          <cell r="J689" t="str">
            <v/>
          </cell>
          <cell r="K689" t="str">
            <v>JIT</v>
          </cell>
          <cell r="L689"/>
          <cell r="M689"/>
          <cell r="N689"/>
          <cell r="O689"/>
          <cell r="P689"/>
          <cell r="Q689"/>
        </row>
        <row r="690">
          <cell r="H690" t="str">
            <v>PFE</v>
          </cell>
          <cell r="I690" t="str">
            <v/>
          </cell>
          <cell r="J690" t="str">
            <v/>
          </cell>
          <cell r="K690" t="str">
            <v>JIT</v>
          </cell>
          <cell r="L690"/>
          <cell r="M690"/>
          <cell r="N690"/>
          <cell r="O690"/>
          <cell r="P690"/>
          <cell r="Q690"/>
        </row>
        <row r="691">
          <cell r="H691" t="str">
            <v>NEO</v>
          </cell>
          <cell r="I691" t="str">
            <v/>
          </cell>
          <cell r="J691" t="str">
            <v/>
          </cell>
          <cell r="K691" t="str">
            <v>JIT</v>
          </cell>
          <cell r="L691">
            <v>0.45050000000000001</v>
          </cell>
          <cell r="M691">
            <v>46.26</v>
          </cell>
          <cell r="N691">
            <v>0.6472</v>
          </cell>
          <cell r="O691">
            <v>0.18329999999999999</v>
          </cell>
          <cell r="P691">
            <v>0.66720000000000002</v>
          </cell>
          <cell r="Q691">
            <v>0.38829999999999998</v>
          </cell>
        </row>
        <row r="692">
          <cell r="H692" t="str">
            <v>INTC</v>
          </cell>
          <cell r="I692" t="str">
            <v/>
          </cell>
          <cell r="J692" t="str">
            <v/>
          </cell>
          <cell r="K692" t="str">
            <v>JIT</v>
          </cell>
          <cell r="L692"/>
          <cell r="M692"/>
          <cell r="N692"/>
          <cell r="O692"/>
          <cell r="P692"/>
          <cell r="Q692"/>
        </row>
        <row r="693">
          <cell r="H693" t="str">
            <v>VZ</v>
          </cell>
          <cell r="I693" t="str">
            <v/>
          </cell>
          <cell r="J693" t="str">
            <v/>
          </cell>
          <cell r="K693" t="str">
            <v>JIT</v>
          </cell>
          <cell r="L693"/>
          <cell r="M693"/>
          <cell r="N693"/>
          <cell r="O693"/>
          <cell r="P693"/>
          <cell r="Q693"/>
        </row>
        <row r="694">
          <cell r="H694" t="str">
            <v>APAM</v>
          </cell>
          <cell r="I694" t="str">
            <v/>
          </cell>
          <cell r="J694" t="str">
            <v/>
          </cell>
          <cell r="K694" t="str">
            <v>JIT</v>
          </cell>
          <cell r="L694">
            <v>0.37319999999999998</v>
          </cell>
          <cell r="M694">
            <v>48.79</v>
          </cell>
          <cell r="N694">
            <v>0.51590000000000003</v>
          </cell>
          <cell r="O694">
            <v>0.26850000000000002</v>
          </cell>
          <cell r="P694">
            <v>0.60670000000000002</v>
          </cell>
          <cell r="Q694">
            <v>0.2404</v>
          </cell>
        </row>
        <row r="695">
          <cell r="H695" t="str">
            <v>PINS</v>
          </cell>
          <cell r="I695" t="str">
            <v/>
          </cell>
          <cell r="J695" t="str">
            <v/>
          </cell>
          <cell r="K695" t="str">
            <v>ERIC</v>
          </cell>
          <cell r="L695"/>
          <cell r="M695"/>
          <cell r="N695"/>
          <cell r="O695"/>
          <cell r="P695"/>
          <cell r="Q695"/>
        </row>
        <row r="696">
          <cell r="H696" t="str">
            <v>MU</v>
          </cell>
          <cell r="I696" t="str">
            <v/>
          </cell>
          <cell r="J696" t="str">
            <v/>
          </cell>
          <cell r="K696" t="str">
            <v>ERIC</v>
          </cell>
          <cell r="L696"/>
          <cell r="M696"/>
          <cell r="N696"/>
          <cell r="O696"/>
          <cell r="P696"/>
          <cell r="Q696"/>
        </row>
        <row r="697">
          <cell r="H697" t="str">
            <v>MO</v>
          </cell>
          <cell r="I697" t="str">
            <v/>
          </cell>
          <cell r="J697" t="str">
            <v/>
          </cell>
          <cell r="K697" t="str">
            <v>ERIC</v>
          </cell>
          <cell r="L697"/>
          <cell r="M697"/>
          <cell r="N697"/>
          <cell r="O697"/>
          <cell r="P697"/>
          <cell r="Q697"/>
        </row>
        <row r="698">
          <cell r="H698" t="str">
            <v>DOCU</v>
          </cell>
          <cell r="I698" t="str">
            <v/>
          </cell>
          <cell r="J698" t="str">
            <v/>
          </cell>
          <cell r="K698" t="str">
            <v>ERIC</v>
          </cell>
          <cell r="L698"/>
          <cell r="M698"/>
          <cell r="N698"/>
          <cell r="O698"/>
          <cell r="P698"/>
          <cell r="Q698"/>
        </row>
        <row r="699">
          <cell r="H699" t="str">
            <v>CL</v>
          </cell>
          <cell r="I699" t="str">
            <v/>
          </cell>
          <cell r="J699" t="str">
            <v/>
          </cell>
          <cell r="K699" t="str">
            <v>ERIC</v>
          </cell>
          <cell r="L699"/>
          <cell r="M699"/>
          <cell r="N699"/>
          <cell r="O699"/>
          <cell r="P699"/>
          <cell r="Q699"/>
        </row>
        <row r="700">
          <cell r="H700" t="str">
            <v>AKTS</v>
          </cell>
          <cell r="I700" t="str">
            <v/>
          </cell>
          <cell r="J700" t="str">
            <v/>
          </cell>
          <cell r="K700" t="str">
            <v>ERIC</v>
          </cell>
          <cell r="L700"/>
          <cell r="M700"/>
          <cell r="N700"/>
          <cell r="O700"/>
          <cell r="P700"/>
          <cell r="Q700"/>
        </row>
        <row r="701">
          <cell r="H701" t="str">
            <v>TWTR</v>
          </cell>
          <cell r="I701" t="str">
            <v/>
          </cell>
          <cell r="J701" t="str">
            <v/>
          </cell>
          <cell r="K701" t="str">
            <v>ERIC</v>
          </cell>
          <cell r="L701"/>
          <cell r="M701"/>
          <cell r="N701"/>
          <cell r="O701"/>
          <cell r="P701"/>
          <cell r="Q701"/>
        </row>
        <row r="702">
          <cell r="H702" t="str">
            <v>TGT</v>
          </cell>
          <cell r="I702" t="str">
            <v/>
          </cell>
          <cell r="J702" t="str">
            <v/>
          </cell>
          <cell r="K702" t="str">
            <v>ERIC</v>
          </cell>
          <cell r="L702"/>
          <cell r="M702"/>
          <cell r="N702"/>
          <cell r="O702"/>
          <cell r="P702"/>
          <cell r="Q702"/>
        </row>
        <row r="703">
          <cell r="H703" t="str">
            <v>ORCL</v>
          </cell>
          <cell r="I703" t="str">
            <v/>
          </cell>
          <cell r="J703" t="str">
            <v/>
          </cell>
          <cell r="K703" t="str">
            <v>ERIC</v>
          </cell>
          <cell r="L703"/>
          <cell r="M703"/>
          <cell r="N703"/>
          <cell r="O703"/>
          <cell r="P703"/>
          <cell r="Q703"/>
        </row>
        <row r="704">
          <cell r="H704" t="str">
            <v>NEM</v>
          </cell>
          <cell r="I704" t="str">
            <v/>
          </cell>
          <cell r="J704" t="str">
            <v/>
          </cell>
          <cell r="K704" t="str">
            <v>ERIC</v>
          </cell>
          <cell r="L704"/>
          <cell r="M704"/>
          <cell r="N704"/>
          <cell r="O704"/>
          <cell r="P704"/>
          <cell r="Q704"/>
        </row>
        <row r="705">
          <cell r="H705" t="str">
            <v>NEE</v>
          </cell>
          <cell r="I705" t="str">
            <v/>
          </cell>
          <cell r="J705" t="str">
            <v/>
          </cell>
          <cell r="K705" t="str">
            <v>ERIC</v>
          </cell>
          <cell r="L705"/>
          <cell r="M705"/>
          <cell r="N705"/>
          <cell r="O705"/>
          <cell r="P705"/>
          <cell r="Q705"/>
        </row>
        <row r="706">
          <cell r="H706" t="str">
            <v>QCOM</v>
          </cell>
          <cell r="I706" t="str">
            <v/>
          </cell>
          <cell r="J706" t="str">
            <v/>
          </cell>
          <cell r="K706" t="str">
            <v>Jason</v>
          </cell>
          <cell r="L706"/>
          <cell r="M706"/>
          <cell r="N706"/>
          <cell r="O706"/>
          <cell r="P706"/>
          <cell r="Q706"/>
        </row>
        <row r="707">
          <cell r="H707" t="str">
            <v>ASML</v>
          </cell>
          <cell r="I707" t="str">
            <v/>
          </cell>
          <cell r="J707" t="str">
            <v/>
          </cell>
          <cell r="K707" t="str">
            <v>乘風破浪</v>
          </cell>
          <cell r="L707">
            <v>0.28710000000000002</v>
          </cell>
          <cell r="M707">
            <v>773.06</v>
          </cell>
          <cell r="N707">
            <v>0.57979999999999998</v>
          </cell>
          <cell r="O707">
            <v>0.2218</v>
          </cell>
          <cell r="P707">
            <v>0.46110000000000001</v>
          </cell>
          <cell r="Q707">
            <v>0.25590000000000002</v>
          </cell>
        </row>
        <row r="708">
          <cell r="H708" t="str">
            <v>UPS</v>
          </cell>
          <cell r="I708" t="str">
            <v/>
          </cell>
          <cell r="J708" t="str">
            <v/>
          </cell>
          <cell r="K708" t="str">
            <v>乘風破浪</v>
          </cell>
          <cell r="L708"/>
          <cell r="M708"/>
          <cell r="N708"/>
          <cell r="O708"/>
          <cell r="P708"/>
          <cell r="Q708"/>
        </row>
        <row r="709">
          <cell r="H709" t="str">
            <v>NOVN</v>
          </cell>
          <cell r="I709" t="str">
            <v/>
          </cell>
          <cell r="J709" t="str">
            <v/>
          </cell>
          <cell r="K709" t="str">
            <v>展</v>
          </cell>
          <cell r="L709">
            <v>0.97260000000000002</v>
          </cell>
          <cell r="M709">
            <v>8.4499999999999993</v>
          </cell>
          <cell r="N709">
            <v>2.4390000000000001</v>
          </cell>
          <cell r="O709">
            <v>0.48180000000000001</v>
          </cell>
          <cell r="P709">
            <v>1.4394999999999998</v>
          </cell>
          <cell r="Q709">
            <v>0.97260000000000002</v>
          </cell>
        </row>
        <row r="710">
          <cell r="H710" t="str">
            <v>CHEK</v>
          </cell>
          <cell r="I710" t="str">
            <v/>
          </cell>
          <cell r="J710" t="str">
            <v/>
          </cell>
          <cell r="K710" t="str">
            <v>展</v>
          </cell>
          <cell r="L710"/>
          <cell r="M710"/>
          <cell r="N710"/>
          <cell r="O710"/>
          <cell r="P710"/>
          <cell r="Q710"/>
        </row>
        <row r="711">
          <cell r="H711" t="str">
            <v>NSPR</v>
          </cell>
          <cell r="I711" t="str">
            <v/>
          </cell>
          <cell r="J711" t="str">
            <v/>
          </cell>
          <cell r="K711" t="str">
            <v>展</v>
          </cell>
          <cell r="L711">
            <v>1.8871</v>
          </cell>
          <cell r="M711">
            <v>4.6900000000000004</v>
          </cell>
          <cell r="N711">
            <v>7.827</v>
          </cell>
          <cell r="O711">
            <v>0.45600000000000002</v>
          </cell>
          <cell r="P711">
            <v>1.8871</v>
          </cell>
          <cell r="Q711">
            <v>0.93889999999999996</v>
          </cell>
        </row>
        <row r="712">
          <cell r="H712" t="str">
            <v>SABR</v>
          </cell>
          <cell r="I712" t="str">
            <v/>
          </cell>
          <cell r="J712" t="str">
            <v/>
          </cell>
          <cell r="K712" t="str">
            <v>ARK</v>
          </cell>
          <cell r="L712">
            <v>0.49199999999999999</v>
          </cell>
          <cell r="M712">
            <v>11.22</v>
          </cell>
          <cell r="N712">
            <v>1.2858000000000001</v>
          </cell>
          <cell r="O712">
            <v>0.39090000000000003</v>
          </cell>
          <cell r="P712">
            <v>1.0744</v>
          </cell>
          <cell r="Q712">
            <v>0.44049999999999995</v>
          </cell>
        </row>
        <row r="713">
          <cell r="H713" t="str">
            <v>AVGO</v>
          </cell>
          <cell r="I713" t="str">
            <v/>
          </cell>
          <cell r="J713" t="str">
            <v/>
          </cell>
          <cell r="K713" t="str">
            <v>乘風破浪</v>
          </cell>
          <cell r="L713"/>
          <cell r="M713"/>
          <cell r="N713"/>
          <cell r="O713"/>
          <cell r="P713"/>
          <cell r="Q713"/>
        </row>
        <row r="714">
          <cell r="H714" t="str">
            <v>QCIBX</v>
          </cell>
          <cell r="I714" t="str">
            <v/>
          </cell>
          <cell r="J714" t="str">
            <v/>
          </cell>
          <cell r="K714" t="str">
            <v>打錯代碼</v>
          </cell>
          <cell r="L714"/>
          <cell r="M714"/>
          <cell r="N714"/>
          <cell r="O714"/>
          <cell r="P714"/>
          <cell r="Q714"/>
        </row>
        <row r="715">
          <cell r="H715" t="str">
            <v>U</v>
          </cell>
          <cell r="I715" t="str">
            <v/>
          </cell>
          <cell r="J715" t="str">
            <v/>
          </cell>
          <cell r="K715" t="str">
            <v>Reina</v>
          </cell>
          <cell r="L715">
            <v>0.44779999999999998</v>
          </cell>
          <cell r="M715">
            <v>134.44</v>
          </cell>
          <cell r="N715">
            <v>1.0458000000000001</v>
          </cell>
          <cell r="O715">
            <v>0.3584</v>
          </cell>
          <cell r="P715">
            <v>1.2121999999999999</v>
          </cell>
          <cell r="Q715">
            <v>0.4229</v>
          </cell>
        </row>
        <row r="716">
          <cell r="H716" t="str">
            <v>FCEL</v>
          </cell>
          <cell r="I716" t="str">
            <v/>
          </cell>
          <cell r="J716" t="str">
            <v/>
          </cell>
          <cell r="K716" t="str">
            <v/>
          </cell>
          <cell r="L716">
            <v>1.0114000000000001</v>
          </cell>
          <cell r="M716">
            <v>0</v>
          </cell>
          <cell r="N716">
            <v>2.0608</v>
          </cell>
          <cell r="O716">
            <v>0.45340000000000003</v>
          </cell>
          <cell r="P716">
            <v>1.6947999999999999</v>
          </cell>
          <cell r="Q716">
            <v>0.82090000000000007</v>
          </cell>
        </row>
        <row r="717">
          <cell r="H717" t="str">
            <v/>
          </cell>
          <cell r="I717" t="str">
            <v/>
          </cell>
          <cell r="J717" t="str">
            <v/>
          </cell>
          <cell r="K717" t="str">
            <v/>
          </cell>
          <cell r="L717"/>
          <cell r="M717"/>
          <cell r="N717"/>
          <cell r="O717"/>
          <cell r="P717"/>
          <cell r="Q717"/>
        </row>
        <row r="718">
          <cell r="H718" t="str">
            <v/>
          </cell>
          <cell r="I718" t="str">
            <v/>
          </cell>
          <cell r="J718" t="str">
            <v/>
          </cell>
          <cell r="K718" t="str">
            <v/>
          </cell>
          <cell r="L718"/>
          <cell r="M718"/>
          <cell r="N718"/>
          <cell r="O718"/>
          <cell r="P718"/>
          <cell r="Q718"/>
        </row>
        <row r="719">
          <cell r="H719" t="str">
            <v/>
          </cell>
          <cell r="I719" t="str">
            <v/>
          </cell>
          <cell r="J719" t="str">
            <v/>
          </cell>
          <cell r="K719" t="str">
            <v/>
          </cell>
          <cell r="L719"/>
          <cell r="M719"/>
          <cell r="N719"/>
          <cell r="O719"/>
          <cell r="P719"/>
          <cell r="Q719"/>
        </row>
        <row r="720">
          <cell r="H720" t="str">
            <v/>
          </cell>
          <cell r="I720" t="str">
            <v/>
          </cell>
          <cell r="J720" t="str">
            <v/>
          </cell>
          <cell r="K720" t="str">
            <v/>
          </cell>
          <cell r="L720"/>
          <cell r="M720"/>
          <cell r="N720"/>
          <cell r="O720"/>
          <cell r="P720"/>
          <cell r="Q720"/>
        </row>
        <row r="721">
          <cell r="H721" t="str">
            <v/>
          </cell>
          <cell r="I721" t="str">
            <v/>
          </cell>
          <cell r="J721" t="str">
            <v/>
          </cell>
          <cell r="K721" t="str">
            <v/>
          </cell>
          <cell r="L721"/>
          <cell r="M721"/>
          <cell r="N721"/>
          <cell r="O721"/>
          <cell r="P721"/>
          <cell r="Q721"/>
        </row>
        <row r="722">
          <cell r="H722" t="str">
            <v/>
          </cell>
          <cell r="I722" t="str">
            <v/>
          </cell>
          <cell r="J722" t="str">
            <v/>
          </cell>
          <cell r="K722" t="str">
            <v/>
          </cell>
          <cell r="L722"/>
          <cell r="M722"/>
          <cell r="N722"/>
          <cell r="O722"/>
          <cell r="P722"/>
          <cell r="Q722"/>
        </row>
        <row r="723">
          <cell r="H723" t="str">
            <v/>
          </cell>
          <cell r="I723" t="str">
            <v/>
          </cell>
          <cell r="J723" t="str">
            <v/>
          </cell>
          <cell r="K723" t="str">
            <v/>
          </cell>
          <cell r="L723"/>
          <cell r="M723"/>
          <cell r="N723"/>
          <cell r="O723"/>
          <cell r="P723"/>
          <cell r="Q723"/>
        </row>
        <row r="724">
          <cell r="H724" t="str">
            <v/>
          </cell>
          <cell r="I724" t="str">
            <v/>
          </cell>
          <cell r="J724" t="str">
            <v/>
          </cell>
          <cell r="K724" t="str">
            <v/>
          </cell>
          <cell r="L724"/>
          <cell r="M724"/>
          <cell r="N724"/>
          <cell r="O724"/>
          <cell r="P724"/>
          <cell r="Q724"/>
        </row>
        <row r="725">
          <cell r="H725" t="str">
            <v/>
          </cell>
          <cell r="I725" t="str">
            <v/>
          </cell>
          <cell r="J725" t="str">
            <v/>
          </cell>
          <cell r="K725" t="str">
            <v/>
          </cell>
          <cell r="L725"/>
          <cell r="M725"/>
          <cell r="N725"/>
          <cell r="O725"/>
          <cell r="P725"/>
          <cell r="Q725"/>
        </row>
        <row r="726">
          <cell r="H726" t="str">
            <v/>
          </cell>
          <cell r="I726" t="str">
            <v/>
          </cell>
          <cell r="J726" t="str">
            <v/>
          </cell>
          <cell r="K726" t="str">
            <v/>
          </cell>
          <cell r="L726"/>
          <cell r="M726"/>
          <cell r="N726"/>
          <cell r="O726"/>
          <cell r="P726"/>
          <cell r="Q726"/>
        </row>
        <row r="727">
          <cell r="H727" t="str">
            <v/>
          </cell>
          <cell r="I727" t="str">
            <v/>
          </cell>
          <cell r="J727" t="str">
            <v/>
          </cell>
          <cell r="K727" t="str">
            <v/>
          </cell>
          <cell r="L727"/>
          <cell r="M727"/>
          <cell r="N727"/>
          <cell r="O727"/>
          <cell r="P727"/>
          <cell r="Q727"/>
        </row>
        <row r="728">
          <cell r="H728" t="str">
            <v/>
          </cell>
          <cell r="I728" t="str">
            <v/>
          </cell>
          <cell r="J728" t="str">
            <v/>
          </cell>
          <cell r="K728" t="str">
            <v/>
          </cell>
          <cell r="L728"/>
          <cell r="M728"/>
          <cell r="N728"/>
          <cell r="O728"/>
          <cell r="P728"/>
          <cell r="Q728"/>
        </row>
        <row r="729">
          <cell r="H729" t="str">
            <v/>
          </cell>
          <cell r="I729" t="str">
            <v/>
          </cell>
          <cell r="J729" t="str">
            <v/>
          </cell>
          <cell r="K729" t="str">
            <v/>
          </cell>
          <cell r="L729"/>
          <cell r="M729"/>
          <cell r="N729"/>
          <cell r="O729"/>
          <cell r="P729"/>
          <cell r="Q729"/>
        </row>
        <row r="730">
          <cell r="H730" t="str">
            <v/>
          </cell>
          <cell r="I730" t="str">
            <v/>
          </cell>
          <cell r="J730" t="str">
            <v/>
          </cell>
          <cell r="K730" t="str">
            <v/>
          </cell>
          <cell r="L730"/>
          <cell r="M730"/>
          <cell r="N730"/>
          <cell r="O730"/>
          <cell r="P730"/>
          <cell r="Q730"/>
        </row>
        <row r="731">
          <cell r="H731" t="str">
            <v/>
          </cell>
          <cell r="I731" t="str">
            <v/>
          </cell>
          <cell r="J731" t="str">
            <v/>
          </cell>
          <cell r="K731" t="str">
            <v/>
          </cell>
          <cell r="L731"/>
          <cell r="M731"/>
          <cell r="N731"/>
          <cell r="O731"/>
          <cell r="P731"/>
          <cell r="Q731"/>
        </row>
        <row r="732">
          <cell r="H732" t="str">
            <v/>
          </cell>
          <cell r="I732" t="str">
            <v/>
          </cell>
          <cell r="J732" t="str">
            <v/>
          </cell>
          <cell r="K732" t="str">
            <v/>
          </cell>
          <cell r="L732"/>
          <cell r="M732"/>
          <cell r="N732"/>
          <cell r="O732"/>
          <cell r="P732"/>
          <cell r="Q732"/>
        </row>
        <row r="733">
          <cell r="H733" t="str">
            <v/>
          </cell>
          <cell r="I733" t="str">
            <v/>
          </cell>
          <cell r="J733" t="str">
            <v/>
          </cell>
          <cell r="K733" t="str">
            <v/>
          </cell>
          <cell r="L733"/>
          <cell r="M733"/>
          <cell r="N733"/>
          <cell r="O733"/>
          <cell r="P733"/>
          <cell r="Q733"/>
        </row>
        <row r="734">
          <cell r="H734" t="str">
            <v/>
          </cell>
          <cell r="I734" t="str">
            <v/>
          </cell>
          <cell r="J734" t="str">
            <v/>
          </cell>
          <cell r="K734" t="str">
            <v/>
          </cell>
          <cell r="L734"/>
          <cell r="M734"/>
          <cell r="N734"/>
          <cell r="O734"/>
          <cell r="P734"/>
          <cell r="Q734"/>
        </row>
        <row r="735">
          <cell r="H735" t="str">
            <v/>
          </cell>
          <cell r="I735" t="str">
            <v/>
          </cell>
          <cell r="J735" t="str">
            <v/>
          </cell>
          <cell r="K735" t="str">
            <v/>
          </cell>
          <cell r="L735"/>
          <cell r="M735"/>
          <cell r="N735"/>
          <cell r="O735"/>
          <cell r="P735"/>
          <cell r="Q735"/>
        </row>
        <row r="736">
          <cell r="H736" t="str">
            <v/>
          </cell>
          <cell r="I736" t="str">
            <v/>
          </cell>
          <cell r="J736" t="str">
            <v/>
          </cell>
          <cell r="K736" t="str">
            <v/>
          </cell>
          <cell r="L736"/>
          <cell r="M736"/>
          <cell r="N736"/>
          <cell r="O736"/>
          <cell r="P736"/>
          <cell r="Q736"/>
        </row>
        <row r="737">
          <cell r="H737" t="str">
            <v/>
          </cell>
          <cell r="I737" t="str">
            <v/>
          </cell>
          <cell r="J737" t="str">
            <v/>
          </cell>
          <cell r="K737" t="str">
            <v/>
          </cell>
          <cell r="L737"/>
          <cell r="M737"/>
          <cell r="N737"/>
          <cell r="O737"/>
          <cell r="P737"/>
          <cell r="Q737"/>
        </row>
        <row r="738">
          <cell r="H738" t="str">
            <v/>
          </cell>
          <cell r="I738" t="str">
            <v/>
          </cell>
          <cell r="J738" t="str">
            <v/>
          </cell>
          <cell r="K738" t="str">
            <v/>
          </cell>
          <cell r="L738"/>
          <cell r="M738"/>
          <cell r="N738"/>
          <cell r="O738"/>
          <cell r="P738"/>
          <cell r="Q738"/>
        </row>
        <row r="739">
          <cell r="H739" t="str">
            <v/>
          </cell>
          <cell r="I739" t="str">
            <v/>
          </cell>
          <cell r="J739" t="str">
            <v/>
          </cell>
          <cell r="K739" t="str">
            <v/>
          </cell>
          <cell r="L739"/>
          <cell r="M739"/>
          <cell r="N739"/>
          <cell r="O739"/>
          <cell r="P739"/>
          <cell r="Q739"/>
        </row>
        <row r="740">
          <cell r="H740" t="str">
            <v/>
          </cell>
          <cell r="I740" t="str">
            <v/>
          </cell>
          <cell r="J740" t="str">
            <v/>
          </cell>
          <cell r="K740" t="str">
            <v/>
          </cell>
          <cell r="L740"/>
          <cell r="M740"/>
          <cell r="N740"/>
          <cell r="O740"/>
          <cell r="P740"/>
          <cell r="Q740"/>
        </row>
        <row r="741">
          <cell r="H741" t="str">
            <v/>
          </cell>
          <cell r="I741" t="str">
            <v/>
          </cell>
          <cell r="J741" t="str">
            <v/>
          </cell>
          <cell r="K741" t="str">
            <v/>
          </cell>
          <cell r="L741"/>
          <cell r="M741"/>
          <cell r="N741"/>
          <cell r="O741"/>
          <cell r="P741"/>
          <cell r="Q741"/>
        </row>
        <row r="742">
          <cell r="H742" t="str">
            <v/>
          </cell>
          <cell r="I742" t="str">
            <v/>
          </cell>
          <cell r="J742" t="str">
            <v/>
          </cell>
          <cell r="K742" t="str">
            <v/>
          </cell>
          <cell r="L742"/>
          <cell r="M742"/>
          <cell r="N742"/>
          <cell r="O742"/>
          <cell r="P742"/>
          <cell r="Q742"/>
        </row>
        <row r="743">
          <cell r="H743" t="str">
            <v/>
          </cell>
          <cell r="I743" t="str">
            <v/>
          </cell>
          <cell r="J743" t="str">
            <v/>
          </cell>
          <cell r="K743" t="str">
            <v/>
          </cell>
          <cell r="L743"/>
          <cell r="M743"/>
          <cell r="N743"/>
          <cell r="O743"/>
          <cell r="P743"/>
          <cell r="Q743"/>
        </row>
        <row r="744">
          <cell r="H744" t="str">
            <v/>
          </cell>
          <cell r="I744" t="str">
            <v/>
          </cell>
          <cell r="J744" t="str">
            <v/>
          </cell>
          <cell r="K744" t="str">
            <v/>
          </cell>
          <cell r="L744"/>
          <cell r="M744"/>
          <cell r="N744"/>
          <cell r="O744"/>
          <cell r="P744"/>
          <cell r="Q744"/>
        </row>
        <row r="745">
          <cell r="H745" t="str">
            <v/>
          </cell>
          <cell r="I745" t="str">
            <v/>
          </cell>
          <cell r="J745" t="str">
            <v/>
          </cell>
          <cell r="K745" t="str">
            <v/>
          </cell>
          <cell r="L745"/>
          <cell r="M745"/>
          <cell r="N745"/>
          <cell r="O745"/>
          <cell r="P745"/>
          <cell r="Q745"/>
        </row>
        <row r="746">
          <cell r="H746" t="str">
            <v/>
          </cell>
          <cell r="I746" t="str">
            <v/>
          </cell>
          <cell r="J746" t="str">
            <v/>
          </cell>
          <cell r="K746" t="str">
            <v/>
          </cell>
          <cell r="L746"/>
          <cell r="M746"/>
          <cell r="N746"/>
          <cell r="O746"/>
          <cell r="P746"/>
          <cell r="Q746"/>
        </row>
        <row r="747">
          <cell r="H747" t="str">
            <v/>
          </cell>
          <cell r="I747" t="str">
            <v/>
          </cell>
          <cell r="J747" t="str">
            <v/>
          </cell>
          <cell r="K747" t="str">
            <v/>
          </cell>
          <cell r="L747"/>
          <cell r="M747"/>
          <cell r="N747"/>
          <cell r="O747"/>
          <cell r="P747"/>
          <cell r="Q747"/>
        </row>
        <row r="748">
          <cell r="H748" t="str">
            <v/>
          </cell>
          <cell r="I748" t="str">
            <v/>
          </cell>
          <cell r="J748" t="str">
            <v/>
          </cell>
          <cell r="K748" t="str">
            <v/>
          </cell>
          <cell r="L748"/>
          <cell r="M748"/>
          <cell r="N748"/>
          <cell r="O748"/>
          <cell r="P748"/>
          <cell r="Q748"/>
        </row>
        <row r="749">
          <cell r="H749" t="str">
            <v/>
          </cell>
          <cell r="I749" t="str">
            <v/>
          </cell>
          <cell r="J749" t="str">
            <v/>
          </cell>
          <cell r="K749" t="str">
            <v/>
          </cell>
          <cell r="L749"/>
          <cell r="M749"/>
          <cell r="N749"/>
          <cell r="O749"/>
          <cell r="P749"/>
          <cell r="Q749"/>
        </row>
        <row r="750">
          <cell r="H750" t="str">
            <v/>
          </cell>
          <cell r="I750" t="str">
            <v/>
          </cell>
          <cell r="J750" t="str">
            <v/>
          </cell>
          <cell r="K750" t="str">
            <v/>
          </cell>
          <cell r="L750"/>
          <cell r="M750"/>
          <cell r="N750"/>
          <cell r="O750"/>
          <cell r="P750"/>
          <cell r="Q750"/>
        </row>
        <row r="751">
          <cell r="H751" t="str">
            <v/>
          </cell>
          <cell r="I751" t="str">
            <v/>
          </cell>
          <cell r="J751" t="str">
            <v/>
          </cell>
          <cell r="K751" t="str">
            <v/>
          </cell>
          <cell r="L751"/>
          <cell r="M751"/>
          <cell r="N751"/>
          <cell r="O751"/>
          <cell r="P751"/>
          <cell r="Q751"/>
        </row>
        <row r="752">
          <cell r="H752" t="str">
            <v/>
          </cell>
          <cell r="I752" t="str">
            <v/>
          </cell>
          <cell r="J752" t="str">
            <v/>
          </cell>
          <cell r="K752" t="str">
            <v/>
          </cell>
          <cell r="L752"/>
          <cell r="M752"/>
          <cell r="N752"/>
          <cell r="O752"/>
          <cell r="P752"/>
          <cell r="Q752"/>
        </row>
        <row r="753">
          <cell r="H753" t="str">
            <v/>
          </cell>
          <cell r="I753" t="str">
            <v/>
          </cell>
          <cell r="J753" t="str">
            <v/>
          </cell>
          <cell r="K753" t="str">
            <v/>
          </cell>
          <cell r="L753"/>
          <cell r="M753"/>
          <cell r="N753"/>
          <cell r="O753"/>
          <cell r="P753"/>
          <cell r="Q753"/>
        </row>
        <row r="754">
          <cell r="H754" t="str">
            <v/>
          </cell>
          <cell r="I754" t="str">
            <v/>
          </cell>
          <cell r="J754" t="str">
            <v/>
          </cell>
          <cell r="K754" t="str">
            <v/>
          </cell>
          <cell r="L754"/>
          <cell r="M754"/>
          <cell r="N754"/>
          <cell r="O754"/>
          <cell r="P754"/>
          <cell r="Q754"/>
        </row>
        <row r="755">
          <cell r="H755" t="str">
            <v/>
          </cell>
          <cell r="I755" t="str">
            <v/>
          </cell>
          <cell r="J755" t="str">
            <v/>
          </cell>
          <cell r="K755" t="str">
            <v/>
          </cell>
          <cell r="L755"/>
          <cell r="M755"/>
          <cell r="N755"/>
          <cell r="O755"/>
          <cell r="P755"/>
          <cell r="Q755"/>
        </row>
        <row r="756">
          <cell r="H756" t="str">
            <v/>
          </cell>
          <cell r="I756" t="str">
            <v/>
          </cell>
          <cell r="J756" t="str">
            <v/>
          </cell>
          <cell r="K756" t="str">
            <v/>
          </cell>
          <cell r="L756"/>
          <cell r="M756"/>
          <cell r="N756"/>
          <cell r="O756"/>
          <cell r="P756"/>
          <cell r="Q756"/>
        </row>
        <row r="757">
          <cell r="H757" t="str">
            <v/>
          </cell>
          <cell r="I757" t="str">
            <v/>
          </cell>
          <cell r="J757" t="str">
            <v/>
          </cell>
          <cell r="K757" t="str">
            <v/>
          </cell>
          <cell r="L757"/>
          <cell r="M757"/>
          <cell r="N757"/>
          <cell r="O757"/>
          <cell r="P757"/>
          <cell r="Q757"/>
        </row>
        <row r="758">
          <cell r="H758" t="str">
            <v/>
          </cell>
          <cell r="I758" t="str">
            <v/>
          </cell>
          <cell r="J758" t="str">
            <v/>
          </cell>
          <cell r="K758" t="str">
            <v/>
          </cell>
          <cell r="L758"/>
          <cell r="M758"/>
          <cell r="N758"/>
          <cell r="O758"/>
          <cell r="P758"/>
          <cell r="Q758"/>
        </row>
        <row r="759">
          <cell r="H759" t="str">
            <v/>
          </cell>
          <cell r="I759" t="str">
            <v/>
          </cell>
          <cell r="J759" t="str">
            <v/>
          </cell>
          <cell r="K759" t="str">
            <v/>
          </cell>
          <cell r="L759"/>
          <cell r="M759"/>
          <cell r="N759"/>
          <cell r="O759"/>
          <cell r="P759"/>
          <cell r="Q759"/>
        </row>
        <row r="760">
          <cell r="H760" t="str">
            <v/>
          </cell>
          <cell r="I760" t="str">
            <v/>
          </cell>
          <cell r="J760" t="str">
            <v/>
          </cell>
          <cell r="K760" t="str">
            <v/>
          </cell>
          <cell r="L760"/>
          <cell r="M760"/>
          <cell r="N760"/>
          <cell r="O760"/>
          <cell r="P760"/>
          <cell r="Q760"/>
        </row>
        <row r="761">
          <cell r="H761" t="str">
            <v/>
          </cell>
          <cell r="I761" t="str">
            <v/>
          </cell>
          <cell r="J761" t="str">
            <v/>
          </cell>
          <cell r="K761" t="str">
            <v/>
          </cell>
          <cell r="L761"/>
          <cell r="M761"/>
          <cell r="N761"/>
          <cell r="O761"/>
          <cell r="P761"/>
          <cell r="Q761"/>
        </row>
        <row r="762">
          <cell r="H762" t="str">
            <v/>
          </cell>
          <cell r="I762" t="str">
            <v/>
          </cell>
          <cell r="J762" t="str">
            <v/>
          </cell>
          <cell r="K762" t="str">
            <v/>
          </cell>
          <cell r="L762"/>
          <cell r="M762"/>
          <cell r="N762"/>
          <cell r="O762"/>
          <cell r="P762"/>
          <cell r="Q762"/>
        </row>
        <row r="763">
          <cell r="H763" t="str">
            <v/>
          </cell>
          <cell r="I763" t="str">
            <v/>
          </cell>
          <cell r="J763" t="str">
            <v/>
          </cell>
          <cell r="K763" t="str">
            <v/>
          </cell>
          <cell r="L763"/>
          <cell r="M763"/>
          <cell r="N763"/>
          <cell r="O763"/>
          <cell r="P763"/>
          <cell r="Q763"/>
        </row>
        <row r="764">
          <cell r="H764" t="str">
            <v/>
          </cell>
          <cell r="I764" t="str">
            <v/>
          </cell>
          <cell r="J764" t="str">
            <v/>
          </cell>
          <cell r="K764" t="str">
            <v/>
          </cell>
          <cell r="L764"/>
          <cell r="M764"/>
          <cell r="N764"/>
          <cell r="O764"/>
          <cell r="P764"/>
          <cell r="Q764"/>
        </row>
        <row r="765">
          <cell r="H765" t="str">
            <v/>
          </cell>
          <cell r="I765" t="str">
            <v/>
          </cell>
          <cell r="J765" t="str">
            <v/>
          </cell>
          <cell r="K765" t="str">
            <v/>
          </cell>
          <cell r="L765"/>
          <cell r="M765"/>
          <cell r="N765"/>
          <cell r="O765"/>
          <cell r="P765"/>
          <cell r="Q765"/>
        </row>
        <row r="766">
          <cell r="H766" t="str">
            <v/>
          </cell>
          <cell r="I766" t="str">
            <v/>
          </cell>
          <cell r="J766" t="str">
            <v/>
          </cell>
          <cell r="K766" t="str">
            <v/>
          </cell>
          <cell r="L766"/>
          <cell r="M766"/>
          <cell r="N766"/>
          <cell r="O766"/>
          <cell r="P766"/>
          <cell r="Q766"/>
        </row>
        <row r="767">
          <cell r="H767" t="str">
            <v/>
          </cell>
          <cell r="I767" t="str">
            <v/>
          </cell>
          <cell r="J767" t="str">
            <v/>
          </cell>
          <cell r="K767" t="str">
            <v/>
          </cell>
          <cell r="L767"/>
          <cell r="M767"/>
          <cell r="N767"/>
          <cell r="O767"/>
          <cell r="P767"/>
          <cell r="Q767"/>
        </row>
        <row r="768">
          <cell r="H768" t="str">
            <v/>
          </cell>
          <cell r="I768" t="str">
            <v/>
          </cell>
          <cell r="J768" t="str">
            <v/>
          </cell>
          <cell r="K768" t="str">
            <v/>
          </cell>
          <cell r="L768"/>
          <cell r="M768"/>
          <cell r="N768"/>
          <cell r="O768"/>
          <cell r="P768"/>
          <cell r="Q768"/>
        </row>
        <row r="769">
          <cell r="H769" t="str">
            <v/>
          </cell>
          <cell r="I769" t="str">
            <v/>
          </cell>
          <cell r="J769" t="str">
            <v/>
          </cell>
          <cell r="K769" t="str">
            <v/>
          </cell>
          <cell r="L769"/>
          <cell r="M769"/>
          <cell r="N769"/>
          <cell r="O769"/>
          <cell r="P769"/>
          <cell r="Q769"/>
        </row>
        <row r="770">
          <cell r="H770" t="str">
            <v/>
          </cell>
          <cell r="I770" t="str">
            <v/>
          </cell>
          <cell r="J770" t="str">
            <v/>
          </cell>
          <cell r="K770" t="str">
            <v/>
          </cell>
          <cell r="L770"/>
          <cell r="M770"/>
          <cell r="N770"/>
          <cell r="O770"/>
          <cell r="P770"/>
          <cell r="Q770"/>
        </row>
        <row r="771">
          <cell r="H771" t="str">
            <v/>
          </cell>
          <cell r="I771" t="str">
            <v/>
          </cell>
          <cell r="J771" t="str">
            <v/>
          </cell>
          <cell r="K771" t="str">
            <v/>
          </cell>
          <cell r="L771"/>
          <cell r="M771"/>
          <cell r="N771"/>
          <cell r="O771"/>
          <cell r="P771"/>
          <cell r="Q771"/>
        </row>
        <row r="772">
          <cell r="H772" t="str">
            <v/>
          </cell>
          <cell r="I772" t="str">
            <v/>
          </cell>
          <cell r="J772" t="str">
            <v/>
          </cell>
          <cell r="K772" t="str">
            <v/>
          </cell>
          <cell r="L772"/>
          <cell r="M772"/>
          <cell r="N772"/>
          <cell r="O772"/>
          <cell r="P772"/>
          <cell r="Q772"/>
        </row>
        <row r="773">
          <cell r="H773" t="str">
            <v/>
          </cell>
          <cell r="I773" t="str">
            <v/>
          </cell>
          <cell r="J773" t="str">
            <v/>
          </cell>
          <cell r="K773" t="str">
            <v/>
          </cell>
          <cell r="L773"/>
          <cell r="M773"/>
          <cell r="N773"/>
          <cell r="O773"/>
          <cell r="P773"/>
          <cell r="Q773"/>
        </row>
        <row r="774">
          <cell r="H774" t="str">
            <v/>
          </cell>
          <cell r="I774" t="str">
            <v/>
          </cell>
          <cell r="J774" t="str">
            <v/>
          </cell>
          <cell r="K774" t="str">
            <v/>
          </cell>
          <cell r="L774"/>
          <cell r="M774"/>
          <cell r="N774"/>
          <cell r="O774"/>
          <cell r="P774"/>
          <cell r="Q774"/>
        </row>
        <row r="775">
          <cell r="H775" t="str">
            <v/>
          </cell>
          <cell r="I775" t="str">
            <v/>
          </cell>
          <cell r="J775" t="str">
            <v/>
          </cell>
          <cell r="K775" t="str">
            <v/>
          </cell>
          <cell r="L775"/>
          <cell r="M775"/>
          <cell r="N775"/>
          <cell r="O775"/>
          <cell r="P775"/>
          <cell r="Q775"/>
        </row>
        <row r="776">
          <cell r="H776" t="str">
            <v/>
          </cell>
          <cell r="I776" t="str">
            <v/>
          </cell>
          <cell r="J776" t="str">
            <v/>
          </cell>
          <cell r="K776" t="str">
            <v/>
          </cell>
          <cell r="L776"/>
          <cell r="M776"/>
          <cell r="N776"/>
          <cell r="O776"/>
          <cell r="P776"/>
          <cell r="Q776"/>
        </row>
        <row r="777">
          <cell r="H777" t="str">
            <v/>
          </cell>
          <cell r="I777" t="str">
            <v/>
          </cell>
          <cell r="J777" t="str">
            <v/>
          </cell>
          <cell r="K777" t="str">
            <v/>
          </cell>
          <cell r="L777"/>
          <cell r="M777"/>
          <cell r="N777"/>
          <cell r="O777"/>
          <cell r="P777"/>
          <cell r="Q777"/>
        </row>
        <row r="778">
          <cell r="H778" t="str">
            <v/>
          </cell>
          <cell r="I778" t="str">
            <v/>
          </cell>
          <cell r="J778" t="str">
            <v/>
          </cell>
          <cell r="K778" t="str">
            <v/>
          </cell>
          <cell r="L778"/>
          <cell r="M778"/>
          <cell r="N778"/>
          <cell r="O778"/>
          <cell r="P778"/>
          <cell r="Q778"/>
        </row>
        <row r="779">
          <cell r="H779" t="str">
            <v/>
          </cell>
          <cell r="I779" t="str">
            <v/>
          </cell>
          <cell r="J779" t="str">
            <v/>
          </cell>
          <cell r="K779" t="str">
            <v/>
          </cell>
          <cell r="L779"/>
          <cell r="M779"/>
          <cell r="N779"/>
          <cell r="O779"/>
          <cell r="P779"/>
          <cell r="Q779"/>
        </row>
        <row r="780">
          <cell r="H780" t="str">
            <v/>
          </cell>
          <cell r="I780" t="str">
            <v/>
          </cell>
          <cell r="J780" t="str">
            <v/>
          </cell>
          <cell r="K780" t="str">
            <v/>
          </cell>
          <cell r="L780"/>
          <cell r="M780"/>
          <cell r="N780"/>
          <cell r="O780"/>
          <cell r="P780"/>
          <cell r="Q780"/>
        </row>
        <row r="781">
          <cell r="H781" t="str">
            <v/>
          </cell>
          <cell r="I781" t="str">
            <v/>
          </cell>
          <cell r="J781" t="str">
            <v/>
          </cell>
          <cell r="K781" t="str">
            <v/>
          </cell>
          <cell r="L781"/>
          <cell r="M781"/>
          <cell r="N781"/>
          <cell r="O781"/>
          <cell r="P781"/>
          <cell r="Q781"/>
        </row>
        <row r="782">
          <cell r="H782" t="str">
            <v/>
          </cell>
          <cell r="I782" t="str">
            <v/>
          </cell>
          <cell r="J782" t="str">
            <v/>
          </cell>
          <cell r="K782" t="str">
            <v/>
          </cell>
          <cell r="L782"/>
          <cell r="M782"/>
          <cell r="N782"/>
          <cell r="O782"/>
          <cell r="P782"/>
          <cell r="Q782"/>
        </row>
        <row r="783">
          <cell r="H783" t="str">
            <v/>
          </cell>
          <cell r="I783" t="str">
            <v/>
          </cell>
          <cell r="J783" t="str">
            <v/>
          </cell>
          <cell r="K783" t="str">
            <v/>
          </cell>
          <cell r="L783"/>
          <cell r="M783"/>
          <cell r="N783"/>
          <cell r="O783"/>
          <cell r="P783"/>
          <cell r="Q783"/>
        </row>
        <row r="784">
          <cell r="H784" t="str">
            <v/>
          </cell>
          <cell r="I784" t="str">
            <v/>
          </cell>
          <cell r="J784" t="str">
            <v/>
          </cell>
          <cell r="K784" t="str">
            <v/>
          </cell>
          <cell r="L784"/>
          <cell r="M784"/>
          <cell r="N784"/>
          <cell r="O784"/>
          <cell r="P784"/>
          <cell r="Q784"/>
        </row>
        <row r="785">
          <cell r="H785" t="str">
            <v/>
          </cell>
          <cell r="I785" t="str">
            <v/>
          </cell>
          <cell r="J785" t="str">
            <v/>
          </cell>
          <cell r="K785" t="str">
            <v/>
          </cell>
          <cell r="L785"/>
          <cell r="M785"/>
          <cell r="N785"/>
          <cell r="O785"/>
          <cell r="P785"/>
          <cell r="Q785"/>
        </row>
        <row r="786">
          <cell r="H786" t="str">
            <v/>
          </cell>
          <cell r="I786" t="str">
            <v/>
          </cell>
          <cell r="J786" t="str">
            <v/>
          </cell>
          <cell r="K786" t="str">
            <v/>
          </cell>
          <cell r="L786"/>
          <cell r="M786"/>
          <cell r="N786"/>
          <cell r="O786"/>
          <cell r="P786"/>
          <cell r="Q786"/>
        </row>
        <row r="787">
          <cell r="H787" t="str">
            <v/>
          </cell>
          <cell r="I787" t="str">
            <v/>
          </cell>
          <cell r="J787" t="str">
            <v/>
          </cell>
          <cell r="K787" t="str">
            <v/>
          </cell>
          <cell r="L787"/>
          <cell r="M787"/>
          <cell r="N787"/>
          <cell r="O787"/>
          <cell r="P787"/>
          <cell r="Q787"/>
        </row>
        <row r="788">
          <cell r="H788" t="str">
            <v/>
          </cell>
          <cell r="I788" t="str">
            <v/>
          </cell>
          <cell r="J788" t="str">
            <v/>
          </cell>
          <cell r="K788" t="str">
            <v/>
          </cell>
          <cell r="L788"/>
          <cell r="M788"/>
          <cell r="N788"/>
          <cell r="O788"/>
          <cell r="P788"/>
          <cell r="Q788"/>
        </row>
        <row r="789">
          <cell r="H789" t="str">
            <v/>
          </cell>
          <cell r="I789" t="str">
            <v/>
          </cell>
          <cell r="J789" t="str">
            <v/>
          </cell>
          <cell r="K789" t="str">
            <v/>
          </cell>
          <cell r="L789"/>
          <cell r="M789"/>
          <cell r="N789"/>
          <cell r="O789"/>
          <cell r="P789"/>
          <cell r="Q789"/>
        </row>
        <row r="790">
          <cell r="H790" t="str">
            <v/>
          </cell>
          <cell r="I790" t="str">
            <v/>
          </cell>
          <cell r="J790" t="str">
            <v/>
          </cell>
          <cell r="K790" t="str">
            <v/>
          </cell>
          <cell r="L790"/>
          <cell r="M790"/>
          <cell r="N790"/>
          <cell r="O790"/>
          <cell r="P790"/>
          <cell r="Q790"/>
        </row>
        <row r="791">
          <cell r="H791" t="str">
            <v/>
          </cell>
          <cell r="I791" t="str">
            <v/>
          </cell>
          <cell r="J791" t="str">
            <v/>
          </cell>
          <cell r="K791" t="str">
            <v/>
          </cell>
          <cell r="L791"/>
          <cell r="M791"/>
          <cell r="N791"/>
          <cell r="O791"/>
          <cell r="P791"/>
          <cell r="Q791"/>
        </row>
        <row r="792">
          <cell r="H792" t="str">
            <v/>
          </cell>
          <cell r="I792" t="str">
            <v/>
          </cell>
          <cell r="J792" t="str">
            <v/>
          </cell>
          <cell r="K792" t="str">
            <v/>
          </cell>
          <cell r="L792"/>
          <cell r="M792"/>
          <cell r="N792"/>
          <cell r="O792"/>
          <cell r="P792"/>
          <cell r="Q792"/>
        </row>
        <row r="793">
          <cell r="H793" t="str">
            <v/>
          </cell>
          <cell r="I793" t="str">
            <v/>
          </cell>
          <cell r="J793" t="str">
            <v/>
          </cell>
          <cell r="K793" t="str">
            <v/>
          </cell>
          <cell r="L793"/>
          <cell r="M793"/>
          <cell r="N793"/>
          <cell r="O793"/>
          <cell r="P793"/>
          <cell r="Q793"/>
        </row>
        <row r="794">
          <cell r="H794" t="str">
            <v/>
          </cell>
          <cell r="I794" t="str">
            <v/>
          </cell>
          <cell r="J794" t="str">
            <v/>
          </cell>
          <cell r="K794" t="str">
            <v/>
          </cell>
          <cell r="L794"/>
          <cell r="M794"/>
          <cell r="N794"/>
          <cell r="O794"/>
          <cell r="P794"/>
          <cell r="Q794"/>
        </row>
        <row r="795">
          <cell r="H795" t="str">
            <v/>
          </cell>
          <cell r="I795" t="str">
            <v/>
          </cell>
          <cell r="J795" t="str">
            <v/>
          </cell>
          <cell r="K795" t="str">
            <v/>
          </cell>
          <cell r="L795"/>
          <cell r="M795"/>
          <cell r="N795"/>
          <cell r="O795"/>
          <cell r="P795"/>
          <cell r="Q795"/>
        </row>
        <row r="796">
          <cell r="H796" t="str">
            <v/>
          </cell>
          <cell r="I796" t="str">
            <v/>
          </cell>
          <cell r="J796" t="str">
            <v/>
          </cell>
          <cell r="K796" t="str">
            <v/>
          </cell>
          <cell r="L796"/>
          <cell r="M796"/>
          <cell r="N796"/>
          <cell r="O796"/>
          <cell r="P796"/>
          <cell r="Q796"/>
        </row>
        <row r="797">
          <cell r="H797" t="str">
            <v/>
          </cell>
          <cell r="I797" t="str">
            <v/>
          </cell>
          <cell r="J797" t="str">
            <v/>
          </cell>
          <cell r="K797" t="str">
            <v/>
          </cell>
          <cell r="L797"/>
          <cell r="M797"/>
          <cell r="N797"/>
          <cell r="O797"/>
          <cell r="P797"/>
          <cell r="Q797"/>
        </row>
        <row r="798">
          <cell r="H798" t="str">
            <v/>
          </cell>
          <cell r="I798" t="str">
            <v/>
          </cell>
          <cell r="J798" t="str">
            <v/>
          </cell>
          <cell r="K798" t="str">
            <v/>
          </cell>
          <cell r="L798"/>
          <cell r="M798"/>
          <cell r="N798"/>
          <cell r="O798"/>
          <cell r="P798"/>
          <cell r="Q798"/>
        </row>
        <row r="799">
          <cell r="H799" t="str">
            <v/>
          </cell>
          <cell r="I799" t="str">
            <v/>
          </cell>
          <cell r="J799" t="str">
            <v/>
          </cell>
          <cell r="K799" t="str">
            <v/>
          </cell>
          <cell r="L799"/>
          <cell r="M799"/>
          <cell r="N799"/>
          <cell r="O799"/>
          <cell r="P799"/>
          <cell r="Q799"/>
        </row>
        <row r="800">
          <cell r="H800" t="str">
            <v/>
          </cell>
          <cell r="I800" t="str">
            <v/>
          </cell>
          <cell r="J800" t="str">
            <v/>
          </cell>
          <cell r="K800" t="str">
            <v/>
          </cell>
          <cell r="L800"/>
          <cell r="M800"/>
          <cell r="N800"/>
          <cell r="O800"/>
          <cell r="P800"/>
          <cell r="Q800"/>
        </row>
        <row r="801">
          <cell r="H801" t="str">
            <v/>
          </cell>
          <cell r="I801" t="str">
            <v/>
          </cell>
          <cell r="J801" t="str">
            <v/>
          </cell>
          <cell r="K801" t="str">
            <v/>
          </cell>
          <cell r="L801"/>
          <cell r="M801"/>
          <cell r="N801"/>
          <cell r="O801"/>
          <cell r="P801"/>
          <cell r="Q801"/>
        </row>
        <row r="802">
          <cell r="H802" t="str">
            <v/>
          </cell>
          <cell r="I802" t="str">
            <v/>
          </cell>
          <cell r="J802" t="str">
            <v/>
          </cell>
          <cell r="K802" t="str">
            <v/>
          </cell>
          <cell r="L802"/>
          <cell r="M802"/>
          <cell r="N802"/>
          <cell r="O802"/>
          <cell r="P802"/>
          <cell r="Q802"/>
        </row>
        <row r="803">
          <cell r="H803" t="str">
            <v/>
          </cell>
          <cell r="I803" t="str">
            <v/>
          </cell>
          <cell r="J803" t="str">
            <v/>
          </cell>
          <cell r="K803" t="str">
            <v/>
          </cell>
          <cell r="L803"/>
          <cell r="M803"/>
          <cell r="N803"/>
          <cell r="O803"/>
          <cell r="P803"/>
          <cell r="Q803"/>
        </row>
        <row r="804">
          <cell r="H804" t="str">
            <v/>
          </cell>
          <cell r="I804" t="str">
            <v/>
          </cell>
          <cell r="J804" t="str">
            <v/>
          </cell>
          <cell r="K804" t="str">
            <v/>
          </cell>
          <cell r="L804"/>
          <cell r="M804"/>
          <cell r="N804"/>
          <cell r="O804"/>
          <cell r="P804"/>
          <cell r="Q804"/>
        </row>
        <row r="805">
          <cell r="H805" t="str">
            <v/>
          </cell>
          <cell r="I805" t="str">
            <v/>
          </cell>
          <cell r="J805" t="str">
            <v/>
          </cell>
          <cell r="K805" t="str">
            <v/>
          </cell>
          <cell r="L805"/>
          <cell r="M805"/>
          <cell r="N805"/>
          <cell r="O805"/>
          <cell r="P805"/>
          <cell r="Q805"/>
        </row>
        <row r="806">
          <cell r="H806" t="str">
            <v/>
          </cell>
          <cell r="I806" t="str">
            <v/>
          </cell>
          <cell r="J806" t="str">
            <v/>
          </cell>
          <cell r="K806" t="str">
            <v/>
          </cell>
          <cell r="L806"/>
          <cell r="M806"/>
          <cell r="N806"/>
          <cell r="O806"/>
          <cell r="P806"/>
          <cell r="Q806"/>
        </row>
        <row r="807">
          <cell r="H807" t="str">
            <v/>
          </cell>
          <cell r="I807" t="str">
            <v/>
          </cell>
          <cell r="J807" t="str">
            <v/>
          </cell>
          <cell r="K807" t="str">
            <v/>
          </cell>
          <cell r="L807"/>
          <cell r="M807"/>
          <cell r="N807"/>
          <cell r="O807"/>
          <cell r="P807"/>
          <cell r="Q807"/>
        </row>
        <row r="808">
          <cell r="H808" t="str">
            <v/>
          </cell>
          <cell r="I808" t="str">
            <v/>
          </cell>
          <cell r="J808" t="str">
            <v/>
          </cell>
          <cell r="K808" t="str">
            <v/>
          </cell>
          <cell r="L808"/>
          <cell r="M808"/>
          <cell r="N808"/>
          <cell r="O808"/>
          <cell r="P808"/>
          <cell r="Q808"/>
        </row>
        <row r="809">
          <cell r="H809" t="str">
            <v/>
          </cell>
          <cell r="I809" t="str">
            <v/>
          </cell>
          <cell r="J809" t="str">
            <v/>
          </cell>
          <cell r="K809" t="str">
            <v/>
          </cell>
          <cell r="L809"/>
          <cell r="M809"/>
          <cell r="N809"/>
          <cell r="O809"/>
          <cell r="P809"/>
          <cell r="Q809"/>
        </row>
        <row r="810">
          <cell r="H810" t="str">
            <v/>
          </cell>
          <cell r="I810" t="str">
            <v/>
          </cell>
          <cell r="J810" t="str">
            <v/>
          </cell>
          <cell r="K810" t="str">
            <v/>
          </cell>
          <cell r="L810"/>
          <cell r="M810"/>
          <cell r="N810"/>
          <cell r="O810"/>
          <cell r="P810"/>
          <cell r="Q810"/>
        </row>
        <row r="811">
          <cell r="H811" t="str">
            <v/>
          </cell>
          <cell r="I811" t="str">
            <v/>
          </cell>
          <cell r="J811" t="str">
            <v/>
          </cell>
          <cell r="K811" t="str">
            <v/>
          </cell>
          <cell r="L811"/>
          <cell r="M811"/>
          <cell r="N811"/>
          <cell r="O811"/>
          <cell r="P811"/>
          <cell r="Q811"/>
        </row>
        <row r="812">
          <cell r="H812" t="str">
            <v/>
          </cell>
          <cell r="I812" t="str">
            <v/>
          </cell>
          <cell r="J812" t="str">
            <v/>
          </cell>
          <cell r="K812" t="str">
            <v/>
          </cell>
          <cell r="L812"/>
          <cell r="M812"/>
          <cell r="N812"/>
          <cell r="O812"/>
          <cell r="P812"/>
          <cell r="Q812"/>
        </row>
        <row r="813">
          <cell r="H813" t="str">
            <v/>
          </cell>
          <cell r="I813" t="str">
            <v/>
          </cell>
          <cell r="J813" t="str">
            <v/>
          </cell>
          <cell r="K813" t="str">
            <v/>
          </cell>
          <cell r="L813"/>
          <cell r="M813"/>
          <cell r="N813"/>
          <cell r="O813"/>
          <cell r="P813"/>
          <cell r="Q813"/>
        </row>
        <row r="814">
          <cell r="H814" t="str">
            <v/>
          </cell>
          <cell r="I814" t="str">
            <v/>
          </cell>
          <cell r="J814" t="str">
            <v/>
          </cell>
          <cell r="K814" t="str">
            <v/>
          </cell>
          <cell r="L814"/>
          <cell r="M814"/>
          <cell r="N814"/>
          <cell r="O814"/>
          <cell r="P814"/>
          <cell r="Q814"/>
        </row>
        <row r="815">
          <cell r="H815" t="str">
            <v/>
          </cell>
          <cell r="I815" t="str">
            <v/>
          </cell>
          <cell r="J815" t="str">
            <v/>
          </cell>
          <cell r="K815" t="str">
            <v/>
          </cell>
          <cell r="L815"/>
          <cell r="M815"/>
          <cell r="N815"/>
          <cell r="O815"/>
          <cell r="P815"/>
          <cell r="Q815"/>
        </row>
        <row r="816">
          <cell r="H816" t="str">
            <v/>
          </cell>
          <cell r="I816" t="str">
            <v/>
          </cell>
          <cell r="J816" t="str">
            <v/>
          </cell>
          <cell r="K816" t="str">
            <v/>
          </cell>
          <cell r="L816"/>
          <cell r="M816"/>
          <cell r="N816"/>
          <cell r="O816"/>
          <cell r="P816"/>
          <cell r="Q816"/>
        </row>
        <row r="817">
          <cell r="H817" t="str">
            <v/>
          </cell>
          <cell r="I817" t="str">
            <v/>
          </cell>
          <cell r="J817" t="str">
            <v/>
          </cell>
          <cell r="K817" t="str">
            <v/>
          </cell>
          <cell r="L817"/>
          <cell r="M817"/>
          <cell r="N817"/>
          <cell r="O817"/>
          <cell r="P817"/>
          <cell r="Q817"/>
        </row>
        <row r="818">
          <cell r="H818" t="str">
            <v/>
          </cell>
          <cell r="I818" t="str">
            <v/>
          </cell>
          <cell r="J818" t="str">
            <v/>
          </cell>
          <cell r="K818" t="str">
            <v/>
          </cell>
          <cell r="L818"/>
          <cell r="M818"/>
          <cell r="N818"/>
          <cell r="O818"/>
          <cell r="P818"/>
          <cell r="Q818"/>
        </row>
        <row r="819">
          <cell r="H819" t="str">
            <v/>
          </cell>
          <cell r="I819" t="str">
            <v/>
          </cell>
          <cell r="J819" t="str">
            <v/>
          </cell>
          <cell r="K819" t="str">
            <v/>
          </cell>
          <cell r="L819"/>
          <cell r="M819"/>
          <cell r="N819"/>
          <cell r="O819"/>
          <cell r="P819"/>
          <cell r="Q819"/>
        </row>
        <row r="820">
          <cell r="H820" t="str">
            <v/>
          </cell>
          <cell r="I820" t="str">
            <v/>
          </cell>
          <cell r="J820" t="str">
            <v/>
          </cell>
          <cell r="K820" t="str">
            <v/>
          </cell>
          <cell r="L820"/>
          <cell r="M820"/>
          <cell r="N820"/>
          <cell r="O820"/>
          <cell r="P820"/>
          <cell r="Q820"/>
        </row>
        <row r="821">
          <cell r="H821" t="str">
            <v/>
          </cell>
          <cell r="I821" t="str">
            <v/>
          </cell>
          <cell r="J821" t="str">
            <v/>
          </cell>
          <cell r="K821" t="str">
            <v/>
          </cell>
          <cell r="L821"/>
          <cell r="M821"/>
          <cell r="N821"/>
          <cell r="O821"/>
          <cell r="P821"/>
          <cell r="Q821"/>
        </row>
        <row r="822">
          <cell r="H822" t="str">
            <v/>
          </cell>
          <cell r="I822" t="str">
            <v/>
          </cell>
          <cell r="J822" t="str">
            <v/>
          </cell>
          <cell r="K822" t="str">
            <v/>
          </cell>
          <cell r="L822"/>
          <cell r="M822"/>
          <cell r="N822"/>
          <cell r="O822"/>
          <cell r="P822"/>
          <cell r="Q822"/>
        </row>
        <row r="823">
          <cell r="H823" t="str">
            <v/>
          </cell>
          <cell r="I823" t="str">
            <v/>
          </cell>
          <cell r="J823" t="str">
            <v/>
          </cell>
          <cell r="K823" t="str">
            <v/>
          </cell>
          <cell r="L823"/>
          <cell r="M823"/>
          <cell r="N823"/>
          <cell r="O823"/>
          <cell r="P823"/>
          <cell r="Q823"/>
        </row>
        <row r="824">
          <cell r="H824" t="str">
            <v/>
          </cell>
          <cell r="I824" t="str">
            <v/>
          </cell>
          <cell r="J824" t="str">
            <v/>
          </cell>
          <cell r="K824" t="str">
            <v/>
          </cell>
          <cell r="L824"/>
          <cell r="M824"/>
          <cell r="N824"/>
          <cell r="O824"/>
          <cell r="P824"/>
          <cell r="Q824"/>
        </row>
        <row r="825">
          <cell r="H825" t="str">
            <v/>
          </cell>
          <cell r="I825" t="str">
            <v/>
          </cell>
          <cell r="J825" t="str">
            <v/>
          </cell>
          <cell r="K825" t="str">
            <v/>
          </cell>
          <cell r="L825"/>
          <cell r="M825"/>
          <cell r="N825"/>
          <cell r="O825"/>
          <cell r="P825"/>
          <cell r="Q825"/>
        </row>
        <row r="826">
          <cell r="H826" t="str">
            <v/>
          </cell>
          <cell r="I826" t="str">
            <v/>
          </cell>
          <cell r="J826" t="str">
            <v/>
          </cell>
          <cell r="K826" t="str">
            <v/>
          </cell>
          <cell r="L826"/>
          <cell r="M826"/>
          <cell r="N826"/>
          <cell r="O826"/>
          <cell r="P826"/>
          <cell r="Q826"/>
        </row>
        <row r="827">
          <cell r="H827" t="str">
            <v/>
          </cell>
          <cell r="I827" t="str">
            <v/>
          </cell>
          <cell r="J827" t="str">
            <v/>
          </cell>
          <cell r="K827" t="str">
            <v/>
          </cell>
          <cell r="L827"/>
          <cell r="M827"/>
          <cell r="N827"/>
          <cell r="O827"/>
          <cell r="P827"/>
          <cell r="Q827"/>
        </row>
        <row r="828">
          <cell r="H828" t="str">
            <v/>
          </cell>
          <cell r="I828" t="str">
            <v/>
          </cell>
          <cell r="J828" t="str">
            <v/>
          </cell>
          <cell r="K828" t="str">
            <v/>
          </cell>
          <cell r="L828"/>
          <cell r="M828"/>
          <cell r="N828"/>
          <cell r="O828"/>
          <cell r="P828"/>
          <cell r="Q828"/>
        </row>
        <row r="829">
          <cell r="H829" t="str">
            <v/>
          </cell>
          <cell r="I829" t="str">
            <v/>
          </cell>
          <cell r="J829" t="str">
            <v/>
          </cell>
          <cell r="K829" t="str">
            <v/>
          </cell>
          <cell r="L829"/>
          <cell r="M829"/>
          <cell r="N829"/>
          <cell r="O829"/>
          <cell r="P829"/>
          <cell r="Q829"/>
        </row>
        <row r="830">
          <cell r="H830" t="str">
            <v/>
          </cell>
          <cell r="I830" t="str">
            <v/>
          </cell>
          <cell r="J830" t="str">
            <v/>
          </cell>
          <cell r="K830" t="str">
            <v/>
          </cell>
          <cell r="L830"/>
          <cell r="M830"/>
          <cell r="N830"/>
          <cell r="O830"/>
          <cell r="P830"/>
          <cell r="Q830"/>
        </row>
        <row r="831">
          <cell r="H831" t="str">
            <v/>
          </cell>
          <cell r="I831" t="str">
            <v/>
          </cell>
          <cell r="J831" t="str">
            <v/>
          </cell>
          <cell r="K831" t="str">
            <v/>
          </cell>
          <cell r="L831"/>
          <cell r="M831"/>
          <cell r="N831"/>
          <cell r="O831"/>
          <cell r="P831"/>
          <cell r="Q831"/>
        </row>
        <row r="832">
          <cell r="H832" t="str">
            <v/>
          </cell>
          <cell r="I832" t="str">
            <v/>
          </cell>
          <cell r="J832" t="str">
            <v/>
          </cell>
          <cell r="K832" t="str">
            <v/>
          </cell>
          <cell r="L832"/>
          <cell r="M832"/>
          <cell r="N832"/>
          <cell r="O832"/>
          <cell r="P832"/>
          <cell r="Q832"/>
        </row>
        <row r="833">
          <cell r="H833" t="str">
            <v/>
          </cell>
          <cell r="I833" t="str">
            <v/>
          </cell>
          <cell r="J833" t="str">
            <v/>
          </cell>
          <cell r="K833" t="str">
            <v/>
          </cell>
          <cell r="L833"/>
          <cell r="M833"/>
          <cell r="N833"/>
          <cell r="O833"/>
          <cell r="P833"/>
          <cell r="Q833"/>
        </row>
        <row r="834">
          <cell r="H834" t="str">
            <v/>
          </cell>
          <cell r="I834" t="str">
            <v/>
          </cell>
          <cell r="J834" t="str">
            <v/>
          </cell>
          <cell r="K834" t="str">
            <v/>
          </cell>
          <cell r="L834"/>
          <cell r="M834"/>
          <cell r="N834"/>
          <cell r="O834"/>
          <cell r="P834"/>
          <cell r="Q834"/>
        </row>
        <row r="835">
          <cell r="H835" t="str">
            <v/>
          </cell>
          <cell r="I835" t="str">
            <v/>
          </cell>
          <cell r="J835" t="str">
            <v/>
          </cell>
          <cell r="K835" t="str">
            <v/>
          </cell>
          <cell r="L835"/>
          <cell r="M835"/>
          <cell r="N835"/>
          <cell r="O835"/>
          <cell r="P835"/>
          <cell r="Q835"/>
        </row>
        <row r="836">
          <cell r="H836" t="str">
            <v/>
          </cell>
          <cell r="I836" t="str">
            <v/>
          </cell>
          <cell r="J836" t="str">
            <v/>
          </cell>
          <cell r="K836" t="str">
            <v/>
          </cell>
          <cell r="L836"/>
          <cell r="M836"/>
          <cell r="N836"/>
          <cell r="O836"/>
          <cell r="P836"/>
          <cell r="Q836"/>
        </row>
        <row r="837">
          <cell r="H837" t="str">
            <v/>
          </cell>
          <cell r="I837" t="str">
            <v/>
          </cell>
          <cell r="J837" t="str">
            <v/>
          </cell>
          <cell r="K837" t="str">
            <v/>
          </cell>
          <cell r="L837"/>
          <cell r="M837"/>
          <cell r="N837"/>
          <cell r="O837"/>
          <cell r="P837"/>
          <cell r="Q837"/>
        </row>
        <row r="838">
          <cell r="H838" t="str">
            <v/>
          </cell>
          <cell r="I838" t="str">
            <v/>
          </cell>
          <cell r="J838" t="str">
            <v/>
          </cell>
          <cell r="K838" t="str">
            <v/>
          </cell>
          <cell r="L838"/>
          <cell r="M838"/>
          <cell r="N838"/>
          <cell r="O838"/>
          <cell r="P838"/>
          <cell r="Q838"/>
        </row>
        <row r="839">
          <cell r="H839" t="str">
            <v/>
          </cell>
          <cell r="I839" t="str">
            <v/>
          </cell>
          <cell r="J839" t="str">
            <v/>
          </cell>
          <cell r="K839" t="str">
            <v/>
          </cell>
          <cell r="L839"/>
          <cell r="M839"/>
          <cell r="N839"/>
          <cell r="O839"/>
          <cell r="P839"/>
          <cell r="Q839"/>
        </row>
        <row r="840">
          <cell r="H840" t="str">
            <v/>
          </cell>
          <cell r="I840" t="str">
            <v/>
          </cell>
          <cell r="J840" t="str">
            <v/>
          </cell>
          <cell r="K840" t="str">
            <v/>
          </cell>
          <cell r="L840"/>
          <cell r="M840"/>
          <cell r="N840"/>
          <cell r="O840"/>
          <cell r="P840"/>
          <cell r="Q840"/>
        </row>
        <row r="841">
          <cell r="H841" t="str">
            <v/>
          </cell>
          <cell r="I841" t="str">
            <v/>
          </cell>
          <cell r="J841" t="str">
            <v/>
          </cell>
          <cell r="K841" t="str">
            <v/>
          </cell>
          <cell r="L841"/>
          <cell r="M841"/>
          <cell r="N841"/>
          <cell r="O841"/>
          <cell r="P841"/>
          <cell r="Q841"/>
        </row>
        <row r="842">
          <cell r="H842" t="str">
            <v/>
          </cell>
          <cell r="I842" t="str">
            <v/>
          </cell>
          <cell r="J842" t="str">
            <v/>
          </cell>
          <cell r="K842" t="str">
            <v/>
          </cell>
          <cell r="L842"/>
          <cell r="M842"/>
          <cell r="N842"/>
          <cell r="O842"/>
          <cell r="P842"/>
          <cell r="Q842"/>
        </row>
        <row r="843">
          <cell r="H843" t="str">
            <v/>
          </cell>
          <cell r="I843" t="str">
            <v/>
          </cell>
          <cell r="J843" t="str">
            <v/>
          </cell>
          <cell r="K843" t="str">
            <v/>
          </cell>
          <cell r="L843"/>
          <cell r="M843"/>
          <cell r="N843"/>
          <cell r="O843"/>
          <cell r="P843"/>
          <cell r="Q843"/>
        </row>
        <row r="844">
          <cell r="H844" t="str">
            <v/>
          </cell>
          <cell r="I844" t="str">
            <v/>
          </cell>
          <cell r="J844" t="str">
            <v/>
          </cell>
          <cell r="K844" t="str">
            <v/>
          </cell>
          <cell r="L844"/>
          <cell r="M844"/>
          <cell r="N844"/>
          <cell r="O844"/>
          <cell r="P844"/>
          <cell r="Q844"/>
        </row>
        <row r="845">
          <cell r="H845" t="str">
            <v/>
          </cell>
          <cell r="I845" t="str">
            <v/>
          </cell>
          <cell r="J845" t="str">
            <v/>
          </cell>
          <cell r="K845" t="str">
            <v/>
          </cell>
          <cell r="L845"/>
          <cell r="M845"/>
          <cell r="N845"/>
          <cell r="O845"/>
          <cell r="P845"/>
          <cell r="Q845"/>
        </row>
        <row r="846">
          <cell r="H846" t="str">
            <v/>
          </cell>
          <cell r="I846" t="str">
            <v/>
          </cell>
          <cell r="J846" t="str">
            <v/>
          </cell>
          <cell r="K846" t="str">
            <v/>
          </cell>
          <cell r="L846"/>
          <cell r="M846"/>
          <cell r="N846"/>
          <cell r="O846"/>
          <cell r="P846"/>
          <cell r="Q846"/>
        </row>
        <row r="847">
          <cell r="H847" t="str">
            <v/>
          </cell>
          <cell r="I847" t="str">
            <v/>
          </cell>
          <cell r="J847" t="str">
            <v/>
          </cell>
          <cell r="K847" t="str">
            <v/>
          </cell>
          <cell r="L847"/>
          <cell r="M847"/>
          <cell r="N847"/>
          <cell r="O847"/>
          <cell r="P847"/>
          <cell r="Q847"/>
        </row>
        <row r="848">
          <cell r="H848" t="str">
            <v/>
          </cell>
          <cell r="I848" t="str">
            <v/>
          </cell>
          <cell r="J848" t="str">
            <v/>
          </cell>
          <cell r="K848" t="str">
            <v/>
          </cell>
          <cell r="L848"/>
          <cell r="M848"/>
          <cell r="N848"/>
          <cell r="O848"/>
          <cell r="P848"/>
          <cell r="Q848"/>
        </row>
        <row r="849">
          <cell r="H849" t="str">
            <v/>
          </cell>
          <cell r="I849" t="str">
            <v/>
          </cell>
          <cell r="J849" t="str">
            <v/>
          </cell>
          <cell r="K849" t="str">
            <v/>
          </cell>
          <cell r="L849"/>
          <cell r="M849"/>
          <cell r="N849"/>
          <cell r="O849"/>
          <cell r="P849"/>
          <cell r="Q849"/>
        </row>
        <row r="850">
          <cell r="H850" t="str">
            <v/>
          </cell>
          <cell r="I850" t="str">
            <v/>
          </cell>
          <cell r="J850" t="str">
            <v/>
          </cell>
          <cell r="K850" t="str">
            <v/>
          </cell>
          <cell r="L850"/>
          <cell r="M850"/>
          <cell r="N850"/>
          <cell r="O850"/>
          <cell r="P850"/>
          <cell r="Q850"/>
        </row>
        <row r="851">
          <cell r="H851" t="str">
            <v/>
          </cell>
          <cell r="I851" t="str">
            <v/>
          </cell>
          <cell r="J851" t="str">
            <v/>
          </cell>
          <cell r="K851" t="str">
            <v/>
          </cell>
          <cell r="L851"/>
          <cell r="M851"/>
          <cell r="N851"/>
          <cell r="O851"/>
          <cell r="P851"/>
          <cell r="Q851"/>
        </row>
        <row r="852">
          <cell r="H852" t="str">
            <v/>
          </cell>
          <cell r="I852" t="str">
            <v/>
          </cell>
          <cell r="J852" t="str">
            <v/>
          </cell>
          <cell r="K852" t="str">
            <v/>
          </cell>
          <cell r="L852"/>
          <cell r="M852"/>
          <cell r="N852"/>
          <cell r="O852"/>
          <cell r="P852"/>
          <cell r="Q852"/>
        </row>
        <row r="853">
          <cell r="H853" t="str">
            <v/>
          </cell>
          <cell r="I853" t="str">
            <v/>
          </cell>
          <cell r="J853" t="str">
            <v/>
          </cell>
          <cell r="K853" t="str">
            <v/>
          </cell>
          <cell r="L853"/>
          <cell r="M853"/>
          <cell r="N853"/>
          <cell r="O853"/>
          <cell r="P853"/>
          <cell r="Q853"/>
        </row>
        <row r="854">
          <cell r="H854" t="str">
            <v/>
          </cell>
          <cell r="I854" t="str">
            <v/>
          </cell>
          <cell r="J854" t="str">
            <v/>
          </cell>
          <cell r="K854" t="str">
            <v/>
          </cell>
          <cell r="L854"/>
          <cell r="M854"/>
          <cell r="N854"/>
          <cell r="O854"/>
          <cell r="P854"/>
          <cell r="Q854"/>
        </row>
        <row r="855">
          <cell r="H855" t="str">
            <v/>
          </cell>
          <cell r="I855" t="str">
            <v/>
          </cell>
          <cell r="J855" t="str">
            <v/>
          </cell>
          <cell r="K855" t="str">
            <v/>
          </cell>
          <cell r="L855"/>
          <cell r="M855"/>
          <cell r="N855"/>
          <cell r="O855"/>
          <cell r="P855"/>
          <cell r="Q855"/>
        </row>
        <row r="856">
          <cell r="H856" t="str">
            <v/>
          </cell>
          <cell r="I856" t="str">
            <v/>
          </cell>
          <cell r="J856" t="str">
            <v/>
          </cell>
          <cell r="K856" t="str">
            <v/>
          </cell>
          <cell r="L856"/>
          <cell r="M856"/>
          <cell r="N856"/>
          <cell r="O856"/>
          <cell r="P856"/>
          <cell r="Q856"/>
        </row>
        <row r="857">
          <cell r="H857" t="str">
            <v/>
          </cell>
          <cell r="I857" t="str">
            <v/>
          </cell>
          <cell r="J857" t="str">
            <v/>
          </cell>
          <cell r="K857" t="str">
            <v/>
          </cell>
          <cell r="L857"/>
          <cell r="M857"/>
          <cell r="N857"/>
          <cell r="O857"/>
          <cell r="P857"/>
          <cell r="Q857"/>
        </row>
        <row r="858">
          <cell r="H858" t="str">
            <v/>
          </cell>
          <cell r="I858" t="str">
            <v/>
          </cell>
          <cell r="J858" t="str">
            <v/>
          </cell>
          <cell r="K858" t="str">
            <v/>
          </cell>
          <cell r="L858"/>
          <cell r="M858"/>
          <cell r="N858"/>
          <cell r="O858"/>
          <cell r="P858"/>
          <cell r="Q858"/>
        </row>
        <row r="859">
          <cell r="H859" t="str">
            <v/>
          </cell>
          <cell r="I859" t="str">
            <v/>
          </cell>
          <cell r="J859" t="str">
            <v/>
          </cell>
          <cell r="K859" t="str">
            <v/>
          </cell>
          <cell r="L859"/>
          <cell r="M859"/>
          <cell r="N859"/>
          <cell r="O859"/>
          <cell r="P859"/>
          <cell r="Q859"/>
        </row>
        <row r="860">
          <cell r="H860" t="str">
            <v/>
          </cell>
          <cell r="I860" t="str">
            <v/>
          </cell>
          <cell r="J860" t="str">
            <v/>
          </cell>
          <cell r="K860" t="str">
            <v/>
          </cell>
          <cell r="L860"/>
          <cell r="M860"/>
          <cell r="N860"/>
          <cell r="O860"/>
          <cell r="P860"/>
          <cell r="Q860"/>
        </row>
        <row r="861">
          <cell r="H861" t="str">
            <v/>
          </cell>
          <cell r="I861" t="str">
            <v/>
          </cell>
          <cell r="J861" t="str">
            <v/>
          </cell>
          <cell r="K861" t="str">
            <v/>
          </cell>
          <cell r="L861"/>
          <cell r="M861"/>
          <cell r="N861"/>
          <cell r="O861"/>
          <cell r="P861"/>
          <cell r="Q861"/>
        </row>
        <row r="862">
          <cell r="H862" t="str">
            <v/>
          </cell>
          <cell r="I862" t="str">
            <v/>
          </cell>
          <cell r="J862" t="str">
            <v/>
          </cell>
          <cell r="K862" t="str">
            <v/>
          </cell>
          <cell r="L862"/>
          <cell r="M862"/>
          <cell r="N862"/>
          <cell r="O862"/>
          <cell r="P862"/>
          <cell r="Q862"/>
        </row>
        <row r="863">
          <cell r="H863" t="str">
            <v/>
          </cell>
          <cell r="I863" t="str">
            <v/>
          </cell>
          <cell r="J863" t="str">
            <v/>
          </cell>
          <cell r="K863" t="str">
            <v/>
          </cell>
          <cell r="L863"/>
          <cell r="M863"/>
          <cell r="N863"/>
          <cell r="O863"/>
          <cell r="P863"/>
          <cell r="Q863"/>
        </row>
        <row r="864">
          <cell r="H864" t="str">
            <v/>
          </cell>
          <cell r="I864" t="str">
            <v/>
          </cell>
          <cell r="J864" t="str">
            <v/>
          </cell>
          <cell r="K864" t="str">
            <v/>
          </cell>
          <cell r="L864"/>
          <cell r="M864"/>
          <cell r="N864"/>
          <cell r="O864"/>
          <cell r="P864"/>
          <cell r="Q864"/>
        </row>
        <row r="865">
          <cell r="H865" t="str">
            <v/>
          </cell>
          <cell r="I865" t="str">
            <v/>
          </cell>
          <cell r="J865" t="str">
            <v/>
          </cell>
          <cell r="K865" t="str">
            <v/>
          </cell>
          <cell r="L865"/>
          <cell r="M865"/>
          <cell r="N865"/>
          <cell r="O865"/>
          <cell r="P865"/>
          <cell r="Q865"/>
        </row>
        <row r="866">
          <cell r="H866" t="str">
            <v/>
          </cell>
          <cell r="I866" t="str">
            <v/>
          </cell>
          <cell r="J866" t="str">
            <v/>
          </cell>
          <cell r="K866" t="str">
            <v/>
          </cell>
          <cell r="L866"/>
          <cell r="M866"/>
          <cell r="N866"/>
          <cell r="O866"/>
          <cell r="P866"/>
          <cell r="Q866"/>
        </row>
        <row r="867">
          <cell r="H867" t="str">
            <v/>
          </cell>
          <cell r="I867" t="str">
            <v/>
          </cell>
          <cell r="J867" t="str">
            <v/>
          </cell>
          <cell r="K867" t="str">
            <v/>
          </cell>
          <cell r="L867"/>
          <cell r="M867"/>
          <cell r="N867"/>
          <cell r="O867"/>
          <cell r="P867"/>
          <cell r="Q867"/>
        </row>
        <row r="868">
          <cell r="H868" t="str">
            <v/>
          </cell>
          <cell r="I868" t="str">
            <v/>
          </cell>
          <cell r="J868" t="str">
            <v/>
          </cell>
          <cell r="K868" t="str">
            <v/>
          </cell>
          <cell r="L868"/>
          <cell r="M868"/>
          <cell r="N868"/>
          <cell r="O868"/>
          <cell r="P868"/>
          <cell r="Q868"/>
        </row>
        <row r="869">
          <cell r="H869" t="str">
            <v/>
          </cell>
          <cell r="I869" t="str">
            <v/>
          </cell>
          <cell r="J869" t="str">
            <v/>
          </cell>
          <cell r="K869" t="str">
            <v/>
          </cell>
          <cell r="L869"/>
          <cell r="M869"/>
          <cell r="N869"/>
          <cell r="O869"/>
          <cell r="P869"/>
          <cell r="Q869"/>
        </row>
        <row r="870">
          <cell r="H870" t="str">
            <v/>
          </cell>
          <cell r="I870" t="str">
            <v/>
          </cell>
          <cell r="J870" t="str">
            <v/>
          </cell>
          <cell r="K870" t="str">
            <v/>
          </cell>
          <cell r="L870"/>
          <cell r="M870"/>
          <cell r="N870"/>
          <cell r="O870"/>
          <cell r="P870"/>
          <cell r="Q870"/>
        </row>
        <row r="871">
          <cell r="H871" t="str">
            <v/>
          </cell>
          <cell r="I871" t="str">
            <v/>
          </cell>
          <cell r="J871" t="str">
            <v/>
          </cell>
          <cell r="K871" t="str">
            <v/>
          </cell>
          <cell r="L871"/>
          <cell r="M871"/>
          <cell r="N871"/>
          <cell r="O871"/>
          <cell r="P871"/>
          <cell r="Q871"/>
        </row>
        <row r="872">
          <cell r="H872" t="str">
            <v/>
          </cell>
          <cell r="I872" t="str">
            <v/>
          </cell>
          <cell r="J872" t="str">
            <v/>
          </cell>
          <cell r="K872" t="str">
            <v/>
          </cell>
          <cell r="L872"/>
          <cell r="M872"/>
          <cell r="N872"/>
          <cell r="O872"/>
          <cell r="P872"/>
          <cell r="Q872"/>
        </row>
        <row r="873">
          <cell r="H873" t="str">
            <v/>
          </cell>
          <cell r="I873" t="str">
            <v/>
          </cell>
          <cell r="J873" t="str">
            <v/>
          </cell>
          <cell r="K873" t="str">
            <v/>
          </cell>
          <cell r="L873"/>
          <cell r="M873"/>
          <cell r="N873"/>
          <cell r="O873"/>
          <cell r="P873"/>
          <cell r="Q873"/>
        </row>
        <row r="874">
          <cell r="H874" t="str">
            <v/>
          </cell>
          <cell r="I874" t="str">
            <v/>
          </cell>
          <cell r="J874" t="str">
            <v/>
          </cell>
          <cell r="K874" t="str">
            <v/>
          </cell>
          <cell r="L874"/>
          <cell r="M874"/>
          <cell r="N874"/>
          <cell r="O874"/>
          <cell r="P874"/>
          <cell r="Q874"/>
        </row>
        <row r="875">
          <cell r="H875" t="str">
            <v/>
          </cell>
          <cell r="I875" t="str">
            <v/>
          </cell>
          <cell r="J875" t="str">
            <v/>
          </cell>
          <cell r="K875" t="str">
            <v/>
          </cell>
          <cell r="L875"/>
          <cell r="M875"/>
          <cell r="N875"/>
          <cell r="O875"/>
          <cell r="P875"/>
          <cell r="Q875"/>
        </row>
        <row r="876">
          <cell r="H876" t="str">
            <v/>
          </cell>
          <cell r="I876" t="str">
            <v/>
          </cell>
          <cell r="J876" t="str">
            <v/>
          </cell>
          <cell r="K876" t="str">
            <v/>
          </cell>
          <cell r="L876"/>
          <cell r="M876"/>
          <cell r="N876"/>
          <cell r="O876"/>
          <cell r="P876"/>
          <cell r="Q876"/>
        </row>
        <row r="877">
          <cell r="H877" t="str">
            <v/>
          </cell>
          <cell r="I877" t="str">
            <v/>
          </cell>
          <cell r="J877" t="str">
            <v/>
          </cell>
          <cell r="K877" t="str">
            <v/>
          </cell>
          <cell r="L877"/>
          <cell r="M877"/>
          <cell r="N877"/>
          <cell r="O877"/>
          <cell r="P877"/>
          <cell r="Q877"/>
        </row>
        <row r="878">
          <cell r="H878" t="str">
            <v/>
          </cell>
          <cell r="I878" t="str">
            <v/>
          </cell>
          <cell r="J878" t="str">
            <v/>
          </cell>
          <cell r="K878" t="str">
            <v/>
          </cell>
          <cell r="L878"/>
          <cell r="M878"/>
          <cell r="N878"/>
          <cell r="O878"/>
          <cell r="P878"/>
          <cell r="Q878"/>
        </row>
        <row r="879">
          <cell r="H879" t="str">
            <v/>
          </cell>
          <cell r="I879" t="str">
            <v/>
          </cell>
          <cell r="J879" t="str">
            <v/>
          </cell>
          <cell r="K879" t="str">
            <v/>
          </cell>
          <cell r="L879"/>
          <cell r="M879"/>
          <cell r="N879"/>
          <cell r="O879"/>
          <cell r="P879"/>
          <cell r="Q879"/>
        </row>
        <row r="880">
          <cell r="H880" t="str">
            <v/>
          </cell>
          <cell r="I880" t="str">
            <v/>
          </cell>
          <cell r="J880" t="str">
            <v/>
          </cell>
          <cell r="K880" t="str">
            <v/>
          </cell>
          <cell r="L880"/>
          <cell r="M880"/>
          <cell r="N880"/>
          <cell r="O880"/>
          <cell r="P880"/>
          <cell r="Q880"/>
        </row>
        <row r="881">
          <cell r="H881" t="str">
            <v/>
          </cell>
          <cell r="I881" t="str">
            <v/>
          </cell>
          <cell r="J881" t="str">
            <v/>
          </cell>
          <cell r="K881" t="str">
            <v/>
          </cell>
          <cell r="L881"/>
          <cell r="M881"/>
          <cell r="N881"/>
          <cell r="O881"/>
          <cell r="P881"/>
          <cell r="Q881"/>
        </row>
        <row r="882">
          <cell r="H882" t="str">
            <v/>
          </cell>
          <cell r="I882" t="str">
            <v/>
          </cell>
          <cell r="J882" t="str">
            <v/>
          </cell>
          <cell r="K882" t="str">
            <v/>
          </cell>
          <cell r="L882"/>
          <cell r="M882"/>
          <cell r="N882"/>
          <cell r="O882"/>
          <cell r="P882"/>
          <cell r="Q882"/>
        </row>
        <row r="883">
          <cell r="H883" t="str">
            <v/>
          </cell>
          <cell r="I883" t="str">
            <v/>
          </cell>
          <cell r="J883" t="str">
            <v/>
          </cell>
          <cell r="K883" t="str">
            <v/>
          </cell>
          <cell r="L883"/>
          <cell r="M883"/>
          <cell r="N883"/>
          <cell r="O883"/>
          <cell r="P883"/>
          <cell r="Q883"/>
        </row>
        <row r="884">
          <cell r="H884" t="str">
            <v/>
          </cell>
          <cell r="I884" t="str">
            <v/>
          </cell>
          <cell r="J884" t="str">
            <v/>
          </cell>
          <cell r="K884" t="str">
            <v/>
          </cell>
          <cell r="L884"/>
          <cell r="M884"/>
          <cell r="N884"/>
          <cell r="O884"/>
          <cell r="P884"/>
          <cell r="Q884"/>
        </row>
        <row r="885">
          <cell r="H885" t="str">
            <v/>
          </cell>
          <cell r="I885" t="str">
            <v/>
          </cell>
          <cell r="J885" t="str">
            <v/>
          </cell>
          <cell r="K885" t="str">
            <v/>
          </cell>
          <cell r="L885"/>
          <cell r="M885"/>
          <cell r="N885"/>
          <cell r="O885"/>
          <cell r="P885"/>
          <cell r="Q885"/>
        </row>
        <row r="886">
          <cell r="H886" t="str">
            <v/>
          </cell>
          <cell r="I886" t="str">
            <v/>
          </cell>
          <cell r="J886" t="str">
            <v/>
          </cell>
          <cell r="K886" t="str">
            <v/>
          </cell>
          <cell r="L886"/>
          <cell r="M886"/>
          <cell r="N886"/>
          <cell r="O886"/>
          <cell r="P886"/>
          <cell r="Q886"/>
        </row>
        <row r="887">
          <cell r="H887" t="str">
            <v xml:space="preserve"> </v>
          </cell>
          <cell r="I887" t="str">
            <v/>
          </cell>
          <cell r="J887" t="str">
            <v/>
          </cell>
          <cell r="K887" t="str">
            <v/>
          </cell>
          <cell r="L887"/>
          <cell r="M887"/>
          <cell r="N887"/>
          <cell r="O887"/>
          <cell r="P887"/>
          <cell r="Q887"/>
        </row>
        <row r="888">
          <cell r="H888" t="str">
            <v/>
          </cell>
          <cell r="I888" t="str">
            <v/>
          </cell>
          <cell r="J888" t="str">
            <v/>
          </cell>
          <cell r="K888" t="str">
            <v/>
          </cell>
          <cell r="L888"/>
          <cell r="M888"/>
          <cell r="N888"/>
          <cell r="O888"/>
          <cell r="P888"/>
          <cell r="Q888"/>
        </row>
      </sheetData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5"/>
  <dimension ref="A1:J18"/>
  <sheetViews>
    <sheetView zoomScale="190" zoomScaleNormal="190" workbookViewId="0">
      <pane ySplit="1" topLeftCell="A2" activePane="bottomLeft" state="frozen"/>
      <selection pane="bottomLeft" activeCell="J2" sqref="J2:J4"/>
    </sheetView>
  </sheetViews>
  <sheetFormatPr defaultRowHeight="15.75" x14ac:dyDescent="0.25"/>
  <cols>
    <col min="1" max="1" width="14.5703125" style="24" bestFit="1" customWidth="1"/>
    <col min="2" max="2" width="8.42578125" style="21" customWidth="1"/>
    <col min="3" max="3" width="12.7109375" style="13" bestFit="1" customWidth="1"/>
    <col min="4" max="4" width="9.42578125" style="12" customWidth="1"/>
    <col min="5" max="5" width="11.28515625" style="13" bestFit="1" customWidth="1"/>
    <col min="6" max="6" width="11.85546875" style="14" customWidth="1"/>
    <col min="7" max="7" width="12.85546875" style="15" customWidth="1"/>
    <col min="8" max="8" width="21.140625" style="22" bestFit="1" customWidth="1"/>
    <col min="9" max="9" width="10.85546875" style="23" customWidth="1"/>
    <col min="10" max="16384" width="9.140625" style="24"/>
  </cols>
  <sheetData>
    <row r="1" spans="1:10" s="3" customFormat="1" ht="16.5" thickBot="1" x14ac:dyDescent="0.3">
      <c r="A1" s="38">
        <v>44543.860277777778</v>
      </c>
      <c r="B1" s="40" t="s">
        <v>46</v>
      </c>
      <c r="C1" s="25" t="s">
        <v>0</v>
      </c>
      <c r="D1" s="26" t="s">
        <v>1</v>
      </c>
      <c r="E1" s="25" t="s">
        <v>2</v>
      </c>
      <c r="F1" s="26" t="s">
        <v>3</v>
      </c>
      <c r="G1" s="30" t="s">
        <v>4</v>
      </c>
      <c r="H1" s="17" t="s">
        <v>5</v>
      </c>
      <c r="I1" s="27">
        <v>1</v>
      </c>
      <c r="J1" s="41">
        <v>14.5625</v>
      </c>
    </row>
    <row r="2" spans="1:10" s="3" customFormat="1" x14ac:dyDescent="0.25">
      <c r="B2" s="16"/>
      <c r="C2" s="13">
        <v>44522</v>
      </c>
      <c r="D2" s="12" t="s">
        <v>6</v>
      </c>
      <c r="E2" s="13">
        <v>44522</v>
      </c>
      <c r="F2" s="14">
        <v>18</v>
      </c>
      <c r="G2" s="15">
        <v>0.06</v>
      </c>
      <c r="H2" s="19">
        <f>IF(OR(C2="",D2="",E2="",F2="",G2=""),"",
G2 / ((YEAR(E2)-YEAR(C2))*52+WEEKNUM(E2)-WEEKNUM(C2)+1))</f>
        <v>0.06</v>
      </c>
      <c r="I2" s="20" t="str" cm="1">
        <f t="array" aca="1" ref="I2" ca="1">IFERROR(
    _xlfn.IFS(OR(C2="",D2="",E2="",F2=""),    "",
    TODAY()&gt;E2+1,    "已結算",
    D2&lt;&gt;0,    (F2-VLOOKUP(D2,code!A:H,2,FALSE))/(VLOOKUP(D2,code!A:H,2,FALSE)*VLOOKUP(D2,code!A:H,3,FALSE)/100*SQRT(_xlfn.DAYS(E2+1,TODAY())/365))),
(F2-VLOOKUP(D2,code!A:H,2,FALSE))/(VLOOKUP(D2,code!A:H,2,FALSE)*VLOOKUP(D2,code!A:H,3,FALSE)/100*SQRT(_xlfn.DAYS(E2+1,TODAY()-1)/365)))</f>
        <v>已結算</v>
      </c>
    </row>
    <row r="3" spans="1:10" s="3" customFormat="1" x14ac:dyDescent="0.25">
      <c r="B3" s="16"/>
      <c r="C3" s="13">
        <v>44522</v>
      </c>
      <c r="D3" s="12" t="s">
        <v>6</v>
      </c>
      <c r="E3" s="13">
        <v>44522</v>
      </c>
      <c r="F3" s="14">
        <v>16.5</v>
      </c>
      <c r="G3" s="15">
        <v>0.1</v>
      </c>
      <c r="H3" s="19">
        <f t="shared" ref="H3:H18" si="0">IF(OR(C3="",D3="",E3="",F3="",G3=""),"",
G3 / ((YEAR(E3)-YEAR(C3))*52+WEEKNUM(E3)-WEEKNUM(C3)+1))</f>
        <v>0.1</v>
      </c>
      <c r="I3" s="20" t="str" cm="1">
        <f t="array" aca="1" ref="I3" ca="1">IFERROR(
    _xlfn.IFS(OR(C3="",D3="",E3="",F3=""),    "",
    TODAY()&gt;E3+1,    "已結算",
    D3&lt;&gt;0,    (F3-VLOOKUP(D3,code!A:H,2,FALSE))/(VLOOKUP(D3,code!A:H,2,FALSE)*VLOOKUP(D3,code!A:H,3,FALSE)/100*SQRT(_xlfn.DAYS(E3+1,TODAY())/365))),
(F3-VLOOKUP(D3,code!A:H,2,FALSE))/(VLOOKUP(D3,code!A:H,2,FALSE)*VLOOKUP(D3,code!A:H,3,FALSE)/100*SQRT(_xlfn.DAYS(E3+1,TODAY()-1)/365)))</f>
        <v>已結算</v>
      </c>
    </row>
    <row r="4" spans="1:10" s="3" customFormat="1" x14ac:dyDescent="0.25">
      <c r="B4" s="16"/>
      <c r="C4" s="13">
        <v>44522</v>
      </c>
      <c r="D4" s="12" t="s">
        <v>7</v>
      </c>
      <c r="E4" s="13">
        <v>44547</v>
      </c>
      <c r="F4" s="14">
        <v>7.5</v>
      </c>
      <c r="G4" s="15">
        <v>0.09</v>
      </c>
      <c r="H4" s="19">
        <f t="shared" si="0"/>
        <v>2.2499999999999999E-2</v>
      </c>
      <c r="I4" s="20" t="str" cm="1">
        <f t="array" aca="1" ref="I4" ca="1">IFERROR(
    _xlfn.IFS(OR(C4="",D4="",E4="",F4=""),    "",
    TODAY()&gt;E4+1,    "已結算",
    D4&lt;&gt;0,    (F4-VLOOKUP(D4,code!A:H,2,FALSE))/(VLOOKUP(D4,code!A:H,2,FALSE)*VLOOKUP(D4,code!A:H,3,FALSE)/100*SQRT(_xlfn.DAYS(E4+1,TODAY())/365))),
(F4-VLOOKUP(D4,code!A:H,2,FALSE))/(VLOOKUP(D4,code!A:H,2,FALSE)*VLOOKUP(D4,code!A:H,3,FALSE)/100*SQRT(_xlfn.DAYS(E4+1,TODAY()-1)/365)))</f>
        <v>已結算</v>
      </c>
    </row>
    <row r="5" spans="1:10" s="3" customFormat="1" x14ac:dyDescent="0.25">
      <c r="B5" s="16"/>
      <c r="C5" s="13">
        <v>44522</v>
      </c>
      <c r="D5" s="12" t="s">
        <v>8</v>
      </c>
      <c r="E5" s="13">
        <v>44522</v>
      </c>
      <c r="F5" s="14">
        <v>7.5</v>
      </c>
      <c r="G5" s="15">
        <v>0.03</v>
      </c>
      <c r="H5" s="19">
        <f t="shared" si="0"/>
        <v>0.03</v>
      </c>
      <c r="I5" s="20" t="str" cm="1">
        <f t="array" aca="1" ref="I5" ca="1">IFERROR(
    _xlfn.IFS(OR(C5="",D5="",E5="",F5=""),    "",
    TODAY()&gt;E5+1,    "已結算",
    D5&lt;&gt;0,    (F5-VLOOKUP(D5,code!A:H,2,FALSE))/(VLOOKUP(D5,code!A:H,2,FALSE)*VLOOKUP(D5,code!A:H,3,FALSE)/100*SQRT(_xlfn.DAYS(E5+1,TODAY())/365))),
(F5-VLOOKUP(D5,code!A:H,2,FALSE))/(VLOOKUP(D5,code!A:H,2,FALSE)*VLOOKUP(D5,code!A:H,3,FALSE)/100*SQRT(_xlfn.DAYS(E5+1,TODAY()-1)/365)))</f>
        <v>已結算</v>
      </c>
    </row>
    <row r="6" spans="1:10" s="3" customFormat="1" x14ac:dyDescent="0.25">
      <c r="B6" s="16"/>
      <c r="C6" s="13">
        <v>44522</v>
      </c>
      <c r="D6" s="12" t="s">
        <v>8</v>
      </c>
      <c r="E6" s="13">
        <v>44522</v>
      </c>
      <c r="F6" s="14">
        <v>8</v>
      </c>
      <c r="G6" s="15">
        <v>0.03</v>
      </c>
      <c r="H6" s="19">
        <f t="shared" si="0"/>
        <v>0.03</v>
      </c>
      <c r="I6" s="20" t="str" cm="1">
        <f t="array" aca="1" ref="I6" ca="1">IFERROR(
    _xlfn.IFS(OR(C6="",D6="",E6="",F6=""),    "",
    TODAY()&gt;E6+1,    "已結算",
    D6&lt;&gt;0,    (F6-VLOOKUP(D6,code!A:H,2,FALSE))/(VLOOKUP(D6,code!A:H,2,FALSE)*VLOOKUP(D6,code!A:H,3,FALSE)/100*SQRT(_xlfn.DAYS(E6+1,TODAY())/365))),
(F6-VLOOKUP(D6,code!A:H,2,FALSE))/(VLOOKUP(D6,code!A:H,2,FALSE)*VLOOKUP(D6,code!A:H,3,FALSE)/100*SQRT(_xlfn.DAYS(E6+1,TODAY()-1)/365)))</f>
        <v>已結算</v>
      </c>
    </row>
    <row r="7" spans="1:10" s="3" customFormat="1" x14ac:dyDescent="0.25">
      <c r="B7" s="16"/>
      <c r="C7" s="13">
        <v>44522</v>
      </c>
      <c r="D7" s="12" t="s">
        <v>8</v>
      </c>
      <c r="E7" s="13">
        <v>44522</v>
      </c>
      <c r="F7" s="14">
        <v>8.5</v>
      </c>
      <c r="G7" s="15">
        <v>0.02</v>
      </c>
      <c r="H7" s="19">
        <f t="shared" si="0"/>
        <v>0.02</v>
      </c>
      <c r="I7" s="20" t="str" cm="1">
        <f t="array" aca="1" ref="I7" ca="1">IFERROR(
    _xlfn.IFS(OR(C7="",D7="",E7="",F7=""),    "",
    TODAY()&gt;E7+1,    "已結算",
    D7&lt;&gt;0,    (F7-VLOOKUP(D7,code!A:H,2,FALSE))/(VLOOKUP(D7,code!A:H,2,FALSE)*VLOOKUP(D7,code!A:H,3,FALSE)/100*SQRT(_xlfn.DAYS(E7+1,TODAY())/365))),
(F7-VLOOKUP(D7,code!A:H,2,FALSE))/(VLOOKUP(D7,code!A:H,2,FALSE)*VLOOKUP(D7,code!A:H,3,FALSE)/100*SQRT(_xlfn.DAYS(E7+1,TODAY()-1)/365)))</f>
        <v>已結算</v>
      </c>
    </row>
    <row r="8" spans="1:10" s="3" customFormat="1" x14ac:dyDescent="0.25">
      <c r="B8" s="16"/>
      <c r="C8" s="13">
        <v>44522</v>
      </c>
      <c r="D8" s="12" t="s">
        <v>8</v>
      </c>
      <c r="E8" s="13">
        <v>44522</v>
      </c>
      <c r="F8" s="14">
        <v>9</v>
      </c>
      <c r="G8" s="15">
        <v>0.02</v>
      </c>
      <c r="H8" s="19">
        <f t="shared" si="0"/>
        <v>0.02</v>
      </c>
      <c r="I8" s="20" t="str" cm="1">
        <f t="array" aca="1" ref="I8" ca="1">IFERROR(
    _xlfn.IFS(OR(C8="",D8="",E8="",F8=""),    "",
    TODAY()&gt;E8+1,    "已結算",
    D8&lt;&gt;0,    (F8-VLOOKUP(D8,code!A:H,2,FALSE))/(VLOOKUP(D8,code!A:H,2,FALSE)*VLOOKUP(D8,code!A:H,3,FALSE)/100*SQRT(_xlfn.DAYS(E8+1,TODAY())/365))),
(F8-VLOOKUP(D8,code!A:H,2,FALSE))/(VLOOKUP(D8,code!A:H,2,FALSE)*VLOOKUP(D8,code!A:H,3,FALSE)/100*SQRT(_xlfn.DAYS(E8+1,TODAY()-1)/365)))</f>
        <v>已結算</v>
      </c>
    </row>
    <row r="9" spans="1:10" s="3" customFormat="1" x14ac:dyDescent="0.25">
      <c r="B9" s="16"/>
      <c r="C9" s="13">
        <v>44522</v>
      </c>
      <c r="D9" s="12" t="s">
        <v>8</v>
      </c>
      <c r="E9" s="13">
        <v>44547</v>
      </c>
      <c r="F9" s="14">
        <v>15</v>
      </c>
      <c r="G9" s="15">
        <v>7.0000000000000007E-2</v>
      </c>
      <c r="H9" s="19">
        <f t="shared" si="0"/>
        <v>1.7500000000000002E-2</v>
      </c>
      <c r="I9" s="20" t="str" cm="1">
        <f t="array" aca="1" ref="I9" ca="1">IFERROR(
    _xlfn.IFS(OR(C9="",D9="",E9="",F9=""),    "",
    TODAY()&gt;E9+1,    "已結算",
    D9&lt;&gt;0,    (F9-VLOOKUP(D9,code!A:H,2,FALSE))/(VLOOKUP(D9,code!A:H,2,FALSE)*VLOOKUP(D9,code!A:H,3,FALSE)/100*SQRT(_xlfn.DAYS(E9+1,TODAY())/365))),
(F9-VLOOKUP(D9,code!A:H,2,FALSE))/(VLOOKUP(D9,code!A:H,2,FALSE)*VLOOKUP(D9,code!A:H,3,FALSE)/100*SQRT(_xlfn.DAYS(E9+1,TODAY()-1)/365)))</f>
        <v>已結算</v>
      </c>
    </row>
    <row r="10" spans="1:10" s="3" customFormat="1" x14ac:dyDescent="0.25">
      <c r="B10" s="16"/>
      <c r="C10" s="13">
        <v>44522</v>
      </c>
      <c r="D10" s="12" t="s">
        <v>8</v>
      </c>
      <c r="E10" s="13">
        <v>44547</v>
      </c>
      <c r="F10" s="14">
        <v>15</v>
      </c>
      <c r="G10" s="15">
        <v>7.0000000000000007E-2</v>
      </c>
      <c r="H10" s="19">
        <f t="shared" si="0"/>
        <v>1.7500000000000002E-2</v>
      </c>
      <c r="I10" s="20" t="str" cm="1">
        <f t="array" aca="1" ref="I10" ca="1">IFERROR(
    _xlfn.IFS(OR(C10="",D10="",E10="",F10=""),    "",
    TODAY()&gt;E10+1,    "已結算",
    D10&lt;&gt;0,    (F10-VLOOKUP(D10,code!A:H,2,FALSE))/(VLOOKUP(D10,code!A:H,2,FALSE)*VLOOKUP(D10,code!A:H,3,FALSE)/100*SQRT(_xlfn.DAYS(E10+1,TODAY())/365))),
(F10-VLOOKUP(D10,code!A:H,2,FALSE))/(VLOOKUP(D10,code!A:H,2,FALSE)*VLOOKUP(D10,code!A:H,3,FALSE)/100*SQRT(_xlfn.DAYS(E10+1,TODAY()-1)/365)))</f>
        <v>已結算</v>
      </c>
    </row>
    <row r="11" spans="1:10" s="3" customFormat="1" x14ac:dyDescent="0.25">
      <c r="B11" s="16"/>
      <c r="C11" s="13"/>
      <c r="D11" s="12"/>
      <c r="E11" s="13"/>
      <c r="F11" s="14"/>
      <c r="G11" s="15"/>
      <c r="H11" s="19" t="str">
        <f t="shared" si="0"/>
        <v/>
      </c>
      <c r="I11" s="20" t="str" cm="1">
        <f t="array" aca="1" ref="I11" ca="1">IFERROR(
    _xlfn.IFS(OR(C11="",D11="",E11="",F11=""),    "",
    TODAY()&gt;E11+1,    "已結算",
    D11&lt;&gt;0,    (F11-VLOOKUP(D11,code!A:H,2,FALSE))/(VLOOKUP(D11,code!A:H,2,FALSE)*VLOOKUP(D11,code!A:H,3,FALSE)/100*SQRT(_xlfn.DAYS(E11+1,TODAY())/365))),
(F11-VLOOKUP(D11,code!A:H,2,FALSE))/(VLOOKUP(D11,code!A:H,2,FALSE)*VLOOKUP(D11,code!A:H,3,FALSE)/100*SQRT(_xlfn.DAYS(E11+1,TODAY()-1)/365)))</f>
        <v/>
      </c>
    </row>
    <row r="12" spans="1:10" s="3" customFormat="1" x14ac:dyDescent="0.25">
      <c r="B12" s="16"/>
      <c r="C12" s="13"/>
      <c r="D12" s="12"/>
      <c r="E12" s="13"/>
      <c r="F12" s="14"/>
      <c r="G12" s="15"/>
      <c r="H12" s="19" t="str">
        <f t="shared" si="0"/>
        <v/>
      </c>
      <c r="I12" s="20" t="str" cm="1">
        <f t="array" aca="1" ref="I12" ca="1">IFERROR(
    _xlfn.IFS(OR(C12="",D12="",E12="",F12=""),    "",
    TODAY()&gt;E12+1,    "已結算",
    D12&lt;&gt;0,    (F12-VLOOKUP(D12,code!A:H,2,FALSE))/(VLOOKUP(D12,code!A:H,2,FALSE)*VLOOKUP(D12,code!A:H,3,FALSE)/100*SQRT(_xlfn.DAYS(E12+1,TODAY())/365))),
(F12-VLOOKUP(D12,code!A:H,2,FALSE))/(VLOOKUP(D12,code!A:H,2,FALSE)*VLOOKUP(D12,code!A:H,3,FALSE)/100*SQRT(_xlfn.DAYS(E12+1,TODAY()-1)/365)))</f>
        <v/>
      </c>
    </row>
    <row r="13" spans="1:10" s="3" customFormat="1" x14ac:dyDescent="0.25">
      <c r="B13" s="16"/>
      <c r="C13" s="13"/>
      <c r="D13" s="12"/>
      <c r="E13" s="13"/>
      <c r="F13" s="14"/>
      <c r="G13" s="15"/>
      <c r="H13" s="19" t="str">
        <f t="shared" si="0"/>
        <v/>
      </c>
      <c r="I13" s="20" t="str" cm="1">
        <f t="array" aca="1" ref="I13" ca="1">IFERROR(
    _xlfn.IFS(OR(C13="",D13="",E13="",F13=""),    "",
    TODAY()&gt;E13+1,    "已結算",
    D13&lt;&gt;0,    (F13-VLOOKUP(D13,code!A:H,2,FALSE))/(VLOOKUP(D13,code!A:H,2,FALSE)*VLOOKUP(D13,code!A:H,3,FALSE)/100*SQRT(_xlfn.DAYS(E13+1,TODAY())/365))),
(F13-VLOOKUP(D13,code!A:H,2,FALSE))/(VLOOKUP(D13,code!A:H,2,FALSE)*VLOOKUP(D13,code!A:H,3,FALSE)/100*SQRT(_xlfn.DAYS(E13+1,TODAY()-1)/365)))</f>
        <v/>
      </c>
    </row>
    <row r="14" spans="1:10" x14ac:dyDescent="0.25">
      <c r="B14" s="16"/>
      <c r="H14" s="19" t="str">
        <f t="shared" si="0"/>
        <v/>
      </c>
      <c r="I14" s="20" t="str" cm="1">
        <f t="array" aca="1" ref="I14" ca="1">IFERROR(
    _xlfn.IFS(OR(C14="",D14="",E14="",F14=""),    "",
    TODAY()&gt;E14+1,    "已結算",
    D14&lt;&gt;0,    (F14-VLOOKUP(D14,code!A:H,2,FALSE))/(VLOOKUP(D14,code!A:H,2,FALSE)*VLOOKUP(D14,code!A:H,3,FALSE)/100*SQRT(_xlfn.DAYS(E14+1,TODAY())/365))),
(F14-VLOOKUP(D14,code!A:H,2,FALSE))/(VLOOKUP(D14,code!A:H,2,FALSE)*VLOOKUP(D14,code!A:H,3,FALSE)/100*SQRT(_xlfn.DAYS(E14+1,TODAY()-1)/365)))</f>
        <v/>
      </c>
    </row>
    <row r="15" spans="1:10" x14ac:dyDescent="0.25">
      <c r="B15" s="16"/>
      <c r="H15" s="19" t="str">
        <f t="shared" si="0"/>
        <v/>
      </c>
      <c r="I15" s="20" t="str" cm="1">
        <f t="array" aca="1" ref="I15" ca="1">IFERROR(
    _xlfn.IFS(OR(C15="",D15="",E15="",F15=""),    "",
    TODAY()&gt;E15+1,    "已結算",
    D15&lt;&gt;0,    (F15-VLOOKUP(D15,code!A:H,2,FALSE))/(VLOOKUP(D15,code!A:H,2,FALSE)*VLOOKUP(D15,code!A:H,3,FALSE)/100*SQRT(_xlfn.DAYS(E15+1,TODAY())/365))),
(F15-VLOOKUP(D15,code!A:H,2,FALSE))/(VLOOKUP(D15,code!A:H,2,FALSE)*VLOOKUP(D15,code!A:H,3,FALSE)/100*SQRT(_xlfn.DAYS(E15+1,TODAY()-1)/365)))</f>
        <v/>
      </c>
    </row>
    <row r="16" spans="1:10" x14ac:dyDescent="0.25">
      <c r="B16" s="16"/>
      <c r="H16" s="19" t="str">
        <f t="shared" si="0"/>
        <v/>
      </c>
      <c r="I16" s="20" t="str" cm="1">
        <f t="array" aca="1" ref="I16" ca="1">IFERROR(
    _xlfn.IFS(OR(C16="",D16="",E16="",F16=""),    "",
    TODAY()&gt;E16+1,    "已結算",
    D16&lt;&gt;0,    (F16-VLOOKUP(D16,code!A:H,2,FALSE))/(VLOOKUP(D16,code!A:H,2,FALSE)*VLOOKUP(D16,code!A:H,3,FALSE)/100*SQRT(_xlfn.DAYS(E16+1,TODAY())/365))),
(F16-VLOOKUP(D16,code!A:H,2,FALSE))/(VLOOKUP(D16,code!A:H,2,FALSE)*VLOOKUP(D16,code!A:H,3,FALSE)/100*SQRT(_xlfn.DAYS(E16+1,TODAY()-1)/365)))</f>
        <v/>
      </c>
    </row>
    <row r="17" spans="2:9" x14ac:dyDescent="0.25">
      <c r="B17" s="16"/>
      <c r="H17" s="19" t="str">
        <f t="shared" si="0"/>
        <v/>
      </c>
      <c r="I17" s="20" t="str" cm="1">
        <f t="array" aca="1" ref="I17" ca="1">IFERROR(
    _xlfn.IFS(OR(C17="",D17="",E17="",F17=""),    "",
    TODAY()&gt;E17+1,    "已結算",
    D17&lt;&gt;0,    (F17-VLOOKUP(D17,code!A:H,2,FALSE))/(VLOOKUP(D17,code!A:H,2,FALSE)*VLOOKUP(D17,code!A:H,3,FALSE)/100*SQRT(_xlfn.DAYS(E17+1,TODAY())/365))),
(F17-VLOOKUP(D17,code!A:H,2,FALSE))/(VLOOKUP(D17,code!A:H,2,FALSE)*VLOOKUP(D17,code!A:H,3,FALSE)/100*SQRT(_xlfn.DAYS(E17+1,TODAY()-1)/365)))</f>
        <v/>
      </c>
    </row>
    <row r="18" spans="2:9" x14ac:dyDescent="0.25">
      <c r="B18" s="16"/>
      <c r="H18" s="19" t="str">
        <f t="shared" si="0"/>
        <v/>
      </c>
      <c r="I18" s="20" t="str" cm="1">
        <f t="array" aca="1" ref="I18" ca="1">IFERROR(
    _xlfn.IFS(OR(C18="",D18="",E18="",F18=""),    "",
    TODAY()&gt;E18+1,    "已結算",
    D18&lt;&gt;0,    (F18-VLOOKUP(D18,code!A:H,2,FALSE))/(VLOOKUP(D18,code!A:H,2,FALSE)*VLOOKUP(D18,code!A:H,3,FALSE)/100*SQRT(_xlfn.DAYS(E18+1,TODAY())/365))),
(F18-VLOOKUP(D18,code!A:H,2,FALSE))/(VLOOKUP(D18,code!A:H,2,FALSE)*VLOOKUP(D18,code!A:H,3,FALSE)/100*SQRT(_xlfn.DAYS(E18+1,TODAY()-1)/365)))</f>
        <v/>
      </c>
    </row>
  </sheetData>
  <sheetProtection selectLockedCells="1"/>
  <autoFilter ref="B1:I1" xr:uid="{00000000-0009-0000-0000-000000000000}">
    <sortState xmlns:xlrd2="http://schemas.microsoft.com/office/spreadsheetml/2017/richdata2" ref="B2:I18">
      <sortCondition ref="E1"/>
    </sortState>
  </autoFilter>
  <phoneticPr fontId="2" type="noConversion"/>
  <conditionalFormatting sqref="I2:I18">
    <cfRule type="cellIs" dxfId="9" priority="6" operator="equal">
      <formula>"已結算"</formula>
    </cfRule>
  </conditionalFormatting>
  <conditionalFormatting sqref="I1:I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{0AFC0057-6A7D-4080-BC3C-5ADFCC44749F}</x14:id>
        </ext>
      </extLst>
    </cfRule>
    <cfRule type="cellIs" dxfId="8" priority="5" operator="lessThan">
      <formula>$I$1</formula>
    </cfRule>
  </conditionalFormatting>
  <conditionalFormatting sqref="H1:H1048576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{0C57C8CB-932F-4844-AF6B-6EBCF88B0944}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Module1.Update_Stock_Info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390525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FC0057-6A7D-4080-BC3C-5ADFCC44749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0C57C8CB-932F-4844-AF6B-6EBCF88B09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7"/>
  <dimension ref="A1:M55"/>
  <sheetViews>
    <sheetView tabSelected="1" zoomScale="175" zoomScaleNormal="175" workbookViewId="0">
      <pane ySplit="1" topLeftCell="A2" activePane="bottomLeft" state="frozen"/>
      <selection pane="bottomLeft"/>
    </sheetView>
  </sheetViews>
  <sheetFormatPr defaultRowHeight="15.75" x14ac:dyDescent="0.25"/>
  <cols>
    <col min="1" max="1" width="13.7109375" style="3" customWidth="1"/>
    <col min="2" max="2" width="7.85546875" style="11" customWidth="1"/>
    <col min="3" max="3" width="11.28515625" style="13" customWidth="1"/>
    <col min="4" max="4" width="8.28515625" style="12" customWidth="1"/>
    <col min="5" max="5" width="11.28515625" style="13" customWidth="1"/>
    <col min="6" max="6" width="11.85546875" style="12" customWidth="1"/>
    <col min="7" max="7" width="10.7109375" style="44" customWidth="1"/>
    <col min="8" max="8" width="22" style="29" customWidth="1"/>
    <col min="9" max="9" width="10" style="37" customWidth="1"/>
    <col min="10" max="10" width="14.42578125" style="32" customWidth="1"/>
    <col min="11" max="11" width="7.5703125" style="1" customWidth="1"/>
    <col min="12" max="12" width="7.5703125" style="18" customWidth="1"/>
    <col min="13" max="16384" width="9.140625" style="3"/>
  </cols>
  <sheetData>
    <row r="1" spans="1:13" ht="16.5" thickBot="1" x14ac:dyDescent="0.3">
      <c r="A1" s="42">
        <v>44579.928773148145</v>
      </c>
      <c r="B1" s="40" t="s">
        <v>46</v>
      </c>
      <c r="C1" s="25" t="s">
        <v>0</v>
      </c>
      <c r="D1" s="26" t="s">
        <v>1</v>
      </c>
      <c r="E1" s="25" t="s">
        <v>2</v>
      </c>
      <c r="F1" s="30" t="s">
        <v>3</v>
      </c>
      <c r="G1" s="30" t="s">
        <v>4</v>
      </c>
      <c r="H1" s="30" t="s">
        <v>9</v>
      </c>
      <c r="I1" s="28">
        <v>1.5</v>
      </c>
      <c r="J1" s="43">
        <v>0.02</v>
      </c>
      <c r="K1" s="17" t="s">
        <v>10</v>
      </c>
      <c r="L1" s="33" t="s">
        <v>11</v>
      </c>
      <c r="M1" s="41">
        <v>29.0859375</v>
      </c>
    </row>
    <row r="2" spans="1:13" x14ac:dyDescent="0.25">
      <c r="C2" s="13">
        <v>44557</v>
      </c>
      <c r="D2" s="12" t="s">
        <v>6</v>
      </c>
      <c r="E2" s="13">
        <v>44582</v>
      </c>
      <c r="H2" s="29" t="str">
        <f t="shared" ref="H2:H33" si="0">IF(OR(C2="",D2="",E2="",F2="",G2=""),"",
G2 / ((YEAR(E2)-YEAR(C2))*52+WEEKNUM(E2)-WEEKNUM(C2)+1)
*100/L2*1000)</f>
        <v/>
      </c>
      <c r="I2" s="36" t="str" cm="1">
        <f t="array" aca="1" ref="I2" ca="1">IFERROR(
    _xlfn.IFS(OR(C2="",D2="",E2="",F2="",G2=""),    "",
    TODAY()&gt;E2+1,    "已結算",
    D2&lt;&gt;0,    (VLOOKUP(D2,code!I:P,2,FALSE)-F2)/(VLOOKUP(D2,code!I:P,2,FALSE)*VLOOKUP(D2,code!I:P,3,FALSE)/100*SQRT(_xlfn.DAYS(E2+1,TODAY())/365))),
(VLOOKUP(D2,code!I:P,2,FALSE)-F2)/(VLOOKUP(D2,code!I:P,2,FALSE)*VLOOKUP(D2,code!I:P,3,FALSE)/100*SQRT(_xlfn.DAYS(E2+1,TODAY()-1)/365)))</f>
        <v/>
      </c>
      <c r="J2" s="31" t="str">
        <f>IF(OR(C2="",D2="",E2="",F2="",G2=""),"",
G2 / (F2-G2) / ((YEAR(E2)-YEAR(C2))*52+WEEKNUM(E2)-WEEKNUM(C2)+1) * 52/12)</f>
        <v/>
      </c>
      <c r="K2" s="2" t="str">
        <f t="shared" ref="K2:K55" si="1">IF(OR(C2="",D2="",E2="",F2="",G2=""),"",
VLOOKUP(D2,put,8,FALSE))</f>
        <v/>
      </c>
      <c r="L2" s="34" t="str">
        <f t="shared" ref="L2:L55" si="2">IF(K2="","",F2*K2*100)</f>
        <v/>
      </c>
    </row>
    <row r="3" spans="1:13" x14ac:dyDescent="0.25">
      <c r="C3" s="13">
        <v>44557</v>
      </c>
      <c r="D3" s="12" t="s">
        <v>6</v>
      </c>
      <c r="E3" s="13">
        <v>44582</v>
      </c>
      <c r="F3" s="12">
        <v>7.5</v>
      </c>
      <c r="G3" s="44">
        <v>0.02</v>
      </c>
      <c r="H3" s="29">
        <f t="shared" si="0"/>
        <v>1.4814814814814814</v>
      </c>
      <c r="I3" s="36" t="str" cm="1">
        <f t="array" aca="1" ref="I3" ca="1">IFERROR(
    _xlfn.IFS(OR(C3="",D3="",E3="",F3="",G3=""),    "",
    TODAY()&gt;E3+1,    "已結算",
    D3&lt;&gt;0,    (VLOOKUP(D3,code!I:P,2,FALSE)-F3)/(VLOOKUP(D3,code!I:P,2,FALSE)*VLOOKUP(D3,code!I:P,3,FALSE)/100*SQRT(_xlfn.DAYS(E3+1,TODAY())/365))),
(VLOOKUP(D3,code!I:P,2,FALSE)-F3)/(VLOOKUP(D3,code!I:P,2,FALSE)*VLOOKUP(D3,code!I:P,3,FALSE)/100*SQRT(_xlfn.DAYS(E3+1,TODAY()-1)/365)))</f>
        <v>已結算</v>
      </c>
      <c r="J3" s="31">
        <f t="shared" ref="J3:J33" si="3">IF(OR(C3="",D3="",E3="",F3="",G3=""),"",
G3 / (F3-G3) / ((YEAR(E3)-YEAR(C3))*52+WEEKNUM(E3)-WEEKNUM(C3)+1) * 52/12)</f>
        <v>2.8966131907308379E-3</v>
      </c>
      <c r="K3" s="2">
        <f>IF(OR(C3="",D3="",E3="",F3="",G3=""),"",
VLOOKUP(D3,put,8,FALSE))</f>
        <v>0.45</v>
      </c>
      <c r="L3" s="34">
        <f t="shared" si="2"/>
        <v>337.5</v>
      </c>
    </row>
    <row r="4" spans="1:13" x14ac:dyDescent="0.25">
      <c r="C4" s="13">
        <v>44557</v>
      </c>
      <c r="D4" s="12" t="s">
        <v>6</v>
      </c>
      <c r="E4" s="13">
        <v>44582</v>
      </c>
      <c r="F4" s="12">
        <v>8</v>
      </c>
      <c r="G4" s="44">
        <v>0.04</v>
      </c>
      <c r="H4" s="29">
        <f t="shared" si="0"/>
        <v>2.7777777777777777</v>
      </c>
      <c r="I4" s="36" t="str" cm="1">
        <f t="array" aca="1" ref="I4" ca="1">IFERROR(
    _xlfn.IFS(OR(C4="",D4="",E4="",F4="",G4=""),    "",
    TODAY()&gt;E4+1,    "已結算",
    D4&lt;&gt;0,    (VLOOKUP(D4,code!I:P,2,FALSE)-F4)/(VLOOKUP(D4,code!I:P,2,FALSE)*VLOOKUP(D4,code!I:P,3,FALSE)/100*SQRT(_xlfn.DAYS(E4+1,TODAY())/365))),
(VLOOKUP(D4,code!I:P,2,FALSE)-F4)/(VLOOKUP(D4,code!I:P,2,FALSE)*VLOOKUP(D4,code!I:P,3,FALSE)/100*SQRT(_xlfn.DAYS(E4+1,TODAY()-1)/365)))</f>
        <v>已結算</v>
      </c>
      <c r="J4" s="31">
        <f t="shared" si="3"/>
        <v>5.4438860971524295E-3</v>
      </c>
      <c r="K4" s="2">
        <f t="shared" si="1"/>
        <v>0.45</v>
      </c>
      <c r="L4" s="34">
        <f t="shared" si="2"/>
        <v>360</v>
      </c>
    </row>
    <row r="5" spans="1:13" x14ac:dyDescent="0.25">
      <c r="C5" s="13">
        <v>44557</v>
      </c>
      <c r="D5" s="12" t="s">
        <v>33</v>
      </c>
      <c r="E5" s="13">
        <v>44582</v>
      </c>
      <c r="H5" s="29" t="str">
        <f t="shared" si="0"/>
        <v/>
      </c>
      <c r="I5" s="36" t="str" cm="1">
        <f t="array" aca="1" ref="I5" ca="1">IFERROR(
    _xlfn.IFS(OR(C5="",D5="",E5="",F5="",G5=""),    "",
    TODAY()&gt;E5+1,    "已結算",
    D5&lt;&gt;0,    (VLOOKUP(D5,code!I:P,2,FALSE)-F5)/(VLOOKUP(D5,code!I:P,2,FALSE)*VLOOKUP(D5,code!I:P,3,FALSE)/100*SQRT(_xlfn.DAYS(E5+1,TODAY())/365))),
(VLOOKUP(D5,code!I:P,2,FALSE)-F5)/(VLOOKUP(D5,code!I:P,2,FALSE)*VLOOKUP(D5,code!I:P,3,FALSE)/100*SQRT(_xlfn.DAYS(E5+1,TODAY()-1)/365)))</f>
        <v/>
      </c>
      <c r="J5" s="31" t="str">
        <f t="shared" si="3"/>
        <v/>
      </c>
      <c r="K5" s="2" t="str">
        <f t="shared" si="1"/>
        <v/>
      </c>
      <c r="L5" s="34" t="str">
        <f t="shared" si="2"/>
        <v/>
      </c>
    </row>
    <row r="6" spans="1:13" x14ac:dyDescent="0.25">
      <c r="C6" s="13">
        <v>44557</v>
      </c>
      <c r="D6" s="12" t="s">
        <v>33</v>
      </c>
      <c r="E6" s="13">
        <v>44582</v>
      </c>
      <c r="H6" s="29" t="str">
        <f t="shared" si="0"/>
        <v/>
      </c>
      <c r="I6" s="36" t="str" cm="1">
        <f t="array" aca="1" ref="I6" ca="1">IFERROR(
    _xlfn.IFS(OR(C6="",D6="",E6="",F6="",G6=""),    "",
    TODAY()&gt;E6+1,    "已結算",
    D6&lt;&gt;0,    (VLOOKUP(D6,code!I:P,2,FALSE)-F6)/(VLOOKUP(D6,code!I:P,2,FALSE)*VLOOKUP(D6,code!I:P,3,FALSE)/100*SQRT(_xlfn.DAYS(E6+1,TODAY())/365))),
(VLOOKUP(D6,code!I:P,2,FALSE)-F6)/(VLOOKUP(D6,code!I:P,2,FALSE)*VLOOKUP(D6,code!I:P,3,FALSE)/100*SQRT(_xlfn.DAYS(E6+1,TODAY()-1)/365)))</f>
        <v/>
      </c>
      <c r="J6" s="31" t="str">
        <f t="shared" si="3"/>
        <v/>
      </c>
      <c r="K6" s="2" t="str">
        <f t="shared" si="1"/>
        <v/>
      </c>
      <c r="L6" s="34" t="str">
        <f t="shared" si="2"/>
        <v/>
      </c>
    </row>
    <row r="7" spans="1:13" x14ac:dyDescent="0.25">
      <c r="C7" s="13">
        <v>44557</v>
      </c>
      <c r="D7" s="12" t="s">
        <v>33</v>
      </c>
      <c r="E7" s="13">
        <v>44582</v>
      </c>
      <c r="F7" s="12">
        <v>14.4</v>
      </c>
      <c r="G7" s="44">
        <v>0.1</v>
      </c>
      <c r="H7" s="29">
        <f t="shared" si="0"/>
        <v>3.4722222222222219</v>
      </c>
      <c r="I7" s="36" t="str" cm="1">
        <f t="array" aca="1" ref="I7" ca="1">IFERROR(
    _xlfn.IFS(OR(C7="",D7="",E7="",F7="",G7=""),    "",
    TODAY()&gt;E7+1,    "已結算",
    D7&lt;&gt;0,    (VLOOKUP(D7,code!I:P,2,FALSE)-F7)/(VLOOKUP(D7,code!I:P,2,FALSE)*VLOOKUP(D7,code!I:P,3,FALSE)/100*SQRT(_xlfn.DAYS(E7+1,TODAY())/365))),
(VLOOKUP(D7,code!I:P,2,FALSE)-F7)/(VLOOKUP(D7,code!I:P,2,FALSE)*VLOOKUP(D7,code!I:P,3,FALSE)/100*SQRT(_xlfn.DAYS(E7+1,TODAY()-1)/365)))</f>
        <v>已結算</v>
      </c>
      <c r="J7" s="31">
        <f t="shared" si="3"/>
        <v>7.575757575757576E-3</v>
      </c>
      <c r="K7" s="2">
        <f t="shared" si="1"/>
        <v>0.5</v>
      </c>
      <c r="L7" s="34">
        <f t="shared" si="2"/>
        <v>720</v>
      </c>
    </row>
    <row r="8" spans="1:13" x14ac:dyDescent="0.25">
      <c r="C8" s="13">
        <v>44557</v>
      </c>
      <c r="D8" s="12" t="s">
        <v>21</v>
      </c>
      <c r="E8" s="13">
        <v>44582</v>
      </c>
      <c r="H8" s="29" t="str">
        <f t="shared" si="0"/>
        <v/>
      </c>
      <c r="I8" s="36" t="str" cm="1">
        <f t="array" aca="1" ref="I8" ca="1">IFERROR(
    _xlfn.IFS(OR(C8="",D8="",E8="",F8="",G8=""),    "",
    TODAY()&gt;E8+1,    "已結算",
    D8&lt;&gt;0,    (VLOOKUP(D8,code!I:P,2,FALSE)-F8)/(VLOOKUP(D8,code!I:P,2,FALSE)*VLOOKUP(D8,code!I:P,3,FALSE)/100*SQRT(_xlfn.DAYS(E8+1,TODAY())/365))),
(VLOOKUP(D8,code!I:P,2,FALSE)-F8)/(VLOOKUP(D8,code!I:P,2,FALSE)*VLOOKUP(D8,code!I:P,3,FALSE)/100*SQRT(_xlfn.DAYS(E8+1,TODAY()-1)/365)))</f>
        <v/>
      </c>
      <c r="J8" s="31" t="str">
        <f t="shared" si="3"/>
        <v/>
      </c>
      <c r="K8" s="2" t="str">
        <f t="shared" si="1"/>
        <v/>
      </c>
      <c r="L8" s="34" t="str">
        <f t="shared" si="2"/>
        <v/>
      </c>
    </row>
    <row r="9" spans="1:13" x14ac:dyDescent="0.25">
      <c r="C9" s="13">
        <v>44557</v>
      </c>
      <c r="D9" s="12" t="s">
        <v>21</v>
      </c>
      <c r="E9" s="13">
        <v>44582</v>
      </c>
      <c r="F9" s="12">
        <v>25</v>
      </c>
      <c r="G9" s="44">
        <v>0.2</v>
      </c>
      <c r="H9" s="29">
        <f t="shared" si="0"/>
        <v>4</v>
      </c>
      <c r="I9" s="36" t="str" cm="1">
        <f t="array" aca="1" ref="I9" ca="1">IFERROR(
    _xlfn.IFS(OR(C9="",D9="",E9="",F9="",G9=""),    "",
    TODAY()&gt;E9+1,    "已結算",
    D9&lt;&gt;0,    (VLOOKUP(D9,code!I:P,2,FALSE)-F9)/(VLOOKUP(D9,code!I:P,2,FALSE)*VLOOKUP(D9,code!I:P,3,FALSE)/100*SQRT(_xlfn.DAYS(E9+1,TODAY())/365))),
(VLOOKUP(D9,code!I:P,2,FALSE)-F9)/(VLOOKUP(D9,code!I:P,2,FALSE)*VLOOKUP(D9,code!I:P,3,FALSE)/100*SQRT(_xlfn.DAYS(E9+1,TODAY()-1)/365)))</f>
        <v>已結算</v>
      </c>
      <c r="J9" s="31">
        <f t="shared" si="3"/>
        <v>8.7365591397849454E-3</v>
      </c>
      <c r="K9" s="2">
        <f t="shared" si="1"/>
        <v>0.5</v>
      </c>
      <c r="L9" s="34">
        <f t="shared" si="2"/>
        <v>1250</v>
      </c>
    </row>
    <row r="10" spans="1:13" x14ac:dyDescent="0.25">
      <c r="C10" s="13">
        <v>44557</v>
      </c>
      <c r="D10" s="12" t="s">
        <v>21</v>
      </c>
      <c r="E10" s="13">
        <v>44582</v>
      </c>
      <c r="H10" s="29" t="str">
        <f t="shared" si="0"/>
        <v/>
      </c>
      <c r="I10" s="36" t="str" cm="1">
        <f t="array" aca="1" ref="I10" ca="1">IFERROR(
    _xlfn.IFS(OR(C10="",D10="",E10="",F10="",G10=""),    "",
    TODAY()&gt;E10+1,    "已結算",
    D10&lt;&gt;0,    (VLOOKUP(D10,code!I:P,2,FALSE)-F10)/(VLOOKUP(D10,code!I:P,2,FALSE)*VLOOKUP(D10,code!I:P,3,FALSE)/100*SQRT(_xlfn.DAYS(E10+1,TODAY())/365))),
(VLOOKUP(D10,code!I:P,2,FALSE)-F10)/(VLOOKUP(D10,code!I:P,2,FALSE)*VLOOKUP(D10,code!I:P,3,FALSE)/100*SQRT(_xlfn.DAYS(E10+1,TODAY()-1)/365)))</f>
        <v/>
      </c>
      <c r="J10" s="31" t="str">
        <f t="shared" si="3"/>
        <v/>
      </c>
      <c r="K10" s="2" t="str">
        <f t="shared" si="1"/>
        <v/>
      </c>
      <c r="L10" s="34" t="str">
        <f t="shared" si="2"/>
        <v/>
      </c>
    </row>
    <row r="11" spans="1:13" x14ac:dyDescent="0.25">
      <c r="C11" s="13">
        <v>44557</v>
      </c>
      <c r="D11" s="12" t="s">
        <v>22</v>
      </c>
      <c r="E11" s="13">
        <v>44582</v>
      </c>
      <c r="H11" s="29" t="str">
        <f t="shared" si="0"/>
        <v/>
      </c>
      <c r="I11" s="36" t="str" cm="1">
        <f t="array" aca="1" ref="I11" ca="1">IFERROR(
    _xlfn.IFS(OR(C11="",D11="",E11="",F11="",G11=""),    "",
    TODAY()&gt;E11+1,    "已結算",
    D11&lt;&gt;0,    (VLOOKUP(D11,code!I:P,2,FALSE)-F11)/(VLOOKUP(D11,code!I:P,2,FALSE)*VLOOKUP(D11,code!I:P,3,FALSE)/100*SQRT(_xlfn.DAYS(E11+1,TODAY())/365))),
(VLOOKUP(D11,code!I:P,2,FALSE)-F11)/(VLOOKUP(D11,code!I:P,2,FALSE)*VLOOKUP(D11,code!I:P,3,FALSE)/100*SQRT(_xlfn.DAYS(E11+1,TODAY()-1)/365)))</f>
        <v/>
      </c>
      <c r="J11" s="31" t="str">
        <f t="shared" si="3"/>
        <v/>
      </c>
      <c r="K11" s="2" t="str">
        <f t="shared" si="1"/>
        <v/>
      </c>
      <c r="L11" s="34" t="str">
        <f t="shared" si="2"/>
        <v/>
      </c>
    </row>
    <row r="12" spans="1:13" x14ac:dyDescent="0.25">
      <c r="C12" s="13">
        <v>44557</v>
      </c>
      <c r="D12" s="12" t="s">
        <v>22</v>
      </c>
      <c r="E12" s="13">
        <v>44582</v>
      </c>
      <c r="H12" s="29" t="str">
        <f t="shared" si="0"/>
        <v/>
      </c>
      <c r="I12" s="36" t="str" cm="1">
        <f t="array" aca="1" ref="I12" ca="1">IFERROR(
    _xlfn.IFS(OR(C12="",D12="",E12="",F12="",G12=""),    "",
    TODAY()&gt;E12+1,    "已結算",
    D12&lt;&gt;0,    (VLOOKUP(D12,code!I:P,2,FALSE)-F12)/(VLOOKUP(D12,code!I:P,2,FALSE)*VLOOKUP(D12,code!I:P,3,FALSE)/100*SQRT(_xlfn.DAYS(E12+1,TODAY())/365))),
(VLOOKUP(D12,code!I:P,2,FALSE)-F12)/(VLOOKUP(D12,code!I:P,2,FALSE)*VLOOKUP(D12,code!I:P,3,FALSE)/100*SQRT(_xlfn.DAYS(E12+1,TODAY()-1)/365)))</f>
        <v/>
      </c>
      <c r="J12" s="31" t="str">
        <f t="shared" si="3"/>
        <v/>
      </c>
      <c r="K12" s="2" t="str">
        <f t="shared" si="1"/>
        <v/>
      </c>
      <c r="L12" s="34" t="str">
        <f t="shared" si="2"/>
        <v/>
      </c>
    </row>
    <row r="13" spans="1:13" x14ac:dyDescent="0.25">
      <c r="C13" s="13">
        <v>44557</v>
      </c>
      <c r="D13" s="12" t="s">
        <v>22</v>
      </c>
      <c r="E13" s="13">
        <v>44582</v>
      </c>
      <c r="H13" s="29" t="str">
        <f t="shared" si="0"/>
        <v/>
      </c>
      <c r="I13" s="36" t="str" cm="1">
        <f t="array" aca="1" ref="I13" ca="1">IFERROR(
    _xlfn.IFS(OR(C13="",D13="",E13="",F13="",G13=""),    "",
    TODAY()&gt;E13+1,    "已結算",
    D13&lt;&gt;0,    (VLOOKUP(D13,code!I:P,2,FALSE)-F13)/(VLOOKUP(D13,code!I:P,2,FALSE)*VLOOKUP(D13,code!I:P,3,FALSE)/100*SQRT(_xlfn.DAYS(E13+1,TODAY())/365))),
(VLOOKUP(D13,code!I:P,2,FALSE)-F13)/(VLOOKUP(D13,code!I:P,2,FALSE)*VLOOKUP(D13,code!I:P,3,FALSE)/100*SQRT(_xlfn.DAYS(E13+1,TODAY()-1)/365)))</f>
        <v/>
      </c>
      <c r="J13" s="31" t="str">
        <f t="shared" si="3"/>
        <v/>
      </c>
      <c r="K13" s="2" t="str">
        <f t="shared" si="1"/>
        <v/>
      </c>
      <c r="L13" s="34" t="str">
        <f t="shared" si="2"/>
        <v/>
      </c>
    </row>
    <row r="14" spans="1:13" x14ac:dyDescent="0.25">
      <c r="C14" s="13">
        <v>44557</v>
      </c>
      <c r="D14" s="12" t="s">
        <v>8</v>
      </c>
      <c r="E14" s="13">
        <v>44582</v>
      </c>
      <c r="H14" s="29" t="str">
        <f>IF(OR(C14="",D14="",E14="",F14="",G14=""),"",
G14 / ((YEAR(E14)-YEAR(C14))*52+WEEKNUM(E14)-WEEKNUM(C14)+1)
*100/L14*1000)</f>
        <v/>
      </c>
      <c r="I14" s="36" t="str" cm="1">
        <f t="array" aca="1" ref="I14" ca="1">IFERROR(
    _xlfn.IFS(OR(C14="",D14="",E14="",F14="",G14=""),    "",
    TODAY()&gt;E14+1,    "已結算",
    D14&lt;&gt;0,    (VLOOKUP(D14,code!I:P,2,FALSE)-F14)/(VLOOKUP(D14,code!I:P,2,FALSE)*VLOOKUP(D14,code!I:P,3,FALSE)/100*SQRT(_xlfn.DAYS(E14+1,TODAY())/365))),
(VLOOKUP(D14,code!I:P,2,FALSE)-F14)/(VLOOKUP(D14,code!I:P,2,FALSE)*VLOOKUP(D14,code!I:P,3,FALSE)/100*SQRT(_xlfn.DAYS(E14+1,TODAY()-1)/365)))</f>
        <v/>
      </c>
      <c r="J14" s="31" t="str">
        <f t="shared" si="3"/>
        <v/>
      </c>
      <c r="K14" s="2" t="str">
        <f t="shared" si="1"/>
        <v/>
      </c>
      <c r="L14" s="34" t="str">
        <f t="shared" si="2"/>
        <v/>
      </c>
    </row>
    <row r="15" spans="1:13" x14ac:dyDescent="0.25">
      <c r="C15" s="13">
        <v>44557</v>
      </c>
      <c r="D15" s="12" t="s">
        <v>8</v>
      </c>
      <c r="E15" s="13">
        <v>44582</v>
      </c>
      <c r="H15" s="29" t="str">
        <f t="shared" si="0"/>
        <v/>
      </c>
      <c r="I15" s="36" t="str" cm="1">
        <f t="array" aca="1" ref="I15" ca="1">IFERROR(
    _xlfn.IFS(OR(C15="",D15="",E15="",F15="",G15=""),    "",
    TODAY()&gt;E15+1,    "已結算",
    D15&lt;&gt;0,    (VLOOKUP(D15,code!I:P,2,FALSE)-F15)/(VLOOKUP(D15,code!I:P,2,FALSE)*VLOOKUP(D15,code!I:P,3,FALSE)/100*SQRT(_xlfn.DAYS(E15+1,TODAY())/365))),
(VLOOKUP(D15,code!I:P,2,FALSE)-F15)/(VLOOKUP(D15,code!I:P,2,FALSE)*VLOOKUP(D15,code!I:P,3,FALSE)/100*SQRT(_xlfn.DAYS(E15+1,TODAY()-1)/365)))</f>
        <v/>
      </c>
      <c r="J15" s="31" t="str">
        <f t="shared" si="3"/>
        <v/>
      </c>
      <c r="K15" s="2" t="str">
        <f t="shared" si="1"/>
        <v/>
      </c>
      <c r="L15" s="34" t="str">
        <f t="shared" si="2"/>
        <v/>
      </c>
    </row>
    <row r="16" spans="1:13" x14ac:dyDescent="0.25">
      <c r="C16" s="13">
        <v>44557</v>
      </c>
      <c r="D16" s="12" t="s">
        <v>63</v>
      </c>
      <c r="E16" s="13">
        <v>44582</v>
      </c>
      <c r="H16" s="29" t="str">
        <f t="shared" si="0"/>
        <v/>
      </c>
      <c r="I16" s="36" t="str" cm="1">
        <f t="array" aca="1" ref="I16" ca="1">IFERROR(
    _xlfn.IFS(OR(C16="",D16="",E16="",F16="",G16=""),    "",
    TODAY()&gt;E16+1,    "已結算",
    D16&lt;&gt;0,    (VLOOKUP(D16,code!I:P,2,FALSE)-F16)/(VLOOKUP(D16,code!I:P,2,FALSE)*VLOOKUP(D16,code!I:P,3,FALSE)/100*SQRT(_xlfn.DAYS(E16+1,TODAY())/365))),
(VLOOKUP(D16,code!I:P,2,FALSE)-F16)/(VLOOKUP(D16,code!I:P,2,FALSE)*VLOOKUP(D16,code!I:P,3,FALSE)/100*SQRT(_xlfn.DAYS(E16+1,TODAY()-1)/365)))</f>
        <v/>
      </c>
      <c r="J16" s="31" t="str">
        <f t="shared" si="3"/>
        <v/>
      </c>
      <c r="K16" s="2" t="str">
        <f t="shared" si="1"/>
        <v/>
      </c>
      <c r="L16" s="34" t="str">
        <f t="shared" si="2"/>
        <v/>
      </c>
    </row>
    <row r="17" spans="3:12" x14ac:dyDescent="0.25">
      <c r="C17" s="13">
        <v>44557</v>
      </c>
      <c r="D17" s="12" t="s">
        <v>63</v>
      </c>
      <c r="E17" s="13">
        <v>44582</v>
      </c>
      <c r="H17" s="29" t="str">
        <f t="shared" si="0"/>
        <v/>
      </c>
      <c r="I17" s="36" t="str" cm="1">
        <f t="array" aca="1" ref="I17" ca="1">IFERROR(
    _xlfn.IFS(OR(C17="",D17="",E17="",F17="",G17=""),    "",
    TODAY()&gt;E17+1,    "已結算",
    D17&lt;&gt;0,    (VLOOKUP(D17,code!I:P,2,FALSE)-F17)/(VLOOKUP(D17,code!I:P,2,FALSE)*VLOOKUP(D17,code!I:P,3,FALSE)/100*SQRT(_xlfn.DAYS(E17+1,TODAY())/365))),
(VLOOKUP(D17,code!I:P,2,FALSE)-F17)/(VLOOKUP(D17,code!I:P,2,FALSE)*VLOOKUP(D17,code!I:P,3,FALSE)/100*SQRT(_xlfn.DAYS(E17+1,TODAY()-1)/365)))</f>
        <v/>
      </c>
      <c r="J17" s="31" t="str">
        <f t="shared" si="3"/>
        <v/>
      </c>
      <c r="K17" s="2" t="str">
        <f t="shared" si="1"/>
        <v/>
      </c>
      <c r="L17" s="34" t="str">
        <f t="shared" si="2"/>
        <v/>
      </c>
    </row>
    <row r="18" spans="3:12" x14ac:dyDescent="0.25">
      <c r="C18" s="13">
        <v>44557</v>
      </c>
      <c r="D18" s="12" t="s">
        <v>63</v>
      </c>
      <c r="E18" s="13">
        <v>44582</v>
      </c>
      <c r="H18" s="29" t="str">
        <f>IF(OR(C18="",D18="",E18="",F18="",G18=""),"",
G18 / ((YEAR(E18)-YEAR(C18))*52+WEEKNUM(E18)-WEEKNUM(C18)+1)
*100/L18*1000)</f>
        <v/>
      </c>
      <c r="I18" s="36" t="str" cm="1">
        <f t="array" aca="1" ref="I18" ca="1">IFERROR(
    _xlfn.IFS(OR(C18="",D18="",E18="",F18="",G18=""),    "",
    TODAY()&gt;E18+1,    "已結算",
    D18&lt;&gt;0,    (VLOOKUP(D18,code!I:P,2,FALSE)-F18)/(VLOOKUP(D18,code!I:P,2,FALSE)*VLOOKUP(D18,code!I:P,3,FALSE)/100*SQRT(_xlfn.DAYS(E18+1,TODAY())/365))),
(VLOOKUP(D18,code!I:P,2,FALSE)-F18)/(VLOOKUP(D18,code!I:P,2,FALSE)*VLOOKUP(D18,code!I:P,3,FALSE)/100*SQRT(_xlfn.DAYS(E18+1,TODAY()-1)/365)))</f>
        <v/>
      </c>
      <c r="J18" s="31" t="str">
        <f>IF(OR(C18="",D18="",E18="",F18="",G18=""),"",
G18 / (F18-G18) / ((YEAR(E18)-YEAR(C18))*52+WEEKNUM(E18)-WEEKNUM(C18)+1) * 52/12)</f>
        <v/>
      </c>
      <c r="K18" s="2" t="str">
        <f t="shared" si="1"/>
        <v/>
      </c>
      <c r="L18" s="34" t="str">
        <f t="shared" si="2"/>
        <v/>
      </c>
    </row>
    <row r="19" spans="3:12" x14ac:dyDescent="0.25">
      <c r="H19" s="29" t="str">
        <f t="shared" si="0"/>
        <v/>
      </c>
      <c r="I19" s="36" t="str" cm="1">
        <f t="array" aca="1" ref="I19" ca="1">IFERROR(
    _xlfn.IFS(OR(C19="",D19="",E19="",F19="",G19=""),    "",
    TODAY()&gt;E19+1,    "已結算",
    D19&lt;&gt;0,    (VLOOKUP(D19,code!I:P,2,FALSE)-F19)/(VLOOKUP(D19,code!I:P,2,FALSE)*VLOOKUP(D19,code!I:P,3,FALSE)/100*SQRT(_xlfn.DAYS(E19+1,TODAY())/365))),
(VLOOKUP(D19,code!I:P,2,FALSE)-F19)/(VLOOKUP(D19,code!I:P,2,FALSE)*VLOOKUP(D19,code!I:P,3,FALSE)/100*SQRT(_xlfn.DAYS(E19+1,TODAY()-1)/365)))</f>
        <v/>
      </c>
      <c r="J19" s="31" t="str">
        <f t="shared" si="3"/>
        <v/>
      </c>
      <c r="K19" s="2" t="str">
        <f t="shared" si="1"/>
        <v/>
      </c>
      <c r="L19" s="34" t="str">
        <f t="shared" si="2"/>
        <v/>
      </c>
    </row>
    <row r="20" spans="3:12" x14ac:dyDescent="0.25">
      <c r="H20" s="29" t="str">
        <f t="shared" si="0"/>
        <v/>
      </c>
      <c r="I20" s="36" t="str" cm="1">
        <f t="array" aca="1" ref="I20" ca="1">IFERROR(
    _xlfn.IFS(OR(C20="",D20="",E20="",F20="",G20=""),    "",
    TODAY()&gt;E20+1,    "已結算",
    D20&lt;&gt;0,    (VLOOKUP(D20,code!I:P,2,FALSE)-F20)/(VLOOKUP(D20,code!I:P,2,FALSE)*VLOOKUP(D20,code!I:P,3,FALSE)/100*SQRT(_xlfn.DAYS(E20+1,TODAY())/365))),
(VLOOKUP(D20,code!I:P,2,FALSE)-F20)/(VLOOKUP(D20,code!I:P,2,FALSE)*VLOOKUP(D20,code!I:P,3,FALSE)/100*SQRT(_xlfn.DAYS(E20+1,TODAY()-1)/365)))</f>
        <v/>
      </c>
      <c r="J20" s="31" t="str">
        <f t="shared" si="3"/>
        <v/>
      </c>
      <c r="K20" s="2" t="str">
        <f t="shared" si="1"/>
        <v/>
      </c>
      <c r="L20" s="34" t="str">
        <f t="shared" si="2"/>
        <v/>
      </c>
    </row>
    <row r="21" spans="3:12" x14ac:dyDescent="0.25">
      <c r="H21" s="29" t="str">
        <f t="shared" si="0"/>
        <v/>
      </c>
      <c r="I21" s="36" t="str" cm="1">
        <f t="array" aca="1" ref="I21" ca="1">IFERROR(
    _xlfn.IFS(OR(C21="",D21="",E21="",F21="",G21=""),    "",
    TODAY()&gt;E21+1,    "已結算",
    D21&lt;&gt;0,    (VLOOKUP(D21,code!I:P,2,FALSE)-F21)/(VLOOKUP(D21,code!I:P,2,FALSE)*VLOOKUP(D21,code!I:P,3,FALSE)/100*SQRT(_xlfn.DAYS(E21+1,TODAY())/365))),
(VLOOKUP(D21,code!I:P,2,FALSE)-F21)/(VLOOKUP(D21,code!I:P,2,FALSE)*VLOOKUP(D21,code!I:P,3,FALSE)/100*SQRT(_xlfn.DAYS(E21+1,TODAY()-1)/365)))</f>
        <v/>
      </c>
      <c r="J21" s="31" t="str">
        <f t="shared" si="3"/>
        <v/>
      </c>
      <c r="K21" s="2" t="str">
        <f t="shared" si="1"/>
        <v/>
      </c>
      <c r="L21" s="34" t="str">
        <f t="shared" si="2"/>
        <v/>
      </c>
    </row>
    <row r="22" spans="3:12" x14ac:dyDescent="0.25">
      <c r="H22" s="29" t="str">
        <f t="shared" si="0"/>
        <v/>
      </c>
      <c r="I22" s="36" t="str" cm="1">
        <f t="array" aca="1" ref="I22" ca="1">IFERROR(
    _xlfn.IFS(OR(C22="",D22="",E22="",F22="",G22=""),    "",
    TODAY()&gt;E22+1,    "已結算",
    D22&lt;&gt;0,    (VLOOKUP(D22,code!I:P,2,FALSE)-F22)/(VLOOKUP(D22,code!I:P,2,FALSE)*VLOOKUP(D22,code!I:P,3,FALSE)/100*SQRT(_xlfn.DAYS(E22+1,TODAY())/365))),
(VLOOKUP(D22,code!I:P,2,FALSE)-F22)/(VLOOKUP(D22,code!I:P,2,FALSE)*VLOOKUP(D22,code!I:P,3,FALSE)/100*SQRT(_xlfn.DAYS(E22+1,TODAY()-1)/365)))</f>
        <v/>
      </c>
      <c r="J22" s="31" t="str">
        <f t="shared" si="3"/>
        <v/>
      </c>
      <c r="K22" s="2" t="str">
        <f t="shared" si="1"/>
        <v/>
      </c>
      <c r="L22" s="34" t="str">
        <f t="shared" si="2"/>
        <v/>
      </c>
    </row>
    <row r="23" spans="3:12" x14ac:dyDescent="0.25">
      <c r="H23" s="29" t="str">
        <f t="shared" si="0"/>
        <v/>
      </c>
      <c r="I23" s="36" t="str" cm="1">
        <f t="array" aca="1" ref="I23" ca="1">IFERROR(
    _xlfn.IFS(OR(C23="",D23="",E23="",F23="",G23=""),    "",
    TODAY()&gt;E23+1,    "已結算",
    D23&lt;&gt;0,    (VLOOKUP(D23,code!I:P,2,FALSE)-F23)/(VLOOKUP(D23,code!I:P,2,FALSE)*VLOOKUP(D23,code!I:P,3,FALSE)/100*SQRT(_xlfn.DAYS(E23+1,TODAY())/365))),
(VLOOKUP(D23,code!I:P,2,FALSE)-F23)/(VLOOKUP(D23,code!I:P,2,FALSE)*VLOOKUP(D23,code!I:P,3,FALSE)/100*SQRT(_xlfn.DAYS(E23+1,TODAY()-1)/365)))</f>
        <v/>
      </c>
      <c r="J23" s="31" t="str">
        <f t="shared" si="3"/>
        <v/>
      </c>
      <c r="K23" s="2" t="str">
        <f t="shared" si="1"/>
        <v/>
      </c>
      <c r="L23" s="34" t="str">
        <f t="shared" si="2"/>
        <v/>
      </c>
    </row>
    <row r="24" spans="3:12" x14ac:dyDescent="0.25">
      <c r="H24" s="29" t="str">
        <f t="shared" si="0"/>
        <v/>
      </c>
      <c r="I24" s="36" t="str" cm="1">
        <f t="array" aca="1" ref="I24" ca="1">IFERROR(
    _xlfn.IFS(OR(C24="",D24="",E24="",F24="",G24=""),    "",
    TODAY()&gt;E24+1,    "已結算",
    D24&lt;&gt;0,    (VLOOKUP(D24,code!I:P,2,FALSE)-F24)/(VLOOKUP(D24,code!I:P,2,FALSE)*VLOOKUP(D24,code!I:P,3,FALSE)/100*SQRT(_xlfn.DAYS(E24+1,TODAY())/365))),
(VLOOKUP(D24,code!I:P,2,FALSE)-F24)/(VLOOKUP(D24,code!I:P,2,FALSE)*VLOOKUP(D24,code!I:P,3,FALSE)/100*SQRT(_xlfn.DAYS(E24+1,TODAY()-1)/365)))</f>
        <v/>
      </c>
      <c r="J24" s="31" t="str">
        <f t="shared" si="3"/>
        <v/>
      </c>
      <c r="K24" s="2" t="str">
        <f t="shared" si="1"/>
        <v/>
      </c>
      <c r="L24" s="34" t="str">
        <f t="shared" si="2"/>
        <v/>
      </c>
    </row>
    <row r="25" spans="3:12" x14ac:dyDescent="0.25">
      <c r="H25" s="29" t="str">
        <f t="shared" si="0"/>
        <v/>
      </c>
      <c r="I25" s="36" t="str" cm="1">
        <f t="array" aca="1" ref="I25" ca="1">IFERROR(
    _xlfn.IFS(OR(C25="",D25="",E25="",F25="",G25=""),    "",
    TODAY()&gt;E25+1,    "已結算",
    D25&lt;&gt;0,    (VLOOKUP(D25,code!I:P,2,FALSE)-F25)/(VLOOKUP(D25,code!I:P,2,FALSE)*VLOOKUP(D25,code!I:P,3,FALSE)/100*SQRT(_xlfn.DAYS(E25+1,TODAY())/365))),
(VLOOKUP(D25,code!I:P,2,FALSE)-F25)/(VLOOKUP(D25,code!I:P,2,FALSE)*VLOOKUP(D25,code!I:P,3,FALSE)/100*SQRT(_xlfn.DAYS(E25+1,TODAY()-1)/365)))</f>
        <v/>
      </c>
      <c r="J25" s="31" t="str">
        <f t="shared" si="3"/>
        <v/>
      </c>
      <c r="K25" s="2" t="str">
        <f t="shared" si="1"/>
        <v/>
      </c>
      <c r="L25" s="34" t="str">
        <f t="shared" si="2"/>
        <v/>
      </c>
    </row>
    <row r="26" spans="3:12" x14ac:dyDescent="0.25">
      <c r="H26" s="29" t="str">
        <f t="shared" si="0"/>
        <v/>
      </c>
      <c r="I26" s="36" t="str" cm="1">
        <f t="array" aca="1" ref="I26" ca="1">IFERROR(
    _xlfn.IFS(OR(C26="",D26="",E26="",F26="",G26=""),    "",
    TODAY()&gt;E26+1,    "已結算",
    D26&lt;&gt;0,    (VLOOKUP(D26,code!I:P,2,FALSE)-F26)/(VLOOKUP(D26,code!I:P,2,FALSE)*VLOOKUP(D26,code!I:P,3,FALSE)/100*SQRT(_xlfn.DAYS(E26+1,TODAY())/365))),
(VLOOKUP(D26,code!I:P,2,FALSE)-F26)/(VLOOKUP(D26,code!I:P,2,FALSE)*VLOOKUP(D26,code!I:P,3,FALSE)/100*SQRT(_xlfn.DAYS(E26+1,TODAY()-1)/365)))</f>
        <v/>
      </c>
      <c r="J26" s="31" t="str">
        <f t="shared" si="3"/>
        <v/>
      </c>
      <c r="K26" s="2" t="str">
        <f t="shared" si="1"/>
        <v/>
      </c>
      <c r="L26" s="34" t="str">
        <f t="shared" si="2"/>
        <v/>
      </c>
    </row>
    <row r="27" spans="3:12" x14ac:dyDescent="0.25">
      <c r="D27" s="35"/>
      <c r="H27" s="29" t="str">
        <f t="shared" si="0"/>
        <v/>
      </c>
      <c r="I27" s="36" t="str" cm="1">
        <f t="array" aca="1" ref="I27" ca="1">IFERROR(
    _xlfn.IFS(OR(C27="",D27="",E27="",F27="",G27=""),    "",
    TODAY()&gt;E27+1,    "已結算",
    D27&lt;&gt;0,    (VLOOKUP(D27,code!I:P,2,FALSE)-F27)/(VLOOKUP(D27,code!I:P,2,FALSE)*VLOOKUP(D27,code!I:P,3,FALSE)/100*SQRT(_xlfn.DAYS(E27+1,TODAY())/365))),
(VLOOKUP(D27,code!I:P,2,FALSE)-F27)/(VLOOKUP(D27,code!I:P,2,FALSE)*VLOOKUP(D27,code!I:P,3,FALSE)/100*SQRT(_xlfn.DAYS(E27+1,TODAY()-1)/365)))</f>
        <v/>
      </c>
      <c r="J27" s="31" t="str">
        <f t="shared" si="3"/>
        <v/>
      </c>
      <c r="K27" s="2" t="str">
        <f t="shared" si="1"/>
        <v/>
      </c>
      <c r="L27" s="34" t="str">
        <f t="shared" si="2"/>
        <v/>
      </c>
    </row>
    <row r="28" spans="3:12" x14ac:dyDescent="0.25">
      <c r="D28" s="35"/>
      <c r="H28" s="29" t="str">
        <f t="shared" si="0"/>
        <v/>
      </c>
      <c r="I28" s="36" t="str" cm="1">
        <f t="array" aca="1" ref="I28" ca="1">IFERROR(
    _xlfn.IFS(OR(C28="",D28="",E28="",F28="",G28=""),    "",
    TODAY()&gt;E28+1,    "已結算",
    D28&lt;&gt;0,    (VLOOKUP(D28,code!I:P,2,FALSE)-F28)/(VLOOKUP(D28,code!I:P,2,FALSE)*VLOOKUP(D28,code!I:P,3,FALSE)/100*SQRT(_xlfn.DAYS(E28+1,TODAY())/365))),
(VLOOKUP(D28,code!I:P,2,FALSE)-F28)/(VLOOKUP(D28,code!I:P,2,FALSE)*VLOOKUP(D28,code!I:P,3,FALSE)/100*SQRT(_xlfn.DAYS(E28+1,TODAY()-1)/365)))</f>
        <v/>
      </c>
      <c r="J28" s="31" t="str">
        <f t="shared" si="3"/>
        <v/>
      </c>
      <c r="K28" s="2" t="str">
        <f t="shared" si="1"/>
        <v/>
      </c>
      <c r="L28" s="34" t="str">
        <f t="shared" si="2"/>
        <v/>
      </c>
    </row>
    <row r="29" spans="3:12" x14ac:dyDescent="0.25">
      <c r="H29" s="29" t="str">
        <f t="shared" si="0"/>
        <v/>
      </c>
      <c r="I29" s="36" t="str" cm="1">
        <f t="array" aca="1" ref="I29" ca="1">IFERROR(
    _xlfn.IFS(OR(C29="",D29="",E29="",F29="",G29=""),    "",
    TODAY()&gt;E29+1,    "已結算",
    D29&lt;&gt;0,    (VLOOKUP(D29,code!I:P,2,FALSE)-F29)/(VLOOKUP(D29,code!I:P,2,FALSE)*VLOOKUP(D29,code!I:P,3,FALSE)/100*SQRT(_xlfn.DAYS(E29+1,TODAY())/365))),
(VLOOKUP(D29,code!I:P,2,FALSE)-F29)/(VLOOKUP(D29,code!I:P,2,FALSE)*VLOOKUP(D29,code!I:P,3,FALSE)/100*SQRT(_xlfn.DAYS(E29+1,TODAY()-1)/365)))</f>
        <v/>
      </c>
      <c r="J29" s="31" t="str">
        <f t="shared" si="3"/>
        <v/>
      </c>
      <c r="K29" s="2" t="str">
        <f t="shared" si="1"/>
        <v/>
      </c>
      <c r="L29" s="34" t="str">
        <f t="shared" si="2"/>
        <v/>
      </c>
    </row>
    <row r="30" spans="3:12" x14ac:dyDescent="0.25">
      <c r="H30" s="29" t="str">
        <f t="shared" si="0"/>
        <v/>
      </c>
      <c r="I30" s="36" t="str" cm="1">
        <f t="array" aca="1" ref="I30" ca="1">IFERROR(
    _xlfn.IFS(OR(C30="",D30="",E30="",F30="",G30=""),    "",
    TODAY()&gt;E30+1,    "已結算",
    D30&lt;&gt;0,    (VLOOKUP(D30,code!I:P,2,FALSE)-F30)/(VLOOKUP(D30,code!I:P,2,FALSE)*VLOOKUP(D30,code!I:P,3,FALSE)/100*SQRT(_xlfn.DAYS(E30+1,TODAY())/365))),
(VLOOKUP(D30,code!I:P,2,FALSE)-F30)/(VLOOKUP(D30,code!I:P,2,FALSE)*VLOOKUP(D30,code!I:P,3,FALSE)/100*SQRT(_xlfn.DAYS(E30+1,TODAY()-1)/365)))</f>
        <v/>
      </c>
      <c r="J30" s="31" t="str">
        <f t="shared" si="3"/>
        <v/>
      </c>
      <c r="K30" s="2" t="str">
        <f t="shared" si="1"/>
        <v/>
      </c>
      <c r="L30" s="34" t="str">
        <f t="shared" si="2"/>
        <v/>
      </c>
    </row>
    <row r="31" spans="3:12" x14ac:dyDescent="0.25">
      <c r="H31" s="29" t="str">
        <f t="shared" si="0"/>
        <v/>
      </c>
      <c r="I31" s="36" t="str" cm="1">
        <f t="array" aca="1" ref="I31" ca="1">IFERROR(
    _xlfn.IFS(OR(C31="",D31="",E31="",F31="",G31=""),    "",
    TODAY()&gt;E31+1,    "已結算",
    D31&lt;&gt;0,    (VLOOKUP(D31,code!I:P,2,FALSE)-F31)/(VLOOKUP(D31,code!I:P,2,FALSE)*VLOOKUP(D31,code!I:P,3,FALSE)/100*SQRT(_xlfn.DAYS(E31+1,TODAY())/365))),
(VLOOKUP(D31,code!I:P,2,FALSE)-F31)/(VLOOKUP(D31,code!I:P,2,FALSE)*VLOOKUP(D31,code!I:P,3,FALSE)/100*SQRT(_xlfn.DAYS(E31+1,TODAY()-1)/365)))</f>
        <v/>
      </c>
      <c r="J31" s="31" t="str">
        <f t="shared" si="3"/>
        <v/>
      </c>
      <c r="K31" s="2" t="str">
        <f t="shared" si="1"/>
        <v/>
      </c>
      <c r="L31" s="34" t="str">
        <f t="shared" si="2"/>
        <v/>
      </c>
    </row>
    <row r="32" spans="3:12" x14ac:dyDescent="0.25">
      <c r="H32" s="29" t="str">
        <f t="shared" si="0"/>
        <v/>
      </c>
      <c r="I32" s="36" t="str" cm="1">
        <f t="array" aca="1" ref="I32" ca="1">IFERROR(
    _xlfn.IFS(OR(C32="",D32="",E32="",F32="",G32=""),    "",
    TODAY()&gt;E32+1,    "已結算",
    D32&lt;&gt;0,    (VLOOKUP(D32,code!I:P,2,FALSE)-F32)/(VLOOKUP(D32,code!I:P,2,FALSE)*VLOOKUP(D32,code!I:P,3,FALSE)/100*SQRT(_xlfn.DAYS(E32+1,TODAY())/365))),
(VLOOKUP(D32,code!I:P,2,FALSE)-F32)/(VLOOKUP(D32,code!I:P,2,FALSE)*VLOOKUP(D32,code!I:P,3,FALSE)/100*SQRT(_xlfn.DAYS(E32+1,TODAY()-1)/365)))</f>
        <v/>
      </c>
      <c r="J32" s="31" t="str">
        <f t="shared" si="3"/>
        <v/>
      </c>
      <c r="K32" s="2" t="str">
        <f t="shared" si="1"/>
        <v/>
      </c>
      <c r="L32" s="34" t="str">
        <f t="shared" si="2"/>
        <v/>
      </c>
    </row>
    <row r="33" spans="8:12" x14ac:dyDescent="0.25">
      <c r="H33" s="29" t="str">
        <f t="shared" si="0"/>
        <v/>
      </c>
      <c r="I33" s="36" t="str" cm="1">
        <f t="array" aca="1" ref="I33" ca="1">IFERROR(
    _xlfn.IFS(OR(C33="",D33="",E33="",F33="",G33=""),    "",
    TODAY()&gt;E33+1,    "已結算",
    D33&lt;&gt;0,    (VLOOKUP(D33,code!I:P,2,FALSE)-F33)/(VLOOKUP(D33,code!I:P,2,FALSE)*VLOOKUP(D33,code!I:P,3,FALSE)/100*SQRT(_xlfn.DAYS(E33+1,TODAY())/365))),
(VLOOKUP(D33,code!I:P,2,FALSE)-F33)/(VLOOKUP(D33,code!I:P,2,FALSE)*VLOOKUP(D33,code!I:P,3,FALSE)/100*SQRT(_xlfn.DAYS(E33+1,TODAY()-1)/365)))</f>
        <v/>
      </c>
      <c r="J33" s="31" t="str">
        <f t="shared" si="3"/>
        <v/>
      </c>
      <c r="K33" s="2" t="str">
        <f t="shared" si="1"/>
        <v/>
      </c>
      <c r="L33" s="34" t="str">
        <f t="shared" si="2"/>
        <v/>
      </c>
    </row>
    <row r="34" spans="8:12" x14ac:dyDescent="0.25">
      <c r="H34" s="29" t="str">
        <f t="shared" ref="H34:H55" si="4">IF(OR(C34="",D34="",E34="",F34="",G34=""),"",
G34 / ((YEAR(E34)-YEAR(C34))*52+WEEKNUM(E34)-WEEKNUM(C34)+1)
*100/L34*1000)</f>
        <v/>
      </c>
      <c r="I34" s="36" t="str" cm="1">
        <f t="array" aca="1" ref="I34" ca="1">IFERROR(
    _xlfn.IFS(OR(C34="",D34="",E34="",F34="",G34=""),    "",
    TODAY()&gt;E34+1,    "已結算",
    D34&lt;&gt;0,    (VLOOKUP(D34,code!I:P,2,FALSE)-F34)/(VLOOKUP(D34,code!I:P,2,FALSE)*VLOOKUP(D34,code!I:P,3,FALSE)/100*SQRT(_xlfn.DAYS(E34+1,TODAY())/365))),
(VLOOKUP(D34,code!I:P,2,FALSE)-F34)/(VLOOKUP(D34,code!I:P,2,FALSE)*VLOOKUP(D34,code!I:P,3,FALSE)/100*SQRT(_xlfn.DAYS(E34+1,TODAY()-1)/365)))</f>
        <v/>
      </c>
      <c r="J34" s="31" t="str">
        <f t="shared" ref="J34:J55" si="5">IF(OR(C34="",D34="",E34="",F34="",G34=""),"",
G34 / (F34-G34) / ((YEAR(E34)-YEAR(C34))*52+WEEKNUM(E34)-WEEKNUM(C34)+1) * 52/12)</f>
        <v/>
      </c>
      <c r="K34" s="2" t="str">
        <f t="shared" si="1"/>
        <v/>
      </c>
      <c r="L34" s="34" t="str">
        <f t="shared" si="2"/>
        <v/>
      </c>
    </row>
    <row r="35" spans="8:12" x14ac:dyDescent="0.25">
      <c r="H35" s="29" t="str">
        <f t="shared" si="4"/>
        <v/>
      </c>
      <c r="I35" s="36" t="str" cm="1">
        <f t="array" aca="1" ref="I35" ca="1">IFERROR(
    _xlfn.IFS(OR(C35="",D35="",E35="",F35="",G35=""),    "",
    TODAY()&gt;E35+1,    "已結算",
    D35&lt;&gt;0,    (VLOOKUP(D35,code!I:P,2,FALSE)-F35)/(VLOOKUP(D35,code!I:P,2,FALSE)*VLOOKUP(D35,code!I:P,3,FALSE)/100*SQRT(_xlfn.DAYS(E35+1,TODAY())/365))),
(VLOOKUP(D35,code!I:P,2,FALSE)-F35)/(VLOOKUP(D35,code!I:P,2,FALSE)*VLOOKUP(D35,code!I:P,3,FALSE)/100*SQRT(_xlfn.DAYS(E35+1,TODAY()-1)/365)))</f>
        <v/>
      </c>
      <c r="J35" s="31" t="str">
        <f t="shared" si="5"/>
        <v/>
      </c>
      <c r="K35" s="2" t="str">
        <f t="shared" si="1"/>
        <v/>
      </c>
      <c r="L35" s="34" t="str">
        <f t="shared" si="2"/>
        <v/>
      </c>
    </row>
    <row r="36" spans="8:12" x14ac:dyDescent="0.25">
      <c r="H36" s="29" t="str">
        <f t="shared" si="4"/>
        <v/>
      </c>
      <c r="I36" s="36" t="str" cm="1">
        <f t="array" aca="1" ref="I36" ca="1">IFERROR(
    _xlfn.IFS(OR(C36="",D36="",E36="",F36="",G36=""),    "",
    TODAY()&gt;E36+1,    "已結算",
    D36&lt;&gt;0,    (VLOOKUP(D36,code!I:P,2,FALSE)-F36)/(VLOOKUP(D36,code!I:P,2,FALSE)*VLOOKUP(D36,code!I:P,3,FALSE)/100*SQRT(_xlfn.DAYS(E36+1,TODAY())/365))),
(VLOOKUP(D36,code!I:P,2,FALSE)-F36)/(VLOOKUP(D36,code!I:P,2,FALSE)*VLOOKUP(D36,code!I:P,3,FALSE)/100*SQRT(_xlfn.DAYS(E36+1,TODAY()-1)/365)))</f>
        <v/>
      </c>
      <c r="J36" s="31" t="str">
        <f t="shared" si="5"/>
        <v/>
      </c>
      <c r="K36" s="2" t="str">
        <f t="shared" si="1"/>
        <v/>
      </c>
      <c r="L36" s="34" t="str">
        <f t="shared" si="2"/>
        <v/>
      </c>
    </row>
    <row r="37" spans="8:12" x14ac:dyDescent="0.25">
      <c r="H37" s="29" t="str">
        <f t="shared" si="4"/>
        <v/>
      </c>
      <c r="I37" s="36" t="str" cm="1">
        <f t="array" aca="1" ref="I37" ca="1">IFERROR(
    _xlfn.IFS(OR(C37="",D37="",E37="",F37="",G37=""),    "",
    TODAY()&gt;E37+1,    "已結算",
    D37&lt;&gt;0,    (VLOOKUP(D37,code!I:P,2,FALSE)-F37)/(VLOOKUP(D37,code!I:P,2,FALSE)*VLOOKUP(D37,code!I:P,3,FALSE)/100*SQRT(_xlfn.DAYS(E37+1,TODAY())/365))),
(VLOOKUP(D37,code!I:P,2,FALSE)-F37)/(VLOOKUP(D37,code!I:P,2,FALSE)*VLOOKUP(D37,code!I:P,3,FALSE)/100*SQRT(_xlfn.DAYS(E37+1,TODAY()-1)/365)))</f>
        <v/>
      </c>
      <c r="J37" s="31" t="str">
        <f t="shared" si="5"/>
        <v/>
      </c>
      <c r="K37" s="2" t="str">
        <f t="shared" si="1"/>
        <v/>
      </c>
      <c r="L37" s="34" t="str">
        <f t="shared" si="2"/>
        <v/>
      </c>
    </row>
    <row r="38" spans="8:12" x14ac:dyDescent="0.25">
      <c r="H38" s="29" t="str">
        <f t="shared" si="4"/>
        <v/>
      </c>
      <c r="I38" s="36" t="str" cm="1">
        <f t="array" aca="1" ref="I38" ca="1">IFERROR(
    _xlfn.IFS(OR(C38="",D38="",E38="",F38="",G38=""),    "",
    TODAY()&gt;E38+1,    "已結算",
    D38&lt;&gt;0,    (VLOOKUP(D38,code!I:P,2,FALSE)-F38)/(VLOOKUP(D38,code!I:P,2,FALSE)*VLOOKUP(D38,code!I:P,3,FALSE)/100*SQRT(_xlfn.DAYS(E38+1,TODAY())/365))),
(VLOOKUP(D38,code!I:P,2,FALSE)-F38)/(VLOOKUP(D38,code!I:P,2,FALSE)*VLOOKUP(D38,code!I:P,3,FALSE)/100*SQRT(_xlfn.DAYS(E38+1,TODAY()-1)/365)))</f>
        <v/>
      </c>
      <c r="J38" s="31" t="str">
        <f t="shared" si="5"/>
        <v/>
      </c>
      <c r="K38" s="2" t="str">
        <f t="shared" si="1"/>
        <v/>
      </c>
      <c r="L38" s="34" t="str">
        <f t="shared" si="2"/>
        <v/>
      </c>
    </row>
    <row r="39" spans="8:12" x14ac:dyDescent="0.25">
      <c r="H39" s="29" t="str">
        <f t="shared" si="4"/>
        <v/>
      </c>
      <c r="I39" s="36" t="str" cm="1">
        <f t="array" aca="1" ref="I39" ca="1">IFERROR(
    _xlfn.IFS(OR(C39="",D39="",E39="",F39="",G39=""),    "",
    TODAY()&gt;E39+1,    "已結算",
    D39&lt;&gt;0,    (VLOOKUP(D39,code!I:P,2,FALSE)-F39)/(VLOOKUP(D39,code!I:P,2,FALSE)*VLOOKUP(D39,code!I:P,3,FALSE)/100*SQRT(_xlfn.DAYS(E39+1,TODAY())/365))),
(VLOOKUP(D39,code!I:P,2,FALSE)-F39)/(VLOOKUP(D39,code!I:P,2,FALSE)*VLOOKUP(D39,code!I:P,3,FALSE)/100*SQRT(_xlfn.DAYS(E39+1,TODAY()-1)/365)))</f>
        <v/>
      </c>
      <c r="J39" s="31" t="str">
        <f t="shared" si="5"/>
        <v/>
      </c>
      <c r="K39" s="2" t="str">
        <f t="shared" si="1"/>
        <v/>
      </c>
      <c r="L39" s="34" t="str">
        <f t="shared" si="2"/>
        <v/>
      </c>
    </row>
    <row r="40" spans="8:12" x14ac:dyDescent="0.25">
      <c r="H40" s="29" t="str">
        <f t="shared" si="4"/>
        <v/>
      </c>
      <c r="I40" s="36" t="str" cm="1">
        <f t="array" aca="1" ref="I40" ca="1">IFERROR(
    _xlfn.IFS(OR(C40="",D40="",E40="",F40="",G40=""),    "",
    TODAY()&gt;E40+1,    "已結算",
    D40&lt;&gt;0,    (VLOOKUP(D40,code!I:P,2,FALSE)-F40)/(VLOOKUP(D40,code!I:P,2,FALSE)*VLOOKUP(D40,code!I:P,3,FALSE)/100*SQRT(_xlfn.DAYS(E40+1,TODAY())/365))),
(VLOOKUP(D40,code!I:P,2,FALSE)-F40)/(VLOOKUP(D40,code!I:P,2,FALSE)*VLOOKUP(D40,code!I:P,3,FALSE)/100*SQRT(_xlfn.DAYS(E40+1,TODAY()-1)/365)))</f>
        <v/>
      </c>
      <c r="J40" s="31" t="str">
        <f t="shared" si="5"/>
        <v/>
      </c>
      <c r="K40" s="2" t="str">
        <f t="shared" si="1"/>
        <v/>
      </c>
      <c r="L40" s="34" t="str">
        <f t="shared" si="2"/>
        <v/>
      </c>
    </row>
    <row r="41" spans="8:12" x14ac:dyDescent="0.25">
      <c r="H41" s="29" t="str">
        <f t="shared" si="4"/>
        <v/>
      </c>
      <c r="I41" s="36" t="str" cm="1">
        <f t="array" aca="1" ref="I41" ca="1">IFERROR(
    _xlfn.IFS(OR(C41="",D41="",E41="",F41="",G41=""),    "",
    TODAY()&gt;E41+1,    "已結算",
    D41&lt;&gt;0,    (VLOOKUP(D41,code!I:P,2,FALSE)-F41)/(VLOOKUP(D41,code!I:P,2,FALSE)*VLOOKUP(D41,code!I:P,3,FALSE)/100*SQRT(_xlfn.DAYS(E41+1,TODAY())/365))),
(VLOOKUP(D41,code!I:P,2,FALSE)-F41)/(VLOOKUP(D41,code!I:P,2,FALSE)*VLOOKUP(D41,code!I:P,3,FALSE)/100*SQRT(_xlfn.DAYS(E41+1,TODAY()-1)/365)))</f>
        <v/>
      </c>
      <c r="J41" s="31" t="str">
        <f t="shared" si="5"/>
        <v/>
      </c>
      <c r="K41" s="2" t="str">
        <f t="shared" si="1"/>
        <v/>
      </c>
      <c r="L41" s="34" t="str">
        <f t="shared" si="2"/>
        <v/>
      </c>
    </row>
    <row r="42" spans="8:12" x14ac:dyDescent="0.25">
      <c r="H42" s="29" t="str">
        <f t="shared" si="4"/>
        <v/>
      </c>
      <c r="I42" s="36" t="str" cm="1">
        <f t="array" aca="1" ref="I42" ca="1">IFERROR(
    _xlfn.IFS(OR(C42="",D42="",E42="",F42="",G42=""),    "",
    TODAY()&gt;E42+1,    "已結算",
    D42&lt;&gt;0,    (VLOOKUP(D42,code!I:P,2,FALSE)-F42)/(VLOOKUP(D42,code!I:P,2,FALSE)*VLOOKUP(D42,code!I:P,3,FALSE)/100*SQRT(_xlfn.DAYS(E42+1,TODAY())/365))),
(VLOOKUP(D42,code!I:P,2,FALSE)-F42)/(VLOOKUP(D42,code!I:P,2,FALSE)*VLOOKUP(D42,code!I:P,3,FALSE)/100*SQRT(_xlfn.DAYS(E42+1,TODAY()-1)/365)))</f>
        <v/>
      </c>
      <c r="J42" s="31" t="str">
        <f t="shared" si="5"/>
        <v/>
      </c>
      <c r="K42" s="2" t="str">
        <f t="shared" si="1"/>
        <v/>
      </c>
      <c r="L42" s="34" t="str">
        <f t="shared" si="2"/>
        <v/>
      </c>
    </row>
    <row r="43" spans="8:12" x14ac:dyDescent="0.25">
      <c r="H43" s="29" t="str">
        <f t="shared" si="4"/>
        <v/>
      </c>
      <c r="I43" s="36" t="str" cm="1">
        <f t="array" aca="1" ref="I43" ca="1">IFERROR(
    _xlfn.IFS(OR(C43="",D43="",E43="",F43="",G43=""),    "",
    TODAY()&gt;E43+1,    "已結算",
    D43&lt;&gt;0,    (VLOOKUP(D43,code!I:P,2,FALSE)-F43)/(VLOOKUP(D43,code!I:P,2,FALSE)*VLOOKUP(D43,code!I:P,3,FALSE)/100*SQRT(_xlfn.DAYS(E43+1,TODAY())/365))),
(VLOOKUP(D43,code!I:P,2,FALSE)-F43)/(VLOOKUP(D43,code!I:P,2,FALSE)*VLOOKUP(D43,code!I:P,3,FALSE)/100*SQRT(_xlfn.DAYS(E43+1,TODAY()-1)/365)))</f>
        <v/>
      </c>
      <c r="J43" s="31" t="str">
        <f t="shared" si="5"/>
        <v/>
      </c>
      <c r="K43" s="2" t="str">
        <f t="shared" si="1"/>
        <v/>
      </c>
      <c r="L43" s="34" t="str">
        <f t="shared" si="2"/>
        <v/>
      </c>
    </row>
    <row r="44" spans="8:12" x14ac:dyDescent="0.25">
      <c r="H44" s="29" t="str">
        <f t="shared" si="4"/>
        <v/>
      </c>
      <c r="I44" s="36" t="str" cm="1">
        <f t="array" aca="1" ref="I44" ca="1">IFERROR(
    _xlfn.IFS(OR(C44="",D44="",E44="",F44="",G44=""),    "",
    TODAY()&gt;E44+1,    "已結算",
    D44&lt;&gt;0,    (VLOOKUP(D44,code!I:P,2,FALSE)-F44)/(VLOOKUP(D44,code!I:P,2,FALSE)*VLOOKUP(D44,code!I:P,3,FALSE)/100*SQRT(_xlfn.DAYS(E44+1,TODAY())/365))),
(VLOOKUP(D44,code!I:P,2,FALSE)-F44)/(VLOOKUP(D44,code!I:P,2,FALSE)*VLOOKUP(D44,code!I:P,3,FALSE)/100*SQRT(_xlfn.DAYS(E44+1,TODAY()-1)/365)))</f>
        <v/>
      </c>
      <c r="J44" s="31" t="str">
        <f t="shared" si="5"/>
        <v/>
      </c>
      <c r="K44" s="2" t="str">
        <f t="shared" si="1"/>
        <v/>
      </c>
      <c r="L44" s="34" t="str">
        <f t="shared" si="2"/>
        <v/>
      </c>
    </row>
    <row r="45" spans="8:12" x14ac:dyDescent="0.25">
      <c r="H45" s="29" t="str">
        <f t="shared" si="4"/>
        <v/>
      </c>
      <c r="I45" s="36" t="str" cm="1">
        <f t="array" aca="1" ref="I45" ca="1">IFERROR(
    _xlfn.IFS(OR(C45="",D45="",E45="",F45="",G45=""),    "",
    TODAY()&gt;E45+1,    "已結算",
    D45&lt;&gt;0,    (VLOOKUP(D45,code!I:P,2,FALSE)-F45)/(VLOOKUP(D45,code!I:P,2,FALSE)*VLOOKUP(D45,code!I:P,3,FALSE)/100*SQRT(_xlfn.DAYS(E45+1,TODAY())/365))),
(VLOOKUP(D45,code!I:P,2,FALSE)-F45)/(VLOOKUP(D45,code!I:P,2,FALSE)*VLOOKUP(D45,code!I:P,3,FALSE)/100*SQRT(_xlfn.DAYS(E45+1,TODAY()-1)/365)))</f>
        <v/>
      </c>
      <c r="J45" s="31" t="str">
        <f t="shared" si="5"/>
        <v/>
      </c>
      <c r="K45" s="2" t="str">
        <f t="shared" si="1"/>
        <v/>
      </c>
      <c r="L45" s="34" t="str">
        <f t="shared" si="2"/>
        <v/>
      </c>
    </row>
    <row r="46" spans="8:12" x14ac:dyDescent="0.25">
      <c r="H46" s="29" t="str">
        <f t="shared" si="4"/>
        <v/>
      </c>
      <c r="I46" s="36" t="str" cm="1">
        <f t="array" aca="1" ref="I46" ca="1">IFERROR(
    _xlfn.IFS(OR(C46="",D46="",E46="",F46="",G46=""),    "",
    TODAY()&gt;E46+1,    "已結算",
    D46&lt;&gt;0,    (VLOOKUP(D46,code!I:P,2,FALSE)-F46)/(VLOOKUP(D46,code!I:P,2,FALSE)*VLOOKUP(D46,code!I:P,3,FALSE)/100*SQRT(_xlfn.DAYS(E46+1,TODAY())/365))),
(VLOOKUP(D46,code!I:P,2,FALSE)-F46)/(VLOOKUP(D46,code!I:P,2,FALSE)*VLOOKUP(D46,code!I:P,3,FALSE)/100*SQRT(_xlfn.DAYS(E46+1,TODAY()-1)/365)))</f>
        <v/>
      </c>
      <c r="J46" s="31" t="str">
        <f t="shared" si="5"/>
        <v/>
      </c>
      <c r="K46" s="2" t="str">
        <f t="shared" si="1"/>
        <v/>
      </c>
      <c r="L46" s="34" t="str">
        <f t="shared" si="2"/>
        <v/>
      </c>
    </row>
    <row r="47" spans="8:12" x14ac:dyDescent="0.25">
      <c r="H47" s="29" t="str">
        <f t="shared" si="4"/>
        <v/>
      </c>
      <c r="I47" s="36" t="str" cm="1">
        <f t="array" aca="1" ref="I47" ca="1">IFERROR(
    _xlfn.IFS(OR(C47="",D47="",E47="",F47="",G47=""),    "",
    TODAY()&gt;E47+1,    "已結算",
    D47&lt;&gt;0,    (VLOOKUP(D47,code!I:P,2,FALSE)-F47)/(VLOOKUP(D47,code!I:P,2,FALSE)*VLOOKUP(D47,code!I:P,3,FALSE)/100*SQRT(_xlfn.DAYS(E47+1,TODAY())/365))),
(VLOOKUP(D47,code!I:P,2,FALSE)-F47)/(VLOOKUP(D47,code!I:P,2,FALSE)*VLOOKUP(D47,code!I:P,3,FALSE)/100*SQRT(_xlfn.DAYS(E47+1,TODAY()-1)/365)))</f>
        <v/>
      </c>
      <c r="J47" s="31" t="str">
        <f t="shared" si="5"/>
        <v/>
      </c>
      <c r="K47" s="2" t="str">
        <f t="shared" si="1"/>
        <v/>
      </c>
      <c r="L47" s="34" t="str">
        <f t="shared" si="2"/>
        <v/>
      </c>
    </row>
    <row r="48" spans="8:12" x14ac:dyDescent="0.25">
      <c r="H48" s="29" t="str">
        <f t="shared" si="4"/>
        <v/>
      </c>
      <c r="I48" s="36" t="str" cm="1">
        <f t="array" aca="1" ref="I48" ca="1">IFERROR(
    _xlfn.IFS(OR(C48="",D48="",E48="",F48="",G48=""),    "",
    TODAY()&gt;E48+1,    "已結算",
    D48&lt;&gt;0,    (VLOOKUP(D48,code!I:P,2,FALSE)-F48)/(VLOOKUP(D48,code!I:P,2,FALSE)*VLOOKUP(D48,code!I:P,3,FALSE)/100*SQRT(_xlfn.DAYS(E48+1,TODAY())/365))),
(VLOOKUP(D48,code!I:P,2,FALSE)-F48)/(VLOOKUP(D48,code!I:P,2,FALSE)*VLOOKUP(D48,code!I:P,3,FALSE)/100*SQRT(_xlfn.DAYS(E48+1,TODAY()-1)/365)))</f>
        <v/>
      </c>
      <c r="J48" s="31" t="str">
        <f t="shared" si="5"/>
        <v/>
      </c>
      <c r="K48" s="2" t="str">
        <f t="shared" si="1"/>
        <v/>
      </c>
      <c r="L48" s="34" t="str">
        <f t="shared" si="2"/>
        <v/>
      </c>
    </row>
    <row r="49" spans="8:12" x14ac:dyDescent="0.25">
      <c r="H49" s="29" t="str">
        <f t="shared" si="4"/>
        <v/>
      </c>
      <c r="I49" s="36" t="str" cm="1">
        <f t="array" aca="1" ref="I49" ca="1">IFERROR(
    _xlfn.IFS(OR(C49="",D49="",E49="",F49="",G49=""),    "",
    TODAY()&gt;E49+1,    "已結算",
    D49&lt;&gt;0,    (VLOOKUP(D49,code!I:P,2,FALSE)-F49)/(VLOOKUP(D49,code!I:P,2,FALSE)*VLOOKUP(D49,code!I:P,3,FALSE)/100*SQRT(_xlfn.DAYS(E49+1,TODAY())/365))),
(VLOOKUP(D49,code!I:P,2,FALSE)-F49)/(VLOOKUP(D49,code!I:P,2,FALSE)*VLOOKUP(D49,code!I:P,3,FALSE)/100*SQRT(_xlfn.DAYS(E49+1,TODAY()-1)/365)))</f>
        <v/>
      </c>
      <c r="J49" s="31" t="str">
        <f t="shared" si="5"/>
        <v/>
      </c>
      <c r="K49" s="2" t="str">
        <f t="shared" si="1"/>
        <v/>
      </c>
      <c r="L49" s="34" t="str">
        <f t="shared" si="2"/>
        <v/>
      </c>
    </row>
    <row r="50" spans="8:12" x14ac:dyDescent="0.25">
      <c r="H50" s="29" t="str">
        <f t="shared" si="4"/>
        <v/>
      </c>
      <c r="I50" s="36" t="str" cm="1">
        <f t="array" aca="1" ref="I50" ca="1">IFERROR(
    _xlfn.IFS(OR(C50="",D50="",E50="",F50="",G50=""),    "",
    TODAY()&gt;E50+1,    "已結算",
    D50&lt;&gt;0,    (VLOOKUP(D50,code!I:P,2,FALSE)-F50)/(VLOOKUP(D50,code!I:P,2,FALSE)*VLOOKUP(D50,code!I:P,3,FALSE)/100*SQRT(_xlfn.DAYS(E50+1,TODAY())/365))),
(VLOOKUP(D50,code!I:P,2,FALSE)-F50)/(VLOOKUP(D50,code!I:P,2,FALSE)*VLOOKUP(D50,code!I:P,3,FALSE)/100*SQRT(_xlfn.DAYS(E50+1,TODAY()-1)/365)))</f>
        <v/>
      </c>
      <c r="J50" s="31" t="str">
        <f t="shared" si="5"/>
        <v/>
      </c>
      <c r="K50" s="2" t="str">
        <f t="shared" si="1"/>
        <v/>
      </c>
      <c r="L50" s="34" t="str">
        <f t="shared" si="2"/>
        <v/>
      </c>
    </row>
    <row r="51" spans="8:12" x14ac:dyDescent="0.25">
      <c r="H51" s="29" t="str">
        <f t="shared" si="4"/>
        <v/>
      </c>
      <c r="I51" s="36" t="str" cm="1">
        <f t="array" aca="1" ref="I51" ca="1">IFERROR(
    _xlfn.IFS(OR(C51="",D51="",E51="",F51="",G51=""),    "",
    TODAY()&gt;E51+1,    "已結算",
    D51&lt;&gt;0,    (VLOOKUP(D51,code!I:P,2,FALSE)-F51)/(VLOOKUP(D51,code!I:P,2,FALSE)*VLOOKUP(D51,code!I:P,3,FALSE)/100*SQRT(_xlfn.DAYS(E51+1,TODAY())/365))),
(VLOOKUP(D51,code!I:P,2,FALSE)-F51)/(VLOOKUP(D51,code!I:P,2,FALSE)*VLOOKUP(D51,code!I:P,3,FALSE)/100*SQRT(_xlfn.DAYS(E51+1,TODAY()-1)/365)))</f>
        <v/>
      </c>
      <c r="J51" s="31" t="str">
        <f t="shared" si="5"/>
        <v/>
      </c>
      <c r="K51" s="2" t="str">
        <f t="shared" si="1"/>
        <v/>
      </c>
      <c r="L51" s="34" t="str">
        <f t="shared" si="2"/>
        <v/>
      </c>
    </row>
    <row r="52" spans="8:12" x14ac:dyDescent="0.25">
      <c r="H52" s="29" t="str">
        <f t="shared" si="4"/>
        <v/>
      </c>
      <c r="I52" s="36" t="str" cm="1">
        <f t="array" aca="1" ref="I52" ca="1">IFERROR(
    _xlfn.IFS(OR(C52="",D52="",E52="",F52="",G52=""),    "",
    TODAY()&gt;E52+1,    "已結算",
    D52&lt;&gt;0,    (VLOOKUP(D52,code!I:P,2,FALSE)-F52)/(VLOOKUP(D52,code!I:P,2,FALSE)*VLOOKUP(D52,code!I:P,3,FALSE)/100*SQRT(_xlfn.DAYS(E52+1,TODAY())/365))),
(VLOOKUP(D52,code!I:P,2,FALSE)-F52)/(VLOOKUP(D52,code!I:P,2,FALSE)*VLOOKUP(D52,code!I:P,3,FALSE)/100*SQRT(_xlfn.DAYS(E52+1,TODAY()-1)/365)))</f>
        <v/>
      </c>
      <c r="J52" s="31" t="str">
        <f t="shared" si="5"/>
        <v/>
      </c>
      <c r="K52" s="2" t="str">
        <f t="shared" si="1"/>
        <v/>
      </c>
      <c r="L52" s="34" t="str">
        <f t="shared" si="2"/>
        <v/>
      </c>
    </row>
    <row r="53" spans="8:12" x14ac:dyDescent="0.25">
      <c r="H53" s="29" t="str">
        <f t="shared" si="4"/>
        <v/>
      </c>
      <c r="I53" s="36" t="str" cm="1">
        <f t="array" aca="1" ref="I53" ca="1">IFERROR(
    _xlfn.IFS(OR(C53="",D53="",E53="",F53="",G53=""),    "",
    TODAY()&gt;E53+1,    "已結算",
    D53&lt;&gt;0,    (VLOOKUP(D53,code!I:P,2,FALSE)-F53)/(VLOOKUP(D53,code!I:P,2,FALSE)*VLOOKUP(D53,code!I:P,3,FALSE)/100*SQRT(_xlfn.DAYS(E53+1,TODAY())/365))),
(VLOOKUP(D53,code!I:P,2,FALSE)-F53)/(VLOOKUP(D53,code!I:P,2,FALSE)*VLOOKUP(D53,code!I:P,3,FALSE)/100*SQRT(_xlfn.DAYS(E53+1,TODAY()-1)/365)))</f>
        <v/>
      </c>
      <c r="J53" s="31" t="str">
        <f t="shared" si="5"/>
        <v/>
      </c>
      <c r="K53" s="2" t="str">
        <f t="shared" si="1"/>
        <v/>
      </c>
      <c r="L53" s="34" t="str">
        <f t="shared" si="2"/>
        <v/>
      </c>
    </row>
    <row r="54" spans="8:12" x14ac:dyDescent="0.25">
      <c r="H54" s="29" t="str">
        <f t="shared" si="4"/>
        <v/>
      </c>
      <c r="I54" s="36" t="str" cm="1">
        <f t="array" aca="1" ref="I54" ca="1">IFERROR(
    _xlfn.IFS(OR(C54="",D54="",E54="",F54="",G54=""),    "",
    TODAY()&gt;E54+1,    "已結算",
    D54&lt;&gt;0,    (VLOOKUP(D54,code!I:P,2,FALSE)-F54)/(VLOOKUP(D54,code!I:P,2,FALSE)*VLOOKUP(D54,code!I:P,3,FALSE)/100*SQRT(_xlfn.DAYS(E54+1,TODAY())/365))),
(VLOOKUP(D54,code!I:P,2,FALSE)-F54)/(VLOOKUP(D54,code!I:P,2,FALSE)*VLOOKUP(D54,code!I:P,3,FALSE)/100*SQRT(_xlfn.DAYS(E54+1,TODAY()-1)/365)))</f>
        <v/>
      </c>
      <c r="J54" s="31" t="str">
        <f t="shared" si="5"/>
        <v/>
      </c>
      <c r="K54" s="2" t="str">
        <f t="shared" si="1"/>
        <v/>
      </c>
      <c r="L54" s="34" t="str">
        <f t="shared" si="2"/>
        <v/>
      </c>
    </row>
    <row r="55" spans="8:12" x14ac:dyDescent="0.25">
      <c r="H55" s="29" t="str">
        <f t="shared" si="4"/>
        <v/>
      </c>
      <c r="I55" s="36" t="str" cm="1">
        <f t="array" aca="1" ref="I55" ca="1">IFERROR(
    _xlfn.IFS(OR(C55="",D55="",E55="",F55="",G55=""),    "",
    TODAY()&gt;E55+1,    "已結算",
    D55&lt;&gt;0,    (VLOOKUP(D55,code!I:P,2,FALSE)-F55)/(VLOOKUP(D55,code!I:P,2,FALSE)*VLOOKUP(D55,code!I:P,3,FALSE)/100*SQRT(_xlfn.DAYS(E55+1,TODAY())/365))),
(VLOOKUP(D55,code!I:P,2,FALSE)-F55)/(VLOOKUP(D55,code!I:P,2,FALSE)*VLOOKUP(D55,code!I:P,3,FALSE)/100*SQRT(_xlfn.DAYS(E55+1,TODAY()-1)/365)))</f>
        <v/>
      </c>
      <c r="J55" s="31" t="str">
        <f t="shared" si="5"/>
        <v/>
      </c>
      <c r="K55" s="2" t="str">
        <f t="shared" si="1"/>
        <v/>
      </c>
      <c r="L55" s="34" t="str">
        <f t="shared" si="2"/>
        <v/>
      </c>
    </row>
  </sheetData>
  <autoFilter ref="B1:L55" xr:uid="{00000000-0009-0000-0000-000001000000}">
    <sortState xmlns:xlrd2="http://schemas.microsoft.com/office/spreadsheetml/2017/richdata2" ref="B2:L55">
      <sortCondition ref="E1:E55"/>
    </sortState>
  </autoFilter>
  <phoneticPr fontId="2" type="noConversion"/>
  <conditionalFormatting sqref="J1:J1048576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{064ADBBE-B4F4-4F43-960C-47F971F9DAC9}</x14:id>
        </ext>
      </extLst>
    </cfRule>
    <cfRule type="cellIs" dxfId="7" priority="22" operator="lessThan">
      <formula>$J$1</formula>
    </cfRule>
  </conditionalFormatting>
  <conditionalFormatting sqref="I1:I1048576">
    <cfRule type="cellIs" dxfId="6" priority="5" operator="equal">
      <formula>"已結算"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{2FDD7A1A-4AA4-4AFE-8FC9-CEA83C63ACC5}</x14:id>
        </ext>
      </extLst>
    </cfRule>
    <cfRule type="cellIs" dxfId="5" priority="23" operator="lessThan">
      <formula>$I$1</formula>
    </cfRule>
  </conditionalFormatting>
  <conditionalFormatting sqref="H1:H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{90E2C80E-C2A7-49F5-9A6C-3146DCF91DF0}</x14:id>
        </ext>
      </extLst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Module2.Update_Stock_Info">
                <anchor moveWithCells="1" sizeWithCells="1"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8</xdr:col>
                    <xdr:colOff>361950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64ADBBE-B4F4-4F43-960C-47F971F9DAC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2FDD7A1A-4AA4-4AFE-8FC9-CEA83C63ACC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  <x14:conditionalFormatting xmlns:xm="http://schemas.microsoft.com/office/excel/2006/main">
          <x14:cfRule type="dataBar" id="{90E2C80E-C2A7-49F5-9A6C-3146DCF91D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H1:H1048576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8"/>
  <dimension ref="A1:P21"/>
  <sheetViews>
    <sheetView zoomScale="160" zoomScaleNormal="160" workbookViewId="0">
      <selection activeCell="I16" sqref="I16"/>
    </sheetView>
  </sheetViews>
  <sheetFormatPr defaultRowHeight="15.75" x14ac:dyDescent="0.25"/>
  <cols>
    <col min="1" max="1" width="7.140625" style="35" bestFit="1" customWidth="1"/>
    <col min="2" max="2" width="7.28515625" style="35" bestFit="1" customWidth="1"/>
    <col min="3" max="3" width="12.5703125" style="35" bestFit="1" customWidth="1"/>
    <col min="4" max="4" width="11.85546875" style="39" bestFit="1" customWidth="1"/>
    <col min="5" max="5" width="11.5703125" style="39" bestFit="1" customWidth="1"/>
    <col min="6" max="6" width="11.140625" style="39" bestFit="1" customWidth="1"/>
    <col min="7" max="7" width="10.7109375" style="39" bestFit="1" customWidth="1"/>
    <col min="8" max="8" width="6" style="39" bestFit="1" customWidth="1"/>
    <col min="9" max="9" width="7.140625" style="35" bestFit="1" customWidth="1"/>
    <col min="10" max="10" width="7.28515625" style="35" bestFit="1" customWidth="1"/>
    <col min="11" max="11" width="12.5703125" style="35" bestFit="1" customWidth="1"/>
    <col min="12" max="12" width="11.85546875" style="39" bestFit="1" customWidth="1"/>
    <col min="13" max="13" width="11.5703125" style="39" bestFit="1" customWidth="1"/>
    <col min="14" max="14" width="11.140625" style="39" bestFit="1" customWidth="1"/>
    <col min="15" max="15" width="10.7109375" style="39" bestFit="1" customWidth="1"/>
    <col min="16" max="16" width="6" style="35" bestFit="1" customWidth="1"/>
    <col min="17" max="16384" width="9.140625" style="35"/>
  </cols>
  <sheetData>
    <row r="1" spans="1:16" x14ac:dyDescent="0.25">
      <c r="A1" s="65" t="s">
        <v>12</v>
      </c>
      <c r="B1" s="65"/>
      <c r="C1" s="65"/>
      <c r="D1" s="65"/>
      <c r="E1" s="65"/>
      <c r="F1" s="65"/>
      <c r="G1" s="65"/>
      <c r="H1" s="65"/>
      <c r="I1" s="65" t="s">
        <v>13</v>
      </c>
      <c r="J1" s="65"/>
      <c r="K1" s="65"/>
      <c r="L1" s="65"/>
      <c r="M1" s="65"/>
      <c r="N1" s="65"/>
      <c r="O1" s="65"/>
      <c r="P1" s="65"/>
    </row>
    <row r="2" spans="1:16" x14ac:dyDescent="0.25">
      <c r="A2" s="35" t="s">
        <v>1</v>
      </c>
      <c r="B2" s="35" t="s">
        <v>14</v>
      </c>
      <c r="C2" s="35" t="s">
        <v>15</v>
      </c>
      <c r="D2" s="39" t="s">
        <v>16</v>
      </c>
      <c r="E2" s="39" t="s">
        <v>17</v>
      </c>
      <c r="F2" s="39" t="s">
        <v>18</v>
      </c>
      <c r="G2" s="39" t="s">
        <v>19</v>
      </c>
      <c r="H2" s="39" t="s">
        <v>10</v>
      </c>
      <c r="I2" s="35" t="s">
        <v>1</v>
      </c>
      <c r="J2" s="35" t="s">
        <v>14</v>
      </c>
      <c r="K2" s="35" t="s">
        <v>15</v>
      </c>
      <c r="L2" s="39" t="s">
        <v>16</v>
      </c>
      <c r="M2" s="39" t="s">
        <v>17</v>
      </c>
      <c r="N2" s="39" t="s">
        <v>18</v>
      </c>
      <c r="O2" s="39" t="s">
        <v>19</v>
      </c>
      <c r="P2" s="35" t="s">
        <v>10</v>
      </c>
    </row>
    <row r="3" spans="1:16" x14ac:dyDescent="0.25">
      <c r="A3" s="35" t="s">
        <v>6</v>
      </c>
      <c r="B3" s="46">
        <v>12.98</v>
      </c>
      <c r="C3" s="45">
        <v>90.05</v>
      </c>
      <c r="D3" s="39">
        <v>176.31</v>
      </c>
      <c r="E3" s="39">
        <v>49.95</v>
      </c>
      <c r="F3" s="39">
        <v>165.7</v>
      </c>
      <c r="G3" s="39">
        <v>68.98</v>
      </c>
      <c r="I3" s="35" t="s">
        <v>6</v>
      </c>
      <c r="J3" s="46">
        <v>9.83</v>
      </c>
      <c r="K3" s="35">
        <v>87.4</v>
      </c>
      <c r="L3" s="39">
        <v>133.05000000000001</v>
      </c>
      <c r="M3" s="39">
        <v>49.95</v>
      </c>
      <c r="N3" s="39">
        <v>165.7</v>
      </c>
      <c r="O3" s="39">
        <v>68.98</v>
      </c>
      <c r="P3" s="35">
        <v>0.45</v>
      </c>
    </row>
    <row r="4" spans="1:16" x14ac:dyDescent="0.25">
      <c r="A4" s="35" t="s">
        <v>7</v>
      </c>
      <c r="B4" s="46">
        <v>3.49</v>
      </c>
      <c r="C4" s="45" t="s">
        <v>64</v>
      </c>
      <c r="D4" s="39">
        <v>782.7</v>
      </c>
      <c r="E4" s="39">
        <v>41.32</v>
      </c>
      <c r="F4" s="39" t="s">
        <v>65</v>
      </c>
      <c r="G4" s="39" t="s">
        <v>65</v>
      </c>
      <c r="I4" s="35" t="s">
        <v>33</v>
      </c>
      <c r="J4" s="46">
        <v>16.010000000000002</v>
      </c>
      <c r="K4" s="35">
        <v>59.02</v>
      </c>
      <c r="L4" s="39">
        <v>123.75</v>
      </c>
      <c r="M4" s="39">
        <v>30.78</v>
      </c>
      <c r="N4" s="39">
        <v>173.69</v>
      </c>
      <c r="O4" s="39">
        <v>41.39</v>
      </c>
      <c r="P4" s="35">
        <v>0.5</v>
      </c>
    </row>
    <row r="5" spans="1:16" x14ac:dyDescent="0.25">
      <c r="A5" s="35" t="s">
        <v>8</v>
      </c>
      <c r="B5" s="46">
        <v>6.2</v>
      </c>
      <c r="C5" s="45">
        <v>86.1</v>
      </c>
      <c r="D5" s="39">
        <v>173.98</v>
      </c>
      <c r="E5" s="39">
        <v>42.67</v>
      </c>
      <c r="F5" s="39">
        <v>233.72</v>
      </c>
      <c r="G5" s="39">
        <v>69.47</v>
      </c>
      <c r="I5" s="35" t="s">
        <v>21</v>
      </c>
      <c r="J5" s="46">
        <v>27.81</v>
      </c>
      <c r="K5" s="35">
        <v>62.28</v>
      </c>
      <c r="L5" s="39">
        <v>70.69</v>
      </c>
      <c r="M5" s="39">
        <v>27.05</v>
      </c>
      <c r="N5" s="39">
        <v>87.51</v>
      </c>
      <c r="O5" s="39">
        <v>39.25</v>
      </c>
      <c r="P5" s="64">
        <v>0.5</v>
      </c>
    </row>
    <row r="6" spans="1:16" x14ac:dyDescent="0.25">
      <c r="B6" s="46"/>
      <c r="C6" s="45"/>
      <c r="I6" s="35" t="s">
        <v>22</v>
      </c>
      <c r="J6" s="46">
        <v>46.57</v>
      </c>
      <c r="K6" s="35">
        <v>65.44</v>
      </c>
      <c r="L6" s="39">
        <v>100.29</v>
      </c>
      <c r="M6" s="39">
        <v>36.06</v>
      </c>
      <c r="N6" s="39">
        <v>105.27</v>
      </c>
      <c r="O6" s="39">
        <v>53.94</v>
      </c>
      <c r="P6" s="35">
        <v>0.45</v>
      </c>
    </row>
    <row r="7" spans="1:16" x14ac:dyDescent="0.25">
      <c r="C7" s="45"/>
      <c r="I7" s="35" t="s">
        <v>8</v>
      </c>
      <c r="J7" s="46">
        <v>4.5599999999999996</v>
      </c>
      <c r="K7" s="35">
        <v>91.46</v>
      </c>
      <c r="L7" s="39">
        <v>173.98</v>
      </c>
      <c r="M7" s="39">
        <v>42.67</v>
      </c>
      <c r="N7" s="39">
        <v>233.72</v>
      </c>
      <c r="O7" s="39">
        <v>69.47</v>
      </c>
      <c r="P7" s="35">
        <v>1</v>
      </c>
    </row>
    <row r="8" spans="1:16" x14ac:dyDescent="0.25">
      <c r="C8" s="45"/>
      <c r="I8" s="35" t="s">
        <v>63</v>
      </c>
      <c r="J8" s="46">
        <v>4.83</v>
      </c>
      <c r="K8" s="35">
        <v>86</v>
      </c>
      <c r="L8" s="39">
        <v>150.74</v>
      </c>
      <c r="M8" s="39">
        <v>45.34</v>
      </c>
      <c r="N8" s="39">
        <v>163.56</v>
      </c>
      <c r="O8" s="39">
        <v>82.09</v>
      </c>
      <c r="P8" s="35">
        <v>1</v>
      </c>
    </row>
    <row r="9" spans="1:16" x14ac:dyDescent="0.25">
      <c r="A9" s="37"/>
      <c r="C9" s="45"/>
      <c r="J9" s="46"/>
    </row>
    <row r="10" spans="1:16" x14ac:dyDescent="0.25">
      <c r="C10" s="45"/>
      <c r="J10" s="46"/>
    </row>
    <row r="11" spans="1:16" x14ac:dyDescent="0.25">
      <c r="C11" s="45"/>
      <c r="J11" s="46"/>
    </row>
    <row r="12" spans="1:16" x14ac:dyDescent="0.25">
      <c r="C12" s="45"/>
      <c r="J12" s="46"/>
    </row>
    <row r="13" spans="1:16" x14ac:dyDescent="0.25">
      <c r="C13" s="45"/>
      <c r="J13" s="46"/>
    </row>
    <row r="14" spans="1:16" x14ac:dyDescent="0.25">
      <c r="C14" s="45"/>
      <c r="J14" s="46"/>
    </row>
    <row r="15" spans="1:16" x14ac:dyDescent="0.25">
      <c r="C15" s="45"/>
      <c r="J15" s="46"/>
    </row>
    <row r="16" spans="1:16" x14ac:dyDescent="0.25">
      <c r="C16" s="45"/>
      <c r="J16" s="46"/>
    </row>
    <row r="17" spans="3:10" x14ac:dyDescent="0.25">
      <c r="C17" s="45"/>
      <c r="J17" s="46"/>
    </row>
    <row r="18" spans="3:10" x14ac:dyDescent="0.25">
      <c r="C18" s="45"/>
      <c r="J18" s="46"/>
    </row>
    <row r="19" spans="3:10" x14ac:dyDescent="0.25">
      <c r="C19" s="45"/>
      <c r="J19" s="46"/>
    </row>
    <row r="20" spans="3:10" x14ac:dyDescent="0.25">
      <c r="C20" s="45"/>
      <c r="J20" s="46"/>
    </row>
    <row r="21" spans="3:10" x14ac:dyDescent="0.25">
      <c r="C21" s="45"/>
      <c r="J21" s="46"/>
    </row>
  </sheetData>
  <mergeCells count="2">
    <mergeCell ref="A1:H1"/>
    <mergeCell ref="I1:P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6"/>
  <dimension ref="A1:E42"/>
  <sheetViews>
    <sheetView zoomScale="160" zoomScaleNormal="160" workbookViewId="0">
      <selection activeCell="H12" sqref="H12"/>
    </sheetView>
  </sheetViews>
  <sheetFormatPr defaultRowHeight="15.75" x14ac:dyDescent="0.25"/>
  <cols>
    <col min="1" max="1" width="9.140625" style="8"/>
    <col min="2" max="2" width="11" style="7" bestFit="1" customWidth="1"/>
    <col min="3" max="3" width="9.140625" style="7"/>
    <col min="4" max="4" width="9.140625" style="9"/>
    <col min="5" max="16384" width="9.140625" style="4"/>
  </cols>
  <sheetData>
    <row r="1" spans="1:5" x14ac:dyDescent="0.25">
      <c r="A1" s="8" t="s">
        <v>23</v>
      </c>
      <c r="B1" s="7" t="s">
        <v>24</v>
      </c>
      <c r="C1" s="7" t="s">
        <v>25</v>
      </c>
      <c r="D1" s="7" t="s">
        <v>26</v>
      </c>
    </row>
    <row r="2" spans="1:5" x14ac:dyDescent="0.25">
      <c r="A2" s="8" t="s">
        <v>6</v>
      </c>
      <c r="B2" s="6">
        <v>44418</v>
      </c>
      <c r="D2" s="10">
        <f t="shared" ref="D2:D42" ca="1" si="0">_xlfn.DAYS(B2,TODAY())</f>
        <v>-252</v>
      </c>
    </row>
    <row r="3" spans="1:5" x14ac:dyDescent="0.25">
      <c r="A3" s="8" t="s">
        <v>27</v>
      </c>
      <c r="B3" s="6">
        <v>44419</v>
      </c>
      <c r="C3" s="7" t="s">
        <v>28</v>
      </c>
      <c r="D3" s="10">
        <f t="shared" ca="1" si="0"/>
        <v>-251</v>
      </c>
    </row>
    <row r="4" spans="1:5" x14ac:dyDescent="0.25">
      <c r="A4" s="8" t="s">
        <v>29</v>
      </c>
      <c r="B4" s="6">
        <v>44419</v>
      </c>
      <c r="C4" s="7" t="s">
        <v>28</v>
      </c>
      <c r="D4" s="10">
        <f t="shared" ca="1" si="0"/>
        <v>-251</v>
      </c>
    </row>
    <row r="5" spans="1:5" x14ac:dyDescent="0.25">
      <c r="A5" s="8" t="s">
        <v>30</v>
      </c>
      <c r="B5" s="6">
        <v>44419</v>
      </c>
      <c r="C5" s="7" t="s">
        <v>28</v>
      </c>
      <c r="D5" s="10">
        <f t="shared" ca="1" si="0"/>
        <v>-251</v>
      </c>
    </row>
    <row r="6" spans="1:5" x14ac:dyDescent="0.25">
      <c r="A6" s="8" t="s">
        <v>21</v>
      </c>
      <c r="B6" s="6">
        <v>44419</v>
      </c>
      <c r="C6" s="7" t="s">
        <v>31</v>
      </c>
      <c r="D6" s="10">
        <f t="shared" ca="1" si="0"/>
        <v>-251</v>
      </c>
    </row>
    <row r="7" spans="1:5" x14ac:dyDescent="0.25">
      <c r="A7" s="8" t="s">
        <v>32</v>
      </c>
      <c r="B7" s="6">
        <v>44420</v>
      </c>
      <c r="C7" s="7" t="s">
        <v>31</v>
      </c>
      <c r="D7" s="10">
        <f t="shared" ca="1" si="0"/>
        <v>-250</v>
      </c>
    </row>
    <row r="8" spans="1:5" x14ac:dyDescent="0.25">
      <c r="A8" s="8" t="s">
        <v>33</v>
      </c>
      <c r="B8" s="6">
        <v>44420</v>
      </c>
      <c r="C8" s="7" t="s">
        <v>28</v>
      </c>
      <c r="D8" s="10">
        <f t="shared" ca="1" si="0"/>
        <v>-250</v>
      </c>
      <c r="E8" s="5"/>
    </row>
    <row r="9" spans="1:5" x14ac:dyDescent="0.25">
      <c r="A9" s="8" t="s">
        <v>20</v>
      </c>
      <c r="B9" s="6">
        <v>44420</v>
      </c>
      <c r="C9" s="7" t="s">
        <v>28</v>
      </c>
      <c r="D9" s="10">
        <f t="shared" ca="1" si="0"/>
        <v>-250</v>
      </c>
    </row>
    <row r="10" spans="1:5" x14ac:dyDescent="0.25">
      <c r="A10" s="8" t="s">
        <v>34</v>
      </c>
      <c r="B10" s="6">
        <v>44421</v>
      </c>
      <c r="C10" s="7" t="s">
        <v>35</v>
      </c>
      <c r="D10" s="10">
        <f t="shared" ca="1" si="0"/>
        <v>-249</v>
      </c>
    </row>
    <row r="11" spans="1:5" x14ac:dyDescent="0.25">
      <c r="A11" s="8" t="s">
        <v>7</v>
      </c>
      <c r="B11" s="6">
        <v>44424</v>
      </c>
      <c r="C11" s="7" t="s">
        <v>28</v>
      </c>
      <c r="D11" s="10">
        <f t="shared" ca="1" si="0"/>
        <v>-246</v>
      </c>
    </row>
    <row r="12" spans="1:5" x14ac:dyDescent="0.25">
      <c r="A12" s="8" t="s">
        <v>36</v>
      </c>
      <c r="B12" s="6">
        <v>44470</v>
      </c>
      <c r="C12" s="7" t="s">
        <v>37</v>
      </c>
      <c r="D12" s="10">
        <f ca="1">_xlfn.DAYS(B12,TODAY())</f>
        <v>-200</v>
      </c>
    </row>
    <row r="13" spans="1:5" x14ac:dyDescent="0.25">
      <c r="A13" s="8" t="s">
        <v>8</v>
      </c>
      <c r="B13" s="6">
        <v>44484</v>
      </c>
      <c r="C13" s="7" t="s">
        <v>37</v>
      </c>
      <c r="D13" s="10">
        <f t="shared" ca="1" si="0"/>
        <v>-186</v>
      </c>
    </row>
    <row r="14" spans="1:5" x14ac:dyDescent="0.25">
      <c r="A14" s="8" t="s">
        <v>38</v>
      </c>
      <c r="B14" s="6">
        <v>44498</v>
      </c>
      <c r="C14" s="7" t="s">
        <v>31</v>
      </c>
      <c r="D14" s="10">
        <f t="shared" ca="1" si="0"/>
        <v>-172</v>
      </c>
    </row>
    <row r="15" spans="1:5" x14ac:dyDescent="0.25">
      <c r="A15" s="8" t="s">
        <v>39</v>
      </c>
      <c r="B15" s="6">
        <v>44498</v>
      </c>
      <c r="C15" s="7" t="s">
        <v>40</v>
      </c>
      <c r="D15" s="10">
        <f t="shared" ca="1" si="0"/>
        <v>-172</v>
      </c>
    </row>
    <row r="16" spans="1:5" x14ac:dyDescent="0.25">
      <c r="A16" s="8" t="s">
        <v>41</v>
      </c>
      <c r="B16" s="6">
        <v>44498</v>
      </c>
      <c r="C16" s="7" t="s">
        <v>31</v>
      </c>
      <c r="D16" s="10">
        <f t="shared" ca="1" si="0"/>
        <v>-172</v>
      </c>
    </row>
    <row r="17" spans="1:4" x14ac:dyDescent="0.25">
      <c r="A17" s="8" t="s">
        <v>20</v>
      </c>
      <c r="B17" s="6">
        <v>44498</v>
      </c>
      <c r="C17" s="7" t="s">
        <v>31</v>
      </c>
      <c r="D17" s="10">
        <f t="shared" ca="1" si="0"/>
        <v>-172</v>
      </c>
    </row>
    <row r="18" spans="1:4" x14ac:dyDescent="0.25">
      <c r="A18" s="8" t="s">
        <v>36</v>
      </c>
      <c r="B18" s="6">
        <v>44505</v>
      </c>
      <c r="C18" s="7" t="s">
        <v>31</v>
      </c>
      <c r="D18" s="10">
        <f t="shared" ca="1" si="0"/>
        <v>-165</v>
      </c>
    </row>
    <row r="19" spans="1:4" x14ac:dyDescent="0.25">
      <c r="A19" s="8" t="s">
        <v>8</v>
      </c>
      <c r="B19" s="6">
        <v>44509</v>
      </c>
      <c r="C19" s="7" t="s">
        <v>31</v>
      </c>
      <c r="D19" s="10">
        <f t="shared" ca="1" si="0"/>
        <v>-161</v>
      </c>
    </row>
    <row r="20" spans="1:4" x14ac:dyDescent="0.25">
      <c r="A20" s="8" t="s">
        <v>6</v>
      </c>
      <c r="B20" s="6">
        <v>44510</v>
      </c>
      <c r="C20" s="7" t="s">
        <v>31</v>
      </c>
      <c r="D20" s="10">
        <f t="shared" ca="1" si="0"/>
        <v>-160</v>
      </c>
    </row>
    <row r="21" spans="1:4" x14ac:dyDescent="0.25">
      <c r="A21" s="8" t="s">
        <v>22</v>
      </c>
      <c r="B21" s="6">
        <v>44511</v>
      </c>
      <c r="C21" s="7" t="s">
        <v>31</v>
      </c>
      <c r="D21" s="10">
        <f t="shared" ca="1" si="0"/>
        <v>-159</v>
      </c>
    </row>
    <row r="22" spans="1:4" x14ac:dyDescent="0.25">
      <c r="A22" s="8" t="s">
        <v>32</v>
      </c>
      <c r="B22" s="6">
        <v>44512</v>
      </c>
      <c r="C22" s="7" t="s">
        <v>40</v>
      </c>
      <c r="D22" s="10">
        <f t="shared" ca="1" si="0"/>
        <v>-158</v>
      </c>
    </row>
    <row r="23" spans="1:4" x14ac:dyDescent="0.25">
      <c r="A23" s="8" t="s">
        <v>33</v>
      </c>
      <c r="B23" s="6">
        <v>44512</v>
      </c>
      <c r="C23" s="7" t="s">
        <v>31</v>
      </c>
      <c r="D23" s="10">
        <f t="shared" ca="1" si="0"/>
        <v>-158</v>
      </c>
    </row>
    <row r="24" spans="1:4" x14ac:dyDescent="0.25">
      <c r="A24" s="8" t="s">
        <v>42</v>
      </c>
      <c r="B24" s="6">
        <v>44512</v>
      </c>
      <c r="C24" s="7" t="s">
        <v>31</v>
      </c>
      <c r="D24" s="10">
        <f t="shared" ca="1" si="0"/>
        <v>-158</v>
      </c>
    </row>
    <row r="25" spans="1:4" x14ac:dyDescent="0.25">
      <c r="A25" s="8" t="s">
        <v>43</v>
      </c>
      <c r="B25" s="6">
        <v>44512</v>
      </c>
      <c r="C25" s="7" t="s">
        <v>31</v>
      </c>
      <c r="D25" s="10">
        <f t="shared" ca="1" si="0"/>
        <v>-158</v>
      </c>
    </row>
    <row r="26" spans="1:4" x14ac:dyDescent="0.25">
      <c r="A26" s="8" t="s">
        <v>34</v>
      </c>
      <c r="B26" s="6">
        <v>44515</v>
      </c>
      <c r="C26" s="7" t="s">
        <v>31</v>
      </c>
      <c r="D26" s="10">
        <f t="shared" ca="1" si="0"/>
        <v>-155</v>
      </c>
    </row>
    <row r="27" spans="1:4" x14ac:dyDescent="0.25">
      <c r="A27" s="8" t="s">
        <v>7</v>
      </c>
      <c r="B27" s="6">
        <v>44515</v>
      </c>
      <c r="C27" s="7" t="s">
        <v>31</v>
      </c>
      <c r="D27" s="10">
        <f t="shared" ca="1" si="0"/>
        <v>-155</v>
      </c>
    </row>
    <row r="28" spans="1:4" x14ac:dyDescent="0.25">
      <c r="A28" s="8" t="s">
        <v>21</v>
      </c>
      <c r="B28" s="6">
        <v>44518</v>
      </c>
      <c r="C28" s="7" t="s">
        <v>40</v>
      </c>
      <c r="D28" s="10">
        <f t="shared" ca="1" si="0"/>
        <v>-152</v>
      </c>
    </row>
    <row r="29" spans="1:4" x14ac:dyDescent="0.25">
      <c r="A29" s="8" t="s">
        <v>44</v>
      </c>
      <c r="B29" s="6">
        <v>44519</v>
      </c>
      <c r="C29" s="7" t="s">
        <v>31</v>
      </c>
      <c r="D29" s="10">
        <f t="shared" ca="1" si="0"/>
        <v>-151</v>
      </c>
    </row>
    <row r="30" spans="1:4" x14ac:dyDescent="0.25">
      <c r="A30" s="8" t="s">
        <v>42</v>
      </c>
      <c r="B30" s="6">
        <v>44530</v>
      </c>
      <c r="C30" s="7" t="s">
        <v>35</v>
      </c>
      <c r="D30" s="10">
        <f t="shared" ca="1" si="0"/>
        <v>-140</v>
      </c>
    </row>
    <row r="31" spans="1:4" x14ac:dyDescent="0.25">
      <c r="A31" s="8" t="s">
        <v>39</v>
      </c>
      <c r="B31" s="6">
        <v>44588</v>
      </c>
      <c r="C31" s="7" t="s">
        <v>45</v>
      </c>
      <c r="D31" s="10">
        <f t="shared" ca="1" si="0"/>
        <v>-82</v>
      </c>
    </row>
    <row r="32" spans="1:4" x14ac:dyDescent="0.25">
      <c r="A32" s="8" t="s">
        <v>36</v>
      </c>
      <c r="B32" s="6">
        <v>44594</v>
      </c>
      <c r="C32" s="7" t="s">
        <v>31</v>
      </c>
      <c r="D32" s="10">
        <f t="shared" ca="1" si="0"/>
        <v>-76</v>
      </c>
    </row>
    <row r="33" spans="1:4" x14ac:dyDescent="0.25">
      <c r="A33" s="8" t="s">
        <v>38</v>
      </c>
      <c r="B33" s="6">
        <v>44596</v>
      </c>
      <c r="C33" s="7" t="s">
        <v>40</v>
      </c>
      <c r="D33" s="10">
        <f t="shared" ca="1" si="0"/>
        <v>-74</v>
      </c>
    </row>
    <row r="34" spans="1:4" x14ac:dyDescent="0.25">
      <c r="A34" s="8" t="s">
        <v>41</v>
      </c>
      <c r="B34" s="6">
        <v>44596</v>
      </c>
      <c r="C34" s="7" t="s">
        <v>40</v>
      </c>
      <c r="D34" s="10">
        <f t="shared" ca="1" si="0"/>
        <v>-74</v>
      </c>
    </row>
    <row r="35" spans="1:4" x14ac:dyDescent="0.25">
      <c r="A35" s="8" t="s">
        <v>43</v>
      </c>
      <c r="B35" s="6">
        <v>44596</v>
      </c>
      <c r="C35" s="7" t="s">
        <v>40</v>
      </c>
      <c r="D35" s="10">
        <f t="shared" ca="1" si="0"/>
        <v>-74</v>
      </c>
    </row>
    <row r="36" spans="1:4" x14ac:dyDescent="0.25">
      <c r="A36" s="8" t="s">
        <v>21</v>
      </c>
      <c r="B36" s="6">
        <v>44602</v>
      </c>
      <c r="C36" s="7" t="s">
        <v>45</v>
      </c>
      <c r="D36" s="10">
        <f t="shared" ca="1" si="0"/>
        <v>-68</v>
      </c>
    </row>
    <row r="37" spans="1:4" x14ac:dyDescent="0.25">
      <c r="A37" s="8" t="s">
        <v>32</v>
      </c>
      <c r="B37" s="6">
        <v>44603</v>
      </c>
      <c r="C37" s="7" t="s">
        <v>45</v>
      </c>
      <c r="D37" s="10">
        <f t="shared" ca="1" si="0"/>
        <v>-67</v>
      </c>
    </row>
    <row r="38" spans="1:4" x14ac:dyDescent="0.25">
      <c r="A38" s="8" t="s">
        <v>33</v>
      </c>
      <c r="B38" s="6">
        <v>44608</v>
      </c>
      <c r="C38" s="7" t="s">
        <v>40</v>
      </c>
      <c r="D38" s="10">
        <f t="shared" ca="1" si="0"/>
        <v>-62</v>
      </c>
    </row>
    <row r="39" spans="1:4" x14ac:dyDescent="0.25">
      <c r="A39" s="8" t="s">
        <v>39</v>
      </c>
      <c r="B39" s="6">
        <v>44615</v>
      </c>
      <c r="C39" s="7" t="s">
        <v>37</v>
      </c>
      <c r="D39" s="10">
        <f t="shared" ca="1" si="0"/>
        <v>-55</v>
      </c>
    </row>
    <row r="40" spans="1:4" x14ac:dyDescent="0.25">
      <c r="A40" s="8" t="s">
        <v>6</v>
      </c>
      <c r="B40" s="6">
        <v>44616</v>
      </c>
      <c r="C40" s="7" t="s">
        <v>40</v>
      </c>
      <c r="D40" s="10">
        <f t="shared" ca="1" si="0"/>
        <v>-54</v>
      </c>
    </row>
    <row r="41" spans="1:4" x14ac:dyDescent="0.25">
      <c r="A41" s="8" t="s">
        <v>22</v>
      </c>
      <c r="B41" s="6">
        <v>44616</v>
      </c>
      <c r="C41" s="7" t="s">
        <v>40</v>
      </c>
      <c r="D41" s="10">
        <f t="shared" ca="1" si="0"/>
        <v>-54</v>
      </c>
    </row>
    <row r="42" spans="1:4" x14ac:dyDescent="0.25">
      <c r="A42" s="8" t="s">
        <v>20</v>
      </c>
      <c r="B42" s="6">
        <v>44616</v>
      </c>
      <c r="C42" s="7" t="s">
        <v>40</v>
      </c>
      <c r="D42" s="10">
        <f t="shared" ca="1" si="0"/>
        <v>-54</v>
      </c>
    </row>
  </sheetData>
  <autoFilter ref="A1:D1" xr:uid="{00000000-0009-0000-0000-000004000000}">
    <sortState xmlns:xlrd2="http://schemas.microsoft.com/office/spreadsheetml/2017/richdata2" ref="A2:D42">
      <sortCondition ref="D1"/>
    </sortState>
  </autoFilter>
  <phoneticPr fontId="2" type="noConversion"/>
  <conditionalFormatting sqref="D1:D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{C3717716-3208-48EA-9A4D-9FE08905893B}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717716-3208-48EA-9A4D-9FE0890589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D1:D1048576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/>
  <dimension ref="A1:N7"/>
  <sheetViews>
    <sheetView zoomScale="145" zoomScaleNormal="145" workbookViewId="0">
      <pane ySplit="1" topLeftCell="A2" activePane="bottomLeft" state="frozen"/>
      <selection pane="bottomLeft" activeCell="L8" sqref="L8"/>
    </sheetView>
  </sheetViews>
  <sheetFormatPr defaultRowHeight="15.75" x14ac:dyDescent="0.25"/>
  <cols>
    <col min="1" max="1" width="14.5703125" style="54" bestFit="1" customWidth="1"/>
    <col min="2" max="2" width="8.7109375" style="60" bestFit="1" customWidth="1"/>
    <col min="3" max="3" width="8" style="59" bestFit="1" customWidth="1"/>
    <col min="4" max="4" width="7.5703125" style="59" bestFit="1" customWidth="1"/>
    <col min="5" max="5" width="13.5703125" style="59" bestFit="1" customWidth="1"/>
    <col min="6" max="6" width="10.5703125" style="59" bestFit="1" customWidth="1"/>
    <col min="7" max="7" width="12.28515625" style="59" bestFit="1" customWidth="1"/>
    <col min="8" max="8" width="7.140625" style="59" bestFit="1" customWidth="1"/>
    <col min="9" max="9" width="12.5703125" style="59" bestFit="1" customWidth="1"/>
    <col min="10" max="10" width="10.42578125" style="59" bestFit="1" customWidth="1"/>
    <col min="11" max="11" width="11.7109375" style="59" bestFit="1" customWidth="1"/>
    <col min="12" max="12" width="8.140625" style="59" bestFit="1" customWidth="1"/>
    <col min="13" max="13" width="11.85546875" style="61" bestFit="1" customWidth="1"/>
    <col min="14" max="16384" width="9.140625" style="54"/>
  </cols>
  <sheetData>
    <row r="1" spans="1:14" ht="16.5" thickBot="1" x14ac:dyDescent="0.3">
      <c r="A1" s="42">
        <v>44487.881956018522</v>
      </c>
      <c r="B1" s="62" t="s">
        <v>46</v>
      </c>
      <c r="C1" s="25" t="s">
        <v>47</v>
      </c>
      <c r="D1" s="25" t="s">
        <v>58</v>
      </c>
      <c r="E1" s="25" t="s">
        <v>59</v>
      </c>
      <c r="F1" s="25" t="s">
        <v>60</v>
      </c>
      <c r="G1" s="25" t="s">
        <v>2</v>
      </c>
      <c r="H1" s="25" t="s">
        <v>48</v>
      </c>
      <c r="I1" s="25" t="s">
        <v>49</v>
      </c>
      <c r="J1" s="25" t="s">
        <v>50</v>
      </c>
      <c r="K1" s="25" t="s">
        <v>61</v>
      </c>
      <c r="L1" s="25" t="s">
        <v>51</v>
      </c>
      <c r="M1" s="63" t="s">
        <v>62</v>
      </c>
      <c r="N1" s="41">
        <v>24.5078125</v>
      </c>
    </row>
    <row r="2" spans="1:14" x14ac:dyDescent="0.25">
      <c r="B2" s="47"/>
      <c r="C2" s="55" t="s">
        <v>52</v>
      </c>
      <c r="D2" s="48">
        <f>_xlfn.IFNA(((VLOOKUP($C2,[1]Code!$H:$Q,9,FALSE))+(VLOOKUP($C2,[1]Code!$H:$Q,10,FALSE)))/2*0.5/(((VLOOKUP($C2,[1]Code!$H:$Q,7,FALSE))+(VLOOKUP($C2,[1]Code!$H:$Q,8,FALSE)))/2),0)</f>
        <v>0.58382838283828375</v>
      </c>
      <c r="E2" s="49" t="str">
        <f t="shared" ref="E2:E7" si="0">IFERROR(IF(D2&gt;9E+306,"",IF(D2&gt;70%,"XL",IF(D2&gt;60%,"L",IF(D2&gt;50%,"M",IF(D2&gt;0%,"S",""))))),"")</f>
        <v>M</v>
      </c>
      <c r="F2" s="48">
        <f>_xlfn.IFNA((VLOOKUP($C2,[1]Code!$H:$Q,5,FALSE))/(((VLOOKUP($C2,[1]Code!$H:$Q,7,FALSE))+(VLOOKUP($C2,[1]Code!$H:$Q,8,FALSE)))/2)-D2,0)</f>
        <v>0.34143747708104155</v>
      </c>
      <c r="G2" s="56">
        <v>44491</v>
      </c>
      <c r="H2" s="50" t="str">
        <f t="shared" ref="H2:H7" ca="1" si="1">IFERROR(IF(OR(_xlfn.DAYS(G2,TODAY())+1&lt;0,C2=0),"",_xlfn.DAYS(G2,TODAY())+1),"")</f>
        <v/>
      </c>
      <c r="I2" s="51">
        <f>IFERROR(VLOOKUP($C2,[1]Code!$H:$Q,5,FALSE),"")</f>
        <v>0.63080000000000003</v>
      </c>
      <c r="J2" s="57" t="str">
        <f t="shared" ref="J2:J7" ca="1" si="2">IFERROR(IF(L2*I2*SQRT(H2/365)=0,"",L2*I2*SQRT(H2/365)),"")</f>
        <v/>
      </c>
      <c r="K2" s="58" t="str">
        <f t="shared" ref="K2:K7" ca="1" si="3">IFERROR(L2-J2,"")</f>
        <v/>
      </c>
      <c r="L2" s="52">
        <f>IFERROR(VLOOKUP($C2,[1]Code!$H:$Q,6,FALSE),"")</f>
        <v>0</v>
      </c>
      <c r="M2" s="53" t="str">
        <f t="shared" ref="M2:M7" ca="1" si="4">IFERROR(L2+J2,"")</f>
        <v/>
      </c>
    </row>
    <row r="3" spans="1:14" x14ac:dyDescent="0.25">
      <c r="B3" s="47"/>
      <c r="C3" s="55" t="s">
        <v>53</v>
      </c>
      <c r="D3" s="48">
        <f>_xlfn.IFNA(((VLOOKUP($C3,[1]Code!$H:$Q,9,FALSE))+(VLOOKUP($C3,[1]Code!$H:$Q,10,FALSE)))/2*0.5/(((VLOOKUP($C3,[1]Code!$H:$Q,7,FALSE))+(VLOOKUP($C3,[1]Code!$H:$Q,8,FALSE)))/2),0)</f>
        <v>0.55055594162612931</v>
      </c>
      <c r="E3" s="49" t="str">
        <f t="shared" si="0"/>
        <v>M</v>
      </c>
      <c r="F3" s="48">
        <f>_xlfn.IFNA((VLOOKUP($C3,[1]Code!$H:$Q,5,FALSE))/(((VLOOKUP($C3,[1]Code!$H:$Q,7,FALSE))+(VLOOKUP($C3,[1]Code!$H:$Q,8,FALSE)))/2)-D3,0)</f>
        <v>0.26911049339819315</v>
      </c>
      <c r="G3" s="56">
        <v>44491</v>
      </c>
      <c r="H3" s="50" t="str">
        <f t="shared" ca="1" si="1"/>
        <v/>
      </c>
      <c r="I3" s="51">
        <f>IFERROR(VLOOKUP($C3,[1]Code!$H:$Q,5,FALSE),"")</f>
        <v>0.4718</v>
      </c>
      <c r="J3" s="57" t="str">
        <f t="shared" ca="1" si="2"/>
        <v/>
      </c>
      <c r="K3" s="58" t="str">
        <f t="shared" ca="1" si="3"/>
        <v/>
      </c>
      <c r="L3" s="52">
        <f>IFERROR(VLOOKUP($C3,[1]Code!$H:$Q,6,FALSE),"")</f>
        <v>0</v>
      </c>
      <c r="M3" s="53" t="str">
        <f t="shared" ca="1" si="4"/>
        <v/>
      </c>
    </row>
    <row r="4" spans="1:14" x14ac:dyDescent="0.25">
      <c r="B4" s="47"/>
      <c r="C4" s="55" t="s">
        <v>54</v>
      </c>
      <c r="D4" s="48">
        <f>_xlfn.IFNA(((VLOOKUP($C4,[1]Code!$H:$Q,9,FALSE))+(VLOOKUP($C4,[1]Code!$H:$Q,10,FALSE)))/2*0.5/(((VLOOKUP($C4,[1]Code!$H:$Q,7,FALSE))+(VLOOKUP($C4,[1]Code!$H:$Q,8,FALSE)))/2),0)</f>
        <v>0.58227471218737592</v>
      </c>
      <c r="E4" s="49" t="str">
        <f t="shared" si="0"/>
        <v>M</v>
      </c>
      <c r="F4" s="48">
        <f>_xlfn.IFNA((VLOOKUP($C4,[1]Code!$H:$Q,5,FALSE))/(((VLOOKUP($C4,[1]Code!$H:$Q,7,FALSE))+(VLOOKUP($C4,[1]Code!$H:$Q,8,FALSE)))/2)-D4,0)</f>
        <v>0.24652639936482723</v>
      </c>
      <c r="G4" s="56">
        <v>44491</v>
      </c>
      <c r="H4" s="50" t="str">
        <f t="shared" ca="1" si="1"/>
        <v/>
      </c>
      <c r="I4" s="51">
        <f>IFERROR(VLOOKUP($C4,[1]Code!$H:$Q,5,FALSE),"")</f>
        <v>0.83509999999999995</v>
      </c>
      <c r="J4" s="57" t="str">
        <f t="shared" ca="1" si="2"/>
        <v/>
      </c>
      <c r="K4" s="58" t="str">
        <f t="shared" ca="1" si="3"/>
        <v/>
      </c>
      <c r="L4" s="52">
        <f>IFERROR(VLOOKUP($C4,[1]Code!$H:$Q,6,FALSE),"")</f>
        <v>0</v>
      </c>
      <c r="M4" s="53" t="str">
        <f t="shared" ca="1" si="4"/>
        <v/>
      </c>
    </row>
    <row r="5" spans="1:14" x14ac:dyDescent="0.25">
      <c r="B5" s="47"/>
      <c r="C5" s="55" t="s">
        <v>55</v>
      </c>
      <c r="D5" s="48">
        <f>_xlfn.IFNA(((VLOOKUP($C5,[1]Code!$H:$Q,9,FALSE))+(VLOOKUP($C5,[1]Code!$H:$Q,10,FALSE)))/2*0.5/(((VLOOKUP($C5,[1]Code!$H:$Q,7,FALSE))+(VLOOKUP($C5,[1]Code!$H:$Q,8,FALSE)))/2),0)</f>
        <v>0.69972305561966308</v>
      </c>
      <c r="E5" s="49" t="str">
        <f t="shared" si="0"/>
        <v>L</v>
      </c>
      <c r="F5" s="48">
        <f>_xlfn.IFNA((VLOOKUP($C5,[1]Code!$H:$Q,5,FALSE))/(((VLOOKUP($C5,[1]Code!$H:$Q,7,FALSE))+(VLOOKUP($C5,[1]Code!$H:$Q,8,FALSE)))/2)-D5,0)</f>
        <v>5.735056542810979E-2</v>
      </c>
      <c r="G5" s="56">
        <v>44491</v>
      </c>
      <c r="H5" s="50" t="str">
        <f t="shared" ca="1" si="1"/>
        <v/>
      </c>
      <c r="I5" s="51">
        <f>IFERROR(VLOOKUP($C5,[1]Code!$H:$Q,5,FALSE),"")</f>
        <v>0.82010000000000005</v>
      </c>
      <c r="J5" s="57" t="str">
        <f t="shared" ca="1" si="2"/>
        <v/>
      </c>
      <c r="K5" s="58" t="str">
        <f t="shared" ca="1" si="3"/>
        <v/>
      </c>
      <c r="L5" s="52">
        <f>IFERROR(VLOOKUP($C5,[1]Code!$H:$Q,6,FALSE),"")</f>
        <v>0</v>
      </c>
      <c r="M5" s="53" t="str">
        <f t="shared" ca="1" si="4"/>
        <v/>
      </c>
    </row>
    <row r="6" spans="1:14" x14ac:dyDescent="0.25">
      <c r="B6" s="47"/>
      <c r="C6" s="55" t="s">
        <v>56</v>
      </c>
      <c r="D6" s="48">
        <f>_xlfn.IFNA(((VLOOKUP($C6,[1]Code!$H:$Q,9,FALSE))+(VLOOKUP($C6,[1]Code!$H:$Q,10,FALSE)))/2*0.5/(((VLOOKUP($C6,[1]Code!$H:$Q,7,FALSE))+(VLOOKUP($C6,[1]Code!$H:$Q,8,FALSE)))/2),0)</f>
        <v>0.66749425858109357</v>
      </c>
      <c r="E6" s="49" t="str">
        <f t="shared" si="0"/>
        <v>L</v>
      </c>
      <c r="F6" s="48">
        <f>_xlfn.IFNA((VLOOKUP($C6,[1]Code!$H:$Q,5,FALSE))/(((VLOOKUP($C6,[1]Code!$H:$Q,7,FALSE))+(VLOOKUP($C6,[1]Code!$H:$Q,8,FALSE)))/2)-D6,0)</f>
        <v>-8.0938489230960142E-2</v>
      </c>
      <c r="G6" s="56">
        <v>44491</v>
      </c>
      <c r="H6" s="50" t="str">
        <f t="shared" ca="1" si="1"/>
        <v/>
      </c>
      <c r="I6" s="51">
        <f>IFERROR(VLOOKUP($C6,[1]Code!$H:$Q,5,FALSE),"")</f>
        <v>0.47249999999999998</v>
      </c>
      <c r="J6" s="57" t="str">
        <f t="shared" ca="1" si="2"/>
        <v/>
      </c>
      <c r="K6" s="58" t="str">
        <f t="shared" ca="1" si="3"/>
        <v/>
      </c>
      <c r="L6" s="52">
        <f>IFERROR(VLOOKUP($C6,[1]Code!$H:$Q,6,FALSE),"")</f>
        <v>0</v>
      </c>
      <c r="M6" s="53" t="str">
        <f t="shared" ca="1" si="4"/>
        <v/>
      </c>
    </row>
    <row r="7" spans="1:14" x14ac:dyDescent="0.25">
      <c r="B7" s="47"/>
      <c r="C7" s="55" t="s">
        <v>57</v>
      </c>
      <c r="D7" s="48">
        <f>_xlfn.IFNA(((VLOOKUP($C7,[1]Code!$H:$Q,9,FALSE))+(VLOOKUP($C7,[1]Code!$H:$Q,10,FALSE)))/2*0.5/(((VLOOKUP($C7,[1]Code!$H:$Q,7,FALSE))+(VLOOKUP($C7,[1]Code!$H:$Q,8,FALSE)))/2),0)</f>
        <v>0.57069036792062833</v>
      </c>
      <c r="E7" s="49" t="str">
        <f t="shared" si="0"/>
        <v>M</v>
      </c>
      <c r="F7" s="48">
        <f>_xlfn.IFNA((VLOOKUP($C7,[1]Code!$H:$Q,5,FALSE))/(((VLOOKUP($C7,[1]Code!$H:$Q,7,FALSE))+(VLOOKUP($C7,[1]Code!$H:$Q,8,FALSE)))/2)-D7,0)</f>
        <v>0.31107895824720966</v>
      </c>
      <c r="G7" s="56">
        <v>44491</v>
      </c>
      <c r="H7" s="50" t="str">
        <f t="shared" ca="1" si="1"/>
        <v/>
      </c>
      <c r="I7" s="51">
        <f>IFERROR(VLOOKUP($C7,[1]Code!$H:$Q,5,FALSE),"")</f>
        <v>0.63990000000000002</v>
      </c>
      <c r="J7" s="57" t="str">
        <f t="shared" ca="1" si="2"/>
        <v/>
      </c>
      <c r="K7" s="58" t="str">
        <f t="shared" ca="1" si="3"/>
        <v/>
      </c>
      <c r="L7" s="52">
        <f>IFERROR(VLOOKUP($C7,[1]Code!$H:$Q,6,FALSE),"")</f>
        <v>0</v>
      </c>
      <c r="M7" s="53" t="str">
        <f t="shared" ca="1" si="4"/>
        <v/>
      </c>
    </row>
  </sheetData>
  <phoneticPr fontId="2" type="noConversion"/>
  <conditionalFormatting sqref="F2:F7">
    <cfRule type="cellIs" dxfId="4" priority="2" operator="lessThan">
      <formula>0</formula>
    </cfRule>
    <cfRule type="cellIs" dxfId="3" priority="3" operator="greaterThan">
      <formula>0</formula>
    </cfRule>
  </conditionalFormatting>
  <conditionalFormatting sqref="C2:C7">
    <cfRule type="duplicateValues" dxfId="2" priority="24"/>
    <cfRule type="duplicateValues" dxfId="1" priority="25"/>
  </conditionalFormatting>
  <conditionalFormatting sqref="D2:D7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{9A5E0ECE-AEB3-49F4-9F9C-BED0D423A6BB}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1]!Personal_Click">
                <anchor moveWithCells="1" sizeWithCells="1">
                  <from>
                    <xdr:col>14</xdr:col>
                    <xdr:colOff>19050</xdr:colOff>
                    <xdr:row>0</xdr:row>
                    <xdr:rowOff>28575</xdr:rowOff>
                  </from>
                  <to>
                    <xdr:col>15</xdr:col>
                    <xdr:colOff>9525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A5E0ECE-AEB3-49F4-9F9C-BED0D423A6B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D2:D7</xm:sqref>
        </x14:conditionalFormatting>
        <x14:conditionalFormatting xmlns:xm="http://schemas.microsoft.com/office/excel/2006/main">
          <x14:cfRule type="beginsWith" priority="18" operator="beginsWith" id="{580189AD-A56A-48E7-8AAE-A608566282F6}">
            <xm:f>LEFT(E2,LEN("XL"))="XL"</xm:f>
            <xm:f>"XL"</xm:f>
            <x14:dxf>
              <font>
                <b/>
                <i val="0"/>
                <color rgb="FF00B050"/>
              </font>
            </x14:dxf>
          </x14:cfRule>
          <xm:sqref>E2:E7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Strategy_CALL</vt:lpstr>
      <vt:lpstr>Strategy_PUT</vt:lpstr>
      <vt:lpstr>code</vt:lpstr>
      <vt:lpstr>h961l4</vt:lpstr>
      <vt:lpstr>工作表1</vt:lpstr>
      <vt:lpstr>call</vt:lpstr>
      <vt:lpstr>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WMR</dc:creator>
  <cp:keywords/>
  <dc:description/>
  <cp:lastModifiedBy>FNU LNU</cp:lastModifiedBy>
  <cp:revision/>
  <dcterms:created xsi:type="dcterms:W3CDTF">2021-06-08T17:16:19Z</dcterms:created>
  <dcterms:modified xsi:type="dcterms:W3CDTF">2022-04-19T12:16:55Z</dcterms:modified>
  <cp:category/>
  <cp:contentStatus/>
</cp:coreProperties>
</file>